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1.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drawings/drawing2.xml" ContentType="application/vnd.openxmlformats-officedocument.drawing+xml"/>
  <Override PartName="/xl/tables/table4.xml" ContentType="application/vnd.openxmlformats-officedocument.spreadsheetml.table+xml"/>
  <Override PartName="/xl/queryTables/queryTable4.xml" ContentType="application/vnd.openxmlformats-officedocument.spreadsheetml.queryTable+xml"/>
  <Override PartName="/xl/drawings/drawing3.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7fd49a8ddf043d25/Desktop/Madhu/Coding Challenge/"/>
    </mc:Choice>
  </mc:AlternateContent>
  <xr:revisionPtr revIDLastSave="1262" documentId="8_{CDE37D05-6DF2-4F51-8157-C7480286DA23}" xr6:coauthVersionLast="47" xr6:coauthVersionMax="47" xr10:uidLastSave="{F1C18919-CE39-42F7-BE98-BA935365833A}"/>
  <bookViews>
    <workbookView xWindow="-108" yWindow="-108" windowWidth="23256" windowHeight="13896" firstSheet="7" activeTab="7" xr2:uid="{A769D390-AA3A-403A-B1E0-32A03F6FF80C}"/>
  </bookViews>
  <sheets>
    <sheet name="global_freelancer_raw data" sheetId="6" r:id="rId1"/>
    <sheet name="global_freelancer Cleaned data" sheetId="2" r:id="rId2"/>
    <sheet name="Day 1 - Observation" sheetId="1" r:id="rId3"/>
    <sheet name="Day 2-Data Entry &amp; Formatting" sheetId="3" r:id="rId4"/>
    <sheet name="Day 3 – Basic Excel Formulas (P" sheetId="4" r:id="rId5"/>
    <sheet name="Day 4 – Basic Excel Formulas (P" sheetId="7" r:id="rId6"/>
    <sheet name="Day 5 – Text Functions" sheetId="5" r:id="rId7"/>
    <sheet name="Day 6 – Data Validation &amp; Clean" sheetId="8" r:id="rId8"/>
    <sheet name="Day 7 –Power Query cleaned data" sheetId="11" r:id="rId9"/>
    <sheet name="Day 8–Handling Inconsistent Dat" sheetId="12" r:id="rId10"/>
    <sheet name="Day 9 – Conditional Formatting " sheetId="13" r:id="rId11"/>
    <sheet name="Day 10 – Descriptive Statistics" sheetId="14" r:id="rId12"/>
    <sheet name="Day 11 – Filtering, Sorting &amp; E" sheetId="15" r:id="rId13"/>
    <sheet name="Day 12 – Date &amp; Time Functions" sheetId="16" r:id="rId14"/>
    <sheet name="Day 13 – Lookup Function" sheetId="17" r:id="rId15"/>
    <sheet name="Day 14 - INDEX(), MATCH()" sheetId="18" r:id="rId16"/>
    <sheet name="Pivot" sheetId="20" r:id="rId17"/>
    <sheet name="Dashboard" sheetId="22" r:id="rId18"/>
  </sheets>
  <definedNames>
    <definedName name="_xlnm._FilterDatabase" localSheetId="12" hidden="1">'Day 11 – Filtering, Sorting &amp; E'!$A$1:$B$1001</definedName>
    <definedName name="ExternalData_1" localSheetId="7" hidden="1">'Day 6 – Data Validation &amp; Clean'!$A:$S</definedName>
    <definedName name="ExternalData_1" localSheetId="8" hidden="1">'Day 7 –Power Query cleaned data'!$A$1:$Q$1001</definedName>
    <definedName name="ExternalData_1" localSheetId="1" hidden="1">'global_freelancer Cleaned data'!$A$1:$Q$1001</definedName>
    <definedName name="ExternalData_1" localSheetId="0" hidden="1">'global_freelancer_raw data'!$A$1:$Q$1002</definedName>
    <definedName name="Slicer_Country">#N/A</definedName>
    <definedName name="Slicer_Name">#N/A</definedName>
  </definedNames>
  <calcPr calcId="191029"/>
  <pivotCaches>
    <pivotCache cacheId="0" r:id="rId19"/>
  </pivotCaches>
  <extLs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 i="18" l="1"/>
  <c r="I3" i="17"/>
  <c r="I4" i="17"/>
  <c r="I5" i="17"/>
  <c r="I6" i="17"/>
  <c r="I7" i="17"/>
  <c r="I8" i="17"/>
  <c r="I9" i="17"/>
  <c r="I10" i="17"/>
  <c r="I11" i="17"/>
  <c r="I12" i="17"/>
  <c r="I13" i="17"/>
  <c r="I14" i="17"/>
  <c r="I15" i="17"/>
  <c r="I16" i="17"/>
  <c r="I17" i="17"/>
  <c r="I18" i="17"/>
  <c r="I19" i="17"/>
  <c r="I20" i="17"/>
  <c r="I21" i="17"/>
  <c r="I22" i="17"/>
  <c r="I23" i="17"/>
  <c r="I24" i="17"/>
  <c r="I25" i="17"/>
  <c r="I26" i="17"/>
  <c r="I27" i="17"/>
  <c r="I28" i="17"/>
  <c r="I29" i="17"/>
  <c r="I30" i="17"/>
  <c r="I31" i="17"/>
  <c r="I32" i="17"/>
  <c r="I33" i="17"/>
  <c r="I34" i="17"/>
  <c r="I35" i="17"/>
  <c r="I36" i="17"/>
  <c r="I37" i="17"/>
  <c r="I38" i="17"/>
  <c r="I39" i="17"/>
  <c r="I40" i="17"/>
  <c r="I41" i="17"/>
  <c r="I42" i="17"/>
  <c r="I43" i="17"/>
  <c r="I44" i="17"/>
  <c r="I45" i="17"/>
  <c r="I46" i="17"/>
  <c r="I47" i="17"/>
  <c r="I48" i="17"/>
  <c r="I49" i="17"/>
  <c r="I50" i="17"/>
  <c r="I51" i="17"/>
  <c r="I52" i="17"/>
  <c r="I53" i="17"/>
  <c r="I54" i="17"/>
  <c r="I55" i="17"/>
  <c r="I56" i="17"/>
  <c r="I57" i="17"/>
  <c r="I58" i="17"/>
  <c r="I59" i="17"/>
  <c r="I60" i="17"/>
  <c r="I61" i="17"/>
  <c r="I62" i="17"/>
  <c r="I63" i="17"/>
  <c r="I64" i="17"/>
  <c r="I65" i="17"/>
  <c r="I66" i="17"/>
  <c r="I67" i="17"/>
  <c r="I68" i="17"/>
  <c r="I69" i="17"/>
  <c r="I70" i="17"/>
  <c r="I71" i="17"/>
  <c r="I72" i="17"/>
  <c r="I73" i="17"/>
  <c r="I74" i="17"/>
  <c r="I75" i="17"/>
  <c r="I76" i="17"/>
  <c r="I77" i="17"/>
  <c r="I78" i="17"/>
  <c r="I79" i="17"/>
  <c r="I80" i="17"/>
  <c r="I81" i="17"/>
  <c r="I82" i="17"/>
  <c r="I83" i="17"/>
  <c r="I84" i="17"/>
  <c r="I85" i="17"/>
  <c r="I86" i="17"/>
  <c r="I87" i="17"/>
  <c r="I88" i="17"/>
  <c r="I89" i="17"/>
  <c r="I90" i="17"/>
  <c r="I91" i="17"/>
  <c r="I92" i="17"/>
  <c r="I93" i="17"/>
  <c r="I94" i="17"/>
  <c r="I95" i="17"/>
  <c r="I96" i="17"/>
  <c r="I97" i="17"/>
  <c r="I98" i="17"/>
  <c r="I99" i="17"/>
  <c r="I100" i="17"/>
  <c r="I101" i="17"/>
  <c r="I102" i="17"/>
  <c r="I103" i="17"/>
  <c r="I104" i="17"/>
  <c r="I105" i="17"/>
  <c r="I106" i="17"/>
  <c r="I107" i="17"/>
  <c r="I108" i="17"/>
  <c r="I109" i="17"/>
  <c r="I110" i="17"/>
  <c r="I111" i="17"/>
  <c r="I112" i="17"/>
  <c r="I113" i="17"/>
  <c r="I114" i="17"/>
  <c r="I115" i="17"/>
  <c r="I116" i="17"/>
  <c r="I117" i="17"/>
  <c r="I118" i="17"/>
  <c r="I119" i="17"/>
  <c r="I120" i="17"/>
  <c r="I121" i="17"/>
  <c r="I122" i="17"/>
  <c r="I123" i="17"/>
  <c r="I124" i="17"/>
  <c r="I125" i="17"/>
  <c r="I126" i="17"/>
  <c r="I127" i="17"/>
  <c r="I128" i="17"/>
  <c r="I129" i="17"/>
  <c r="I130" i="17"/>
  <c r="I131" i="17"/>
  <c r="I132" i="17"/>
  <c r="I133" i="17"/>
  <c r="I134" i="17"/>
  <c r="I135" i="17"/>
  <c r="I136" i="17"/>
  <c r="I137" i="17"/>
  <c r="I138" i="17"/>
  <c r="I139" i="17"/>
  <c r="I140" i="17"/>
  <c r="I141" i="17"/>
  <c r="I142" i="17"/>
  <c r="I143" i="17"/>
  <c r="I144" i="17"/>
  <c r="I145" i="17"/>
  <c r="I146" i="17"/>
  <c r="I147" i="17"/>
  <c r="I148" i="17"/>
  <c r="I149" i="17"/>
  <c r="I150" i="17"/>
  <c r="I151" i="17"/>
  <c r="I152" i="17"/>
  <c r="I153" i="17"/>
  <c r="I154" i="17"/>
  <c r="I155" i="17"/>
  <c r="I156" i="17"/>
  <c r="I157" i="17"/>
  <c r="I158" i="17"/>
  <c r="I159" i="17"/>
  <c r="I160" i="17"/>
  <c r="I161" i="17"/>
  <c r="I162" i="17"/>
  <c r="I163" i="17"/>
  <c r="I164" i="17"/>
  <c r="I165" i="17"/>
  <c r="I166" i="17"/>
  <c r="I167" i="17"/>
  <c r="I168" i="17"/>
  <c r="I169" i="17"/>
  <c r="I170" i="17"/>
  <c r="I171" i="17"/>
  <c r="I172" i="17"/>
  <c r="I173" i="17"/>
  <c r="I174" i="17"/>
  <c r="I175" i="17"/>
  <c r="I176" i="17"/>
  <c r="I177" i="17"/>
  <c r="I178" i="17"/>
  <c r="I179" i="17"/>
  <c r="I180" i="17"/>
  <c r="I181" i="17"/>
  <c r="I182" i="17"/>
  <c r="I183" i="17"/>
  <c r="I184" i="17"/>
  <c r="I185" i="17"/>
  <c r="I186" i="17"/>
  <c r="I187" i="17"/>
  <c r="I188" i="17"/>
  <c r="I189" i="17"/>
  <c r="I190" i="17"/>
  <c r="I191" i="17"/>
  <c r="I192" i="17"/>
  <c r="I193" i="17"/>
  <c r="I194" i="17"/>
  <c r="I195" i="17"/>
  <c r="I196" i="17"/>
  <c r="I197" i="17"/>
  <c r="I198" i="17"/>
  <c r="I199" i="17"/>
  <c r="I200" i="17"/>
  <c r="I201" i="17"/>
  <c r="I202" i="17"/>
  <c r="I203" i="17"/>
  <c r="I204" i="17"/>
  <c r="I205" i="17"/>
  <c r="I206" i="17"/>
  <c r="I207" i="17"/>
  <c r="I208" i="17"/>
  <c r="I209" i="17"/>
  <c r="I210" i="17"/>
  <c r="I211" i="17"/>
  <c r="I212" i="17"/>
  <c r="I213" i="17"/>
  <c r="I214" i="17"/>
  <c r="I215" i="17"/>
  <c r="I216" i="17"/>
  <c r="I217" i="17"/>
  <c r="I218" i="17"/>
  <c r="I219" i="17"/>
  <c r="I220" i="17"/>
  <c r="I221" i="17"/>
  <c r="I222" i="17"/>
  <c r="I223" i="17"/>
  <c r="I224" i="17"/>
  <c r="I225" i="17"/>
  <c r="I226" i="17"/>
  <c r="I227" i="17"/>
  <c r="I228" i="17"/>
  <c r="I229" i="17"/>
  <c r="I230" i="17"/>
  <c r="I231" i="17"/>
  <c r="I232" i="17"/>
  <c r="I233" i="17"/>
  <c r="I234" i="17"/>
  <c r="I235" i="17"/>
  <c r="I236" i="17"/>
  <c r="I237" i="17"/>
  <c r="I238" i="17"/>
  <c r="I239" i="17"/>
  <c r="I240" i="17"/>
  <c r="I241" i="17"/>
  <c r="I242" i="17"/>
  <c r="I243" i="17"/>
  <c r="I244" i="17"/>
  <c r="I245" i="17"/>
  <c r="I246" i="17"/>
  <c r="I247" i="17"/>
  <c r="I248" i="17"/>
  <c r="I249" i="17"/>
  <c r="I250" i="17"/>
  <c r="I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 i="17"/>
  <c r="C3" i="17"/>
  <c r="C4" i="17"/>
  <c r="C5" i="17"/>
  <c r="C6" i="17"/>
  <c r="C7" i="17"/>
  <c r="C8" i="17"/>
  <c r="C9" i="17"/>
  <c r="C10" i="17"/>
  <c r="C11" i="17"/>
  <c r="C12" i="17"/>
  <c r="C13" i="17"/>
  <c r="C14" i="17"/>
  <c r="C15" i="17"/>
  <c r="C16" i="17"/>
  <c r="C17" i="17"/>
  <c r="C18" i="17"/>
  <c r="C19" i="17"/>
  <c r="C20" i="17"/>
  <c r="C21" i="17"/>
  <c r="C22" i="17"/>
  <c r="C23" i="17"/>
  <c r="C24" i="17"/>
  <c r="C25" i="17"/>
  <c r="C26" i="17"/>
  <c r="C27" i="17"/>
  <c r="C28" i="17"/>
  <c r="C29" i="17"/>
  <c r="C30" i="17"/>
  <c r="C31" i="17"/>
  <c r="C32" i="17"/>
  <c r="C33" i="17"/>
  <c r="C34" i="17"/>
  <c r="C35" i="17"/>
  <c r="C36" i="17"/>
  <c r="C37" i="17"/>
  <c r="C38" i="17"/>
  <c r="C39" i="17"/>
  <c r="C40" i="17"/>
  <c r="C41" i="17"/>
  <c r="C42" i="17"/>
  <c r="C43" i="17"/>
  <c r="C44" i="17"/>
  <c r="C45" i="17"/>
  <c r="C46" i="17"/>
  <c r="C47" i="17"/>
  <c r="C48" i="17"/>
  <c r="C49" i="17"/>
  <c r="C50" i="17"/>
  <c r="C51" i="17"/>
  <c r="C52" i="17"/>
  <c r="C53" i="17"/>
  <c r="C54" i="17"/>
  <c r="C55" i="17"/>
  <c r="C56" i="17"/>
  <c r="C57" i="17"/>
  <c r="C58" i="17"/>
  <c r="C59" i="17"/>
  <c r="C60" i="17"/>
  <c r="C61" i="17"/>
  <c r="C62" i="17"/>
  <c r="C63" i="17"/>
  <c r="C64" i="17"/>
  <c r="C65" i="17"/>
  <c r="C66" i="17"/>
  <c r="C67" i="17"/>
  <c r="C68" i="17"/>
  <c r="C69" i="17"/>
  <c r="C70" i="17"/>
  <c r="C71" i="17"/>
  <c r="C72" i="17"/>
  <c r="C73" i="17"/>
  <c r="C74" i="17"/>
  <c r="C75" i="17"/>
  <c r="C76" i="17"/>
  <c r="C77" i="17"/>
  <c r="C78" i="17"/>
  <c r="C79" i="17"/>
  <c r="C80" i="17"/>
  <c r="C81" i="17"/>
  <c r="C82" i="17"/>
  <c r="C83" i="17"/>
  <c r="C84" i="17"/>
  <c r="C85" i="17"/>
  <c r="C86" i="17"/>
  <c r="C87" i="17"/>
  <c r="C88" i="17"/>
  <c r="C89" i="17"/>
  <c r="C90" i="17"/>
  <c r="C91" i="17"/>
  <c r="C92" i="17"/>
  <c r="C93" i="17"/>
  <c r="C94" i="17"/>
  <c r="C95" i="17"/>
  <c r="C96" i="17"/>
  <c r="C97" i="17"/>
  <c r="C98" i="17"/>
  <c r="C99" i="17"/>
  <c r="C100" i="17"/>
  <c r="C101" i="17"/>
  <c r="C102" i="17"/>
  <c r="C103" i="17"/>
  <c r="C104" i="17"/>
  <c r="C105" i="17"/>
  <c r="C106" i="17"/>
  <c r="C107" i="17"/>
  <c r="C108" i="17"/>
  <c r="C109" i="17"/>
  <c r="C110" i="17"/>
  <c r="C111" i="17"/>
  <c r="C112" i="17"/>
  <c r="C113" i="17"/>
  <c r="C114" i="17"/>
  <c r="C115" i="17"/>
  <c r="C116" i="17"/>
  <c r="C117" i="17"/>
  <c r="C118" i="17"/>
  <c r="C119" i="17"/>
  <c r="C120" i="17"/>
  <c r="C121" i="17"/>
  <c r="C122" i="17"/>
  <c r="C123" i="17"/>
  <c r="C124" i="17"/>
  <c r="C125" i="17"/>
  <c r="C126" i="17"/>
  <c r="C127" i="17"/>
  <c r="C128" i="17"/>
  <c r="C129" i="17"/>
  <c r="C130" i="17"/>
  <c r="C131" i="17"/>
  <c r="C132" i="17"/>
  <c r="C133" i="17"/>
  <c r="C134" i="17"/>
  <c r="C135" i="17"/>
  <c r="C136" i="17"/>
  <c r="C137" i="17"/>
  <c r="C138" i="17"/>
  <c r="C139" i="17"/>
  <c r="C140" i="17"/>
  <c r="C141" i="17"/>
  <c r="C142" i="17"/>
  <c r="C143" i="17"/>
  <c r="C144" i="17"/>
  <c r="C145" i="17"/>
  <c r="C146" i="17"/>
  <c r="C147" i="17"/>
  <c r="C148" i="17"/>
  <c r="C149" i="17"/>
  <c r="C150" i="17"/>
  <c r="C151" i="17"/>
  <c r="C152" i="17"/>
  <c r="C153" i="17"/>
  <c r="C154" i="17"/>
  <c r="C155" i="17"/>
  <c r="C156" i="17"/>
  <c r="C157" i="17"/>
  <c r="C158" i="17"/>
  <c r="C159" i="17"/>
  <c r="C160" i="17"/>
  <c r="C161" i="17"/>
  <c r="C162" i="17"/>
  <c r="C163" i="17"/>
  <c r="C164" i="17"/>
  <c r="C165" i="17"/>
  <c r="C166" i="17"/>
  <c r="C167" i="17"/>
  <c r="C168" i="17"/>
  <c r="C169" i="17"/>
  <c r="C170" i="17"/>
  <c r="C171" i="17"/>
  <c r="C172" i="17"/>
  <c r="C173" i="17"/>
  <c r="C174" i="17"/>
  <c r="C175" i="17"/>
  <c r="C176" i="17"/>
  <c r="C177" i="17"/>
  <c r="C178" i="17"/>
  <c r="C179" i="17"/>
  <c r="C180" i="17"/>
  <c r="C181" i="17"/>
  <c r="C182" i="17"/>
  <c r="C183" i="17"/>
  <c r="C184" i="17"/>
  <c r="C185" i="17"/>
  <c r="C186" i="17"/>
  <c r="C187" i="17"/>
  <c r="C188" i="17"/>
  <c r="C189" i="17"/>
  <c r="C190" i="17"/>
  <c r="C191" i="17"/>
  <c r="C192" i="17"/>
  <c r="C193" i="17"/>
  <c r="C194" i="17"/>
  <c r="C195" i="17"/>
  <c r="C196" i="17"/>
  <c r="C197" i="17"/>
  <c r="C198" i="17"/>
  <c r="C199" i="17"/>
  <c r="C200" i="17"/>
  <c r="C201" i="17"/>
  <c r="C202" i="17"/>
  <c r="C203" i="17"/>
  <c r="C204" i="17"/>
  <c r="C205" i="17"/>
  <c r="C206" i="17"/>
  <c r="C207" i="17"/>
  <c r="C208" i="17"/>
  <c r="C209" i="17"/>
  <c r="C210" i="17"/>
  <c r="C211" i="17"/>
  <c r="C212" i="17"/>
  <c r="C213" i="17"/>
  <c r="C214" i="17"/>
  <c r="C215" i="17"/>
  <c r="C216" i="17"/>
  <c r="C217" i="17"/>
  <c r="C218" i="17"/>
  <c r="C219" i="17"/>
  <c r="C220" i="17"/>
  <c r="C221" i="17"/>
  <c r="C222" i="17"/>
  <c r="C223" i="17"/>
  <c r="C224" i="17"/>
  <c r="C225" i="17"/>
  <c r="C226" i="17"/>
  <c r="C227" i="17"/>
  <c r="C228" i="17"/>
  <c r="C229" i="17"/>
  <c r="C230" i="17"/>
  <c r="C231" i="17"/>
  <c r="C232" i="17"/>
  <c r="C233" i="17"/>
  <c r="C234" i="17"/>
  <c r="C235" i="17"/>
  <c r="C236" i="17"/>
  <c r="C237" i="17"/>
  <c r="C238" i="17"/>
  <c r="C239" i="17"/>
  <c r="C240" i="17"/>
  <c r="C241" i="17"/>
  <c r="C242" i="17"/>
  <c r="C243" i="17"/>
  <c r="C244" i="17"/>
  <c r="C245" i="17"/>
  <c r="C246" i="17"/>
  <c r="C247" i="17"/>
  <c r="C248" i="17"/>
  <c r="C249" i="17"/>
  <c r="C250" i="17"/>
  <c r="C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 i="17"/>
  <c r="E3" i="17"/>
  <c r="E4" i="17"/>
  <c r="E5" i="17"/>
  <c r="E6" i="17"/>
  <c r="E7" i="17"/>
  <c r="E8" i="17"/>
  <c r="E9" i="17"/>
  <c r="E10" i="17"/>
  <c r="E11" i="17"/>
  <c r="E12" i="17"/>
  <c r="E13" i="17"/>
  <c r="E14" i="17"/>
  <c r="E15" i="17"/>
  <c r="E16" i="17"/>
  <c r="E17" i="17"/>
  <c r="E18" i="17"/>
  <c r="E19" i="17"/>
  <c r="E20" i="17"/>
  <c r="E21" i="17"/>
  <c r="E22" i="17"/>
  <c r="E23" i="17"/>
  <c r="E24" i="17"/>
  <c r="E25" i="17"/>
  <c r="E26" i="17"/>
  <c r="E27" i="17"/>
  <c r="E28" i="17"/>
  <c r="E29" i="17"/>
  <c r="E30" i="17"/>
  <c r="E31" i="17"/>
  <c r="E32" i="17"/>
  <c r="E33" i="17"/>
  <c r="E34" i="17"/>
  <c r="E35" i="17"/>
  <c r="E36" i="17"/>
  <c r="E37" i="17"/>
  <c r="E38" i="17"/>
  <c r="E39" i="17"/>
  <c r="E40" i="17"/>
  <c r="E41" i="17"/>
  <c r="E42" i="17"/>
  <c r="E43" i="17"/>
  <c r="E44" i="17"/>
  <c r="E45" i="17"/>
  <c r="E46" i="17"/>
  <c r="E47" i="17"/>
  <c r="E48" i="17"/>
  <c r="E49" i="17"/>
  <c r="E50" i="17"/>
  <c r="E51" i="17"/>
  <c r="E52" i="17"/>
  <c r="E53" i="17"/>
  <c r="E54" i="17"/>
  <c r="E55" i="17"/>
  <c r="E56" i="17"/>
  <c r="E57" i="17"/>
  <c r="E58" i="17"/>
  <c r="E59" i="17"/>
  <c r="E60" i="17"/>
  <c r="E61" i="17"/>
  <c r="E62" i="17"/>
  <c r="E63" i="17"/>
  <c r="E64" i="17"/>
  <c r="E65" i="17"/>
  <c r="E66" i="17"/>
  <c r="E67" i="17"/>
  <c r="E68" i="17"/>
  <c r="E69" i="17"/>
  <c r="E70" i="17"/>
  <c r="E71" i="17"/>
  <c r="E72" i="17"/>
  <c r="E73" i="17"/>
  <c r="E74" i="17"/>
  <c r="E75" i="17"/>
  <c r="E76" i="17"/>
  <c r="E77" i="17"/>
  <c r="E78" i="17"/>
  <c r="E79" i="17"/>
  <c r="E80" i="17"/>
  <c r="E81" i="17"/>
  <c r="E82" i="17"/>
  <c r="E83" i="17"/>
  <c r="E84" i="17"/>
  <c r="E85" i="17"/>
  <c r="E86" i="17"/>
  <c r="E87" i="17"/>
  <c r="E88" i="17"/>
  <c r="E89" i="17"/>
  <c r="E90" i="17"/>
  <c r="E91" i="17"/>
  <c r="E92" i="17"/>
  <c r="E93" i="17"/>
  <c r="E94" i="17"/>
  <c r="E95" i="17"/>
  <c r="E96" i="17"/>
  <c r="E97" i="17"/>
  <c r="E98" i="17"/>
  <c r="E99" i="17"/>
  <c r="E100" i="17"/>
  <c r="E101" i="17"/>
  <c r="E102" i="17"/>
  <c r="E103" i="17"/>
  <c r="E104" i="17"/>
  <c r="E105" i="17"/>
  <c r="E106" i="17"/>
  <c r="E107" i="17"/>
  <c r="E108" i="17"/>
  <c r="E109" i="17"/>
  <c r="E110" i="17"/>
  <c r="E111" i="17"/>
  <c r="E112" i="17"/>
  <c r="E113" i="17"/>
  <c r="E114" i="17"/>
  <c r="E115" i="17"/>
  <c r="E116" i="17"/>
  <c r="E117" i="17"/>
  <c r="E118" i="17"/>
  <c r="E119" i="17"/>
  <c r="E120" i="17"/>
  <c r="E121" i="17"/>
  <c r="E122" i="17"/>
  <c r="E123" i="17"/>
  <c r="E124" i="17"/>
  <c r="E125" i="17"/>
  <c r="E126" i="17"/>
  <c r="E127" i="17"/>
  <c r="E128" i="17"/>
  <c r="E129" i="17"/>
  <c r="E130" i="17"/>
  <c r="E131" i="17"/>
  <c r="E132" i="17"/>
  <c r="E133" i="17"/>
  <c r="E134" i="17"/>
  <c r="E135" i="17"/>
  <c r="E136" i="17"/>
  <c r="E137" i="17"/>
  <c r="E138" i="17"/>
  <c r="E139" i="17"/>
  <c r="E140" i="17"/>
  <c r="E141" i="17"/>
  <c r="E142" i="17"/>
  <c r="E143" i="17"/>
  <c r="E144" i="17"/>
  <c r="E145" i="17"/>
  <c r="E146" i="17"/>
  <c r="E147" i="17"/>
  <c r="E148" i="17"/>
  <c r="E149" i="17"/>
  <c r="E150" i="17"/>
  <c r="E151" i="17"/>
  <c r="E152" i="17"/>
  <c r="E153" i="17"/>
  <c r="E154" i="17"/>
  <c r="E155" i="17"/>
  <c r="E156" i="17"/>
  <c r="E157" i="17"/>
  <c r="E158" i="17"/>
  <c r="E159" i="17"/>
  <c r="E160" i="17"/>
  <c r="E161" i="17"/>
  <c r="E162" i="17"/>
  <c r="E163" i="17"/>
  <c r="E164" i="17"/>
  <c r="E165" i="17"/>
  <c r="E166" i="17"/>
  <c r="E167" i="17"/>
  <c r="E168" i="17"/>
  <c r="E169" i="17"/>
  <c r="E170" i="17"/>
  <c r="E171" i="17"/>
  <c r="E172" i="17"/>
  <c r="E173" i="17"/>
  <c r="E174" i="17"/>
  <c r="E175" i="17"/>
  <c r="E176" i="17"/>
  <c r="E177" i="17"/>
  <c r="E178" i="17"/>
  <c r="E179" i="17"/>
  <c r="E180" i="17"/>
  <c r="E181" i="17"/>
  <c r="E182" i="17"/>
  <c r="E183" i="17"/>
  <c r="E184" i="17"/>
  <c r="E185" i="17"/>
  <c r="E186" i="17"/>
  <c r="E187" i="17"/>
  <c r="E188" i="17"/>
  <c r="E189" i="17"/>
  <c r="E190" i="17"/>
  <c r="E191" i="17"/>
  <c r="E192" i="17"/>
  <c r="E193" i="17"/>
  <c r="E194" i="17"/>
  <c r="E195" i="17"/>
  <c r="E196" i="17"/>
  <c r="E197" i="17"/>
  <c r="E198" i="17"/>
  <c r="E199" i="17"/>
  <c r="E200" i="17"/>
  <c r="E201" i="17"/>
  <c r="E202" i="17"/>
  <c r="E203" i="17"/>
  <c r="E204" i="17"/>
  <c r="E205" i="17"/>
  <c r="E206" i="17"/>
  <c r="E207" i="17"/>
  <c r="E208" i="17"/>
  <c r="E209" i="17"/>
  <c r="E210" i="17"/>
  <c r="E211" i="17"/>
  <c r="E212" i="17"/>
  <c r="E213" i="17"/>
  <c r="E214" i="17"/>
  <c r="E215" i="17"/>
  <c r="E216" i="17"/>
  <c r="E217" i="17"/>
  <c r="E218" i="17"/>
  <c r="E219" i="17"/>
  <c r="E220" i="17"/>
  <c r="E221" i="17"/>
  <c r="E222" i="17"/>
  <c r="E223" i="17"/>
  <c r="E224" i="17"/>
  <c r="E225" i="17"/>
  <c r="E226" i="17"/>
  <c r="E227" i="17"/>
  <c r="E228" i="17"/>
  <c r="E229" i="17"/>
  <c r="E230" i="17"/>
  <c r="E231" i="17"/>
  <c r="E232" i="17"/>
  <c r="E233" i="17"/>
  <c r="E234" i="17"/>
  <c r="E235" i="17"/>
  <c r="E236" i="17"/>
  <c r="E237" i="17"/>
  <c r="E238" i="17"/>
  <c r="E239" i="17"/>
  <c r="E240" i="17"/>
  <c r="E241" i="17"/>
  <c r="E242" i="17"/>
  <c r="E243" i="17"/>
  <c r="E244" i="17"/>
  <c r="E245" i="17"/>
  <c r="E246" i="17"/>
  <c r="E247" i="17"/>
  <c r="E248" i="17"/>
  <c r="E249" i="17"/>
  <c r="E250" i="17"/>
  <c r="E2" i="17"/>
  <c r="D3" i="17"/>
  <c r="D4" i="17"/>
  <c r="D5" i="17"/>
  <c r="D6" i="17"/>
  <c r="D7" i="17"/>
  <c r="D8" i="17"/>
  <c r="D9" i="17"/>
  <c r="D10" i="17"/>
  <c r="D11" i="17"/>
  <c r="D12" i="17"/>
  <c r="D13" i="17"/>
  <c r="D14" i="17"/>
  <c r="D15" i="17"/>
  <c r="D16" i="17"/>
  <c r="D17" i="17"/>
  <c r="D18" i="17"/>
  <c r="D19" i="17"/>
  <c r="D20" i="17"/>
  <c r="D21" i="17"/>
  <c r="D22" i="17"/>
  <c r="D23" i="17"/>
  <c r="D24" i="17"/>
  <c r="D25" i="17"/>
  <c r="D26" i="17"/>
  <c r="D27" i="17"/>
  <c r="D28" i="17"/>
  <c r="D29" i="17"/>
  <c r="D30" i="17"/>
  <c r="D31" i="17"/>
  <c r="D32" i="17"/>
  <c r="D33" i="17"/>
  <c r="D34" i="17"/>
  <c r="D35" i="17"/>
  <c r="D36" i="17"/>
  <c r="D37" i="17"/>
  <c r="D38" i="17"/>
  <c r="D39" i="17"/>
  <c r="D40" i="17"/>
  <c r="D41" i="17"/>
  <c r="D42" i="17"/>
  <c r="D43" i="17"/>
  <c r="D44" i="17"/>
  <c r="D45" i="17"/>
  <c r="D46" i="17"/>
  <c r="D47" i="17"/>
  <c r="D48" i="17"/>
  <c r="D49" i="17"/>
  <c r="D50" i="17"/>
  <c r="D51" i="17"/>
  <c r="D52" i="17"/>
  <c r="D53" i="17"/>
  <c r="D54" i="17"/>
  <c r="D55" i="17"/>
  <c r="D56" i="17"/>
  <c r="D57" i="17"/>
  <c r="D58" i="17"/>
  <c r="D59" i="17"/>
  <c r="D60" i="17"/>
  <c r="D61" i="17"/>
  <c r="D62" i="17"/>
  <c r="D63" i="17"/>
  <c r="D64" i="17"/>
  <c r="D65" i="17"/>
  <c r="D66" i="17"/>
  <c r="D67" i="17"/>
  <c r="D68" i="17"/>
  <c r="D69" i="17"/>
  <c r="D70" i="17"/>
  <c r="D71" i="17"/>
  <c r="D72" i="17"/>
  <c r="D73" i="17"/>
  <c r="D74" i="17"/>
  <c r="D75" i="17"/>
  <c r="D76" i="17"/>
  <c r="D77" i="17"/>
  <c r="D78" i="17"/>
  <c r="D79" i="17"/>
  <c r="D80" i="17"/>
  <c r="D81" i="17"/>
  <c r="D82" i="17"/>
  <c r="D83" i="17"/>
  <c r="D84" i="17"/>
  <c r="D85" i="17"/>
  <c r="D86" i="17"/>
  <c r="D87" i="17"/>
  <c r="D88" i="17"/>
  <c r="D89" i="17"/>
  <c r="D90" i="17"/>
  <c r="D91" i="17"/>
  <c r="D92" i="17"/>
  <c r="D93" i="17"/>
  <c r="D94" i="17"/>
  <c r="D95" i="17"/>
  <c r="D96" i="17"/>
  <c r="D97" i="17"/>
  <c r="D98" i="17"/>
  <c r="D99" i="17"/>
  <c r="D100" i="17"/>
  <c r="D101" i="17"/>
  <c r="D102" i="17"/>
  <c r="D103" i="17"/>
  <c r="D104" i="17"/>
  <c r="D105" i="17"/>
  <c r="D106" i="17"/>
  <c r="D107" i="17"/>
  <c r="D108" i="17"/>
  <c r="D109" i="17"/>
  <c r="D110" i="17"/>
  <c r="D111" i="17"/>
  <c r="D112" i="17"/>
  <c r="D113" i="17"/>
  <c r="D114" i="17"/>
  <c r="D115" i="17"/>
  <c r="D116" i="17"/>
  <c r="D117" i="17"/>
  <c r="D118" i="17"/>
  <c r="D119" i="17"/>
  <c r="D120" i="17"/>
  <c r="D121" i="17"/>
  <c r="D122" i="17"/>
  <c r="D123" i="17"/>
  <c r="D124" i="17"/>
  <c r="D125" i="17"/>
  <c r="D126" i="17"/>
  <c r="D127" i="17"/>
  <c r="D128" i="17"/>
  <c r="D129" i="17"/>
  <c r="D130" i="17"/>
  <c r="D131" i="17"/>
  <c r="D132" i="17"/>
  <c r="D133" i="17"/>
  <c r="D134" i="17"/>
  <c r="D135" i="17"/>
  <c r="D136" i="17"/>
  <c r="D137" i="17"/>
  <c r="D138" i="17"/>
  <c r="D139" i="17"/>
  <c r="D140" i="17"/>
  <c r="D141" i="17"/>
  <c r="D142" i="17"/>
  <c r="D143" i="17"/>
  <c r="D144" i="17"/>
  <c r="D145" i="17"/>
  <c r="D146" i="17"/>
  <c r="D147" i="17"/>
  <c r="D148" i="17"/>
  <c r="D149" i="17"/>
  <c r="D150" i="17"/>
  <c r="D151" i="17"/>
  <c r="D152" i="17"/>
  <c r="D153" i="17"/>
  <c r="D154" i="17"/>
  <c r="D155" i="17"/>
  <c r="D156" i="17"/>
  <c r="D157" i="17"/>
  <c r="D158" i="17"/>
  <c r="D159" i="17"/>
  <c r="D160" i="17"/>
  <c r="D161" i="17"/>
  <c r="D162" i="17"/>
  <c r="D163" i="17"/>
  <c r="D164" i="17"/>
  <c r="D165" i="17"/>
  <c r="D166" i="17"/>
  <c r="D167" i="17"/>
  <c r="D168" i="17"/>
  <c r="D169" i="17"/>
  <c r="D170" i="17"/>
  <c r="D171" i="17"/>
  <c r="D172" i="17"/>
  <c r="D173" i="17"/>
  <c r="D174" i="17"/>
  <c r="D175" i="17"/>
  <c r="D176" i="17"/>
  <c r="D177" i="17"/>
  <c r="D178" i="17"/>
  <c r="D179" i="17"/>
  <c r="D180" i="17"/>
  <c r="D181" i="17"/>
  <c r="D182" i="17"/>
  <c r="D183" i="17"/>
  <c r="D184" i="17"/>
  <c r="D185" i="17"/>
  <c r="D186" i="17"/>
  <c r="D187" i="17"/>
  <c r="D188" i="17"/>
  <c r="D189" i="17"/>
  <c r="D190" i="17"/>
  <c r="D191" i="17"/>
  <c r="D192" i="17"/>
  <c r="D193" i="17"/>
  <c r="D194" i="17"/>
  <c r="D195" i="17"/>
  <c r="D196" i="17"/>
  <c r="D197" i="17"/>
  <c r="D198" i="17"/>
  <c r="D199" i="17"/>
  <c r="D200" i="17"/>
  <c r="D201" i="17"/>
  <c r="D202" i="17"/>
  <c r="D203" i="17"/>
  <c r="D204" i="17"/>
  <c r="D205" i="17"/>
  <c r="D206" i="17"/>
  <c r="D207" i="17"/>
  <c r="D208" i="17"/>
  <c r="D209" i="17"/>
  <c r="D210" i="17"/>
  <c r="D211" i="17"/>
  <c r="D212" i="17"/>
  <c r="D213" i="17"/>
  <c r="D214" i="17"/>
  <c r="D215" i="17"/>
  <c r="D216" i="17"/>
  <c r="D217" i="17"/>
  <c r="D218" i="17"/>
  <c r="D219" i="17"/>
  <c r="D220" i="17"/>
  <c r="D221" i="17"/>
  <c r="D222" i="17"/>
  <c r="D223" i="17"/>
  <c r="D224" i="17"/>
  <c r="D225" i="17"/>
  <c r="D226" i="17"/>
  <c r="D227" i="17"/>
  <c r="D228" i="17"/>
  <c r="D229" i="17"/>
  <c r="D230" i="17"/>
  <c r="D231" i="17"/>
  <c r="D232" i="17"/>
  <c r="D233" i="17"/>
  <c r="D234" i="17"/>
  <c r="D235" i="17"/>
  <c r="D236" i="17"/>
  <c r="D237" i="17"/>
  <c r="D238" i="17"/>
  <c r="D239" i="17"/>
  <c r="D240" i="17"/>
  <c r="D241" i="17"/>
  <c r="D242" i="17"/>
  <c r="D243" i="17"/>
  <c r="D244" i="17"/>
  <c r="D245" i="17"/>
  <c r="D246" i="17"/>
  <c r="D247" i="17"/>
  <c r="D248" i="17"/>
  <c r="D249" i="17"/>
  <c r="D250" i="17"/>
  <c r="D2" i="17"/>
  <c r="B3" i="17"/>
  <c r="B4" i="17"/>
  <c r="B5" i="17"/>
  <c r="B6" i="17"/>
  <c r="B7" i="17"/>
  <c r="B8" i="17"/>
  <c r="B9" i="17"/>
  <c r="B10" i="17"/>
  <c r="B11" i="17"/>
  <c r="B12" i="17"/>
  <c r="B13" i="17"/>
  <c r="B14" i="17"/>
  <c r="B15" i="17"/>
  <c r="B16" i="17"/>
  <c r="B17" i="17"/>
  <c r="B18" i="17"/>
  <c r="B19" i="17"/>
  <c r="B20" i="17"/>
  <c r="B21" i="17"/>
  <c r="B22" i="17"/>
  <c r="B23" i="17"/>
  <c r="B24" i="17"/>
  <c r="B25" i="17"/>
  <c r="B26" i="17"/>
  <c r="B27" i="17"/>
  <c r="B28" i="17"/>
  <c r="B29" i="17"/>
  <c r="B30" i="17"/>
  <c r="B31" i="17"/>
  <c r="B32" i="17"/>
  <c r="B33" i="17"/>
  <c r="B34" i="17"/>
  <c r="B35" i="17"/>
  <c r="B36" i="17"/>
  <c r="B37" i="17"/>
  <c r="B38" i="17"/>
  <c r="B39" i="17"/>
  <c r="B40" i="17"/>
  <c r="B41" i="17"/>
  <c r="B42" i="17"/>
  <c r="B43" i="17"/>
  <c r="B44" i="17"/>
  <c r="B45" i="17"/>
  <c r="B46" i="17"/>
  <c r="B47" i="17"/>
  <c r="B48" i="17"/>
  <c r="B49" i="17"/>
  <c r="B50" i="17"/>
  <c r="B51" i="17"/>
  <c r="B52" i="17"/>
  <c r="B53" i="17"/>
  <c r="B54" i="17"/>
  <c r="B55" i="17"/>
  <c r="B56" i="17"/>
  <c r="B57" i="17"/>
  <c r="B58" i="17"/>
  <c r="B59" i="17"/>
  <c r="B60" i="17"/>
  <c r="B61" i="17"/>
  <c r="B62" i="17"/>
  <c r="B63" i="17"/>
  <c r="B64" i="17"/>
  <c r="B65" i="17"/>
  <c r="B66" i="17"/>
  <c r="B67" i="17"/>
  <c r="B68" i="17"/>
  <c r="B69" i="17"/>
  <c r="B70" i="17"/>
  <c r="B71" i="17"/>
  <c r="B72" i="17"/>
  <c r="B73" i="17"/>
  <c r="B74" i="17"/>
  <c r="B75" i="17"/>
  <c r="B76" i="17"/>
  <c r="B77" i="17"/>
  <c r="B78" i="17"/>
  <c r="B79" i="17"/>
  <c r="B80" i="17"/>
  <c r="B81" i="17"/>
  <c r="B82" i="17"/>
  <c r="B83" i="17"/>
  <c r="B84" i="17"/>
  <c r="B85" i="17"/>
  <c r="B86" i="17"/>
  <c r="B87" i="17"/>
  <c r="B88" i="17"/>
  <c r="B89" i="17"/>
  <c r="B90" i="17"/>
  <c r="B91" i="17"/>
  <c r="B92" i="17"/>
  <c r="B93" i="17"/>
  <c r="B94" i="17"/>
  <c r="B95" i="17"/>
  <c r="B96" i="17"/>
  <c r="B97" i="17"/>
  <c r="B98" i="17"/>
  <c r="B99" i="17"/>
  <c r="B100" i="17"/>
  <c r="B101" i="17"/>
  <c r="B102" i="17"/>
  <c r="B103" i="17"/>
  <c r="B104" i="17"/>
  <c r="B105" i="17"/>
  <c r="B106" i="17"/>
  <c r="B107" i="17"/>
  <c r="B108" i="17"/>
  <c r="B109" i="17"/>
  <c r="B110" i="17"/>
  <c r="B111" i="17"/>
  <c r="B112" i="17"/>
  <c r="B113" i="17"/>
  <c r="B114" i="17"/>
  <c r="B115" i="17"/>
  <c r="B116" i="17"/>
  <c r="B117" i="17"/>
  <c r="B118" i="17"/>
  <c r="B119" i="17"/>
  <c r="B120" i="17"/>
  <c r="B121" i="17"/>
  <c r="B122" i="17"/>
  <c r="B123" i="17"/>
  <c r="B124" i="17"/>
  <c r="B125" i="17"/>
  <c r="B126" i="17"/>
  <c r="B127" i="17"/>
  <c r="B128" i="17"/>
  <c r="B129" i="17"/>
  <c r="B130" i="17"/>
  <c r="B131" i="17"/>
  <c r="B132" i="17"/>
  <c r="B133" i="17"/>
  <c r="B134" i="17"/>
  <c r="B135" i="17"/>
  <c r="B136" i="17"/>
  <c r="B137" i="17"/>
  <c r="B138" i="17"/>
  <c r="B139" i="17"/>
  <c r="B140" i="17"/>
  <c r="B141" i="17"/>
  <c r="B142" i="17"/>
  <c r="B143" i="17"/>
  <c r="B144" i="17"/>
  <c r="B145" i="17"/>
  <c r="B146" i="17"/>
  <c r="B147" i="17"/>
  <c r="B148" i="17"/>
  <c r="B149" i="17"/>
  <c r="B150" i="17"/>
  <c r="B151" i="17"/>
  <c r="B152" i="17"/>
  <c r="B153" i="17"/>
  <c r="B154" i="17"/>
  <c r="B155" i="17"/>
  <c r="B156" i="17"/>
  <c r="B157" i="17"/>
  <c r="B158" i="17"/>
  <c r="B159" i="17"/>
  <c r="B160" i="17"/>
  <c r="B161" i="17"/>
  <c r="B162" i="17"/>
  <c r="B163" i="17"/>
  <c r="B164" i="17"/>
  <c r="B165" i="17"/>
  <c r="B166" i="17"/>
  <c r="B167" i="17"/>
  <c r="B168" i="17"/>
  <c r="B169" i="17"/>
  <c r="B170" i="17"/>
  <c r="B171" i="17"/>
  <c r="B172" i="17"/>
  <c r="B173" i="17"/>
  <c r="B174" i="17"/>
  <c r="B175" i="17"/>
  <c r="B176" i="17"/>
  <c r="B177" i="17"/>
  <c r="B178" i="17"/>
  <c r="B179" i="17"/>
  <c r="B180" i="17"/>
  <c r="B181" i="17"/>
  <c r="B182" i="17"/>
  <c r="B183" i="17"/>
  <c r="B184" i="17"/>
  <c r="B185" i="17"/>
  <c r="B186" i="17"/>
  <c r="B187" i="17"/>
  <c r="B188" i="17"/>
  <c r="B189" i="17"/>
  <c r="B190" i="17"/>
  <c r="B191" i="17"/>
  <c r="B192" i="17"/>
  <c r="B193" i="17"/>
  <c r="B194" i="17"/>
  <c r="B195" i="17"/>
  <c r="B196" i="17"/>
  <c r="B197" i="17"/>
  <c r="B198" i="17"/>
  <c r="B199" i="17"/>
  <c r="B200" i="17"/>
  <c r="B201" i="17"/>
  <c r="B202" i="17"/>
  <c r="B203" i="17"/>
  <c r="B204" i="17"/>
  <c r="B205" i="17"/>
  <c r="B206" i="17"/>
  <c r="B207" i="17"/>
  <c r="B208" i="17"/>
  <c r="B209" i="17"/>
  <c r="B210" i="17"/>
  <c r="B211" i="17"/>
  <c r="B212" i="17"/>
  <c r="B213" i="17"/>
  <c r="B214" i="17"/>
  <c r="B215" i="17"/>
  <c r="B216" i="17"/>
  <c r="B217" i="17"/>
  <c r="B218" i="17"/>
  <c r="B219" i="17"/>
  <c r="B220" i="17"/>
  <c r="B221" i="17"/>
  <c r="B222" i="17"/>
  <c r="B223" i="17"/>
  <c r="B224" i="17"/>
  <c r="B225" i="17"/>
  <c r="B226" i="17"/>
  <c r="B227" i="17"/>
  <c r="B228" i="17"/>
  <c r="B229" i="17"/>
  <c r="B230" i="17"/>
  <c r="B231" i="17"/>
  <c r="B232" i="17"/>
  <c r="B233" i="17"/>
  <c r="B234" i="17"/>
  <c r="B235" i="17"/>
  <c r="B236" i="17"/>
  <c r="B237" i="17"/>
  <c r="B238" i="17"/>
  <c r="B239" i="17"/>
  <c r="B240" i="17"/>
  <c r="B241" i="17"/>
  <c r="B242" i="17"/>
  <c r="B243" i="17"/>
  <c r="B244" i="17"/>
  <c r="B245" i="17"/>
  <c r="B246" i="17"/>
  <c r="B247" i="17"/>
  <c r="B248" i="17"/>
  <c r="B249" i="17"/>
  <c r="B250" i="17"/>
  <c r="B2" i="17"/>
  <c r="G4" i="12" l="1"/>
  <c r="G5" i="12"/>
  <c r="G6" i="12"/>
  <c r="G7" i="12"/>
  <c r="G8" i="12"/>
  <c r="G9" i="12"/>
  <c r="G10" i="12"/>
  <c r="G11" i="12"/>
  <c r="G12" i="12"/>
  <c r="G13" i="12"/>
  <c r="G14" i="12"/>
  <c r="G15" i="12"/>
  <c r="G16" i="12"/>
  <c r="G17" i="12"/>
  <c r="G18" i="12"/>
  <c r="G19" i="12"/>
  <c r="G20" i="12"/>
  <c r="G21" i="12"/>
  <c r="G22" i="12"/>
  <c r="G23" i="12"/>
  <c r="G24" i="12"/>
  <c r="G25" i="12"/>
  <c r="G26" i="12"/>
  <c r="G27" i="12"/>
  <c r="G28" i="12"/>
  <c r="G29" i="12"/>
  <c r="G30" i="12"/>
  <c r="G31" i="12"/>
  <c r="G32" i="12"/>
  <c r="G33" i="12"/>
  <c r="G34" i="12"/>
  <c r="G35" i="12"/>
  <c r="G36" i="12"/>
  <c r="G37" i="12"/>
  <c r="G38" i="12"/>
  <c r="G39" i="12"/>
  <c r="G40" i="12"/>
  <c r="G41" i="12"/>
  <c r="G42" i="12"/>
  <c r="G43" i="12"/>
  <c r="G44" i="12"/>
  <c r="G45" i="12"/>
  <c r="G46" i="12"/>
  <c r="G47" i="12"/>
  <c r="G48" i="12"/>
  <c r="G49" i="12"/>
  <c r="G50" i="12"/>
  <c r="G51" i="12"/>
  <c r="G52" i="12"/>
  <c r="G53" i="12"/>
  <c r="G54" i="12"/>
  <c r="G55" i="12"/>
  <c r="G56" i="12"/>
  <c r="G57" i="12"/>
  <c r="G58" i="12"/>
  <c r="G59" i="12"/>
  <c r="G60" i="12"/>
  <c r="G61" i="12"/>
  <c r="G62" i="12"/>
  <c r="G63" i="12"/>
  <c r="G64" i="12"/>
  <c r="G65" i="12"/>
  <c r="G66" i="12"/>
  <c r="G67" i="12"/>
  <c r="G68" i="12"/>
  <c r="G69" i="12"/>
  <c r="G70" i="12"/>
  <c r="G71" i="12"/>
  <c r="G72" i="12"/>
  <c r="G73" i="12"/>
  <c r="G74" i="12"/>
  <c r="G75" i="12"/>
  <c r="G76" i="12"/>
  <c r="G77" i="12"/>
  <c r="G78" i="12"/>
  <c r="G79" i="12"/>
  <c r="G80" i="12"/>
  <c r="G81" i="12"/>
  <c r="G82" i="12"/>
  <c r="G83" i="12"/>
  <c r="G84" i="12"/>
  <c r="G85" i="12"/>
  <c r="G86" i="12"/>
  <c r="G87" i="12"/>
  <c r="G88" i="12"/>
  <c r="G89" i="12"/>
  <c r="G90" i="12"/>
  <c r="G91" i="12"/>
  <c r="G92" i="12"/>
  <c r="G93" i="12"/>
  <c r="G94" i="12"/>
  <c r="G95" i="12"/>
  <c r="G96" i="12"/>
  <c r="G97" i="12"/>
  <c r="G98" i="12"/>
  <c r="G99" i="12"/>
  <c r="G100" i="12"/>
  <c r="G101" i="12"/>
  <c r="G102" i="12"/>
  <c r="G103" i="12"/>
  <c r="G104" i="12"/>
  <c r="G105" i="12"/>
  <c r="G106" i="12"/>
  <c r="G107" i="12"/>
  <c r="G108" i="12"/>
  <c r="G109" i="12"/>
  <c r="G110" i="12"/>
  <c r="G111" i="12"/>
  <c r="G112" i="12"/>
  <c r="G113" i="12"/>
  <c r="G114" i="12"/>
  <c r="G115" i="12"/>
  <c r="G116" i="12"/>
  <c r="G117" i="12"/>
  <c r="G118" i="12"/>
  <c r="G119" i="12"/>
  <c r="G120" i="12"/>
  <c r="G121" i="12"/>
  <c r="G122" i="12"/>
  <c r="G123" i="12"/>
  <c r="G124" i="12"/>
  <c r="G125" i="12"/>
  <c r="G126" i="12"/>
  <c r="G127" i="12"/>
  <c r="G128" i="12"/>
  <c r="G129" i="12"/>
  <c r="G130" i="12"/>
  <c r="G131" i="12"/>
  <c r="G132" i="12"/>
  <c r="G133" i="12"/>
  <c r="G134" i="12"/>
  <c r="G135" i="12"/>
  <c r="G136" i="12"/>
  <c r="G137" i="12"/>
  <c r="G138" i="12"/>
  <c r="G139" i="12"/>
  <c r="G140" i="12"/>
  <c r="G141" i="12"/>
  <c r="G142" i="12"/>
  <c r="G143" i="12"/>
  <c r="G144" i="12"/>
  <c r="G145" i="12"/>
  <c r="G146" i="12"/>
  <c r="G147" i="12"/>
  <c r="G148" i="12"/>
  <c r="G149" i="12"/>
  <c r="G150" i="12"/>
  <c r="G151" i="12"/>
  <c r="G152" i="12"/>
  <c r="G153" i="12"/>
  <c r="G154" i="12"/>
  <c r="G155" i="12"/>
  <c r="G156" i="12"/>
  <c r="G157" i="12"/>
  <c r="G158" i="12"/>
  <c r="G159" i="12"/>
  <c r="G160" i="12"/>
  <c r="G161" i="12"/>
  <c r="G162" i="12"/>
  <c r="G163" i="12"/>
  <c r="G164" i="12"/>
  <c r="G165" i="12"/>
  <c r="G166" i="12"/>
  <c r="G167" i="12"/>
  <c r="G168" i="12"/>
  <c r="G169" i="12"/>
  <c r="G170" i="12"/>
  <c r="G171" i="12"/>
  <c r="G172" i="12"/>
  <c r="G173" i="12"/>
  <c r="G174" i="12"/>
  <c r="G175" i="12"/>
  <c r="G176" i="12"/>
  <c r="G177" i="12"/>
  <c r="G178" i="12"/>
  <c r="G179" i="12"/>
  <c r="G180" i="12"/>
  <c r="G181" i="12"/>
  <c r="G182" i="12"/>
  <c r="G183" i="12"/>
  <c r="G184" i="12"/>
  <c r="G185" i="12"/>
  <c r="G186" i="12"/>
  <c r="G187" i="12"/>
  <c r="G188" i="12"/>
  <c r="G189" i="12"/>
  <c r="G190" i="12"/>
  <c r="G191" i="12"/>
  <c r="G192" i="12"/>
  <c r="G193" i="12"/>
  <c r="G194" i="12"/>
  <c r="G195" i="12"/>
  <c r="G196" i="12"/>
  <c r="G197" i="12"/>
  <c r="G198" i="12"/>
  <c r="G199" i="12"/>
  <c r="G200" i="12"/>
  <c r="G201" i="12"/>
  <c r="G202" i="12"/>
  <c r="G203" i="12"/>
  <c r="G204" i="12"/>
  <c r="G205" i="12"/>
  <c r="G206" i="12"/>
  <c r="G207" i="12"/>
  <c r="G208" i="12"/>
  <c r="G209" i="12"/>
  <c r="G210" i="12"/>
  <c r="G211" i="12"/>
  <c r="G212" i="12"/>
  <c r="G213" i="12"/>
  <c r="G214" i="12"/>
  <c r="G215" i="12"/>
  <c r="G216" i="12"/>
  <c r="G217" i="12"/>
  <c r="G218" i="12"/>
  <c r="G219" i="12"/>
  <c r="G220" i="12"/>
  <c r="G221" i="12"/>
  <c r="G222" i="12"/>
  <c r="G223" i="12"/>
  <c r="G224" i="12"/>
  <c r="G225" i="12"/>
  <c r="G226" i="12"/>
  <c r="G227" i="12"/>
  <c r="G228" i="12"/>
  <c r="G229" i="12"/>
  <c r="G230" i="12"/>
  <c r="G231" i="12"/>
  <c r="G232" i="12"/>
  <c r="G233" i="12"/>
  <c r="G234" i="12"/>
  <c r="G235" i="12"/>
  <c r="G236" i="12"/>
  <c r="G237" i="12"/>
  <c r="G238" i="12"/>
  <c r="G239" i="12"/>
  <c r="G240" i="12"/>
  <c r="G241" i="12"/>
  <c r="G242" i="12"/>
  <c r="G243" i="12"/>
  <c r="G244" i="12"/>
  <c r="G245" i="12"/>
  <c r="G246" i="12"/>
  <c r="G247" i="12"/>
  <c r="G248" i="12"/>
  <c r="G249" i="12"/>
  <c r="G250" i="12"/>
  <c r="G251" i="12"/>
  <c r="G252" i="12"/>
  <c r="G253" i="12"/>
  <c r="G254" i="12"/>
  <c r="G255" i="12"/>
  <c r="G256" i="12"/>
  <c r="G257" i="12"/>
  <c r="G258" i="12"/>
  <c r="G259" i="12"/>
  <c r="G260" i="12"/>
  <c r="G261" i="12"/>
  <c r="G262" i="12"/>
  <c r="G263" i="12"/>
  <c r="G264" i="12"/>
  <c r="G265" i="12"/>
  <c r="G266" i="12"/>
  <c r="G267" i="12"/>
  <c r="G268" i="12"/>
  <c r="G269" i="12"/>
  <c r="G270" i="12"/>
  <c r="G271" i="12"/>
  <c r="G272" i="12"/>
  <c r="G273" i="12"/>
  <c r="G274" i="12"/>
  <c r="G275" i="12"/>
  <c r="G276" i="12"/>
  <c r="G277" i="12"/>
  <c r="G278" i="12"/>
  <c r="G279" i="12"/>
  <c r="G280" i="12"/>
  <c r="G281" i="12"/>
  <c r="G282" i="12"/>
  <c r="G283" i="12"/>
  <c r="G284" i="12"/>
  <c r="G285" i="12"/>
  <c r="G286" i="12"/>
  <c r="G287" i="12"/>
  <c r="G288" i="12"/>
  <c r="G289" i="12"/>
  <c r="G290" i="12"/>
  <c r="G291" i="12"/>
  <c r="G292" i="12"/>
  <c r="G293" i="12"/>
  <c r="G294" i="12"/>
  <c r="G295" i="12"/>
  <c r="G296" i="12"/>
  <c r="G297" i="12"/>
  <c r="G298" i="12"/>
  <c r="G299" i="12"/>
  <c r="G300" i="12"/>
  <c r="G301" i="12"/>
  <c r="G302" i="12"/>
  <c r="G303" i="12"/>
  <c r="G304" i="12"/>
  <c r="G305" i="12"/>
  <c r="G306" i="12"/>
  <c r="G307" i="12"/>
  <c r="G308" i="12"/>
  <c r="G309" i="12"/>
  <c r="G310" i="12"/>
  <c r="G311" i="12"/>
  <c r="G312" i="12"/>
  <c r="G313" i="12"/>
  <c r="G314" i="12"/>
  <c r="G315" i="12"/>
  <c r="G316" i="12"/>
  <c r="G317" i="12"/>
  <c r="G318" i="12"/>
  <c r="G319" i="12"/>
  <c r="G320" i="12"/>
  <c r="G321" i="12"/>
  <c r="G322" i="12"/>
  <c r="G323" i="12"/>
  <c r="G324" i="12"/>
  <c r="G325" i="12"/>
  <c r="G326" i="12"/>
  <c r="G327" i="12"/>
  <c r="G328" i="12"/>
  <c r="G329" i="12"/>
  <c r="G330" i="12"/>
  <c r="G331" i="12"/>
  <c r="G332" i="12"/>
  <c r="G333" i="12"/>
  <c r="G334" i="12"/>
  <c r="G335" i="12"/>
  <c r="G336" i="12"/>
  <c r="G337" i="12"/>
  <c r="G338" i="12"/>
  <c r="G339" i="12"/>
  <c r="G340" i="12"/>
  <c r="G341" i="12"/>
  <c r="G342" i="12"/>
  <c r="G343" i="12"/>
  <c r="G344" i="12"/>
  <c r="G345" i="12"/>
  <c r="G346" i="12"/>
  <c r="G347" i="12"/>
  <c r="G348" i="12"/>
  <c r="G349" i="12"/>
  <c r="G350" i="12"/>
  <c r="G351" i="12"/>
  <c r="G352" i="12"/>
  <c r="G353" i="12"/>
  <c r="G354" i="12"/>
  <c r="G355" i="12"/>
  <c r="G356" i="12"/>
  <c r="G357" i="12"/>
  <c r="G358" i="12"/>
  <c r="G359" i="12"/>
  <c r="G360" i="12"/>
  <c r="G361" i="12"/>
  <c r="G362" i="12"/>
  <c r="G363" i="12"/>
  <c r="G364" i="12"/>
  <c r="G365" i="12"/>
  <c r="G366" i="12"/>
  <c r="G367" i="12"/>
  <c r="G368" i="12"/>
  <c r="G369" i="12"/>
  <c r="G370" i="12"/>
  <c r="G371" i="12"/>
  <c r="G372" i="12"/>
  <c r="G373" i="12"/>
  <c r="G374" i="12"/>
  <c r="G375" i="12"/>
  <c r="G376" i="12"/>
  <c r="G377" i="12"/>
  <c r="G378" i="12"/>
  <c r="G379" i="12"/>
  <c r="G380" i="12"/>
  <c r="G381" i="12"/>
  <c r="G382" i="12"/>
  <c r="G383" i="12"/>
  <c r="G384" i="12"/>
  <c r="G385" i="12"/>
  <c r="G386" i="12"/>
  <c r="G387" i="12"/>
  <c r="G388" i="12"/>
  <c r="G389" i="12"/>
  <c r="G390" i="12"/>
  <c r="G391" i="12"/>
  <c r="G392" i="12"/>
  <c r="G393" i="12"/>
  <c r="G394" i="12"/>
  <c r="G395" i="12"/>
  <c r="G396" i="12"/>
  <c r="G397" i="12"/>
  <c r="G398" i="12"/>
  <c r="G399" i="12"/>
  <c r="G400" i="12"/>
  <c r="G401" i="12"/>
  <c r="G402" i="12"/>
  <c r="G403" i="12"/>
  <c r="G404" i="12"/>
  <c r="G405" i="12"/>
  <c r="G406" i="12"/>
  <c r="G407" i="12"/>
  <c r="G408" i="12"/>
  <c r="G409" i="12"/>
  <c r="G410" i="12"/>
  <c r="G411" i="12"/>
  <c r="G412" i="12"/>
  <c r="G413" i="12"/>
  <c r="G414" i="12"/>
  <c r="G415" i="12"/>
  <c r="G416" i="12"/>
  <c r="G417" i="12"/>
  <c r="G418" i="12"/>
  <c r="G419" i="12"/>
  <c r="G420" i="12"/>
  <c r="G421" i="12"/>
  <c r="G422" i="12"/>
  <c r="G423" i="12"/>
  <c r="G424" i="12"/>
  <c r="G425" i="12"/>
  <c r="G426" i="12"/>
  <c r="G427" i="12"/>
  <c r="G428" i="12"/>
  <c r="G429" i="12"/>
  <c r="G430" i="12"/>
  <c r="G431" i="12"/>
  <c r="G432" i="12"/>
  <c r="G433" i="12"/>
  <c r="G434" i="12"/>
  <c r="G435" i="12"/>
  <c r="G436" i="12"/>
  <c r="G437" i="12"/>
  <c r="G438" i="12"/>
  <c r="G439" i="12"/>
  <c r="G440" i="12"/>
  <c r="G441" i="12"/>
  <c r="G442" i="12"/>
  <c r="G443" i="12"/>
  <c r="G444" i="12"/>
  <c r="G445" i="12"/>
  <c r="G446" i="12"/>
  <c r="G447" i="12"/>
  <c r="G448" i="12"/>
  <c r="G449" i="12"/>
  <c r="G450" i="12"/>
  <c r="G451" i="12"/>
  <c r="G452" i="12"/>
  <c r="G453" i="12"/>
  <c r="G454" i="12"/>
  <c r="G455" i="12"/>
  <c r="G456" i="12"/>
  <c r="G457" i="12"/>
  <c r="G458" i="12"/>
  <c r="G459" i="12"/>
  <c r="G460" i="12"/>
  <c r="G461" i="12"/>
  <c r="G462" i="12"/>
  <c r="G463" i="12"/>
  <c r="G464" i="12"/>
  <c r="G465" i="12"/>
  <c r="G466" i="12"/>
  <c r="G467" i="12"/>
  <c r="G468" i="12"/>
  <c r="G469" i="12"/>
  <c r="G470" i="12"/>
  <c r="G471" i="12"/>
  <c r="G472" i="12"/>
  <c r="G473" i="12"/>
  <c r="G474" i="12"/>
  <c r="G475" i="12"/>
  <c r="G476" i="12"/>
  <c r="G477" i="12"/>
  <c r="G478" i="12"/>
  <c r="G479" i="12"/>
  <c r="G480" i="12"/>
  <c r="G481" i="12"/>
  <c r="G482" i="12"/>
  <c r="G483" i="12"/>
  <c r="G484" i="12"/>
  <c r="G485" i="12"/>
  <c r="G486" i="12"/>
  <c r="G487" i="12"/>
  <c r="G488" i="12"/>
  <c r="G489" i="12"/>
  <c r="G490" i="12"/>
  <c r="G491" i="12"/>
  <c r="G492" i="12"/>
  <c r="G493" i="12"/>
  <c r="G494" i="12"/>
  <c r="G495" i="12"/>
  <c r="G496" i="12"/>
  <c r="G497" i="12"/>
  <c r="G498" i="12"/>
  <c r="G499" i="12"/>
  <c r="G500" i="12"/>
  <c r="G501" i="12"/>
  <c r="G502" i="12"/>
  <c r="G503" i="12"/>
  <c r="G504" i="12"/>
  <c r="G505" i="12"/>
  <c r="G506" i="12"/>
  <c r="G507" i="12"/>
  <c r="G508" i="12"/>
  <c r="G509" i="12"/>
  <c r="G510" i="12"/>
  <c r="G511" i="12"/>
  <c r="G512" i="12"/>
  <c r="G513" i="12"/>
  <c r="G514" i="12"/>
  <c r="G515" i="12"/>
  <c r="G516" i="12"/>
  <c r="G517" i="12"/>
  <c r="G518" i="12"/>
  <c r="G519" i="12"/>
  <c r="G520" i="12"/>
  <c r="G521" i="12"/>
  <c r="G522" i="12"/>
  <c r="G523" i="12"/>
  <c r="G524" i="12"/>
  <c r="G525" i="12"/>
  <c r="G526" i="12"/>
  <c r="G527" i="12"/>
  <c r="G528" i="12"/>
  <c r="G529" i="12"/>
  <c r="G530" i="12"/>
  <c r="G531" i="12"/>
  <c r="G532" i="12"/>
  <c r="G533" i="12"/>
  <c r="G534" i="12"/>
  <c r="G535" i="12"/>
  <c r="G536" i="12"/>
  <c r="G537" i="12"/>
  <c r="G538" i="12"/>
  <c r="G539" i="12"/>
  <c r="G540" i="12"/>
  <c r="G541" i="12"/>
  <c r="G542" i="12"/>
  <c r="G543" i="12"/>
  <c r="G544" i="12"/>
  <c r="G545" i="12"/>
  <c r="G546" i="12"/>
  <c r="G547" i="12"/>
  <c r="G548" i="12"/>
  <c r="G549" i="12"/>
  <c r="G550" i="12"/>
  <c r="G551" i="12"/>
  <c r="G552" i="12"/>
  <c r="G553" i="12"/>
  <c r="G554" i="12"/>
  <c r="G555" i="12"/>
  <c r="G556" i="12"/>
  <c r="G557" i="12"/>
  <c r="G558" i="12"/>
  <c r="G559" i="12"/>
  <c r="G560" i="12"/>
  <c r="G561" i="12"/>
  <c r="G562" i="12"/>
  <c r="G563" i="12"/>
  <c r="G564" i="12"/>
  <c r="G565" i="12"/>
  <c r="G566" i="12"/>
  <c r="G567" i="12"/>
  <c r="G568" i="12"/>
  <c r="G569" i="12"/>
  <c r="G570" i="12"/>
  <c r="G571" i="12"/>
  <c r="G572" i="12"/>
  <c r="G573" i="12"/>
  <c r="G574" i="12"/>
  <c r="G575" i="12"/>
  <c r="G576" i="12"/>
  <c r="G577" i="12"/>
  <c r="G578" i="12"/>
  <c r="G579" i="12"/>
  <c r="G580" i="12"/>
  <c r="G581" i="12"/>
  <c r="G582" i="12"/>
  <c r="G583" i="12"/>
  <c r="G584" i="12"/>
  <c r="G585" i="12"/>
  <c r="G586" i="12"/>
  <c r="G587" i="12"/>
  <c r="G588" i="12"/>
  <c r="G589" i="12"/>
  <c r="G590" i="12"/>
  <c r="G591" i="12"/>
  <c r="G592" i="12"/>
  <c r="G593" i="12"/>
  <c r="G594" i="12"/>
  <c r="G595" i="12"/>
  <c r="G596" i="12"/>
  <c r="G597" i="12"/>
  <c r="G598" i="12"/>
  <c r="G599" i="12"/>
  <c r="G600" i="12"/>
  <c r="G601" i="12"/>
  <c r="G602" i="12"/>
  <c r="G603" i="12"/>
  <c r="G604" i="12"/>
  <c r="G605" i="12"/>
  <c r="G606" i="12"/>
  <c r="G607" i="12"/>
  <c r="G608" i="12"/>
  <c r="G609" i="12"/>
  <c r="G610" i="12"/>
  <c r="G611" i="12"/>
  <c r="G612" i="12"/>
  <c r="G613" i="12"/>
  <c r="G614" i="12"/>
  <c r="G615" i="12"/>
  <c r="G616" i="12"/>
  <c r="G617" i="12"/>
  <c r="G618" i="12"/>
  <c r="G619" i="12"/>
  <c r="G620" i="12"/>
  <c r="G621" i="12"/>
  <c r="G622" i="12"/>
  <c r="G623" i="12"/>
  <c r="G624" i="12"/>
  <c r="G625" i="12"/>
  <c r="G626" i="12"/>
  <c r="G627" i="12"/>
  <c r="G628" i="12"/>
  <c r="G629" i="12"/>
  <c r="G630" i="12"/>
  <c r="G631" i="12"/>
  <c r="G632" i="12"/>
  <c r="G633" i="12"/>
  <c r="G634" i="12"/>
  <c r="G635" i="12"/>
  <c r="G636" i="12"/>
  <c r="G637" i="12"/>
  <c r="G638" i="12"/>
  <c r="G639" i="12"/>
  <c r="G640" i="12"/>
  <c r="G641" i="12"/>
  <c r="G642" i="12"/>
  <c r="G643" i="12"/>
  <c r="G644" i="12"/>
  <c r="G645" i="12"/>
  <c r="G646" i="12"/>
  <c r="G647" i="12"/>
  <c r="G648" i="12"/>
  <c r="G649" i="12"/>
  <c r="G650" i="12"/>
  <c r="G651" i="12"/>
  <c r="G652" i="12"/>
  <c r="G653" i="12"/>
  <c r="G654" i="12"/>
  <c r="G655" i="12"/>
  <c r="G656" i="12"/>
  <c r="G657" i="12"/>
  <c r="G658" i="12"/>
  <c r="G659" i="12"/>
  <c r="G660" i="12"/>
  <c r="G661" i="12"/>
  <c r="G662" i="12"/>
  <c r="G663" i="12"/>
  <c r="G664" i="12"/>
  <c r="G665" i="12"/>
  <c r="G666" i="12"/>
  <c r="G667" i="12"/>
  <c r="G668" i="12"/>
  <c r="G669" i="12"/>
  <c r="G670" i="12"/>
  <c r="G671" i="12"/>
  <c r="G672" i="12"/>
  <c r="G673" i="12"/>
  <c r="G674" i="12"/>
  <c r="G675" i="12"/>
  <c r="G676" i="12"/>
  <c r="G677" i="12"/>
  <c r="G678" i="12"/>
  <c r="G679" i="12"/>
  <c r="G680" i="12"/>
  <c r="G681" i="12"/>
  <c r="G682" i="12"/>
  <c r="G683" i="12"/>
  <c r="G684" i="12"/>
  <c r="G685" i="12"/>
  <c r="G686" i="12"/>
  <c r="G687" i="12"/>
  <c r="G688" i="12"/>
  <c r="G689" i="12"/>
  <c r="G690" i="12"/>
  <c r="G691" i="12"/>
  <c r="G692" i="12"/>
  <c r="G693" i="12"/>
  <c r="G694" i="12"/>
  <c r="G695" i="12"/>
  <c r="G696" i="12"/>
  <c r="G697" i="12"/>
  <c r="G698" i="12"/>
  <c r="G699" i="12"/>
  <c r="G700" i="12"/>
  <c r="G701" i="12"/>
  <c r="G702" i="12"/>
  <c r="G703" i="12"/>
  <c r="G704" i="12"/>
  <c r="G705" i="12"/>
  <c r="G706" i="12"/>
  <c r="G707" i="12"/>
  <c r="G708" i="12"/>
  <c r="G709" i="12"/>
  <c r="G710" i="12"/>
  <c r="G711" i="12"/>
  <c r="G712" i="12"/>
  <c r="G713" i="12"/>
  <c r="G714" i="12"/>
  <c r="G715" i="12"/>
  <c r="G716" i="12"/>
  <c r="G717" i="12"/>
  <c r="G718" i="12"/>
  <c r="G719" i="12"/>
  <c r="G720" i="12"/>
  <c r="G721" i="12"/>
  <c r="G722" i="12"/>
  <c r="G723" i="12"/>
  <c r="G724" i="12"/>
  <c r="G725" i="12"/>
  <c r="G726" i="12"/>
  <c r="G727" i="12"/>
  <c r="G728" i="12"/>
  <c r="G729" i="12"/>
  <c r="G730" i="12"/>
  <c r="G731" i="12"/>
  <c r="G732" i="12"/>
  <c r="G733" i="12"/>
  <c r="G734" i="12"/>
  <c r="G735" i="12"/>
  <c r="G736" i="12"/>
  <c r="G737" i="12"/>
  <c r="G738" i="12"/>
  <c r="G739" i="12"/>
  <c r="G740" i="12"/>
  <c r="G741" i="12"/>
  <c r="G742" i="12"/>
  <c r="G743" i="12"/>
  <c r="G744" i="12"/>
  <c r="G745" i="12"/>
  <c r="G746" i="12"/>
  <c r="G747" i="12"/>
  <c r="G748" i="12"/>
  <c r="G749" i="12"/>
  <c r="G750" i="12"/>
  <c r="G751" i="12"/>
  <c r="G752" i="12"/>
  <c r="G753" i="12"/>
  <c r="G754" i="12"/>
  <c r="G755" i="12"/>
  <c r="G756" i="12"/>
  <c r="G757" i="12"/>
  <c r="G758" i="12"/>
  <c r="G759" i="12"/>
  <c r="G760" i="12"/>
  <c r="G761" i="12"/>
  <c r="G762" i="12"/>
  <c r="G763" i="12"/>
  <c r="G764" i="12"/>
  <c r="G765" i="12"/>
  <c r="G766" i="12"/>
  <c r="G767" i="12"/>
  <c r="G768" i="12"/>
  <c r="G769" i="12"/>
  <c r="G770" i="12"/>
  <c r="G771" i="12"/>
  <c r="G772" i="12"/>
  <c r="G773" i="12"/>
  <c r="G774" i="12"/>
  <c r="G775" i="12"/>
  <c r="G776" i="12"/>
  <c r="G777" i="12"/>
  <c r="G778" i="12"/>
  <c r="G779" i="12"/>
  <c r="G780" i="12"/>
  <c r="G781" i="12"/>
  <c r="G782" i="12"/>
  <c r="G783" i="12"/>
  <c r="G784" i="12"/>
  <c r="G785" i="12"/>
  <c r="G786" i="12"/>
  <c r="G787" i="12"/>
  <c r="G788" i="12"/>
  <c r="G789" i="12"/>
  <c r="G790" i="12"/>
  <c r="G791" i="12"/>
  <c r="G792" i="12"/>
  <c r="G793" i="12"/>
  <c r="G794" i="12"/>
  <c r="G795" i="12"/>
  <c r="G796" i="12"/>
  <c r="G797" i="12"/>
  <c r="G798" i="12"/>
  <c r="G799" i="12"/>
  <c r="G800" i="12"/>
  <c r="G801" i="12"/>
  <c r="G802" i="12"/>
  <c r="G803" i="12"/>
  <c r="G804" i="12"/>
  <c r="G805" i="12"/>
  <c r="G806" i="12"/>
  <c r="G807" i="12"/>
  <c r="G808" i="12"/>
  <c r="G809" i="12"/>
  <c r="G810" i="12"/>
  <c r="G811" i="12"/>
  <c r="G812" i="12"/>
  <c r="G813" i="12"/>
  <c r="G814" i="12"/>
  <c r="G815" i="12"/>
  <c r="G816" i="12"/>
  <c r="G817" i="12"/>
  <c r="G818" i="12"/>
  <c r="G819" i="12"/>
  <c r="G820" i="12"/>
  <c r="G821" i="12"/>
  <c r="G822" i="12"/>
  <c r="G823" i="12"/>
  <c r="G824" i="12"/>
  <c r="G825" i="12"/>
  <c r="G826" i="12"/>
  <c r="G827" i="12"/>
  <c r="G828" i="12"/>
  <c r="G829" i="12"/>
  <c r="G830" i="12"/>
  <c r="G831" i="12"/>
  <c r="G832" i="12"/>
  <c r="G833" i="12"/>
  <c r="G834" i="12"/>
  <c r="G835" i="12"/>
  <c r="G836" i="12"/>
  <c r="G837" i="12"/>
  <c r="G838" i="12"/>
  <c r="G839" i="12"/>
  <c r="G840" i="12"/>
  <c r="G841" i="12"/>
  <c r="G842" i="12"/>
  <c r="G843" i="12"/>
  <c r="G844" i="12"/>
  <c r="G845" i="12"/>
  <c r="G846" i="12"/>
  <c r="G847" i="12"/>
  <c r="G848" i="12"/>
  <c r="G849" i="12"/>
  <c r="G850" i="12"/>
  <c r="G851" i="12"/>
  <c r="G852" i="12"/>
  <c r="G853" i="12"/>
  <c r="G854" i="12"/>
  <c r="G855" i="12"/>
  <c r="G856" i="12"/>
  <c r="G857" i="12"/>
  <c r="G858" i="12"/>
  <c r="G859" i="12"/>
  <c r="G860" i="12"/>
  <c r="G861" i="12"/>
  <c r="G862" i="12"/>
  <c r="G863" i="12"/>
  <c r="G864" i="12"/>
  <c r="G865" i="12"/>
  <c r="G866" i="12"/>
  <c r="G867" i="12"/>
  <c r="G868" i="12"/>
  <c r="G869" i="12"/>
  <c r="G870" i="12"/>
  <c r="G871" i="12"/>
  <c r="G872" i="12"/>
  <c r="G873" i="12"/>
  <c r="G874" i="12"/>
  <c r="G875" i="12"/>
  <c r="G876" i="12"/>
  <c r="G877" i="12"/>
  <c r="G878" i="12"/>
  <c r="G879" i="12"/>
  <c r="G880" i="12"/>
  <c r="G881" i="12"/>
  <c r="G882" i="12"/>
  <c r="G883" i="12"/>
  <c r="G884" i="12"/>
  <c r="G885" i="12"/>
  <c r="G886" i="12"/>
  <c r="G887" i="12"/>
  <c r="G888" i="12"/>
  <c r="G889" i="12"/>
  <c r="G890" i="12"/>
  <c r="G891" i="12"/>
  <c r="G892" i="12"/>
  <c r="G893" i="12"/>
  <c r="G894" i="12"/>
  <c r="G895" i="12"/>
  <c r="G896" i="12"/>
  <c r="G897" i="12"/>
  <c r="G898" i="12"/>
  <c r="G899" i="12"/>
  <c r="G900" i="12"/>
  <c r="G901" i="12"/>
  <c r="G902" i="12"/>
  <c r="G903" i="12"/>
  <c r="G904" i="12"/>
  <c r="G905" i="12"/>
  <c r="G906" i="12"/>
  <c r="G907" i="12"/>
  <c r="G908" i="12"/>
  <c r="G909" i="12"/>
  <c r="G910" i="12"/>
  <c r="G911" i="12"/>
  <c r="G912" i="12"/>
  <c r="G913" i="12"/>
  <c r="G914" i="12"/>
  <c r="G915" i="12"/>
  <c r="G916" i="12"/>
  <c r="G917" i="12"/>
  <c r="G918" i="12"/>
  <c r="G919" i="12"/>
  <c r="G920" i="12"/>
  <c r="G921" i="12"/>
  <c r="G922" i="12"/>
  <c r="G923" i="12"/>
  <c r="G924" i="12"/>
  <c r="G925" i="12"/>
  <c r="G926" i="12"/>
  <c r="G927" i="12"/>
  <c r="G928" i="12"/>
  <c r="G929" i="12"/>
  <c r="G930" i="12"/>
  <c r="G931" i="12"/>
  <c r="G932" i="12"/>
  <c r="G933" i="12"/>
  <c r="G934" i="12"/>
  <c r="G935" i="12"/>
  <c r="G936" i="12"/>
  <c r="G937" i="12"/>
  <c r="G938" i="12"/>
  <c r="G939" i="12"/>
  <c r="G940" i="12"/>
  <c r="G941" i="12"/>
  <c r="G942" i="12"/>
  <c r="G943" i="12"/>
  <c r="G944" i="12"/>
  <c r="G945" i="12"/>
  <c r="G946" i="12"/>
  <c r="G947" i="12"/>
  <c r="G948" i="12"/>
  <c r="G949" i="12"/>
  <c r="G950" i="12"/>
  <c r="G951" i="12"/>
  <c r="G952" i="12"/>
  <c r="G953" i="12"/>
  <c r="G954" i="12"/>
  <c r="G955" i="12"/>
  <c r="G956" i="12"/>
  <c r="G957" i="12"/>
  <c r="G958" i="12"/>
  <c r="G959" i="12"/>
  <c r="G960" i="12"/>
  <c r="G961" i="12"/>
  <c r="G962" i="12"/>
  <c r="G963" i="12"/>
  <c r="G964" i="12"/>
  <c r="G965" i="12"/>
  <c r="G966" i="12"/>
  <c r="G967" i="12"/>
  <c r="G968" i="12"/>
  <c r="G969" i="12"/>
  <c r="G970" i="12"/>
  <c r="G971" i="12"/>
  <c r="G972" i="12"/>
  <c r="G973" i="12"/>
  <c r="G974" i="12"/>
  <c r="G975" i="12"/>
  <c r="G976" i="12"/>
  <c r="G977" i="12"/>
  <c r="G978" i="12"/>
  <c r="G979" i="12"/>
  <c r="G980" i="12"/>
  <c r="G981" i="12"/>
  <c r="G982" i="12"/>
  <c r="G983" i="12"/>
  <c r="G984" i="12"/>
  <c r="G985" i="12"/>
  <c r="G986" i="12"/>
  <c r="G987" i="12"/>
  <c r="G988" i="12"/>
  <c r="G989" i="12"/>
  <c r="G990" i="12"/>
  <c r="G991" i="12"/>
  <c r="G992" i="12"/>
  <c r="G993" i="12"/>
  <c r="G994" i="12"/>
  <c r="G995" i="12"/>
  <c r="G996" i="12"/>
  <c r="G997" i="12"/>
  <c r="G998" i="12"/>
  <c r="G999" i="12"/>
  <c r="G1000" i="12"/>
  <c r="G1001" i="12"/>
  <c r="G1002" i="12"/>
  <c r="G3" i="12"/>
  <c r="E4" i="12"/>
  <c r="E5" i="12"/>
  <c r="E6" i="12"/>
  <c r="E7" i="12"/>
  <c r="E8" i="12"/>
  <c r="E9" i="12"/>
  <c r="E10" i="12"/>
  <c r="E11" i="12"/>
  <c r="E12" i="12"/>
  <c r="E13" i="12"/>
  <c r="E14" i="12"/>
  <c r="E15" i="12"/>
  <c r="E16" i="12"/>
  <c r="E17" i="12"/>
  <c r="E18" i="12"/>
  <c r="E19" i="12"/>
  <c r="E20" i="12"/>
  <c r="E21" i="12"/>
  <c r="E22" i="12"/>
  <c r="E23" i="12"/>
  <c r="E24" i="12"/>
  <c r="E25" i="12"/>
  <c r="E26" i="12"/>
  <c r="E27" i="12"/>
  <c r="E28" i="12"/>
  <c r="E29" i="12"/>
  <c r="E30" i="12"/>
  <c r="E31" i="12"/>
  <c r="E32" i="12"/>
  <c r="E33" i="12"/>
  <c r="E34" i="12"/>
  <c r="E35" i="12"/>
  <c r="E36" i="12"/>
  <c r="E37" i="12"/>
  <c r="E38" i="12"/>
  <c r="E39" i="12"/>
  <c r="E40" i="12"/>
  <c r="E41" i="12"/>
  <c r="E42" i="12"/>
  <c r="E43" i="12"/>
  <c r="E44" i="12"/>
  <c r="E45" i="12"/>
  <c r="E46" i="12"/>
  <c r="E47" i="12"/>
  <c r="E48" i="12"/>
  <c r="E49" i="12"/>
  <c r="E50" i="12"/>
  <c r="E51" i="12"/>
  <c r="E52" i="12"/>
  <c r="E53" i="12"/>
  <c r="E54" i="12"/>
  <c r="E55" i="12"/>
  <c r="E56" i="12"/>
  <c r="E57" i="12"/>
  <c r="E58" i="12"/>
  <c r="E59" i="12"/>
  <c r="E60" i="12"/>
  <c r="E61" i="12"/>
  <c r="E62" i="12"/>
  <c r="E63" i="12"/>
  <c r="E64" i="12"/>
  <c r="E65" i="12"/>
  <c r="E66" i="12"/>
  <c r="E67" i="12"/>
  <c r="E68" i="12"/>
  <c r="E69" i="12"/>
  <c r="E70" i="12"/>
  <c r="E71" i="12"/>
  <c r="E72" i="12"/>
  <c r="E73" i="12"/>
  <c r="E74" i="12"/>
  <c r="E75" i="12"/>
  <c r="E76" i="12"/>
  <c r="E77" i="12"/>
  <c r="E78" i="12"/>
  <c r="E79" i="12"/>
  <c r="E80" i="12"/>
  <c r="E81" i="12"/>
  <c r="E82" i="12"/>
  <c r="E83" i="12"/>
  <c r="E84" i="12"/>
  <c r="E85" i="12"/>
  <c r="E86" i="12"/>
  <c r="E87" i="12"/>
  <c r="E88" i="12"/>
  <c r="E89" i="12"/>
  <c r="E90" i="12"/>
  <c r="E91" i="12"/>
  <c r="E92" i="12"/>
  <c r="E93" i="12"/>
  <c r="E94" i="12"/>
  <c r="E95" i="12"/>
  <c r="E96" i="12"/>
  <c r="E97" i="12"/>
  <c r="E98" i="12"/>
  <c r="E99" i="12"/>
  <c r="E100" i="12"/>
  <c r="E101" i="12"/>
  <c r="E102" i="12"/>
  <c r="E103" i="12"/>
  <c r="E104" i="12"/>
  <c r="E105" i="12"/>
  <c r="E106" i="12"/>
  <c r="E107" i="12"/>
  <c r="E108" i="12"/>
  <c r="E109" i="12"/>
  <c r="E110" i="12"/>
  <c r="E111" i="12"/>
  <c r="E112" i="12"/>
  <c r="E113" i="12"/>
  <c r="E114" i="12"/>
  <c r="E115" i="12"/>
  <c r="E116" i="12"/>
  <c r="E117" i="12"/>
  <c r="E118" i="12"/>
  <c r="E119" i="12"/>
  <c r="E120" i="12"/>
  <c r="E121" i="12"/>
  <c r="E122" i="12"/>
  <c r="E123" i="12"/>
  <c r="E124" i="12"/>
  <c r="E125" i="12"/>
  <c r="E126" i="12"/>
  <c r="E127" i="12"/>
  <c r="E128" i="12"/>
  <c r="E129" i="12"/>
  <c r="E130" i="12"/>
  <c r="E131" i="12"/>
  <c r="E132" i="12"/>
  <c r="E133" i="12"/>
  <c r="E134" i="12"/>
  <c r="E135" i="12"/>
  <c r="E136" i="12"/>
  <c r="E137" i="12"/>
  <c r="E138" i="12"/>
  <c r="E139" i="12"/>
  <c r="E140" i="12"/>
  <c r="E141" i="12"/>
  <c r="E142" i="12"/>
  <c r="E143" i="12"/>
  <c r="E144" i="12"/>
  <c r="E145" i="12"/>
  <c r="E146" i="12"/>
  <c r="E147" i="12"/>
  <c r="E148" i="12"/>
  <c r="E149" i="12"/>
  <c r="E150" i="12"/>
  <c r="E151" i="12"/>
  <c r="E152" i="12"/>
  <c r="E153" i="12"/>
  <c r="E154" i="12"/>
  <c r="E155" i="12"/>
  <c r="E156" i="12"/>
  <c r="E157" i="12"/>
  <c r="E158" i="12"/>
  <c r="E159" i="12"/>
  <c r="E160" i="12"/>
  <c r="E161" i="12"/>
  <c r="E162" i="12"/>
  <c r="E163" i="12"/>
  <c r="E164" i="12"/>
  <c r="E165" i="12"/>
  <c r="E166" i="12"/>
  <c r="E167" i="12"/>
  <c r="E168" i="12"/>
  <c r="E169" i="12"/>
  <c r="E170" i="12"/>
  <c r="E171" i="12"/>
  <c r="E172" i="12"/>
  <c r="E173" i="12"/>
  <c r="E174" i="12"/>
  <c r="E175" i="12"/>
  <c r="E176" i="12"/>
  <c r="E177" i="12"/>
  <c r="E178" i="12"/>
  <c r="E179" i="12"/>
  <c r="E180" i="12"/>
  <c r="E181" i="12"/>
  <c r="E182" i="12"/>
  <c r="E183" i="12"/>
  <c r="E184" i="12"/>
  <c r="E185" i="12"/>
  <c r="E186" i="12"/>
  <c r="E187" i="12"/>
  <c r="E188" i="12"/>
  <c r="E189" i="12"/>
  <c r="E190" i="12"/>
  <c r="E191" i="12"/>
  <c r="E192" i="12"/>
  <c r="E193" i="12"/>
  <c r="E194" i="12"/>
  <c r="E195" i="12"/>
  <c r="E196" i="12"/>
  <c r="E197" i="12"/>
  <c r="E198" i="12"/>
  <c r="E199" i="12"/>
  <c r="E200" i="12"/>
  <c r="E201" i="12"/>
  <c r="E202" i="12"/>
  <c r="E203" i="12"/>
  <c r="E204" i="12"/>
  <c r="E205" i="12"/>
  <c r="E206" i="12"/>
  <c r="E207" i="12"/>
  <c r="E208" i="12"/>
  <c r="E209" i="12"/>
  <c r="E210" i="12"/>
  <c r="E211" i="12"/>
  <c r="E212" i="12"/>
  <c r="E213" i="12"/>
  <c r="E214" i="12"/>
  <c r="E215" i="12"/>
  <c r="E216" i="12"/>
  <c r="E217" i="12"/>
  <c r="E218" i="12"/>
  <c r="E219" i="12"/>
  <c r="E220" i="12"/>
  <c r="E221" i="12"/>
  <c r="E222" i="12"/>
  <c r="E223" i="12"/>
  <c r="E224" i="12"/>
  <c r="E225" i="12"/>
  <c r="E226" i="12"/>
  <c r="E227" i="12"/>
  <c r="E228" i="12"/>
  <c r="E229" i="12"/>
  <c r="E230" i="12"/>
  <c r="E231" i="12"/>
  <c r="E232" i="12"/>
  <c r="E233" i="12"/>
  <c r="E234" i="12"/>
  <c r="E235" i="12"/>
  <c r="E236" i="12"/>
  <c r="E237" i="12"/>
  <c r="E238" i="12"/>
  <c r="E239" i="12"/>
  <c r="E240" i="12"/>
  <c r="E241" i="12"/>
  <c r="E242" i="12"/>
  <c r="E243" i="12"/>
  <c r="E244" i="12"/>
  <c r="E245" i="12"/>
  <c r="E246" i="12"/>
  <c r="E247" i="12"/>
  <c r="E248" i="12"/>
  <c r="E249" i="12"/>
  <c r="E250" i="12"/>
  <c r="E251" i="12"/>
  <c r="E252" i="12"/>
  <c r="E253" i="12"/>
  <c r="E254" i="12"/>
  <c r="E255" i="12"/>
  <c r="E256" i="12"/>
  <c r="E257" i="12"/>
  <c r="E258" i="12"/>
  <c r="E259" i="12"/>
  <c r="E260" i="12"/>
  <c r="E261" i="12"/>
  <c r="E262" i="12"/>
  <c r="E263" i="12"/>
  <c r="E264" i="12"/>
  <c r="E265" i="12"/>
  <c r="E266" i="12"/>
  <c r="E267" i="12"/>
  <c r="E268" i="12"/>
  <c r="E269" i="12"/>
  <c r="E270" i="12"/>
  <c r="E271" i="12"/>
  <c r="E272" i="12"/>
  <c r="E273" i="12"/>
  <c r="E274" i="12"/>
  <c r="E275" i="12"/>
  <c r="E276" i="12"/>
  <c r="E277" i="12"/>
  <c r="E278" i="12"/>
  <c r="E279" i="12"/>
  <c r="E280" i="12"/>
  <c r="E281" i="12"/>
  <c r="E282" i="12"/>
  <c r="E283" i="12"/>
  <c r="E284" i="12"/>
  <c r="E285" i="12"/>
  <c r="E286" i="12"/>
  <c r="E287" i="12"/>
  <c r="E288" i="12"/>
  <c r="E289" i="12"/>
  <c r="E290" i="12"/>
  <c r="E291" i="12"/>
  <c r="E292" i="12"/>
  <c r="E293" i="12"/>
  <c r="E294" i="12"/>
  <c r="E295" i="12"/>
  <c r="E296" i="12"/>
  <c r="E297" i="12"/>
  <c r="E298" i="12"/>
  <c r="E299" i="12"/>
  <c r="E300" i="12"/>
  <c r="E301" i="12"/>
  <c r="E302" i="12"/>
  <c r="E303" i="12"/>
  <c r="E304" i="12"/>
  <c r="E305" i="12"/>
  <c r="E306" i="12"/>
  <c r="E307" i="12"/>
  <c r="E308" i="12"/>
  <c r="E309" i="12"/>
  <c r="E310" i="12"/>
  <c r="E311" i="12"/>
  <c r="E312" i="12"/>
  <c r="E313" i="12"/>
  <c r="E314" i="12"/>
  <c r="E315" i="12"/>
  <c r="E316" i="12"/>
  <c r="E317" i="12"/>
  <c r="E318" i="12"/>
  <c r="E319" i="12"/>
  <c r="E320" i="12"/>
  <c r="E321" i="12"/>
  <c r="E322" i="12"/>
  <c r="E323" i="12"/>
  <c r="E324" i="12"/>
  <c r="E325" i="12"/>
  <c r="E326" i="12"/>
  <c r="E327" i="12"/>
  <c r="E328" i="12"/>
  <c r="E329" i="12"/>
  <c r="E330" i="12"/>
  <c r="E331" i="12"/>
  <c r="E332" i="12"/>
  <c r="E333" i="12"/>
  <c r="E334" i="12"/>
  <c r="E335" i="12"/>
  <c r="E336" i="12"/>
  <c r="E337" i="12"/>
  <c r="E338" i="12"/>
  <c r="E339" i="12"/>
  <c r="E340" i="12"/>
  <c r="E341" i="12"/>
  <c r="E342" i="12"/>
  <c r="E343" i="12"/>
  <c r="E344" i="12"/>
  <c r="E345" i="12"/>
  <c r="E346" i="12"/>
  <c r="E347" i="12"/>
  <c r="E348" i="12"/>
  <c r="E349" i="12"/>
  <c r="E350" i="12"/>
  <c r="E351" i="12"/>
  <c r="E352" i="12"/>
  <c r="E353" i="12"/>
  <c r="E354" i="12"/>
  <c r="E355" i="12"/>
  <c r="E356" i="12"/>
  <c r="E357" i="12"/>
  <c r="E358" i="12"/>
  <c r="E359" i="12"/>
  <c r="E360" i="12"/>
  <c r="E361" i="12"/>
  <c r="E362" i="12"/>
  <c r="E363" i="12"/>
  <c r="E364" i="12"/>
  <c r="E365" i="12"/>
  <c r="E366" i="12"/>
  <c r="E367" i="12"/>
  <c r="E368" i="12"/>
  <c r="E369" i="12"/>
  <c r="E370" i="12"/>
  <c r="E371" i="12"/>
  <c r="E372" i="12"/>
  <c r="E373" i="12"/>
  <c r="E374" i="12"/>
  <c r="E375" i="12"/>
  <c r="E376" i="12"/>
  <c r="E377" i="12"/>
  <c r="E378" i="12"/>
  <c r="E379" i="12"/>
  <c r="E380" i="12"/>
  <c r="E381" i="12"/>
  <c r="E382" i="12"/>
  <c r="E383" i="12"/>
  <c r="E384" i="12"/>
  <c r="E385" i="12"/>
  <c r="E386" i="12"/>
  <c r="E387" i="12"/>
  <c r="E388" i="12"/>
  <c r="E389" i="12"/>
  <c r="E390" i="12"/>
  <c r="E391" i="12"/>
  <c r="E392" i="12"/>
  <c r="E393" i="12"/>
  <c r="E394" i="12"/>
  <c r="E395" i="12"/>
  <c r="E396" i="12"/>
  <c r="E397" i="12"/>
  <c r="E398" i="12"/>
  <c r="E399" i="12"/>
  <c r="E400" i="12"/>
  <c r="E401" i="12"/>
  <c r="E402" i="12"/>
  <c r="E403" i="12"/>
  <c r="E404" i="12"/>
  <c r="E405" i="12"/>
  <c r="E406" i="12"/>
  <c r="E407" i="12"/>
  <c r="E408" i="12"/>
  <c r="E409" i="12"/>
  <c r="E410" i="12"/>
  <c r="E411" i="12"/>
  <c r="E412" i="12"/>
  <c r="E413" i="12"/>
  <c r="E414" i="12"/>
  <c r="E415" i="12"/>
  <c r="E416" i="12"/>
  <c r="E417" i="12"/>
  <c r="E418" i="12"/>
  <c r="E419" i="12"/>
  <c r="E420" i="12"/>
  <c r="E421" i="12"/>
  <c r="E422" i="12"/>
  <c r="E423" i="12"/>
  <c r="E424" i="12"/>
  <c r="E425" i="12"/>
  <c r="E426" i="12"/>
  <c r="E427" i="12"/>
  <c r="E428" i="12"/>
  <c r="E429" i="12"/>
  <c r="E430" i="12"/>
  <c r="E431" i="12"/>
  <c r="E432" i="12"/>
  <c r="E433" i="12"/>
  <c r="E434" i="12"/>
  <c r="E435" i="12"/>
  <c r="E436" i="12"/>
  <c r="E437" i="12"/>
  <c r="E438" i="12"/>
  <c r="E439" i="12"/>
  <c r="E440" i="12"/>
  <c r="E441" i="12"/>
  <c r="E442" i="12"/>
  <c r="E443" i="12"/>
  <c r="E444" i="12"/>
  <c r="E445" i="12"/>
  <c r="E446" i="12"/>
  <c r="E447" i="12"/>
  <c r="E448" i="12"/>
  <c r="E449" i="12"/>
  <c r="E450" i="12"/>
  <c r="E451" i="12"/>
  <c r="E452" i="12"/>
  <c r="E453" i="12"/>
  <c r="E454" i="12"/>
  <c r="E455" i="12"/>
  <c r="E456" i="12"/>
  <c r="E457" i="12"/>
  <c r="E458" i="12"/>
  <c r="E459" i="12"/>
  <c r="E460" i="12"/>
  <c r="E461" i="12"/>
  <c r="E462" i="12"/>
  <c r="E463" i="12"/>
  <c r="E464" i="12"/>
  <c r="E465" i="12"/>
  <c r="E466" i="12"/>
  <c r="E467" i="12"/>
  <c r="E468" i="12"/>
  <c r="E469" i="12"/>
  <c r="E470" i="12"/>
  <c r="E471" i="12"/>
  <c r="E472" i="12"/>
  <c r="E473" i="12"/>
  <c r="E474" i="12"/>
  <c r="E475" i="12"/>
  <c r="E476" i="12"/>
  <c r="E477" i="12"/>
  <c r="E478" i="12"/>
  <c r="E479" i="12"/>
  <c r="E480" i="12"/>
  <c r="E481" i="12"/>
  <c r="E482" i="12"/>
  <c r="E483" i="12"/>
  <c r="E484" i="12"/>
  <c r="E485" i="12"/>
  <c r="E486" i="12"/>
  <c r="E487" i="12"/>
  <c r="E488" i="12"/>
  <c r="E489" i="12"/>
  <c r="E490" i="12"/>
  <c r="E491" i="12"/>
  <c r="E492" i="12"/>
  <c r="E493" i="12"/>
  <c r="E494" i="12"/>
  <c r="E495" i="12"/>
  <c r="E496" i="12"/>
  <c r="E497" i="12"/>
  <c r="E498" i="12"/>
  <c r="E499" i="12"/>
  <c r="E500" i="12"/>
  <c r="E501" i="12"/>
  <c r="E502" i="12"/>
  <c r="E503" i="12"/>
  <c r="E504" i="12"/>
  <c r="E505" i="12"/>
  <c r="E506" i="12"/>
  <c r="E507" i="12"/>
  <c r="E508" i="12"/>
  <c r="E509" i="12"/>
  <c r="E510" i="12"/>
  <c r="E511" i="12"/>
  <c r="E512" i="12"/>
  <c r="E513" i="12"/>
  <c r="E514" i="12"/>
  <c r="E515" i="12"/>
  <c r="E516" i="12"/>
  <c r="E517" i="12"/>
  <c r="E518" i="12"/>
  <c r="E519" i="12"/>
  <c r="E520" i="12"/>
  <c r="E521" i="12"/>
  <c r="E522" i="12"/>
  <c r="E523" i="12"/>
  <c r="E524" i="12"/>
  <c r="E525" i="12"/>
  <c r="E526" i="12"/>
  <c r="E527" i="12"/>
  <c r="E528" i="12"/>
  <c r="E529" i="12"/>
  <c r="E530" i="12"/>
  <c r="E531" i="12"/>
  <c r="E532" i="12"/>
  <c r="E533" i="12"/>
  <c r="E534" i="12"/>
  <c r="E535" i="12"/>
  <c r="E536" i="12"/>
  <c r="E537" i="12"/>
  <c r="E538" i="12"/>
  <c r="E539" i="12"/>
  <c r="E540" i="12"/>
  <c r="E541" i="12"/>
  <c r="E542" i="12"/>
  <c r="E543" i="12"/>
  <c r="E544" i="12"/>
  <c r="E545" i="12"/>
  <c r="E546" i="12"/>
  <c r="E547" i="12"/>
  <c r="E548" i="12"/>
  <c r="E549" i="12"/>
  <c r="E550" i="12"/>
  <c r="E551" i="12"/>
  <c r="E552" i="12"/>
  <c r="E553" i="12"/>
  <c r="E554" i="12"/>
  <c r="E555" i="12"/>
  <c r="E556" i="12"/>
  <c r="E557" i="12"/>
  <c r="E558" i="12"/>
  <c r="E559" i="12"/>
  <c r="E560" i="12"/>
  <c r="E561" i="12"/>
  <c r="E562" i="12"/>
  <c r="E563" i="12"/>
  <c r="E564" i="12"/>
  <c r="E565" i="12"/>
  <c r="E566" i="12"/>
  <c r="E567" i="12"/>
  <c r="E568" i="12"/>
  <c r="E569" i="12"/>
  <c r="E570" i="12"/>
  <c r="E571" i="12"/>
  <c r="E572" i="12"/>
  <c r="E573" i="12"/>
  <c r="E574" i="12"/>
  <c r="E575" i="12"/>
  <c r="E576" i="12"/>
  <c r="E577" i="12"/>
  <c r="E578" i="12"/>
  <c r="E579" i="12"/>
  <c r="E580" i="12"/>
  <c r="E581" i="12"/>
  <c r="E582" i="12"/>
  <c r="E583" i="12"/>
  <c r="E584" i="12"/>
  <c r="E585" i="12"/>
  <c r="E586" i="12"/>
  <c r="E587" i="12"/>
  <c r="E588" i="12"/>
  <c r="E589" i="12"/>
  <c r="E590" i="12"/>
  <c r="E591" i="12"/>
  <c r="E592" i="12"/>
  <c r="E593" i="12"/>
  <c r="E594" i="12"/>
  <c r="E595" i="12"/>
  <c r="E596" i="12"/>
  <c r="E597" i="12"/>
  <c r="E598" i="12"/>
  <c r="E599" i="12"/>
  <c r="E600" i="12"/>
  <c r="E601" i="12"/>
  <c r="E602" i="12"/>
  <c r="E603" i="12"/>
  <c r="E604" i="12"/>
  <c r="E605" i="12"/>
  <c r="E606" i="12"/>
  <c r="E607" i="12"/>
  <c r="E608" i="12"/>
  <c r="E609" i="12"/>
  <c r="E610" i="12"/>
  <c r="E611" i="12"/>
  <c r="E612" i="12"/>
  <c r="E613" i="12"/>
  <c r="E614" i="12"/>
  <c r="E615" i="12"/>
  <c r="E616" i="12"/>
  <c r="E617" i="12"/>
  <c r="E618" i="12"/>
  <c r="E619" i="12"/>
  <c r="E620" i="12"/>
  <c r="E621" i="12"/>
  <c r="E622" i="12"/>
  <c r="E623" i="12"/>
  <c r="E624" i="12"/>
  <c r="E625" i="12"/>
  <c r="E626" i="12"/>
  <c r="E627" i="12"/>
  <c r="E628" i="12"/>
  <c r="E629" i="12"/>
  <c r="E630" i="12"/>
  <c r="E631" i="12"/>
  <c r="E632" i="12"/>
  <c r="E633" i="12"/>
  <c r="E634" i="12"/>
  <c r="E635" i="12"/>
  <c r="E636" i="12"/>
  <c r="E637" i="12"/>
  <c r="E638" i="12"/>
  <c r="E639" i="12"/>
  <c r="E640" i="12"/>
  <c r="E641" i="12"/>
  <c r="E642" i="12"/>
  <c r="E643" i="12"/>
  <c r="E644" i="12"/>
  <c r="E645" i="12"/>
  <c r="E646" i="12"/>
  <c r="E647" i="12"/>
  <c r="E648" i="12"/>
  <c r="E649" i="12"/>
  <c r="E650" i="12"/>
  <c r="E651" i="12"/>
  <c r="E652" i="12"/>
  <c r="E653" i="12"/>
  <c r="E654" i="12"/>
  <c r="E655" i="12"/>
  <c r="E656" i="12"/>
  <c r="E657" i="12"/>
  <c r="E658" i="12"/>
  <c r="E659" i="12"/>
  <c r="E660" i="12"/>
  <c r="E661" i="12"/>
  <c r="E662" i="12"/>
  <c r="E663" i="12"/>
  <c r="E664" i="12"/>
  <c r="E665" i="12"/>
  <c r="E666" i="12"/>
  <c r="E667" i="12"/>
  <c r="E668" i="12"/>
  <c r="E669" i="12"/>
  <c r="E670" i="12"/>
  <c r="E671" i="12"/>
  <c r="E672" i="12"/>
  <c r="E673" i="12"/>
  <c r="E674" i="12"/>
  <c r="E675" i="12"/>
  <c r="E676" i="12"/>
  <c r="E677" i="12"/>
  <c r="E678" i="12"/>
  <c r="E679" i="12"/>
  <c r="E680" i="12"/>
  <c r="E681" i="12"/>
  <c r="E682" i="12"/>
  <c r="E683" i="12"/>
  <c r="E684" i="12"/>
  <c r="E685" i="12"/>
  <c r="E686" i="12"/>
  <c r="E687" i="12"/>
  <c r="E688" i="12"/>
  <c r="E689" i="12"/>
  <c r="E690" i="12"/>
  <c r="E691" i="12"/>
  <c r="E692" i="12"/>
  <c r="E693" i="12"/>
  <c r="E694" i="12"/>
  <c r="E695" i="12"/>
  <c r="E696" i="12"/>
  <c r="E697" i="12"/>
  <c r="E698" i="12"/>
  <c r="E699" i="12"/>
  <c r="E700" i="12"/>
  <c r="E701" i="12"/>
  <c r="E702" i="12"/>
  <c r="E703" i="12"/>
  <c r="E704" i="12"/>
  <c r="E705" i="12"/>
  <c r="E706" i="12"/>
  <c r="E707" i="12"/>
  <c r="E708" i="12"/>
  <c r="E709" i="12"/>
  <c r="E710" i="12"/>
  <c r="E711" i="12"/>
  <c r="E712" i="12"/>
  <c r="E713" i="12"/>
  <c r="E714" i="12"/>
  <c r="E715" i="12"/>
  <c r="E716" i="12"/>
  <c r="E717" i="12"/>
  <c r="E718" i="12"/>
  <c r="E719" i="12"/>
  <c r="E720" i="12"/>
  <c r="E721" i="12"/>
  <c r="E722" i="12"/>
  <c r="E723" i="12"/>
  <c r="E724" i="12"/>
  <c r="E725" i="12"/>
  <c r="E726" i="12"/>
  <c r="E727" i="12"/>
  <c r="E728" i="12"/>
  <c r="E729" i="12"/>
  <c r="E730" i="12"/>
  <c r="E731" i="12"/>
  <c r="E732" i="12"/>
  <c r="E733" i="12"/>
  <c r="E734" i="12"/>
  <c r="E735" i="12"/>
  <c r="E736" i="12"/>
  <c r="E737" i="12"/>
  <c r="E738" i="12"/>
  <c r="E739" i="12"/>
  <c r="E740" i="12"/>
  <c r="E741" i="12"/>
  <c r="E742" i="12"/>
  <c r="E743" i="12"/>
  <c r="E744" i="12"/>
  <c r="E745" i="12"/>
  <c r="E746" i="12"/>
  <c r="E747" i="12"/>
  <c r="E748" i="12"/>
  <c r="E749" i="12"/>
  <c r="E750" i="12"/>
  <c r="E751" i="12"/>
  <c r="E752" i="12"/>
  <c r="E753" i="12"/>
  <c r="E754" i="12"/>
  <c r="E755" i="12"/>
  <c r="E756" i="12"/>
  <c r="E757" i="12"/>
  <c r="E758" i="12"/>
  <c r="E759" i="12"/>
  <c r="E760" i="12"/>
  <c r="E761" i="12"/>
  <c r="E762" i="12"/>
  <c r="E763" i="12"/>
  <c r="E764" i="12"/>
  <c r="E765" i="12"/>
  <c r="E766" i="12"/>
  <c r="E767" i="12"/>
  <c r="E768" i="12"/>
  <c r="E769" i="12"/>
  <c r="E770" i="12"/>
  <c r="E771" i="12"/>
  <c r="E772" i="12"/>
  <c r="E773" i="12"/>
  <c r="E774" i="12"/>
  <c r="E775" i="12"/>
  <c r="E776" i="12"/>
  <c r="E777" i="12"/>
  <c r="E778" i="12"/>
  <c r="E779" i="12"/>
  <c r="E780" i="12"/>
  <c r="E781" i="12"/>
  <c r="E782" i="12"/>
  <c r="E783" i="12"/>
  <c r="E784" i="12"/>
  <c r="E785" i="12"/>
  <c r="E786" i="12"/>
  <c r="E787" i="12"/>
  <c r="E788" i="12"/>
  <c r="E789" i="12"/>
  <c r="E790" i="12"/>
  <c r="E791" i="12"/>
  <c r="E792" i="12"/>
  <c r="E793" i="12"/>
  <c r="E794" i="12"/>
  <c r="E795" i="12"/>
  <c r="E796" i="12"/>
  <c r="E797" i="12"/>
  <c r="E798" i="12"/>
  <c r="E799" i="12"/>
  <c r="E800" i="12"/>
  <c r="E801" i="12"/>
  <c r="E802" i="12"/>
  <c r="E803" i="12"/>
  <c r="E804" i="12"/>
  <c r="E805" i="12"/>
  <c r="E806" i="12"/>
  <c r="E807" i="12"/>
  <c r="E808" i="12"/>
  <c r="E809" i="12"/>
  <c r="E810" i="12"/>
  <c r="E811" i="12"/>
  <c r="E812" i="12"/>
  <c r="E813" i="12"/>
  <c r="E814" i="12"/>
  <c r="E815" i="12"/>
  <c r="E816" i="12"/>
  <c r="E817" i="12"/>
  <c r="E818" i="12"/>
  <c r="E819" i="12"/>
  <c r="E820" i="12"/>
  <c r="E821" i="12"/>
  <c r="E822" i="12"/>
  <c r="E823" i="12"/>
  <c r="E824" i="12"/>
  <c r="E825" i="12"/>
  <c r="E826" i="12"/>
  <c r="E827" i="12"/>
  <c r="E828" i="12"/>
  <c r="E829" i="12"/>
  <c r="E830" i="12"/>
  <c r="E831" i="12"/>
  <c r="E832" i="12"/>
  <c r="E833" i="12"/>
  <c r="E834" i="12"/>
  <c r="E835" i="12"/>
  <c r="E836" i="12"/>
  <c r="E837" i="12"/>
  <c r="E838" i="12"/>
  <c r="E839" i="12"/>
  <c r="E840" i="12"/>
  <c r="E841" i="12"/>
  <c r="E842" i="12"/>
  <c r="E843" i="12"/>
  <c r="E844" i="12"/>
  <c r="E845" i="12"/>
  <c r="E846" i="12"/>
  <c r="E847" i="12"/>
  <c r="E848" i="12"/>
  <c r="E849" i="12"/>
  <c r="E850" i="12"/>
  <c r="E851" i="12"/>
  <c r="E852" i="12"/>
  <c r="E853" i="12"/>
  <c r="E854" i="12"/>
  <c r="E855" i="12"/>
  <c r="E856" i="12"/>
  <c r="E857" i="12"/>
  <c r="E858" i="12"/>
  <c r="E859" i="12"/>
  <c r="E860" i="12"/>
  <c r="E861" i="12"/>
  <c r="E862" i="12"/>
  <c r="E863" i="12"/>
  <c r="E864" i="12"/>
  <c r="E865" i="12"/>
  <c r="E866" i="12"/>
  <c r="E867" i="12"/>
  <c r="E868" i="12"/>
  <c r="E869" i="12"/>
  <c r="E870" i="12"/>
  <c r="E871" i="12"/>
  <c r="E872" i="12"/>
  <c r="E873" i="12"/>
  <c r="E874" i="12"/>
  <c r="E875" i="12"/>
  <c r="E876" i="12"/>
  <c r="E877" i="12"/>
  <c r="E878" i="12"/>
  <c r="E879" i="12"/>
  <c r="E880" i="12"/>
  <c r="E881" i="12"/>
  <c r="E882" i="12"/>
  <c r="E883" i="12"/>
  <c r="E884" i="12"/>
  <c r="E885" i="12"/>
  <c r="E886" i="12"/>
  <c r="E887" i="12"/>
  <c r="E888" i="12"/>
  <c r="E889" i="12"/>
  <c r="E890" i="12"/>
  <c r="E891" i="12"/>
  <c r="E892" i="12"/>
  <c r="E893" i="12"/>
  <c r="E894" i="12"/>
  <c r="E895" i="12"/>
  <c r="E896" i="12"/>
  <c r="E897" i="12"/>
  <c r="E898" i="12"/>
  <c r="E899" i="12"/>
  <c r="E900" i="12"/>
  <c r="E901" i="12"/>
  <c r="E902" i="12"/>
  <c r="E903" i="12"/>
  <c r="E904" i="12"/>
  <c r="E905" i="12"/>
  <c r="E906" i="12"/>
  <c r="E907" i="12"/>
  <c r="E908" i="12"/>
  <c r="E909" i="12"/>
  <c r="E910" i="12"/>
  <c r="E911" i="12"/>
  <c r="E912" i="12"/>
  <c r="E913" i="12"/>
  <c r="E914" i="12"/>
  <c r="E915" i="12"/>
  <c r="E916" i="12"/>
  <c r="E917" i="12"/>
  <c r="E918" i="12"/>
  <c r="E919" i="12"/>
  <c r="E920" i="12"/>
  <c r="E921" i="12"/>
  <c r="E922" i="12"/>
  <c r="E923" i="12"/>
  <c r="E924" i="12"/>
  <c r="E925" i="12"/>
  <c r="E926" i="12"/>
  <c r="E927" i="12"/>
  <c r="E928" i="12"/>
  <c r="E929" i="12"/>
  <c r="E930" i="12"/>
  <c r="E931" i="12"/>
  <c r="E932" i="12"/>
  <c r="E933" i="12"/>
  <c r="E934" i="12"/>
  <c r="E935" i="12"/>
  <c r="E936" i="12"/>
  <c r="E937" i="12"/>
  <c r="E938" i="12"/>
  <c r="E939" i="12"/>
  <c r="E940" i="12"/>
  <c r="E941" i="12"/>
  <c r="E942" i="12"/>
  <c r="E943" i="12"/>
  <c r="E944" i="12"/>
  <c r="E945" i="12"/>
  <c r="E946" i="12"/>
  <c r="E947" i="12"/>
  <c r="E948" i="12"/>
  <c r="E949" i="12"/>
  <c r="E950" i="12"/>
  <c r="E951" i="12"/>
  <c r="E952" i="12"/>
  <c r="E953" i="12"/>
  <c r="E954" i="12"/>
  <c r="E955" i="12"/>
  <c r="E956" i="12"/>
  <c r="E957" i="12"/>
  <c r="E958" i="12"/>
  <c r="E959" i="12"/>
  <c r="E960" i="12"/>
  <c r="E961" i="12"/>
  <c r="E962" i="12"/>
  <c r="E963" i="12"/>
  <c r="E964" i="12"/>
  <c r="E965" i="12"/>
  <c r="E966" i="12"/>
  <c r="E967" i="12"/>
  <c r="E968" i="12"/>
  <c r="E969" i="12"/>
  <c r="E970" i="12"/>
  <c r="E971" i="12"/>
  <c r="E972" i="12"/>
  <c r="E973" i="12"/>
  <c r="E974" i="12"/>
  <c r="E975" i="12"/>
  <c r="E976" i="12"/>
  <c r="E977" i="12"/>
  <c r="E978" i="12"/>
  <c r="E979" i="12"/>
  <c r="E980" i="12"/>
  <c r="E981" i="12"/>
  <c r="E982" i="12"/>
  <c r="E983" i="12"/>
  <c r="E984" i="12"/>
  <c r="E985" i="12"/>
  <c r="E986" i="12"/>
  <c r="E987" i="12"/>
  <c r="E988" i="12"/>
  <c r="E989" i="12"/>
  <c r="E990" i="12"/>
  <c r="E991" i="12"/>
  <c r="E992" i="12"/>
  <c r="E993" i="12"/>
  <c r="E994" i="12"/>
  <c r="E995" i="12"/>
  <c r="E996" i="12"/>
  <c r="E997" i="12"/>
  <c r="E998" i="12"/>
  <c r="E999" i="12"/>
  <c r="E1000" i="12"/>
  <c r="E1001" i="12"/>
  <c r="E1002" i="12"/>
  <c r="E3" i="12"/>
  <c r="F4" i="12"/>
  <c r="F5" i="12"/>
  <c r="F6" i="12"/>
  <c r="F7" i="12"/>
  <c r="F8" i="12"/>
  <c r="F9" i="12"/>
  <c r="F10" i="12"/>
  <c r="F11" i="12"/>
  <c r="F12" i="12"/>
  <c r="F13" i="12"/>
  <c r="F14" i="12"/>
  <c r="F15" i="12"/>
  <c r="F16" i="12"/>
  <c r="F17" i="12"/>
  <c r="F18" i="12"/>
  <c r="F19" i="12"/>
  <c r="F20" i="12"/>
  <c r="F21" i="12"/>
  <c r="F22" i="12"/>
  <c r="F23" i="12"/>
  <c r="F24" i="12"/>
  <c r="F25" i="12"/>
  <c r="F26" i="12"/>
  <c r="F27" i="12"/>
  <c r="F28" i="12"/>
  <c r="F29" i="12"/>
  <c r="F30" i="12"/>
  <c r="F31" i="12"/>
  <c r="F32" i="12"/>
  <c r="F33" i="12"/>
  <c r="F34" i="12"/>
  <c r="F35" i="12"/>
  <c r="F36" i="12"/>
  <c r="F37" i="12"/>
  <c r="F38" i="12"/>
  <c r="F39" i="12"/>
  <c r="F40" i="12"/>
  <c r="F41" i="12"/>
  <c r="F42" i="12"/>
  <c r="F43" i="12"/>
  <c r="F44" i="12"/>
  <c r="F45" i="12"/>
  <c r="F46" i="12"/>
  <c r="F47" i="12"/>
  <c r="F48" i="12"/>
  <c r="F49" i="12"/>
  <c r="F50" i="12"/>
  <c r="F51" i="12"/>
  <c r="F52" i="12"/>
  <c r="F53" i="12"/>
  <c r="F54" i="12"/>
  <c r="F55" i="12"/>
  <c r="F56" i="12"/>
  <c r="F57" i="12"/>
  <c r="F58" i="12"/>
  <c r="F59" i="12"/>
  <c r="F60" i="12"/>
  <c r="F61" i="12"/>
  <c r="F62" i="12"/>
  <c r="F63" i="12"/>
  <c r="F64" i="12"/>
  <c r="F65" i="12"/>
  <c r="F66" i="12"/>
  <c r="F67" i="12"/>
  <c r="F68" i="12"/>
  <c r="F69" i="12"/>
  <c r="F70" i="12"/>
  <c r="F71" i="12"/>
  <c r="F72" i="12"/>
  <c r="F73" i="12"/>
  <c r="F74" i="12"/>
  <c r="F75" i="12"/>
  <c r="F76" i="12"/>
  <c r="F77" i="12"/>
  <c r="F78" i="12"/>
  <c r="F79" i="12"/>
  <c r="F80" i="12"/>
  <c r="F81" i="12"/>
  <c r="F82" i="12"/>
  <c r="F83" i="12"/>
  <c r="F84" i="12"/>
  <c r="F85" i="12"/>
  <c r="F86" i="12"/>
  <c r="F87" i="12"/>
  <c r="F88" i="12"/>
  <c r="F89" i="12"/>
  <c r="F90" i="12"/>
  <c r="F91" i="12"/>
  <c r="F92" i="12"/>
  <c r="F93" i="12"/>
  <c r="F94" i="12"/>
  <c r="F95" i="12"/>
  <c r="F96" i="12"/>
  <c r="F97" i="12"/>
  <c r="F98" i="12"/>
  <c r="F99" i="12"/>
  <c r="F100" i="12"/>
  <c r="F101" i="12"/>
  <c r="F102" i="12"/>
  <c r="F103" i="12"/>
  <c r="F104" i="12"/>
  <c r="F105" i="12"/>
  <c r="F106" i="12"/>
  <c r="F107" i="12"/>
  <c r="F108" i="12"/>
  <c r="F109" i="12"/>
  <c r="F110" i="12"/>
  <c r="F111" i="12"/>
  <c r="F112" i="12"/>
  <c r="F113" i="12"/>
  <c r="F114" i="12"/>
  <c r="F115" i="12"/>
  <c r="F116" i="12"/>
  <c r="F117" i="12"/>
  <c r="F118" i="12"/>
  <c r="F119" i="12"/>
  <c r="F120" i="12"/>
  <c r="F121" i="12"/>
  <c r="F122" i="12"/>
  <c r="F123" i="12"/>
  <c r="F124" i="12"/>
  <c r="F125" i="12"/>
  <c r="F126" i="12"/>
  <c r="F127" i="12"/>
  <c r="F128" i="12"/>
  <c r="F129" i="12"/>
  <c r="F130" i="12"/>
  <c r="F131" i="12"/>
  <c r="F132" i="12"/>
  <c r="F133" i="12"/>
  <c r="F134" i="12"/>
  <c r="F135" i="12"/>
  <c r="F136" i="12"/>
  <c r="F137" i="12"/>
  <c r="F138" i="12"/>
  <c r="F139" i="12"/>
  <c r="F140" i="12"/>
  <c r="F141" i="12"/>
  <c r="F142" i="12"/>
  <c r="F143" i="12"/>
  <c r="F144" i="12"/>
  <c r="F145" i="12"/>
  <c r="F146" i="12"/>
  <c r="F147" i="12"/>
  <c r="F148" i="12"/>
  <c r="F149" i="12"/>
  <c r="F150" i="12"/>
  <c r="F151" i="12"/>
  <c r="F152" i="12"/>
  <c r="F153" i="12"/>
  <c r="F154" i="12"/>
  <c r="F155" i="12"/>
  <c r="F156" i="12"/>
  <c r="F157" i="12"/>
  <c r="F158" i="12"/>
  <c r="F159" i="12"/>
  <c r="F160" i="12"/>
  <c r="F161" i="12"/>
  <c r="F162" i="12"/>
  <c r="F163" i="12"/>
  <c r="F164" i="12"/>
  <c r="F165" i="12"/>
  <c r="F166" i="12"/>
  <c r="F167" i="12"/>
  <c r="F168" i="12"/>
  <c r="F169" i="12"/>
  <c r="F170" i="12"/>
  <c r="F171" i="12"/>
  <c r="F172" i="12"/>
  <c r="F173" i="12"/>
  <c r="F174" i="12"/>
  <c r="F175" i="12"/>
  <c r="F176" i="12"/>
  <c r="F177" i="12"/>
  <c r="F178" i="12"/>
  <c r="F179" i="12"/>
  <c r="F180" i="12"/>
  <c r="F181" i="12"/>
  <c r="F182" i="12"/>
  <c r="F183" i="12"/>
  <c r="F184" i="12"/>
  <c r="F185" i="12"/>
  <c r="F186" i="12"/>
  <c r="F187" i="12"/>
  <c r="F188" i="12"/>
  <c r="F189" i="12"/>
  <c r="F190" i="12"/>
  <c r="F191" i="12"/>
  <c r="F192" i="12"/>
  <c r="F193" i="12"/>
  <c r="F194" i="12"/>
  <c r="F195" i="12"/>
  <c r="F196" i="12"/>
  <c r="F197" i="12"/>
  <c r="F198" i="12"/>
  <c r="F199" i="12"/>
  <c r="F200" i="12"/>
  <c r="F201" i="12"/>
  <c r="F202" i="12"/>
  <c r="F203" i="12"/>
  <c r="F204" i="12"/>
  <c r="F205" i="12"/>
  <c r="F206" i="12"/>
  <c r="F207" i="12"/>
  <c r="F208" i="12"/>
  <c r="F209" i="12"/>
  <c r="F210" i="12"/>
  <c r="F211" i="12"/>
  <c r="F212" i="12"/>
  <c r="F213" i="12"/>
  <c r="F214" i="12"/>
  <c r="F215" i="12"/>
  <c r="F216" i="12"/>
  <c r="F217" i="12"/>
  <c r="F218" i="12"/>
  <c r="F219" i="12"/>
  <c r="F220" i="12"/>
  <c r="F221" i="12"/>
  <c r="F222" i="12"/>
  <c r="F223" i="12"/>
  <c r="F224" i="12"/>
  <c r="F225" i="12"/>
  <c r="F226" i="12"/>
  <c r="F227" i="12"/>
  <c r="F228" i="12"/>
  <c r="F229" i="12"/>
  <c r="F230" i="12"/>
  <c r="F231" i="12"/>
  <c r="F232" i="12"/>
  <c r="F233" i="12"/>
  <c r="F234" i="12"/>
  <c r="F235" i="12"/>
  <c r="F236" i="12"/>
  <c r="F237" i="12"/>
  <c r="F238" i="12"/>
  <c r="F239" i="12"/>
  <c r="F240" i="12"/>
  <c r="F241" i="12"/>
  <c r="F242" i="12"/>
  <c r="F243" i="12"/>
  <c r="F244" i="12"/>
  <c r="F245" i="12"/>
  <c r="F246" i="12"/>
  <c r="F247" i="12"/>
  <c r="F248" i="12"/>
  <c r="F249" i="12"/>
  <c r="F250" i="12"/>
  <c r="F251" i="12"/>
  <c r="F252" i="12"/>
  <c r="F253" i="12"/>
  <c r="F254" i="12"/>
  <c r="F255" i="12"/>
  <c r="F256" i="12"/>
  <c r="F257" i="12"/>
  <c r="F258" i="12"/>
  <c r="F259" i="12"/>
  <c r="F260" i="12"/>
  <c r="F261" i="12"/>
  <c r="F262" i="12"/>
  <c r="F263" i="12"/>
  <c r="F264" i="12"/>
  <c r="F265" i="12"/>
  <c r="F266" i="12"/>
  <c r="F267" i="12"/>
  <c r="F268" i="12"/>
  <c r="F269" i="12"/>
  <c r="F270" i="12"/>
  <c r="F271" i="12"/>
  <c r="F272" i="12"/>
  <c r="F273" i="12"/>
  <c r="F274" i="12"/>
  <c r="F275" i="12"/>
  <c r="F276" i="12"/>
  <c r="F277" i="12"/>
  <c r="F278" i="12"/>
  <c r="F279" i="12"/>
  <c r="F280" i="12"/>
  <c r="F281" i="12"/>
  <c r="F282" i="12"/>
  <c r="F283" i="12"/>
  <c r="F284" i="12"/>
  <c r="F285" i="12"/>
  <c r="F286" i="12"/>
  <c r="F287" i="12"/>
  <c r="F288" i="12"/>
  <c r="F289" i="12"/>
  <c r="F290" i="12"/>
  <c r="F291" i="12"/>
  <c r="F292" i="12"/>
  <c r="F293" i="12"/>
  <c r="F294" i="12"/>
  <c r="F295" i="12"/>
  <c r="F296" i="12"/>
  <c r="F297" i="12"/>
  <c r="F298" i="12"/>
  <c r="F299" i="12"/>
  <c r="F300" i="12"/>
  <c r="F301" i="12"/>
  <c r="F302" i="12"/>
  <c r="F303" i="12"/>
  <c r="F304" i="12"/>
  <c r="F305" i="12"/>
  <c r="F306" i="12"/>
  <c r="F307" i="12"/>
  <c r="F308" i="12"/>
  <c r="F309" i="12"/>
  <c r="F310" i="12"/>
  <c r="F311" i="12"/>
  <c r="F312" i="12"/>
  <c r="F313" i="12"/>
  <c r="F314" i="12"/>
  <c r="F315" i="12"/>
  <c r="F316" i="12"/>
  <c r="F317" i="12"/>
  <c r="F318" i="12"/>
  <c r="F319" i="12"/>
  <c r="F320" i="12"/>
  <c r="F321" i="12"/>
  <c r="F322" i="12"/>
  <c r="F323" i="12"/>
  <c r="F324" i="12"/>
  <c r="F325" i="12"/>
  <c r="F326" i="12"/>
  <c r="F327" i="12"/>
  <c r="F328" i="12"/>
  <c r="F329" i="12"/>
  <c r="F330" i="12"/>
  <c r="F331" i="12"/>
  <c r="F332" i="12"/>
  <c r="F333" i="12"/>
  <c r="F334" i="12"/>
  <c r="F335" i="12"/>
  <c r="F336" i="12"/>
  <c r="F337" i="12"/>
  <c r="F338" i="12"/>
  <c r="F339" i="12"/>
  <c r="F340" i="12"/>
  <c r="F341" i="12"/>
  <c r="F342" i="12"/>
  <c r="F343" i="12"/>
  <c r="F344" i="12"/>
  <c r="F345" i="12"/>
  <c r="F346" i="12"/>
  <c r="F347" i="12"/>
  <c r="F348" i="12"/>
  <c r="F349" i="12"/>
  <c r="F350" i="12"/>
  <c r="F351" i="12"/>
  <c r="F352" i="12"/>
  <c r="F353" i="12"/>
  <c r="F354" i="12"/>
  <c r="F355" i="12"/>
  <c r="F356" i="12"/>
  <c r="F357" i="12"/>
  <c r="F358" i="12"/>
  <c r="F359" i="12"/>
  <c r="F360" i="12"/>
  <c r="F361" i="12"/>
  <c r="F362" i="12"/>
  <c r="F363" i="12"/>
  <c r="F364" i="12"/>
  <c r="F365" i="12"/>
  <c r="F366" i="12"/>
  <c r="F367" i="12"/>
  <c r="F368" i="12"/>
  <c r="F369" i="12"/>
  <c r="F370" i="12"/>
  <c r="F371" i="12"/>
  <c r="F372" i="12"/>
  <c r="F373" i="12"/>
  <c r="F374" i="12"/>
  <c r="F375" i="12"/>
  <c r="F376" i="12"/>
  <c r="F377" i="12"/>
  <c r="F378" i="12"/>
  <c r="F379" i="12"/>
  <c r="F380" i="12"/>
  <c r="F381" i="12"/>
  <c r="F382" i="12"/>
  <c r="F383" i="12"/>
  <c r="F384" i="12"/>
  <c r="F385" i="12"/>
  <c r="F386" i="12"/>
  <c r="F387" i="12"/>
  <c r="F388" i="12"/>
  <c r="F389" i="12"/>
  <c r="F390" i="12"/>
  <c r="F391" i="12"/>
  <c r="F392" i="12"/>
  <c r="F393" i="12"/>
  <c r="F394" i="12"/>
  <c r="F395" i="12"/>
  <c r="F396" i="12"/>
  <c r="F397" i="12"/>
  <c r="F398" i="12"/>
  <c r="F399" i="12"/>
  <c r="F400" i="12"/>
  <c r="F401" i="12"/>
  <c r="F402" i="12"/>
  <c r="F403" i="12"/>
  <c r="F404" i="12"/>
  <c r="F405" i="12"/>
  <c r="F406" i="12"/>
  <c r="F407" i="12"/>
  <c r="F408" i="12"/>
  <c r="F409" i="12"/>
  <c r="F410" i="12"/>
  <c r="F411" i="12"/>
  <c r="F412" i="12"/>
  <c r="F413" i="12"/>
  <c r="F414" i="12"/>
  <c r="F415" i="12"/>
  <c r="F416" i="12"/>
  <c r="F417" i="12"/>
  <c r="F418" i="12"/>
  <c r="F419" i="12"/>
  <c r="F420" i="12"/>
  <c r="F421" i="12"/>
  <c r="F422" i="12"/>
  <c r="F423" i="12"/>
  <c r="F424" i="12"/>
  <c r="F425" i="12"/>
  <c r="F426" i="12"/>
  <c r="F427" i="12"/>
  <c r="F428" i="12"/>
  <c r="F429" i="12"/>
  <c r="F430" i="12"/>
  <c r="F431" i="12"/>
  <c r="F432" i="12"/>
  <c r="F433" i="12"/>
  <c r="F434" i="12"/>
  <c r="F435" i="12"/>
  <c r="F436" i="12"/>
  <c r="F437" i="12"/>
  <c r="F438" i="12"/>
  <c r="F439" i="12"/>
  <c r="F440" i="12"/>
  <c r="F441" i="12"/>
  <c r="F442" i="12"/>
  <c r="F443" i="12"/>
  <c r="F444" i="12"/>
  <c r="F445" i="12"/>
  <c r="F446" i="12"/>
  <c r="F447" i="12"/>
  <c r="F448" i="12"/>
  <c r="F449" i="12"/>
  <c r="F450" i="12"/>
  <c r="F451" i="12"/>
  <c r="F452" i="12"/>
  <c r="F453" i="12"/>
  <c r="F454" i="12"/>
  <c r="F455" i="12"/>
  <c r="F456" i="12"/>
  <c r="F457" i="12"/>
  <c r="F458" i="12"/>
  <c r="F459" i="12"/>
  <c r="F460" i="12"/>
  <c r="F461" i="12"/>
  <c r="F462" i="12"/>
  <c r="F463" i="12"/>
  <c r="F464" i="12"/>
  <c r="F465" i="12"/>
  <c r="F466" i="12"/>
  <c r="F467" i="12"/>
  <c r="F468" i="12"/>
  <c r="F469" i="12"/>
  <c r="F470" i="12"/>
  <c r="F471" i="12"/>
  <c r="F472" i="12"/>
  <c r="F473" i="12"/>
  <c r="F474" i="12"/>
  <c r="F475" i="12"/>
  <c r="F476" i="12"/>
  <c r="F477" i="12"/>
  <c r="F478" i="12"/>
  <c r="F479" i="12"/>
  <c r="F480" i="12"/>
  <c r="F481" i="12"/>
  <c r="F482" i="12"/>
  <c r="F483" i="12"/>
  <c r="F484" i="12"/>
  <c r="F485" i="12"/>
  <c r="F486" i="12"/>
  <c r="F487" i="12"/>
  <c r="F488" i="12"/>
  <c r="F489" i="12"/>
  <c r="F490" i="12"/>
  <c r="F491" i="12"/>
  <c r="F492" i="12"/>
  <c r="F493" i="12"/>
  <c r="F494" i="12"/>
  <c r="F495" i="12"/>
  <c r="F496" i="12"/>
  <c r="F497" i="12"/>
  <c r="F498" i="12"/>
  <c r="F499" i="12"/>
  <c r="F500" i="12"/>
  <c r="F501" i="12"/>
  <c r="F502" i="12"/>
  <c r="F503" i="12"/>
  <c r="F504" i="12"/>
  <c r="F505" i="12"/>
  <c r="F506" i="12"/>
  <c r="F507" i="12"/>
  <c r="F508" i="12"/>
  <c r="F509" i="12"/>
  <c r="F510" i="12"/>
  <c r="F511" i="12"/>
  <c r="F512" i="12"/>
  <c r="F513" i="12"/>
  <c r="F514" i="12"/>
  <c r="F515" i="12"/>
  <c r="F516" i="12"/>
  <c r="F517" i="12"/>
  <c r="F518" i="12"/>
  <c r="F519" i="12"/>
  <c r="F520" i="12"/>
  <c r="F521" i="12"/>
  <c r="F522" i="12"/>
  <c r="F523" i="12"/>
  <c r="F524" i="12"/>
  <c r="F525" i="12"/>
  <c r="F526" i="12"/>
  <c r="F527" i="12"/>
  <c r="F528" i="12"/>
  <c r="F529" i="12"/>
  <c r="F530" i="12"/>
  <c r="F531" i="12"/>
  <c r="F532" i="12"/>
  <c r="F533" i="12"/>
  <c r="F534" i="12"/>
  <c r="F535" i="12"/>
  <c r="F536" i="12"/>
  <c r="F537" i="12"/>
  <c r="F538" i="12"/>
  <c r="F539" i="12"/>
  <c r="F540" i="12"/>
  <c r="F541" i="12"/>
  <c r="F542" i="12"/>
  <c r="F543" i="12"/>
  <c r="F544" i="12"/>
  <c r="F545" i="12"/>
  <c r="F546" i="12"/>
  <c r="F547" i="12"/>
  <c r="F548" i="12"/>
  <c r="F549" i="12"/>
  <c r="F550" i="12"/>
  <c r="F551" i="12"/>
  <c r="F552" i="12"/>
  <c r="F553" i="12"/>
  <c r="F554" i="12"/>
  <c r="F555" i="12"/>
  <c r="F556" i="12"/>
  <c r="F557" i="12"/>
  <c r="F558" i="12"/>
  <c r="F559" i="12"/>
  <c r="F560" i="12"/>
  <c r="F561" i="12"/>
  <c r="F562" i="12"/>
  <c r="F563" i="12"/>
  <c r="F564" i="12"/>
  <c r="F565" i="12"/>
  <c r="F566" i="12"/>
  <c r="F567" i="12"/>
  <c r="F568" i="12"/>
  <c r="F569" i="12"/>
  <c r="F570" i="12"/>
  <c r="F571" i="12"/>
  <c r="F572" i="12"/>
  <c r="F573" i="12"/>
  <c r="F574" i="12"/>
  <c r="F575" i="12"/>
  <c r="F576" i="12"/>
  <c r="F577" i="12"/>
  <c r="F578" i="12"/>
  <c r="F579" i="12"/>
  <c r="F580" i="12"/>
  <c r="F581" i="12"/>
  <c r="F582" i="12"/>
  <c r="F583" i="12"/>
  <c r="F584" i="12"/>
  <c r="F585" i="12"/>
  <c r="F586" i="12"/>
  <c r="F587" i="12"/>
  <c r="F588" i="12"/>
  <c r="F589" i="12"/>
  <c r="F590" i="12"/>
  <c r="F591" i="12"/>
  <c r="F592" i="12"/>
  <c r="F593" i="12"/>
  <c r="F594" i="12"/>
  <c r="F595" i="12"/>
  <c r="F596" i="12"/>
  <c r="F597" i="12"/>
  <c r="F598" i="12"/>
  <c r="F599" i="12"/>
  <c r="F600" i="12"/>
  <c r="F601" i="12"/>
  <c r="F602" i="12"/>
  <c r="F603" i="12"/>
  <c r="F604" i="12"/>
  <c r="F605" i="12"/>
  <c r="F606" i="12"/>
  <c r="F607" i="12"/>
  <c r="F608" i="12"/>
  <c r="F609" i="12"/>
  <c r="F610" i="12"/>
  <c r="F611" i="12"/>
  <c r="F612" i="12"/>
  <c r="F613" i="12"/>
  <c r="F614" i="12"/>
  <c r="F615" i="12"/>
  <c r="F616" i="12"/>
  <c r="F617" i="12"/>
  <c r="F618" i="12"/>
  <c r="F619" i="12"/>
  <c r="F620" i="12"/>
  <c r="F621" i="12"/>
  <c r="F622" i="12"/>
  <c r="F623" i="12"/>
  <c r="F624" i="12"/>
  <c r="F625" i="12"/>
  <c r="F626" i="12"/>
  <c r="F627" i="12"/>
  <c r="F628" i="12"/>
  <c r="F629" i="12"/>
  <c r="F630" i="12"/>
  <c r="F631" i="12"/>
  <c r="F632" i="12"/>
  <c r="F633" i="12"/>
  <c r="F634" i="12"/>
  <c r="F635" i="12"/>
  <c r="F636" i="12"/>
  <c r="F637" i="12"/>
  <c r="F638" i="12"/>
  <c r="F639" i="12"/>
  <c r="F640" i="12"/>
  <c r="F641" i="12"/>
  <c r="F642" i="12"/>
  <c r="F643" i="12"/>
  <c r="F644" i="12"/>
  <c r="F645" i="12"/>
  <c r="F646" i="12"/>
  <c r="F647" i="12"/>
  <c r="F648" i="12"/>
  <c r="F649" i="12"/>
  <c r="F650" i="12"/>
  <c r="F651" i="12"/>
  <c r="F652" i="12"/>
  <c r="F653" i="12"/>
  <c r="F654" i="12"/>
  <c r="F655" i="12"/>
  <c r="F656" i="12"/>
  <c r="F657" i="12"/>
  <c r="F658" i="12"/>
  <c r="F659" i="12"/>
  <c r="F660" i="12"/>
  <c r="F661" i="12"/>
  <c r="F662" i="12"/>
  <c r="F663" i="12"/>
  <c r="F664" i="12"/>
  <c r="F665" i="12"/>
  <c r="F666" i="12"/>
  <c r="F667" i="12"/>
  <c r="F668" i="12"/>
  <c r="F669" i="12"/>
  <c r="F670" i="12"/>
  <c r="F671" i="12"/>
  <c r="F672" i="12"/>
  <c r="F673" i="12"/>
  <c r="F674" i="12"/>
  <c r="F675" i="12"/>
  <c r="F676" i="12"/>
  <c r="F677" i="12"/>
  <c r="F678" i="12"/>
  <c r="F679" i="12"/>
  <c r="F680" i="12"/>
  <c r="F681" i="12"/>
  <c r="F682" i="12"/>
  <c r="F683" i="12"/>
  <c r="F684" i="12"/>
  <c r="F685" i="12"/>
  <c r="F686" i="12"/>
  <c r="F687" i="12"/>
  <c r="F688" i="12"/>
  <c r="F689" i="12"/>
  <c r="F690" i="12"/>
  <c r="F691" i="12"/>
  <c r="F692" i="12"/>
  <c r="F693" i="12"/>
  <c r="F694" i="12"/>
  <c r="F695" i="12"/>
  <c r="F696" i="12"/>
  <c r="F697" i="12"/>
  <c r="F698" i="12"/>
  <c r="F699" i="12"/>
  <c r="F700" i="12"/>
  <c r="F701" i="12"/>
  <c r="F702" i="12"/>
  <c r="F703" i="12"/>
  <c r="F704" i="12"/>
  <c r="F705" i="12"/>
  <c r="F706" i="12"/>
  <c r="F707" i="12"/>
  <c r="F708" i="12"/>
  <c r="F709" i="12"/>
  <c r="F710" i="12"/>
  <c r="F711" i="12"/>
  <c r="F712" i="12"/>
  <c r="F713" i="12"/>
  <c r="F714" i="12"/>
  <c r="F715" i="12"/>
  <c r="F716" i="12"/>
  <c r="F717" i="12"/>
  <c r="F718" i="12"/>
  <c r="F719" i="12"/>
  <c r="F720" i="12"/>
  <c r="F721" i="12"/>
  <c r="F722" i="12"/>
  <c r="F723" i="12"/>
  <c r="F724" i="12"/>
  <c r="F725" i="12"/>
  <c r="F726" i="12"/>
  <c r="F727" i="12"/>
  <c r="F728" i="12"/>
  <c r="F729" i="12"/>
  <c r="F730" i="12"/>
  <c r="F731" i="12"/>
  <c r="F732" i="12"/>
  <c r="F733" i="12"/>
  <c r="F734" i="12"/>
  <c r="F735" i="12"/>
  <c r="F736" i="12"/>
  <c r="F737" i="12"/>
  <c r="F738" i="12"/>
  <c r="F739" i="12"/>
  <c r="F740" i="12"/>
  <c r="F741" i="12"/>
  <c r="F742" i="12"/>
  <c r="F743" i="12"/>
  <c r="F744" i="12"/>
  <c r="F745" i="12"/>
  <c r="F746" i="12"/>
  <c r="F747" i="12"/>
  <c r="F748" i="12"/>
  <c r="F749" i="12"/>
  <c r="F750" i="12"/>
  <c r="F751" i="12"/>
  <c r="F752" i="12"/>
  <c r="F753" i="12"/>
  <c r="F754" i="12"/>
  <c r="F755" i="12"/>
  <c r="F756" i="12"/>
  <c r="F757" i="12"/>
  <c r="F758" i="12"/>
  <c r="F759" i="12"/>
  <c r="F760" i="12"/>
  <c r="F761" i="12"/>
  <c r="F762" i="12"/>
  <c r="F763" i="12"/>
  <c r="F764" i="12"/>
  <c r="F765" i="12"/>
  <c r="F766" i="12"/>
  <c r="F767" i="12"/>
  <c r="F768" i="12"/>
  <c r="F769" i="12"/>
  <c r="F770" i="12"/>
  <c r="F771" i="12"/>
  <c r="F772" i="12"/>
  <c r="F773" i="12"/>
  <c r="F774" i="12"/>
  <c r="F775" i="12"/>
  <c r="F776" i="12"/>
  <c r="F777" i="12"/>
  <c r="F778" i="12"/>
  <c r="F779" i="12"/>
  <c r="F780" i="12"/>
  <c r="F781" i="12"/>
  <c r="F782" i="12"/>
  <c r="F783" i="12"/>
  <c r="F784" i="12"/>
  <c r="F785" i="12"/>
  <c r="F786" i="12"/>
  <c r="F787" i="12"/>
  <c r="F788" i="12"/>
  <c r="F789" i="12"/>
  <c r="F790" i="12"/>
  <c r="F791" i="12"/>
  <c r="F792" i="12"/>
  <c r="F793" i="12"/>
  <c r="F794" i="12"/>
  <c r="F795" i="12"/>
  <c r="F796" i="12"/>
  <c r="F797" i="12"/>
  <c r="F798" i="12"/>
  <c r="F799" i="12"/>
  <c r="F800" i="12"/>
  <c r="F801" i="12"/>
  <c r="F802" i="12"/>
  <c r="F803" i="12"/>
  <c r="F804" i="12"/>
  <c r="F805" i="12"/>
  <c r="F806" i="12"/>
  <c r="F807" i="12"/>
  <c r="F808" i="12"/>
  <c r="F809" i="12"/>
  <c r="F810" i="12"/>
  <c r="F811" i="12"/>
  <c r="F812" i="12"/>
  <c r="F813" i="12"/>
  <c r="F814" i="12"/>
  <c r="F815" i="12"/>
  <c r="F816" i="12"/>
  <c r="F817" i="12"/>
  <c r="F818" i="12"/>
  <c r="F819" i="12"/>
  <c r="F820" i="12"/>
  <c r="F821" i="12"/>
  <c r="F822" i="12"/>
  <c r="F823" i="12"/>
  <c r="F824" i="12"/>
  <c r="F825" i="12"/>
  <c r="F826" i="12"/>
  <c r="F827" i="12"/>
  <c r="F828" i="12"/>
  <c r="F829" i="12"/>
  <c r="F830" i="12"/>
  <c r="F831" i="12"/>
  <c r="F832" i="12"/>
  <c r="F833" i="12"/>
  <c r="F834" i="12"/>
  <c r="F835" i="12"/>
  <c r="F836" i="12"/>
  <c r="F837" i="12"/>
  <c r="F838" i="12"/>
  <c r="F839" i="12"/>
  <c r="F840" i="12"/>
  <c r="F841" i="12"/>
  <c r="F842" i="12"/>
  <c r="F843" i="12"/>
  <c r="F844" i="12"/>
  <c r="F845" i="12"/>
  <c r="F846" i="12"/>
  <c r="F847" i="12"/>
  <c r="F848" i="12"/>
  <c r="F849" i="12"/>
  <c r="F850" i="12"/>
  <c r="F851" i="12"/>
  <c r="F852" i="12"/>
  <c r="F853" i="12"/>
  <c r="F854" i="12"/>
  <c r="F855" i="12"/>
  <c r="F856" i="12"/>
  <c r="F857" i="12"/>
  <c r="F858" i="12"/>
  <c r="F859" i="12"/>
  <c r="F860" i="12"/>
  <c r="F861" i="12"/>
  <c r="F862" i="12"/>
  <c r="F863" i="12"/>
  <c r="F864" i="12"/>
  <c r="F865" i="12"/>
  <c r="F866" i="12"/>
  <c r="F867" i="12"/>
  <c r="F868" i="12"/>
  <c r="F869" i="12"/>
  <c r="F870" i="12"/>
  <c r="F871" i="12"/>
  <c r="F872" i="12"/>
  <c r="F873" i="12"/>
  <c r="F874" i="12"/>
  <c r="F875" i="12"/>
  <c r="F876" i="12"/>
  <c r="F877" i="12"/>
  <c r="F878" i="12"/>
  <c r="F879" i="12"/>
  <c r="F880" i="12"/>
  <c r="F881" i="12"/>
  <c r="F882" i="12"/>
  <c r="F883" i="12"/>
  <c r="F884" i="12"/>
  <c r="F885" i="12"/>
  <c r="F886" i="12"/>
  <c r="F887" i="12"/>
  <c r="F888" i="12"/>
  <c r="F889" i="12"/>
  <c r="F890" i="12"/>
  <c r="F891" i="12"/>
  <c r="F892" i="12"/>
  <c r="F893" i="12"/>
  <c r="F894" i="12"/>
  <c r="F895" i="12"/>
  <c r="F896" i="12"/>
  <c r="F897" i="12"/>
  <c r="F898" i="12"/>
  <c r="F899" i="12"/>
  <c r="F900" i="12"/>
  <c r="F901" i="12"/>
  <c r="F902" i="12"/>
  <c r="F903" i="12"/>
  <c r="F904" i="12"/>
  <c r="F905" i="12"/>
  <c r="F906" i="12"/>
  <c r="F907" i="12"/>
  <c r="F908" i="12"/>
  <c r="F909" i="12"/>
  <c r="F910" i="12"/>
  <c r="F911" i="12"/>
  <c r="F912" i="12"/>
  <c r="F913" i="12"/>
  <c r="F914" i="12"/>
  <c r="F915" i="12"/>
  <c r="F916" i="12"/>
  <c r="F917" i="12"/>
  <c r="F918" i="12"/>
  <c r="F919" i="12"/>
  <c r="F920" i="12"/>
  <c r="F921" i="12"/>
  <c r="F922" i="12"/>
  <c r="F923" i="12"/>
  <c r="F924" i="12"/>
  <c r="F925" i="12"/>
  <c r="F926" i="12"/>
  <c r="F927" i="12"/>
  <c r="F928" i="12"/>
  <c r="F929" i="12"/>
  <c r="F930" i="12"/>
  <c r="F931" i="12"/>
  <c r="F932" i="12"/>
  <c r="F933" i="12"/>
  <c r="F934" i="12"/>
  <c r="F935" i="12"/>
  <c r="F936" i="12"/>
  <c r="F937" i="12"/>
  <c r="F938" i="12"/>
  <c r="F939" i="12"/>
  <c r="F940" i="12"/>
  <c r="F941" i="12"/>
  <c r="F942" i="12"/>
  <c r="F943" i="12"/>
  <c r="F944" i="12"/>
  <c r="F945" i="12"/>
  <c r="F946" i="12"/>
  <c r="F947" i="12"/>
  <c r="F948" i="12"/>
  <c r="F949" i="12"/>
  <c r="F950" i="12"/>
  <c r="F951" i="12"/>
  <c r="F952" i="12"/>
  <c r="F953" i="12"/>
  <c r="F954" i="12"/>
  <c r="F955" i="12"/>
  <c r="F956" i="12"/>
  <c r="F957" i="12"/>
  <c r="F958" i="12"/>
  <c r="F959" i="12"/>
  <c r="F960" i="12"/>
  <c r="F961" i="12"/>
  <c r="F962" i="12"/>
  <c r="F963" i="12"/>
  <c r="F964" i="12"/>
  <c r="F965" i="12"/>
  <c r="F966" i="12"/>
  <c r="F967" i="12"/>
  <c r="F968" i="12"/>
  <c r="F969" i="12"/>
  <c r="F970" i="12"/>
  <c r="F971" i="12"/>
  <c r="F972" i="12"/>
  <c r="F973" i="12"/>
  <c r="F974" i="12"/>
  <c r="F975" i="12"/>
  <c r="F976" i="12"/>
  <c r="F977" i="12"/>
  <c r="F978" i="12"/>
  <c r="F979" i="12"/>
  <c r="F980" i="12"/>
  <c r="F981" i="12"/>
  <c r="F982" i="12"/>
  <c r="F983" i="12"/>
  <c r="F984" i="12"/>
  <c r="F985" i="12"/>
  <c r="F986" i="12"/>
  <c r="F987" i="12"/>
  <c r="F988" i="12"/>
  <c r="F989" i="12"/>
  <c r="F990" i="12"/>
  <c r="F991" i="12"/>
  <c r="F992" i="12"/>
  <c r="F993" i="12"/>
  <c r="F994" i="12"/>
  <c r="F995" i="12"/>
  <c r="F996" i="12"/>
  <c r="F997" i="12"/>
  <c r="F998" i="12"/>
  <c r="F999" i="12"/>
  <c r="F1000" i="12"/>
  <c r="F1001" i="12"/>
  <c r="F1002" i="12"/>
  <c r="F3" i="12"/>
  <c r="P1001" i="11"/>
  <c r="P1000" i="11"/>
  <c r="P999" i="11"/>
  <c r="P998" i="11"/>
  <c r="P997" i="11"/>
  <c r="P996" i="11"/>
  <c r="P995" i="11"/>
  <c r="P994" i="11"/>
  <c r="P993" i="11"/>
  <c r="P992" i="11"/>
  <c r="P991" i="11"/>
  <c r="P990" i="11"/>
  <c r="P989" i="11"/>
  <c r="P988" i="11"/>
  <c r="P987" i="11"/>
  <c r="P986" i="11"/>
  <c r="P985" i="11"/>
  <c r="P984" i="11"/>
  <c r="P983" i="11"/>
  <c r="P982" i="11"/>
  <c r="P981" i="11"/>
  <c r="P980" i="11"/>
  <c r="P979" i="11"/>
  <c r="P978" i="11"/>
  <c r="P977" i="11"/>
  <c r="P976" i="11"/>
  <c r="P975" i="11"/>
  <c r="P974" i="11"/>
  <c r="P973" i="11"/>
  <c r="P972" i="11"/>
  <c r="P971" i="11"/>
  <c r="P970" i="11"/>
  <c r="P969" i="11"/>
  <c r="P968" i="11"/>
  <c r="P967" i="11"/>
  <c r="P966" i="11"/>
  <c r="P965" i="11"/>
  <c r="P964" i="11"/>
  <c r="P963" i="11"/>
  <c r="P962" i="11"/>
  <c r="P961" i="11"/>
  <c r="P960" i="11"/>
  <c r="P959" i="11"/>
  <c r="P958" i="11"/>
  <c r="P957" i="11"/>
  <c r="P956" i="11"/>
  <c r="P955" i="11"/>
  <c r="P954" i="11"/>
  <c r="P953" i="11"/>
  <c r="P952" i="11"/>
  <c r="P951" i="11"/>
  <c r="P950" i="11"/>
  <c r="P949" i="11"/>
  <c r="P948" i="11"/>
  <c r="P947" i="11"/>
  <c r="P946" i="11"/>
  <c r="P945" i="11"/>
  <c r="P944" i="11"/>
  <c r="P943" i="11"/>
  <c r="P942" i="11"/>
  <c r="P941" i="11"/>
  <c r="P940" i="11"/>
  <c r="P939" i="11"/>
  <c r="P938" i="11"/>
  <c r="P937" i="11"/>
  <c r="P936" i="11"/>
  <c r="P935" i="11"/>
  <c r="P934" i="11"/>
  <c r="P933" i="11"/>
  <c r="P932" i="11"/>
  <c r="P931" i="11"/>
  <c r="P930" i="11"/>
  <c r="P929" i="11"/>
  <c r="P928" i="11"/>
  <c r="P927" i="11"/>
  <c r="P926" i="11"/>
  <c r="P925" i="11"/>
  <c r="P924" i="11"/>
  <c r="P923" i="11"/>
  <c r="P922" i="11"/>
  <c r="P921" i="11"/>
  <c r="P920" i="11"/>
  <c r="P919" i="11"/>
  <c r="P918" i="11"/>
  <c r="P917" i="11"/>
  <c r="P916" i="11"/>
  <c r="P915" i="11"/>
  <c r="P914" i="11"/>
  <c r="P913" i="11"/>
  <c r="P912" i="11"/>
  <c r="P911" i="11"/>
  <c r="P910" i="11"/>
  <c r="P909" i="11"/>
  <c r="P908" i="11"/>
  <c r="P907" i="11"/>
  <c r="P906" i="11"/>
  <c r="P905" i="11"/>
  <c r="P904" i="11"/>
  <c r="P903" i="11"/>
  <c r="P902" i="11"/>
  <c r="P901" i="11"/>
  <c r="P900" i="11"/>
  <c r="P899" i="11"/>
  <c r="P898" i="11"/>
  <c r="P897" i="11"/>
  <c r="P896" i="11"/>
  <c r="P895" i="11"/>
  <c r="P894" i="11"/>
  <c r="P893" i="11"/>
  <c r="P892" i="11"/>
  <c r="P891" i="11"/>
  <c r="P890" i="11"/>
  <c r="P889" i="11"/>
  <c r="P888" i="11"/>
  <c r="P887" i="11"/>
  <c r="P886" i="11"/>
  <c r="P885" i="11"/>
  <c r="P884" i="11"/>
  <c r="P883" i="11"/>
  <c r="P882" i="11"/>
  <c r="P881" i="11"/>
  <c r="P880" i="11"/>
  <c r="P879" i="11"/>
  <c r="P878" i="11"/>
  <c r="P877" i="11"/>
  <c r="P876" i="11"/>
  <c r="P875" i="11"/>
  <c r="P874" i="11"/>
  <c r="P873" i="11"/>
  <c r="P872" i="11"/>
  <c r="P871" i="11"/>
  <c r="P870" i="11"/>
  <c r="P869" i="11"/>
  <c r="P868" i="11"/>
  <c r="P867" i="11"/>
  <c r="P866" i="11"/>
  <c r="P865" i="11"/>
  <c r="P864" i="11"/>
  <c r="P863" i="11"/>
  <c r="P862" i="11"/>
  <c r="P861" i="11"/>
  <c r="P860" i="11"/>
  <c r="P859" i="11"/>
  <c r="P858" i="11"/>
  <c r="P857" i="11"/>
  <c r="P856" i="11"/>
  <c r="P855" i="11"/>
  <c r="P854" i="11"/>
  <c r="P853" i="11"/>
  <c r="P852" i="11"/>
  <c r="P851" i="11"/>
  <c r="P850" i="11"/>
  <c r="P849" i="11"/>
  <c r="P848" i="11"/>
  <c r="P847" i="11"/>
  <c r="P846" i="11"/>
  <c r="P845" i="11"/>
  <c r="P844" i="11"/>
  <c r="P843" i="11"/>
  <c r="P842" i="11"/>
  <c r="P841" i="11"/>
  <c r="P840" i="11"/>
  <c r="P839" i="11"/>
  <c r="P838" i="11"/>
  <c r="P837" i="11"/>
  <c r="P836" i="11"/>
  <c r="P835" i="11"/>
  <c r="P834" i="11"/>
  <c r="P833" i="11"/>
  <c r="P832" i="11"/>
  <c r="P831" i="11"/>
  <c r="P830" i="11"/>
  <c r="P829" i="11"/>
  <c r="P828" i="11"/>
  <c r="P827" i="11"/>
  <c r="P826" i="11"/>
  <c r="P825" i="11"/>
  <c r="P824" i="11"/>
  <c r="P823" i="11"/>
  <c r="P822" i="11"/>
  <c r="P821" i="11"/>
  <c r="P820" i="11"/>
  <c r="P819" i="11"/>
  <c r="P818" i="11"/>
  <c r="P817" i="11"/>
  <c r="P816" i="11"/>
  <c r="P815" i="11"/>
  <c r="P814" i="11"/>
  <c r="P813" i="11"/>
  <c r="P812" i="11"/>
  <c r="P811" i="11"/>
  <c r="P810" i="11"/>
  <c r="P809" i="11"/>
  <c r="P808" i="11"/>
  <c r="P807" i="11"/>
  <c r="P806" i="11"/>
  <c r="P805" i="11"/>
  <c r="P804" i="11"/>
  <c r="P803" i="11"/>
  <c r="P802" i="11"/>
  <c r="P801" i="11"/>
  <c r="P800" i="11"/>
  <c r="P799" i="11"/>
  <c r="P798" i="11"/>
  <c r="P797" i="11"/>
  <c r="P796" i="11"/>
  <c r="P795" i="11"/>
  <c r="P794" i="11"/>
  <c r="P793" i="11"/>
  <c r="P792" i="11"/>
  <c r="P791" i="11"/>
  <c r="P790" i="11"/>
  <c r="P789" i="11"/>
  <c r="P788" i="11"/>
  <c r="P787" i="11"/>
  <c r="P786" i="11"/>
  <c r="P785" i="11"/>
  <c r="P784" i="11"/>
  <c r="P783" i="11"/>
  <c r="P782" i="11"/>
  <c r="P781" i="11"/>
  <c r="P780" i="11"/>
  <c r="P779" i="11"/>
  <c r="P778" i="11"/>
  <c r="P777" i="11"/>
  <c r="P776" i="11"/>
  <c r="P775" i="11"/>
  <c r="P774" i="11"/>
  <c r="P773" i="11"/>
  <c r="P772" i="11"/>
  <c r="P771" i="11"/>
  <c r="P770" i="11"/>
  <c r="P769" i="11"/>
  <c r="P768" i="11"/>
  <c r="P767" i="11"/>
  <c r="P766" i="11"/>
  <c r="P765" i="11"/>
  <c r="P764" i="11"/>
  <c r="P763" i="11"/>
  <c r="P762" i="11"/>
  <c r="P761" i="11"/>
  <c r="P760" i="11"/>
  <c r="P759" i="11"/>
  <c r="P758" i="11"/>
  <c r="P757" i="11"/>
  <c r="P756" i="11"/>
  <c r="P755" i="11"/>
  <c r="P754" i="11"/>
  <c r="P753" i="11"/>
  <c r="P752" i="11"/>
  <c r="P751" i="11"/>
  <c r="P750" i="11"/>
  <c r="P749" i="11"/>
  <c r="P748" i="11"/>
  <c r="P747" i="11"/>
  <c r="P746" i="11"/>
  <c r="P745" i="11"/>
  <c r="P744" i="11"/>
  <c r="P743" i="11"/>
  <c r="P742" i="11"/>
  <c r="P741" i="11"/>
  <c r="P740" i="11"/>
  <c r="P739" i="11"/>
  <c r="P738" i="11"/>
  <c r="P737" i="11"/>
  <c r="P736" i="11"/>
  <c r="P735" i="11"/>
  <c r="P734" i="11"/>
  <c r="P733" i="11"/>
  <c r="P732" i="11"/>
  <c r="P731" i="11"/>
  <c r="P730" i="11"/>
  <c r="P729" i="11"/>
  <c r="P728" i="11"/>
  <c r="P727" i="11"/>
  <c r="P726" i="11"/>
  <c r="P725" i="11"/>
  <c r="P724" i="11"/>
  <c r="P723" i="11"/>
  <c r="P722" i="11"/>
  <c r="P721" i="11"/>
  <c r="P720" i="11"/>
  <c r="P719" i="11"/>
  <c r="P718" i="11"/>
  <c r="P717" i="11"/>
  <c r="P716" i="11"/>
  <c r="P715" i="11"/>
  <c r="P714" i="11"/>
  <c r="P713" i="11"/>
  <c r="P712" i="11"/>
  <c r="P711" i="11"/>
  <c r="P710" i="11"/>
  <c r="P709" i="11"/>
  <c r="P708" i="11"/>
  <c r="P707" i="11"/>
  <c r="P706" i="11"/>
  <c r="P705" i="11"/>
  <c r="P704" i="11"/>
  <c r="P703" i="11"/>
  <c r="P702" i="11"/>
  <c r="P701" i="11"/>
  <c r="P700" i="11"/>
  <c r="P699" i="11"/>
  <c r="P698" i="11"/>
  <c r="P697" i="11"/>
  <c r="P696" i="11"/>
  <c r="P695" i="11"/>
  <c r="P694" i="11"/>
  <c r="P693" i="11"/>
  <c r="P692" i="11"/>
  <c r="P691" i="11"/>
  <c r="P690" i="11"/>
  <c r="P689" i="11"/>
  <c r="P688" i="11"/>
  <c r="P687" i="11"/>
  <c r="P686" i="11"/>
  <c r="P685" i="11"/>
  <c r="P684" i="11"/>
  <c r="P683" i="11"/>
  <c r="P682" i="11"/>
  <c r="P681" i="11"/>
  <c r="P680" i="11"/>
  <c r="P679" i="11"/>
  <c r="P678" i="11"/>
  <c r="P677" i="11"/>
  <c r="P676" i="11"/>
  <c r="P675" i="11"/>
  <c r="P674" i="11"/>
  <c r="P673" i="11"/>
  <c r="P672" i="11"/>
  <c r="P671" i="11"/>
  <c r="P670" i="11"/>
  <c r="P669" i="11"/>
  <c r="P668" i="11"/>
  <c r="P667" i="11"/>
  <c r="P666" i="11"/>
  <c r="P665" i="11"/>
  <c r="P664" i="11"/>
  <c r="P663" i="11"/>
  <c r="P662" i="11"/>
  <c r="P661" i="11"/>
  <c r="P660" i="11"/>
  <c r="P659" i="11"/>
  <c r="P658" i="11"/>
  <c r="P657" i="11"/>
  <c r="P656" i="11"/>
  <c r="P655" i="11"/>
  <c r="P654" i="11"/>
  <c r="P653" i="11"/>
  <c r="P652" i="11"/>
  <c r="P651" i="11"/>
  <c r="P650" i="11"/>
  <c r="P649" i="11"/>
  <c r="P648" i="11"/>
  <c r="P647" i="11"/>
  <c r="P646" i="11"/>
  <c r="P645" i="11"/>
  <c r="P644" i="11"/>
  <c r="P643" i="11"/>
  <c r="P642" i="11"/>
  <c r="P641" i="11"/>
  <c r="P640" i="11"/>
  <c r="P639" i="11"/>
  <c r="P638" i="11"/>
  <c r="P637" i="11"/>
  <c r="P636" i="11"/>
  <c r="P635" i="11"/>
  <c r="P634" i="11"/>
  <c r="P633" i="11"/>
  <c r="P632" i="11"/>
  <c r="P631" i="11"/>
  <c r="P630" i="11"/>
  <c r="P629" i="11"/>
  <c r="P628" i="11"/>
  <c r="P627" i="11"/>
  <c r="P626" i="11"/>
  <c r="P625" i="11"/>
  <c r="P624" i="11"/>
  <c r="P623" i="11"/>
  <c r="P622" i="11"/>
  <c r="P621" i="11"/>
  <c r="P620" i="11"/>
  <c r="P619" i="11"/>
  <c r="P618" i="11"/>
  <c r="P617" i="11"/>
  <c r="P616" i="11"/>
  <c r="P615" i="11"/>
  <c r="P614" i="11"/>
  <c r="P613" i="11"/>
  <c r="P612" i="11"/>
  <c r="P611" i="11"/>
  <c r="P610" i="11"/>
  <c r="P609" i="11"/>
  <c r="P608" i="11"/>
  <c r="P607" i="11"/>
  <c r="P606" i="11"/>
  <c r="P605" i="11"/>
  <c r="P604" i="11"/>
  <c r="P603" i="11"/>
  <c r="P602" i="11"/>
  <c r="P601" i="11"/>
  <c r="P600" i="11"/>
  <c r="P599" i="11"/>
  <c r="P598" i="11"/>
  <c r="P597" i="11"/>
  <c r="P596" i="11"/>
  <c r="P595" i="11"/>
  <c r="P594" i="11"/>
  <c r="P593" i="11"/>
  <c r="P592" i="11"/>
  <c r="P591" i="11"/>
  <c r="P590" i="11"/>
  <c r="P589" i="11"/>
  <c r="P588" i="11"/>
  <c r="P587" i="11"/>
  <c r="P586" i="11"/>
  <c r="P585" i="11"/>
  <c r="P584" i="11"/>
  <c r="P583" i="11"/>
  <c r="P582" i="11"/>
  <c r="P581" i="11"/>
  <c r="P580" i="11"/>
  <c r="P579" i="11"/>
  <c r="P578" i="11"/>
  <c r="P577" i="11"/>
  <c r="P576" i="11"/>
  <c r="P575" i="11"/>
  <c r="P574" i="11"/>
  <c r="P573" i="11"/>
  <c r="P572" i="11"/>
  <c r="P571" i="11"/>
  <c r="P570" i="11"/>
  <c r="P569" i="11"/>
  <c r="P568" i="11"/>
  <c r="P567" i="11"/>
  <c r="P566" i="11"/>
  <c r="P565" i="11"/>
  <c r="P564" i="11"/>
  <c r="P563" i="11"/>
  <c r="P562" i="11"/>
  <c r="P561" i="11"/>
  <c r="P560" i="11"/>
  <c r="P559" i="11"/>
  <c r="P558" i="11"/>
  <c r="P557" i="11"/>
  <c r="P556" i="11"/>
  <c r="P555" i="11"/>
  <c r="P554" i="11"/>
  <c r="P553" i="11"/>
  <c r="P552" i="11"/>
  <c r="P551" i="11"/>
  <c r="P550" i="11"/>
  <c r="P549" i="11"/>
  <c r="P548" i="11"/>
  <c r="P547" i="11"/>
  <c r="P546" i="11"/>
  <c r="P545" i="11"/>
  <c r="P544" i="11"/>
  <c r="P543" i="11"/>
  <c r="P542" i="11"/>
  <c r="P541" i="11"/>
  <c r="P540" i="11"/>
  <c r="P539" i="11"/>
  <c r="P538" i="11"/>
  <c r="P537" i="11"/>
  <c r="P536" i="11"/>
  <c r="P535" i="11"/>
  <c r="P534" i="11"/>
  <c r="P533" i="11"/>
  <c r="P532" i="11"/>
  <c r="P531" i="11"/>
  <c r="P530" i="11"/>
  <c r="P529" i="11"/>
  <c r="P528" i="11"/>
  <c r="P527" i="11"/>
  <c r="P526" i="11"/>
  <c r="P525" i="11"/>
  <c r="P524" i="11"/>
  <c r="P523" i="11"/>
  <c r="P522" i="11"/>
  <c r="P521" i="11"/>
  <c r="P520" i="11"/>
  <c r="P519" i="11"/>
  <c r="P518" i="11"/>
  <c r="P517" i="11"/>
  <c r="P516" i="11"/>
  <c r="P515" i="11"/>
  <c r="P514" i="11"/>
  <c r="P513" i="11"/>
  <c r="P512" i="11"/>
  <c r="P511" i="11"/>
  <c r="P510" i="11"/>
  <c r="P509" i="11"/>
  <c r="P508" i="11"/>
  <c r="P507" i="11"/>
  <c r="P506" i="11"/>
  <c r="P505" i="11"/>
  <c r="P504" i="11"/>
  <c r="P503" i="11"/>
  <c r="P502" i="11"/>
  <c r="P501" i="11"/>
  <c r="P500" i="11"/>
  <c r="P499" i="11"/>
  <c r="P498" i="11"/>
  <c r="P497" i="11"/>
  <c r="P496" i="11"/>
  <c r="P495" i="11"/>
  <c r="P494" i="11"/>
  <c r="P493" i="11"/>
  <c r="P492" i="11"/>
  <c r="P491" i="11"/>
  <c r="P490" i="11"/>
  <c r="P489" i="11"/>
  <c r="P488" i="11"/>
  <c r="P487" i="11"/>
  <c r="P486" i="11"/>
  <c r="P485" i="11"/>
  <c r="P484" i="11"/>
  <c r="P483" i="11"/>
  <c r="P482" i="11"/>
  <c r="P481" i="11"/>
  <c r="P480" i="11"/>
  <c r="P479" i="11"/>
  <c r="P478" i="11"/>
  <c r="P477" i="11"/>
  <c r="P476" i="11"/>
  <c r="P475" i="11"/>
  <c r="P474" i="11"/>
  <c r="P473" i="11"/>
  <c r="P472" i="11"/>
  <c r="P471" i="11"/>
  <c r="P470" i="11"/>
  <c r="P469" i="11"/>
  <c r="P468" i="11"/>
  <c r="P467" i="11"/>
  <c r="P466" i="11"/>
  <c r="P465" i="11"/>
  <c r="P464" i="11"/>
  <c r="P463" i="11"/>
  <c r="P462" i="11"/>
  <c r="P461" i="11"/>
  <c r="P460" i="11"/>
  <c r="P459" i="11"/>
  <c r="P458" i="11"/>
  <c r="P457" i="11"/>
  <c r="P456" i="11"/>
  <c r="P455" i="11"/>
  <c r="P454" i="11"/>
  <c r="P453" i="11"/>
  <c r="P452" i="11"/>
  <c r="P451" i="11"/>
  <c r="P450" i="11"/>
  <c r="P449" i="11"/>
  <c r="P448" i="11"/>
  <c r="P447" i="11"/>
  <c r="P446" i="11"/>
  <c r="P445" i="11"/>
  <c r="P444" i="11"/>
  <c r="P443" i="11"/>
  <c r="P442" i="11"/>
  <c r="P441" i="11"/>
  <c r="P440" i="11"/>
  <c r="P439" i="11"/>
  <c r="P438" i="11"/>
  <c r="P437" i="11"/>
  <c r="P436" i="11"/>
  <c r="P435" i="11"/>
  <c r="P434" i="11"/>
  <c r="P433" i="11"/>
  <c r="P432" i="11"/>
  <c r="P431" i="11"/>
  <c r="P430" i="11"/>
  <c r="P429" i="11"/>
  <c r="P428" i="11"/>
  <c r="P427" i="11"/>
  <c r="P426" i="11"/>
  <c r="P425" i="11"/>
  <c r="P424" i="11"/>
  <c r="P423" i="11"/>
  <c r="P422" i="11"/>
  <c r="P421" i="11"/>
  <c r="P420" i="11"/>
  <c r="P419" i="11"/>
  <c r="P418" i="11"/>
  <c r="P417" i="11"/>
  <c r="P416" i="11"/>
  <c r="P415" i="11"/>
  <c r="P414" i="11"/>
  <c r="P413" i="11"/>
  <c r="P412" i="11"/>
  <c r="P411" i="11"/>
  <c r="P410" i="11"/>
  <c r="P409" i="11"/>
  <c r="P408" i="11"/>
  <c r="P407" i="11"/>
  <c r="P406" i="11"/>
  <c r="P405" i="11"/>
  <c r="P404" i="11"/>
  <c r="P403" i="11"/>
  <c r="P402" i="11"/>
  <c r="P401" i="11"/>
  <c r="P400" i="11"/>
  <c r="P399" i="11"/>
  <c r="P398" i="11"/>
  <c r="P397" i="11"/>
  <c r="P396" i="11"/>
  <c r="P395" i="11"/>
  <c r="P394" i="11"/>
  <c r="P393" i="11"/>
  <c r="P392" i="11"/>
  <c r="P391" i="11"/>
  <c r="P390" i="11"/>
  <c r="P389" i="11"/>
  <c r="P388" i="11"/>
  <c r="P387" i="11"/>
  <c r="P386" i="11"/>
  <c r="P385" i="11"/>
  <c r="P384" i="11"/>
  <c r="P383" i="11"/>
  <c r="P382" i="11"/>
  <c r="P381" i="11"/>
  <c r="P380" i="11"/>
  <c r="P379" i="11"/>
  <c r="P378" i="11"/>
  <c r="P377" i="11"/>
  <c r="P376" i="11"/>
  <c r="P375" i="11"/>
  <c r="P374" i="11"/>
  <c r="P373" i="11"/>
  <c r="P372" i="11"/>
  <c r="P371" i="11"/>
  <c r="P370" i="11"/>
  <c r="P369" i="11"/>
  <c r="P368" i="11"/>
  <c r="P367" i="11"/>
  <c r="P366" i="11"/>
  <c r="P365" i="11"/>
  <c r="P364" i="11"/>
  <c r="P363" i="11"/>
  <c r="P362" i="11"/>
  <c r="P361" i="11"/>
  <c r="P360" i="11"/>
  <c r="P359" i="11"/>
  <c r="P358" i="11"/>
  <c r="P357" i="11"/>
  <c r="P356" i="11"/>
  <c r="P355" i="11"/>
  <c r="P354" i="11"/>
  <c r="P353" i="11"/>
  <c r="P352" i="11"/>
  <c r="P351" i="11"/>
  <c r="P350" i="11"/>
  <c r="P349" i="11"/>
  <c r="P348" i="11"/>
  <c r="P347" i="11"/>
  <c r="P346" i="11"/>
  <c r="P345" i="11"/>
  <c r="P344" i="11"/>
  <c r="P343" i="11"/>
  <c r="P342" i="11"/>
  <c r="P341" i="11"/>
  <c r="P340" i="11"/>
  <c r="P339" i="11"/>
  <c r="P338" i="11"/>
  <c r="P337" i="11"/>
  <c r="P336" i="11"/>
  <c r="P335" i="11"/>
  <c r="P334" i="11"/>
  <c r="P333" i="11"/>
  <c r="P332" i="11"/>
  <c r="P331" i="11"/>
  <c r="P330" i="11"/>
  <c r="P329" i="11"/>
  <c r="P328" i="11"/>
  <c r="P327" i="11"/>
  <c r="P326" i="11"/>
  <c r="P325" i="11"/>
  <c r="P324" i="11"/>
  <c r="P323" i="11"/>
  <c r="P322" i="11"/>
  <c r="P321" i="11"/>
  <c r="P320" i="11"/>
  <c r="P319" i="11"/>
  <c r="P318" i="11"/>
  <c r="P317" i="11"/>
  <c r="P316" i="11"/>
  <c r="P315" i="11"/>
  <c r="P314" i="11"/>
  <c r="P313" i="11"/>
  <c r="P312" i="11"/>
  <c r="P311" i="11"/>
  <c r="P310" i="11"/>
  <c r="P309" i="11"/>
  <c r="P308" i="11"/>
  <c r="P307" i="11"/>
  <c r="P306" i="11"/>
  <c r="P305" i="11"/>
  <c r="P304" i="11"/>
  <c r="P303" i="11"/>
  <c r="P302" i="11"/>
  <c r="P301" i="11"/>
  <c r="P300" i="11"/>
  <c r="P299" i="11"/>
  <c r="P298" i="11"/>
  <c r="P297" i="11"/>
  <c r="P296" i="11"/>
  <c r="P295" i="11"/>
  <c r="P294" i="11"/>
  <c r="P293" i="11"/>
  <c r="P292" i="11"/>
  <c r="P291" i="11"/>
  <c r="P290" i="11"/>
  <c r="P289" i="11"/>
  <c r="P288" i="11"/>
  <c r="P287" i="11"/>
  <c r="P286" i="11"/>
  <c r="P285" i="11"/>
  <c r="P284" i="11"/>
  <c r="P283" i="11"/>
  <c r="P282" i="11"/>
  <c r="P281" i="11"/>
  <c r="P280" i="11"/>
  <c r="P279" i="11"/>
  <c r="P278" i="11"/>
  <c r="P277" i="11"/>
  <c r="P276" i="11"/>
  <c r="P275" i="11"/>
  <c r="P274" i="11"/>
  <c r="P273" i="11"/>
  <c r="P272" i="11"/>
  <c r="P271" i="11"/>
  <c r="P270" i="11"/>
  <c r="P269" i="11"/>
  <c r="P268" i="11"/>
  <c r="P267" i="11"/>
  <c r="P266" i="11"/>
  <c r="P265" i="11"/>
  <c r="P264" i="11"/>
  <c r="P263" i="11"/>
  <c r="P262" i="11"/>
  <c r="P261" i="11"/>
  <c r="P260" i="11"/>
  <c r="P259" i="11"/>
  <c r="P258" i="11"/>
  <c r="P257" i="11"/>
  <c r="P256" i="11"/>
  <c r="P255" i="11"/>
  <c r="P254" i="11"/>
  <c r="P253" i="11"/>
  <c r="P252" i="11"/>
  <c r="P251" i="11"/>
  <c r="P250" i="11"/>
  <c r="P249" i="11"/>
  <c r="P248" i="11"/>
  <c r="P247" i="11"/>
  <c r="P246" i="11"/>
  <c r="P245" i="11"/>
  <c r="P244" i="11"/>
  <c r="P243" i="11"/>
  <c r="P242" i="11"/>
  <c r="P241" i="11"/>
  <c r="P240" i="11"/>
  <c r="P239" i="11"/>
  <c r="P238" i="11"/>
  <c r="P237" i="11"/>
  <c r="P236" i="11"/>
  <c r="P235" i="11"/>
  <c r="P234" i="11"/>
  <c r="P233" i="11"/>
  <c r="P232" i="11"/>
  <c r="P231" i="11"/>
  <c r="P230" i="11"/>
  <c r="P229" i="11"/>
  <c r="P228" i="11"/>
  <c r="P227" i="11"/>
  <c r="P226" i="11"/>
  <c r="P225" i="11"/>
  <c r="P224" i="11"/>
  <c r="P223" i="11"/>
  <c r="P222" i="11"/>
  <c r="P221" i="11"/>
  <c r="P220" i="11"/>
  <c r="P219" i="11"/>
  <c r="P218" i="11"/>
  <c r="P217" i="11"/>
  <c r="P216" i="11"/>
  <c r="P215" i="11"/>
  <c r="P214" i="11"/>
  <c r="P213" i="11"/>
  <c r="P212" i="11"/>
  <c r="P211" i="11"/>
  <c r="P210" i="11"/>
  <c r="P209" i="11"/>
  <c r="P208" i="11"/>
  <c r="P207" i="11"/>
  <c r="P206" i="11"/>
  <c r="P205" i="11"/>
  <c r="P204" i="11"/>
  <c r="P203" i="11"/>
  <c r="P202" i="11"/>
  <c r="P201" i="11"/>
  <c r="P200" i="11"/>
  <c r="P199" i="11"/>
  <c r="P198" i="11"/>
  <c r="P197" i="11"/>
  <c r="P196" i="11"/>
  <c r="P195" i="11"/>
  <c r="P194" i="11"/>
  <c r="P193" i="11"/>
  <c r="P192" i="11"/>
  <c r="P191" i="11"/>
  <c r="P190" i="11"/>
  <c r="P189" i="11"/>
  <c r="P188" i="11"/>
  <c r="P187" i="11"/>
  <c r="P186" i="11"/>
  <c r="P185" i="11"/>
  <c r="P184" i="11"/>
  <c r="P183" i="11"/>
  <c r="P182" i="11"/>
  <c r="P181" i="11"/>
  <c r="P180" i="11"/>
  <c r="P179" i="11"/>
  <c r="P178" i="11"/>
  <c r="P177" i="11"/>
  <c r="P176" i="11"/>
  <c r="P175" i="11"/>
  <c r="P174" i="11"/>
  <c r="P173" i="11"/>
  <c r="P172" i="11"/>
  <c r="P171" i="11"/>
  <c r="P170" i="11"/>
  <c r="P169" i="11"/>
  <c r="P168" i="11"/>
  <c r="P167" i="11"/>
  <c r="P166" i="11"/>
  <c r="P165" i="11"/>
  <c r="P164" i="11"/>
  <c r="P163" i="11"/>
  <c r="P162" i="11"/>
  <c r="P161" i="11"/>
  <c r="P160" i="11"/>
  <c r="P159" i="11"/>
  <c r="P158" i="11"/>
  <c r="P157" i="11"/>
  <c r="P156" i="11"/>
  <c r="P155" i="11"/>
  <c r="P154" i="11"/>
  <c r="P153" i="11"/>
  <c r="P152" i="11"/>
  <c r="P151" i="11"/>
  <c r="P150" i="11"/>
  <c r="P149" i="11"/>
  <c r="P148" i="11"/>
  <c r="P147" i="11"/>
  <c r="P146" i="11"/>
  <c r="P145" i="11"/>
  <c r="P144" i="11"/>
  <c r="P143" i="11"/>
  <c r="P142" i="11"/>
  <c r="P141" i="11"/>
  <c r="P140" i="11"/>
  <c r="P139" i="11"/>
  <c r="P138" i="11"/>
  <c r="P137" i="11"/>
  <c r="P136" i="11"/>
  <c r="P135" i="11"/>
  <c r="P134" i="11"/>
  <c r="P133" i="11"/>
  <c r="P132" i="11"/>
  <c r="P131" i="11"/>
  <c r="P130" i="11"/>
  <c r="P129" i="11"/>
  <c r="P128" i="11"/>
  <c r="P127" i="11"/>
  <c r="P126" i="11"/>
  <c r="P125" i="11"/>
  <c r="P124" i="11"/>
  <c r="P123" i="11"/>
  <c r="P122" i="11"/>
  <c r="P121" i="11"/>
  <c r="P120" i="11"/>
  <c r="P119" i="11"/>
  <c r="P118" i="11"/>
  <c r="P117" i="11"/>
  <c r="P116" i="11"/>
  <c r="P115" i="11"/>
  <c r="P114" i="11"/>
  <c r="P113" i="11"/>
  <c r="P112" i="11"/>
  <c r="P111" i="11"/>
  <c r="P110" i="11"/>
  <c r="P109" i="11"/>
  <c r="P108" i="11"/>
  <c r="P107" i="11"/>
  <c r="P106" i="11"/>
  <c r="P105" i="11"/>
  <c r="P104" i="11"/>
  <c r="P103" i="11"/>
  <c r="P102" i="11"/>
  <c r="P101" i="11"/>
  <c r="P100" i="11"/>
  <c r="P99" i="11"/>
  <c r="P98" i="11"/>
  <c r="P97" i="11"/>
  <c r="P96" i="11"/>
  <c r="P95" i="11"/>
  <c r="P94" i="11"/>
  <c r="P93" i="11"/>
  <c r="P92" i="11"/>
  <c r="P91" i="11"/>
  <c r="P90" i="11"/>
  <c r="P89" i="11"/>
  <c r="P88" i="11"/>
  <c r="P87" i="11"/>
  <c r="P86" i="11"/>
  <c r="P85" i="11"/>
  <c r="P84" i="11"/>
  <c r="P83" i="11"/>
  <c r="P82" i="11"/>
  <c r="P81" i="11"/>
  <c r="P80" i="11"/>
  <c r="P79" i="11"/>
  <c r="P78" i="11"/>
  <c r="P77" i="11"/>
  <c r="P76" i="11"/>
  <c r="P75" i="11"/>
  <c r="P74" i="11"/>
  <c r="P73" i="11"/>
  <c r="P72" i="11"/>
  <c r="P71" i="11"/>
  <c r="P70" i="11"/>
  <c r="P69" i="11"/>
  <c r="P68" i="11"/>
  <c r="P67" i="11"/>
  <c r="P66" i="11"/>
  <c r="P65" i="11"/>
  <c r="P64" i="11"/>
  <c r="P63" i="11"/>
  <c r="P62" i="11"/>
  <c r="P61" i="11"/>
  <c r="P60" i="11"/>
  <c r="P59" i="11"/>
  <c r="P58" i="11"/>
  <c r="P57" i="11"/>
  <c r="P56" i="11"/>
  <c r="P55" i="11"/>
  <c r="P54" i="11"/>
  <c r="P53" i="11"/>
  <c r="P52" i="11"/>
  <c r="P51" i="11"/>
  <c r="P50" i="11"/>
  <c r="P49" i="11"/>
  <c r="P48" i="11"/>
  <c r="P47" i="11"/>
  <c r="P46" i="11"/>
  <c r="P45" i="11"/>
  <c r="P44" i="11"/>
  <c r="P43" i="11"/>
  <c r="P42" i="11"/>
  <c r="P41" i="11"/>
  <c r="P40" i="11"/>
  <c r="P39" i="11"/>
  <c r="P38" i="11"/>
  <c r="P37" i="11"/>
  <c r="P36" i="11"/>
  <c r="P35" i="11"/>
  <c r="P34" i="11"/>
  <c r="P33" i="11"/>
  <c r="P32" i="11"/>
  <c r="P31" i="11"/>
  <c r="P30" i="11"/>
  <c r="P29" i="11"/>
  <c r="P28" i="11"/>
  <c r="P27" i="11"/>
  <c r="P26" i="11"/>
  <c r="P25" i="11"/>
  <c r="P24" i="11"/>
  <c r="P23" i="11"/>
  <c r="P22" i="11"/>
  <c r="P21" i="11"/>
  <c r="P20" i="11"/>
  <c r="P19" i="11"/>
  <c r="P18" i="11"/>
  <c r="P17" i="11"/>
  <c r="P16" i="11"/>
  <c r="P15" i="11"/>
  <c r="P14" i="11"/>
  <c r="P13" i="11"/>
  <c r="P12" i="11"/>
  <c r="P11" i="11"/>
  <c r="P10" i="11"/>
  <c r="P9" i="11"/>
  <c r="P8" i="11"/>
  <c r="P7" i="11"/>
  <c r="P6" i="11"/>
  <c r="P5" i="11"/>
  <c r="P4" i="11"/>
  <c r="P3" i="11"/>
  <c r="P2" i="11"/>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H559" i="5"/>
  <c r="H560" i="5"/>
  <c r="H561" i="5"/>
  <c r="H562" i="5"/>
  <c r="H563" i="5"/>
  <c r="H564" i="5"/>
  <c r="H565" i="5"/>
  <c r="H566" i="5"/>
  <c r="H567" i="5"/>
  <c r="H568" i="5"/>
  <c r="H569" i="5"/>
  <c r="H570" i="5"/>
  <c r="H571" i="5"/>
  <c r="H572" i="5"/>
  <c r="H573" i="5"/>
  <c r="H574" i="5"/>
  <c r="H575" i="5"/>
  <c r="H576" i="5"/>
  <c r="H577" i="5"/>
  <c r="H578" i="5"/>
  <c r="H579" i="5"/>
  <c r="H580" i="5"/>
  <c r="H581" i="5"/>
  <c r="H582" i="5"/>
  <c r="H583" i="5"/>
  <c r="H584" i="5"/>
  <c r="H585" i="5"/>
  <c r="H586" i="5"/>
  <c r="H587" i="5"/>
  <c r="H588" i="5"/>
  <c r="H589" i="5"/>
  <c r="H590" i="5"/>
  <c r="H591" i="5"/>
  <c r="H592" i="5"/>
  <c r="H593" i="5"/>
  <c r="H594" i="5"/>
  <c r="H595" i="5"/>
  <c r="H596" i="5"/>
  <c r="H597" i="5"/>
  <c r="H598" i="5"/>
  <c r="H599" i="5"/>
  <c r="H600" i="5"/>
  <c r="H601" i="5"/>
  <c r="H602" i="5"/>
  <c r="H603" i="5"/>
  <c r="H604" i="5"/>
  <c r="H605" i="5"/>
  <c r="H606" i="5"/>
  <c r="H607" i="5"/>
  <c r="H608" i="5"/>
  <c r="H609" i="5"/>
  <c r="H610" i="5"/>
  <c r="H611" i="5"/>
  <c r="H612" i="5"/>
  <c r="H613" i="5"/>
  <c r="H614" i="5"/>
  <c r="H615" i="5"/>
  <c r="H616" i="5"/>
  <c r="H617" i="5"/>
  <c r="H618" i="5"/>
  <c r="H619" i="5"/>
  <c r="H620" i="5"/>
  <c r="H621" i="5"/>
  <c r="H622" i="5"/>
  <c r="H623" i="5"/>
  <c r="H624" i="5"/>
  <c r="H625" i="5"/>
  <c r="H626" i="5"/>
  <c r="H627" i="5"/>
  <c r="H628" i="5"/>
  <c r="H629" i="5"/>
  <c r="H630" i="5"/>
  <c r="H631" i="5"/>
  <c r="H632" i="5"/>
  <c r="H633" i="5"/>
  <c r="H634" i="5"/>
  <c r="H635" i="5"/>
  <c r="H636" i="5"/>
  <c r="H637" i="5"/>
  <c r="H638" i="5"/>
  <c r="H639" i="5"/>
  <c r="H640" i="5"/>
  <c r="H641" i="5"/>
  <c r="H642" i="5"/>
  <c r="H643" i="5"/>
  <c r="H644" i="5"/>
  <c r="H645" i="5"/>
  <c r="H646" i="5"/>
  <c r="H647" i="5"/>
  <c r="H648" i="5"/>
  <c r="H649" i="5"/>
  <c r="H650" i="5"/>
  <c r="H651" i="5"/>
  <c r="H652" i="5"/>
  <c r="H653" i="5"/>
  <c r="H654" i="5"/>
  <c r="H655" i="5"/>
  <c r="H656" i="5"/>
  <c r="H657" i="5"/>
  <c r="H658" i="5"/>
  <c r="H659" i="5"/>
  <c r="H660" i="5"/>
  <c r="H661" i="5"/>
  <c r="H662" i="5"/>
  <c r="H663" i="5"/>
  <c r="H664" i="5"/>
  <c r="H665" i="5"/>
  <c r="H666" i="5"/>
  <c r="H667" i="5"/>
  <c r="H668" i="5"/>
  <c r="H669" i="5"/>
  <c r="H670" i="5"/>
  <c r="H671" i="5"/>
  <c r="H672" i="5"/>
  <c r="H673" i="5"/>
  <c r="H674" i="5"/>
  <c r="H675" i="5"/>
  <c r="H676" i="5"/>
  <c r="H677" i="5"/>
  <c r="H678" i="5"/>
  <c r="H679" i="5"/>
  <c r="H680" i="5"/>
  <c r="H681" i="5"/>
  <c r="H682" i="5"/>
  <c r="H683" i="5"/>
  <c r="H684" i="5"/>
  <c r="H685" i="5"/>
  <c r="H686" i="5"/>
  <c r="H687" i="5"/>
  <c r="H688" i="5"/>
  <c r="H689" i="5"/>
  <c r="H690" i="5"/>
  <c r="H691" i="5"/>
  <c r="H692" i="5"/>
  <c r="H693" i="5"/>
  <c r="H694" i="5"/>
  <c r="H695" i="5"/>
  <c r="H696" i="5"/>
  <c r="H697" i="5"/>
  <c r="H698" i="5"/>
  <c r="H699" i="5"/>
  <c r="H700" i="5"/>
  <c r="H701" i="5"/>
  <c r="H702" i="5"/>
  <c r="H703" i="5"/>
  <c r="H704" i="5"/>
  <c r="H705" i="5"/>
  <c r="H706" i="5"/>
  <c r="H707" i="5"/>
  <c r="H708" i="5"/>
  <c r="H709" i="5"/>
  <c r="H710" i="5"/>
  <c r="H711" i="5"/>
  <c r="H712" i="5"/>
  <c r="H713" i="5"/>
  <c r="H714" i="5"/>
  <c r="H715" i="5"/>
  <c r="H716" i="5"/>
  <c r="H717" i="5"/>
  <c r="H718" i="5"/>
  <c r="H719" i="5"/>
  <c r="H720" i="5"/>
  <c r="H721" i="5"/>
  <c r="H722" i="5"/>
  <c r="H723" i="5"/>
  <c r="H724" i="5"/>
  <c r="H725" i="5"/>
  <c r="H726" i="5"/>
  <c r="H727" i="5"/>
  <c r="H728" i="5"/>
  <c r="H729" i="5"/>
  <c r="H730" i="5"/>
  <c r="H731" i="5"/>
  <c r="H732" i="5"/>
  <c r="H733" i="5"/>
  <c r="H734" i="5"/>
  <c r="H735" i="5"/>
  <c r="H736" i="5"/>
  <c r="H737" i="5"/>
  <c r="H738" i="5"/>
  <c r="H739" i="5"/>
  <c r="H740" i="5"/>
  <c r="H741" i="5"/>
  <c r="H742" i="5"/>
  <c r="H743" i="5"/>
  <c r="H744" i="5"/>
  <c r="H745" i="5"/>
  <c r="H746" i="5"/>
  <c r="H747" i="5"/>
  <c r="H748" i="5"/>
  <c r="H749" i="5"/>
  <c r="H750" i="5"/>
  <c r="H751" i="5"/>
  <c r="H752" i="5"/>
  <c r="H753" i="5"/>
  <c r="H754" i="5"/>
  <c r="H755" i="5"/>
  <c r="H756" i="5"/>
  <c r="H757" i="5"/>
  <c r="H758" i="5"/>
  <c r="H759" i="5"/>
  <c r="H760" i="5"/>
  <c r="H761" i="5"/>
  <c r="H762" i="5"/>
  <c r="H763" i="5"/>
  <c r="H764" i="5"/>
  <c r="H765" i="5"/>
  <c r="H766" i="5"/>
  <c r="H767" i="5"/>
  <c r="H768" i="5"/>
  <c r="H769" i="5"/>
  <c r="H770" i="5"/>
  <c r="H771" i="5"/>
  <c r="H772" i="5"/>
  <c r="H773" i="5"/>
  <c r="H774" i="5"/>
  <c r="H775" i="5"/>
  <c r="H776" i="5"/>
  <c r="H777" i="5"/>
  <c r="H778" i="5"/>
  <c r="H779" i="5"/>
  <c r="H780" i="5"/>
  <c r="H781" i="5"/>
  <c r="H782" i="5"/>
  <c r="H783" i="5"/>
  <c r="H784" i="5"/>
  <c r="H785" i="5"/>
  <c r="H786" i="5"/>
  <c r="H787" i="5"/>
  <c r="H788" i="5"/>
  <c r="H789" i="5"/>
  <c r="H790" i="5"/>
  <c r="H791" i="5"/>
  <c r="H792" i="5"/>
  <c r="H793" i="5"/>
  <c r="H794" i="5"/>
  <c r="H795" i="5"/>
  <c r="H796" i="5"/>
  <c r="H797" i="5"/>
  <c r="H798" i="5"/>
  <c r="H799" i="5"/>
  <c r="H800" i="5"/>
  <c r="H801" i="5"/>
  <c r="H802" i="5"/>
  <c r="H803" i="5"/>
  <c r="H804" i="5"/>
  <c r="H805" i="5"/>
  <c r="H806" i="5"/>
  <c r="H807" i="5"/>
  <c r="H808" i="5"/>
  <c r="H809" i="5"/>
  <c r="H810" i="5"/>
  <c r="H811" i="5"/>
  <c r="H812" i="5"/>
  <c r="H813" i="5"/>
  <c r="H814" i="5"/>
  <c r="H815" i="5"/>
  <c r="H816" i="5"/>
  <c r="H817" i="5"/>
  <c r="H818" i="5"/>
  <c r="H819" i="5"/>
  <c r="H820" i="5"/>
  <c r="H821" i="5"/>
  <c r="H822" i="5"/>
  <c r="H823" i="5"/>
  <c r="H824" i="5"/>
  <c r="H825" i="5"/>
  <c r="H826" i="5"/>
  <c r="H827" i="5"/>
  <c r="H828" i="5"/>
  <c r="H829" i="5"/>
  <c r="H830" i="5"/>
  <c r="H831" i="5"/>
  <c r="H832" i="5"/>
  <c r="H833" i="5"/>
  <c r="H834" i="5"/>
  <c r="H835" i="5"/>
  <c r="H836" i="5"/>
  <c r="H837" i="5"/>
  <c r="H838" i="5"/>
  <c r="H839" i="5"/>
  <c r="H840" i="5"/>
  <c r="H841" i="5"/>
  <c r="H842" i="5"/>
  <c r="H843" i="5"/>
  <c r="H844" i="5"/>
  <c r="H845" i="5"/>
  <c r="H846" i="5"/>
  <c r="H847" i="5"/>
  <c r="H848" i="5"/>
  <c r="H849" i="5"/>
  <c r="H850" i="5"/>
  <c r="H851" i="5"/>
  <c r="H852" i="5"/>
  <c r="H853" i="5"/>
  <c r="H854" i="5"/>
  <c r="H855" i="5"/>
  <c r="H856" i="5"/>
  <c r="H857" i="5"/>
  <c r="H858" i="5"/>
  <c r="H859" i="5"/>
  <c r="H860" i="5"/>
  <c r="H861" i="5"/>
  <c r="H862" i="5"/>
  <c r="H863" i="5"/>
  <c r="H864" i="5"/>
  <c r="H865" i="5"/>
  <c r="H866" i="5"/>
  <c r="H867" i="5"/>
  <c r="H868" i="5"/>
  <c r="H869" i="5"/>
  <c r="H870" i="5"/>
  <c r="H871" i="5"/>
  <c r="H872" i="5"/>
  <c r="H873" i="5"/>
  <c r="H874" i="5"/>
  <c r="H875" i="5"/>
  <c r="H876" i="5"/>
  <c r="H877" i="5"/>
  <c r="H878" i="5"/>
  <c r="H879" i="5"/>
  <c r="H880" i="5"/>
  <c r="H881" i="5"/>
  <c r="H882" i="5"/>
  <c r="H883" i="5"/>
  <c r="H884" i="5"/>
  <c r="H885" i="5"/>
  <c r="H886" i="5"/>
  <c r="H887" i="5"/>
  <c r="H888" i="5"/>
  <c r="H889" i="5"/>
  <c r="H890" i="5"/>
  <c r="H891" i="5"/>
  <c r="H892" i="5"/>
  <c r="H893" i="5"/>
  <c r="H894" i="5"/>
  <c r="H895" i="5"/>
  <c r="H896" i="5"/>
  <c r="H897" i="5"/>
  <c r="H898" i="5"/>
  <c r="H899" i="5"/>
  <c r="H900" i="5"/>
  <c r="H901" i="5"/>
  <c r="H902" i="5"/>
  <c r="H903" i="5"/>
  <c r="H904" i="5"/>
  <c r="H905" i="5"/>
  <c r="H906" i="5"/>
  <c r="H907" i="5"/>
  <c r="H908" i="5"/>
  <c r="H909" i="5"/>
  <c r="H910" i="5"/>
  <c r="H911" i="5"/>
  <c r="H912" i="5"/>
  <c r="H913" i="5"/>
  <c r="H914" i="5"/>
  <c r="H915" i="5"/>
  <c r="H916" i="5"/>
  <c r="H917" i="5"/>
  <c r="H918" i="5"/>
  <c r="H919" i="5"/>
  <c r="H920" i="5"/>
  <c r="H921" i="5"/>
  <c r="H922" i="5"/>
  <c r="H923" i="5"/>
  <c r="H924" i="5"/>
  <c r="H925" i="5"/>
  <c r="H926" i="5"/>
  <c r="H927" i="5"/>
  <c r="H928" i="5"/>
  <c r="H929" i="5"/>
  <c r="H930" i="5"/>
  <c r="H931" i="5"/>
  <c r="H932" i="5"/>
  <c r="H933" i="5"/>
  <c r="H934" i="5"/>
  <c r="H935" i="5"/>
  <c r="H936" i="5"/>
  <c r="H937" i="5"/>
  <c r="H938" i="5"/>
  <c r="H939" i="5"/>
  <c r="H940" i="5"/>
  <c r="H941" i="5"/>
  <c r="H942" i="5"/>
  <c r="H943" i="5"/>
  <c r="H944" i="5"/>
  <c r="H945" i="5"/>
  <c r="H946" i="5"/>
  <c r="H947" i="5"/>
  <c r="H948" i="5"/>
  <c r="H949" i="5"/>
  <c r="H950" i="5"/>
  <c r="H951" i="5"/>
  <c r="H952" i="5"/>
  <c r="H953" i="5"/>
  <c r="H954" i="5"/>
  <c r="H955" i="5"/>
  <c r="H956" i="5"/>
  <c r="H957" i="5"/>
  <c r="H958" i="5"/>
  <c r="H959" i="5"/>
  <c r="H960" i="5"/>
  <c r="H961" i="5"/>
  <c r="H962" i="5"/>
  <c r="H963" i="5"/>
  <c r="H964" i="5"/>
  <c r="H965" i="5"/>
  <c r="H966" i="5"/>
  <c r="H967" i="5"/>
  <c r="H968" i="5"/>
  <c r="H969" i="5"/>
  <c r="H970" i="5"/>
  <c r="H971" i="5"/>
  <c r="H972" i="5"/>
  <c r="H973" i="5"/>
  <c r="H974" i="5"/>
  <c r="H975" i="5"/>
  <c r="H976" i="5"/>
  <c r="H977" i="5"/>
  <c r="H978" i="5"/>
  <c r="H979" i="5"/>
  <c r="H980" i="5"/>
  <c r="H981" i="5"/>
  <c r="H982" i="5"/>
  <c r="H983" i="5"/>
  <c r="H984" i="5"/>
  <c r="H985" i="5"/>
  <c r="H986" i="5"/>
  <c r="H987" i="5"/>
  <c r="H988" i="5"/>
  <c r="H989" i="5"/>
  <c r="H990" i="5"/>
  <c r="H991" i="5"/>
  <c r="H992" i="5"/>
  <c r="H993" i="5"/>
  <c r="H994" i="5"/>
  <c r="H995" i="5"/>
  <c r="H996" i="5"/>
  <c r="H997" i="5"/>
  <c r="H998" i="5"/>
  <c r="H999" i="5"/>
  <c r="H1000" i="5"/>
  <c r="H1001" i="5"/>
  <c r="H2"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 r="G502" i="5"/>
  <c r="G503" i="5"/>
  <c r="G504" i="5"/>
  <c r="G505" i="5"/>
  <c r="G506" i="5"/>
  <c r="G507" i="5"/>
  <c r="G508" i="5"/>
  <c r="G509" i="5"/>
  <c r="G510" i="5"/>
  <c r="G511" i="5"/>
  <c r="G512" i="5"/>
  <c r="G513" i="5"/>
  <c r="G514" i="5"/>
  <c r="G515" i="5"/>
  <c r="G516" i="5"/>
  <c r="G517" i="5"/>
  <c r="G518" i="5"/>
  <c r="G519" i="5"/>
  <c r="G520" i="5"/>
  <c r="G521" i="5"/>
  <c r="G522" i="5"/>
  <c r="G523" i="5"/>
  <c r="G524" i="5"/>
  <c r="G525" i="5"/>
  <c r="G526" i="5"/>
  <c r="G527" i="5"/>
  <c r="G528" i="5"/>
  <c r="G529" i="5"/>
  <c r="G530" i="5"/>
  <c r="G531" i="5"/>
  <c r="G532" i="5"/>
  <c r="G533" i="5"/>
  <c r="G534" i="5"/>
  <c r="G535" i="5"/>
  <c r="G536" i="5"/>
  <c r="G537" i="5"/>
  <c r="G538" i="5"/>
  <c r="G539" i="5"/>
  <c r="G540" i="5"/>
  <c r="G541" i="5"/>
  <c r="G542" i="5"/>
  <c r="G543" i="5"/>
  <c r="G544" i="5"/>
  <c r="G545" i="5"/>
  <c r="G546" i="5"/>
  <c r="G547" i="5"/>
  <c r="G548" i="5"/>
  <c r="G549" i="5"/>
  <c r="G550" i="5"/>
  <c r="G551" i="5"/>
  <c r="G552" i="5"/>
  <c r="G553" i="5"/>
  <c r="G554" i="5"/>
  <c r="G555" i="5"/>
  <c r="G556" i="5"/>
  <c r="G557" i="5"/>
  <c r="G558" i="5"/>
  <c r="G559" i="5"/>
  <c r="G560" i="5"/>
  <c r="G561" i="5"/>
  <c r="G562" i="5"/>
  <c r="G563" i="5"/>
  <c r="G564" i="5"/>
  <c r="G565" i="5"/>
  <c r="G566" i="5"/>
  <c r="G567" i="5"/>
  <c r="G568" i="5"/>
  <c r="G569" i="5"/>
  <c r="G570" i="5"/>
  <c r="G571" i="5"/>
  <c r="G572" i="5"/>
  <c r="G573" i="5"/>
  <c r="G574" i="5"/>
  <c r="G575" i="5"/>
  <c r="G576" i="5"/>
  <c r="G577" i="5"/>
  <c r="G578" i="5"/>
  <c r="G579" i="5"/>
  <c r="G580" i="5"/>
  <c r="G581" i="5"/>
  <c r="G582" i="5"/>
  <c r="G583" i="5"/>
  <c r="G584" i="5"/>
  <c r="G585" i="5"/>
  <c r="G586" i="5"/>
  <c r="G587" i="5"/>
  <c r="G588" i="5"/>
  <c r="G589" i="5"/>
  <c r="G590" i="5"/>
  <c r="G591" i="5"/>
  <c r="G592" i="5"/>
  <c r="G593" i="5"/>
  <c r="G594" i="5"/>
  <c r="G595" i="5"/>
  <c r="G596" i="5"/>
  <c r="G597" i="5"/>
  <c r="G598" i="5"/>
  <c r="G599" i="5"/>
  <c r="G600" i="5"/>
  <c r="G601" i="5"/>
  <c r="G602" i="5"/>
  <c r="G603" i="5"/>
  <c r="G604" i="5"/>
  <c r="G605" i="5"/>
  <c r="G606" i="5"/>
  <c r="G607" i="5"/>
  <c r="G608" i="5"/>
  <c r="G609" i="5"/>
  <c r="G610" i="5"/>
  <c r="G611" i="5"/>
  <c r="G612" i="5"/>
  <c r="G613" i="5"/>
  <c r="G614" i="5"/>
  <c r="G615" i="5"/>
  <c r="G616" i="5"/>
  <c r="G617" i="5"/>
  <c r="G618" i="5"/>
  <c r="G619" i="5"/>
  <c r="G620" i="5"/>
  <c r="G621" i="5"/>
  <c r="G622" i="5"/>
  <c r="G623" i="5"/>
  <c r="G624" i="5"/>
  <c r="G625" i="5"/>
  <c r="G626" i="5"/>
  <c r="G627" i="5"/>
  <c r="G628" i="5"/>
  <c r="G629" i="5"/>
  <c r="G630" i="5"/>
  <c r="G631" i="5"/>
  <c r="G632" i="5"/>
  <c r="G633" i="5"/>
  <c r="G634" i="5"/>
  <c r="G635" i="5"/>
  <c r="G636" i="5"/>
  <c r="G637" i="5"/>
  <c r="G638" i="5"/>
  <c r="G639" i="5"/>
  <c r="G640" i="5"/>
  <c r="G641" i="5"/>
  <c r="G642" i="5"/>
  <c r="G643" i="5"/>
  <c r="G644" i="5"/>
  <c r="G645" i="5"/>
  <c r="G646" i="5"/>
  <c r="G647" i="5"/>
  <c r="G648" i="5"/>
  <c r="G649" i="5"/>
  <c r="G650" i="5"/>
  <c r="G651" i="5"/>
  <c r="G652" i="5"/>
  <c r="G653" i="5"/>
  <c r="G654" i="5"/>
  <c r="G655" i="5"/>
  <c r="G656" i="5"/>
  <c r="G657" i="5"/>
  <c r="G658" i="5"/>
  <c r="G659" i="5"/>
  <c r="G660" i="5"/>
  <c r="G661" i="5"/>
  <c r="G662" i="5"/>
  <c r="G663" i="5"/>
  <c r="G664" i="5"/>
  <c r="G665" i="5"/>
  <c r="G666" i="5"/>
  <c r="G667" i="5"/>
  <c r="G668" i="5"/>
  <c r="G669" i="5"/>
  <c r="G670" i="5"/>
  <c r="G671" i="5"/>
  <c r="G672" i="5"/>
  <c r="G673" i="5"/>
  <c r="G674" i="5"/>
  <c r="G675" i="5"/>
  <c r="G676" i="5"/>
  <c r="G677" i="5"/>
  <c r="G678" i="5"/>
  <c r="G679" i="5"/>
  <c r="G680" i="5"/>
  <c r="G681" i="5"/>
  <c r="G682" i="5"/>
  <c r="G683" i="5"/>
  <c r="G684" i="5"/>
  <c r="G685" i="5"/>
  <c r="G686" i="5"/>
  <c r="G687" i="5"/>
  <c r="G688" i="5"/>
  <c r="G689" i="5"/>
  <c r="G690" i="5"/>
  <c r="G691" i="5"/>
  <c r="G692" i="5"/>
  <c r="G693" i="5"/>
  <c r="G694" i="5"/>
  <c r="G695" i="5"/>
  <c r="G696" i="5"/>
  <c r="G697" i="5"/>
  <c r="G698" i="5"/>
  <c r="G699" i="5"/>
  <c r="G700" i="5"/>
  <c r="G701" i="5"/>
  <c r="G702" i="5"/>
  <c r="G703" i="5"/>
  <c r="G704" i="5"/>
  <c r="G705" i="5"/>
  <c r="G706" i="5"/>
  <c r="G707" i="5"/>
  <c r="G708" i="5"/>
  <c r="G709" i="5"/>
  <c r="G710" i="5"/>
  <c r="G711" i="5"/>
  <c r="G712" i="5"/>
  <c r="G713" i="5"/>
  <c r="G714" i="5"/>
  <c r="G715" i="5"/>
  <c r="G716" i="5"/>
  <c r="G717" i="5"/>
  <c r="G718" i="5"/>
  <c r="G719" i="5"/>
  <c r="G720" i="5"/>
  <c r="G721" i="5"/>
  <c r="G722" i="5"/>
  <c r="G723" i="5"/>
  <c r="G724" i="5"/>
  <c r="G725" i="5"/>
  <c r="G726" i="5"/>
  <c r="G727" i="5"/>
  <c r="G728" i="5"/>
  <c r="G729" i="5"/>
  <c r="G730" i="5"/>
  <c r="G731" i="5"/>
  <c r="G732" i="5"/>
  <c r="G733" i="5"/>
  <c r="G734" i="5"/>
  <c r="G735" i="5"/>
  <c r="G736" i="5"/>
  <c r="G737" i="5"/>
  <c r="G738" i="5"/>
  <c r="G739" i="5"/>
  <c r="G740" i="5"/>
  <c r="G741" i="5"/>
  <c r="G742" i="5"/>
  <c r="G743" i="5"/>
  <c r="G744" i="5"/>
  <c r="G745" i="5"/>
  <c r="G746" i="5"/>
  <c r="G747" i="5"/>
  <c r="G748" i="5"/>
  <c r="G749" i="5"/>
  <c r="G750" i="5"/>
  <c r="G751" i="5"/>
  <c r="G752" i="5"/>
  <c r="G753" i="5"/>
  <c r="G754" i="5"/>
  <c r="G755" i="5"/>
  <c r="G756" i="5"/>
  <c r="G757" i="5"/>
  <c r="G758" i="5"/>
  <c r="G759" i="5"/>
  <c r="G760" i="5"/>
  <c r="G761" i="5"/>
  <c r="G762" i="5"/>
  <c r="G763" i="5"/>
  <c r="G764" i="5"/>
  <c r="G765" i="5"/>
  <c r="G766" i="5"/>
  <c r="G767" i="5"/>
  <c r="G768" i="5"/>
  <c r="G769" i="5"/>
  <c r="G770" i="5"/>
  <c r="G771" i="5"/>
  <c r="G772" i="5"/>
  <c r="G773" i="5"/>
  <c r="G774" i="5"/>
  <c r="G775" i="5"/>
  <c r="G776" i="5"/>
  <c r="G777" i="5"/>
  <c r="G778" i="5"/>
  <c r="G779" i="5"/>
  <c r="G780" i="5"/>
  <c r="G781" i="5"/>
  <c r="G782" i="5"/>
  <c r="G783" i="5"/>
  <c r="G784" i="5"/>
  <c r="G785" i="5"/>
  <c r="G786" i="5"/>
  <c r="G787" i="5"/>
  <c r="G788" i="5"/>
  <c r="G789" i="5"/>
  <c r="G790" i="5"/>
  <c r="G791" i="5"/>
  <c r="G792" i="5"/>
  <c r="G793" i="5"/>
  <c r="G794" i="5"/>
  <c r="G795" i="5"/>
  <c r="G796" i="5"/>
  <c r="G797" i="5"/>
  <c r="G798" i="5"/>
  <c r="G799" i="5"/>
  <c r="G800" i="5"/>
  <c r="G801" i="5"/>
  <c r="G802" i="5"/>
  <c r="G803" i="5"/>
  <c r="G804" i="5"/>
  <c r="G805" i="5"/>
  <c r="G806" i="5"/>
  <c r="G807" i="5"/>
  <c r="G808" i="5"/>
  <c r="G809" i="5"/>
  <c r="G810" i="5"/>
  <c r="G811" i="5"/>
  <c r="G812" i="5"/>
  <c r="G813" i="5"/>
  <c r="G814" i="5"/>
  <c r="G815" i="5"/>
  <c r="G816" i="5"/>
  <c r="G817" i="5"/>
  <c r="G818" i="5"/>
  <c r="G819" i="5"/>
  <c r="G820" i="5"/>
  <c r="G821" i="5"/>
  <c r="G822" i="5"/>
  <c r="G823" i="5"/>
  <c r="G824" i="5"/>
  <c r="G825" i="5"/>
  <c r="G826" i="5"/>
  <c r="G827" i="5"/>
  <c r="G828" i="5"/>
  <c r="G829" i="5"/>
  <c r="G830" i="5"/>
  <c r="G831" i="5"/>
  <c r="G832" i="5"/>
  <c r="G833" i="5"/>
  <c r="G834" i="5"/>
  <c r="G835" i="5"/>
  <c r="G836" i="5"/>
  <c r="G837" i="5"/>
  <c r="G838" i="5"/>
  <c r="G839" i="5"/>
  <c r="G840" i="5"/>
  <c r="G841" i="5"/>
  <c r="G842" i="5"/>
  <c r="G843" i="5"/>
  <c r="G844" i="5"/>
  <c r="G845" i="5"/>
  <c r="G846" i="5"/>
  <c r="G847" i="5"/>
  <c r="G848" i="5"/>
  <c r="G849" i="5"/>
  <c r="G850" i="5"/>
  <c r="G851" i="5"/>
  <c r="G852" i="5"/>
  <c r="G853" i="5"/>
  <c r="G854" i="5"/>
  <c r="G855" i="5"/>
  <c r="G856" i="5"/>
  <c r="G857" i="5"/>
  <c r="G858" i="5"/>
  <c r="G859" i="5"/>
  <c r="G860" i="5"/>
  <c r="G861" i="5"/>
  <c r="G862" i="5"/>
  <c r="G863" i="5"/>
  <c r="G864" i="5"/>
  <c r="G865" i="5"/>
  <c r="G866" i="5"/>
  <c r="G867" i="5"/>
  <c r="G868" i="5"/>
  <c r="G869" i="5"/>
  <c r="G870" i="5"/>
  <c r="G871" i="5"/>
  <c r="G872" i="5"/>
  <c r="G873" i="5"/>
  <c r="G874" i="5"/>
  <c r="G875" i="5"/>
  <c r="G876" i="5"/>
  <c r="G877" i="5"/>
  <c r="G878" i="5"/>
  <c r="G879" i="5"/>
  <c r="G880" i="5"/>
  <c r="G881" i="5"/>
  <c r="G882" i="5"/>
  <c r="G883" i="5"/>
  <c r="G884" i="5"/>
  <c r="G885" i="5"/>
  <c r="G886" i="5"/>
  <c r="G887" i="5"/>
  <c r="G888" i="5"/>
  <c r="G889" i="5"/>
  <c r="G890" i="5"/>
  <c r="G891" i="5"/>
  <c r="G892" i="5"/>
  <c r="G893" i="5"/>
  <c r="G894" i="5"/>
  <c r="G895" i="5"/>
  <c r="G896" i="5"/>
  <c r="G897" i="5"/>
  <c r="G898" i="5"/>
  <c r="G899" i="5"/>
  <c r="G900" i="5"/>
  <c r="G901" i="5"/>
  <c r="G902" i="5"/>
  <c r="G903" i="5"/>
  <c r="G904" i="5"/>
  <c r="G905" i="5"/>
  <c r="G906" i="5"/>
  <c r="G907" i="5"/>
  <c r="G908" i="5"/>
  <c r="G909" i="5"/>
  <c r="G910" i="5"/>
  <c r="G911" i="5"/>
  <c r="G912" i="5"/>
  <c r="G913" i="5"/>
  <c r="G914" i="5"/>
  <c r="G915" i="5"/>
  <c r="G916" i="5"/>
  <c r="G917" i="5"/>
  <c r="G918" i="5"/>
  <c r="G919" i="5"/>
  <c r="G920" i="5"/>
  <c r="G921" i="5"/>
  <c r="G922" i="5"/>
  <c r="G923" i="5"/>
  <c r="G924" i="5"/>
  <c r="G925" i="5"/>
  <c r="G926" i="5"/>
  <c r="G927" i="5"/>
  <c r="G928" i="5"/>
  <c r="G929" i="5"/>
  <c r="G930" i="5"/>
  <c r="G931" i="5"/>
  <c r="G932" i="5"/>
  <c r="G933" i="5"/>
  <c r="G934" i="5"/>
  <c r="G935" i="5"/>
  <c r="G936" i="5"/>
  <c r="G937" i="5"/>
  <c r="G938" i="5"/>
  <c r="G939" i="5"/>
  <c r="G940" i="5"/>
  <c r="G941" i="5"/>
  <c r="G942" i="5"/>
  <c r="G943" i="5"/>
  <c r="G944" i="5"/>
  <c r="G945" i="5"/>
  <c r="G946" i="5"/>
  <c r="G947" i="5"/>
  <c r="G948" i="5"/>
  <c r="G949" i="5"/>
  <c r="G950" i="5"/>
  <c r="G951" i="5"/>
  <c r="G952" i="5"/>
  <c r="G953" i="5"/>
  <c r="G954" i="5"/>
  <c r="G955" i="5"/>
  <c r="G956" i="5"/>
  <c r="G957" i="5"/>
  <c r="G958" i="5"/>
  <c r="G959" i="5"/>
  <c r="G960" i="5"/>
  <c r="G961" i="5"/>
  <c r="G962" i="5"/>
  <c r="G963" i="5"/>
  <c r="G964" i="5"/>
  <c r="G965" i="5"/>
  <c r="G966" i="5"/>
  <c r="G967" i="5"/>
  <c r="G968" i="5"/>
  <c r="G969" i="5"/>
  <c r="G970" i="5"/>
  <c r="G971" i="5"/>
  <c r="G972" i="5"/>
  <c r="G973" i="5"/>
  <c r="G974" i="5"/>
  <c r="G975" i="5"/>
  <c r="G976" i="5"/>
  <c r="G977" i="5"/>
  <c r="G978" i="5"/>
  <c r="G979" i="5"/>
  <c r="G980" i="5"/>
  <c r="G981" i="5"/>
  <c r="G982" i="5"/>
  <c r="G983" i="5"/>
  <c r="G984" i="5"/>
  <c r="G985" i="5"/>
  <c r="G986" i="5"/>
  <c r="G987" i="5"/>
  <c r="G988" i="5"/>
  <c r="G989" i="5"/>
  <c r="G990" i="5"/>
  <c r="G991" i="5"/>
  <c r="G992" i="5"/>
  <c r="G993" i="5"/>
  <c r="G994" i="5"/>
  <c r="G995" i="5"/>
  <c r="G996" i="5"/>
  <c r="G997" i="5"/>
  <c r="G998" i="5"/>
  <c r="G999" i="5"/>
  <c r="G1000" i="5"/>
  <c r="G1001" i="5"/>
  <c r="G2"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F505" i="5"/>
  <c r="F506" i="5"/>
  <c r="F507" i="5"/>
  <c r="F508" i="5"/>
  <c r="F509" i="5"/>
  <c r="F510" i="5"/>
  <c r="F511" i="5"/>
  <c r="F512" i="5"/>
  <c r="F513" i="5"/>
  <c r="F514" i="5"/>
  <c r="F515" i="5"/>
  <c r="F516" i="5"/>
  <c r="F517" i="5"/>
  <c r="F518" i="5"/>
  <c r="F519" i="5"/>
  <c r="F520" i="5"/>
  <c r="F521" i="5"/>
  <c r="F522" i="5"/>
  <c r="F523" i="5"/>
  <c r="F524" i="5"/>
  <c r="F525" i="5"/>
  <c r="F526" i="5"/>
  <c r="F527" i="5"/>
  <c r="F528" i="5"/>
  <c r="F529" i="5"/>
  <c r="F530" i="5"/>
  <c r="F531" i="5"/>
  <c r="F532" i="5"/>
  <c r="F533" i="5"/>
  <c r="F534" i="5"/>
  <c r="F535" i="5"/>
  <c r="F536" i="5"/>
  <c r="F537" i="5"/>
  <c r="F538" i="5"/>
  <c r="F539" i="5"/>
  <c r="F540" i="5"/>
  <c r="F541" i="5"/>
  <c r="F542" i="5"/>
  <c r="F543" i="5"/>
  <c r="F544" i="5"/>
  <c r="F545" i="5"/>
  <c r="F546" i="5"/>
  <c r="F547" i="5"/>
  <c r="F548" i="5"/>
  <c r="F549" i="5"/>
  <c r="F550" i="5"/>
  <c r="F551" i="5"/>
  <c r="F552" i="5"/>
  <c r="F553" i="5"/>
  <c r="F554" i="5"/>
  <c r="F555" i="5"/>
  <c r="F556" i="5"/>
  <c r="F557" i="5"/>
  <c r="F558" i="5"/>
  <c r="F559" i="5"/>
  <c r="F560" i="5"/>
  <c r="F561" i="5"/>
  <c r="F562" i="5"/>
  <c r="F563" i="5"/>
  <c r="F564" i="5"/>
  <c r="F565" i="5"/>
  <c r="F566" i="5"/>
  <c r="F567" i="5"/>
  <c r="F568" i="5"/>
  <c r="F569" i="5"/>
  <c r="F570" i="5"/>
  <c r="F571" i="5"/>
  <c r="F572" i="5"/>
  <c r="F573" i="5"/>
  <c r="F574" i="5"/>
  <c r="F575" i="5"/>
  <c r="F576" i="5"/>
  <c r="F577" i="5"/>
  <c r="F578" i="5"/>
  <c r="F579" i="5"/>
  <c r="F580" i="5"/>
  <c r="F581" i="5"/>
  <c r="F582" i="5"/>
  <c r="F583" i="5"/>
  <c r="F584" i="5"/>
  <c r="F585" i="5"/>
  <c r="F586" i="5"/>
  <c r="F587" i="5"/>
  <c r="F588" i="5"/>
  <c r="F589" i="5"/>
  <c r="F590" i="5"/>
  <c r="F591" i="5"/>
  <c r="F592" i="5"/>
  <c r="F593" i="5"/>
  <c r="F594" i="5"/>
  <c r="F595" i="5"/>
  <c r="F596" i="5"/>
  <c r="F597" i="5"/>
  <c r="F598" i="5"/>
  <c r="F599" i="5"/>
  <c r="F600" i="5"/>
  <c r="F601" i="5"/>
  <c r="F602" i="5"/>
  <c r="F603" i="5"/>
  <c r="F604" i="5"/>
  <c r="F605" i="5"/>
  <c r="F606" i="5"/>
  <c r="F607" i="5"/>
  <c r="F608" i="5"/>
  <c r="F609" i="5"/>
  <c r="F610" i="5"/>
  <c r="F611" i="5"/>
  <c r="F612" i="5"/>
  <c r="F613" i="5"/>
  <c r="F614" i="5"/>
  <c r="F615" i="5"/>
  <c r="F616" i="5"/>
  <c r="F617" i="5"/>
  <c r="F618" i="5"/>
  <c r="F619" i="5"/>
  <c r="F620" i="5"/>
  <c r="F621" i="5"/>
  <c r="F622" i="5"/>
  <c r="F623" i="5"/>
  <c r="F624" i="5"/>
  <c r="F625" i="5"/>
  <c r="F626" i="5"/>
  <c r="F627" i="5"/>
  <c r="F628" i="5"/>
  <c r="F629" i="5"/>
  <c r="F630" i="5"/>
  <c r="F631" i="5"/>
  <c r="F632" i="5"/>
  <c r="F633" i="5"/>
  <c r="F634" i="5"/>
  <c r="F635" i="5"/>
  <c r="F636" i="5"/>
  <c r="F637" i="5"/>
  <c r="F638" i="5"/>
  <c r="F639" i="5"/>
  <c r="F640" i="5"/>
  <c r="F641" i="5"/>
  <c r="F642" i="5"/>
  <c r="F643" i="5"/>
  <c r="F644" i="5"/>
  <c r="F645" i="5"/>
  <c r="F646" i="5"/>
  <c r="F647" i="5"/>
  <c r="F648" i="5"/>
  <c r="F649" i="5"/>
  <c r="F650" i="5"/>
  <c r="F651" i="5"/>
  <c r="F652" i="5"/>
  <c r="F653" i="5"/>
  <c r="F654" i="5"/>
  <c r="F655" i="5"/>
  <c r="F656" i="5"/>
  <c r="F657" i="5"/>
  <c r="F658" i="5"/>
  <c r="F659" i="5"/>
  <c r="F660" i="5"/>
  <c r="F661" i="5"/>
  <c r="F662" i="5"/>
  <c r="F663" i="5"/>
  <c r="F664" i="5"/>
  <c r="F665" i="5"/>
  <c r="F666" i="5"/>
  <c r="F667" i="5"/>
  <c r="F668" i="5"/>
  <c r="F669" i="5"/>
  <c r="F670" i="5"/>
  <c r="F671" i="5"/>
  <c r="F672" i="5"/>
  <c r="F673" i="5"/>
  <c r="F674" i="5"/>
  <c r="F675" i="5"/>
  <c r="F676" i="5"/>
  <c r="F677" i="5"/>
  <c r="F678" i="5"/>
  <c r="F679" i="5"/>
  <c r="F680" i="5"/>
  <c r="F681" i="5"/>
  <c r="F682" i="5"/>
  <c r="F683" i="5"/>
  <c r="F684" i="5"/>
  <c r="F685" i="5"/>
  <c r="F686" i="5"/>
  <c r="F687" i="5"/>
  <c r="F688" i="5"/>
  <c r="F689" i="5"/>
  <c r="F690" i="5"/>
  <c r="F691" i="5"/>
  <c r="F692" i="5"/>
  <c r="F693" i="5"/>
  <c r="F694" i="5"/>
  <c r="F695" i="5"/>
  <c r="F696" i="5"/>
  <c r="F697" i="5"/>
  <c r="F698" i="5"/>
  <c r="F699" i="5"/>
  <c r="F700" i="5"/>
  <c r="F701" i="5"/>
  <c r="F702" i="5"/>
  <c r="F703" i="5"/>
  <c r="F704" i="5"/>
  <c r="F705" i="5"/>
  <c r="F706" i="5"/>
  <c r="F707" i="5"/>
  <c r="F708" i="5"/>
  <c r="F709" i="5"/>
  <c r="F710" i="5"/>
  <c r="F711" i="5"/>
  <c r="F712" i="5"/>
  <c r="F713" i="5"/>
  <c r="F714" i="5"/>
  <c r="F715" i="5"/>
  <c r="F716" i="5"/>
  <c r="F717" i="5"/>
  <c r="F718" i="5"/>
  <c r="F719" i="5"/>
  <c r="F720" i="5"/>
  <c r="F721" i="5"/>
  <c r="F722" i="5"/>
  <c r="F723" i="5"/>
  <c r="F724" i="5"/>
  <c r="F725" i="5"/>
  <c r="F726" i="5"/>
  <c r="F727" i="5"/>
  <c r="F728" i="5"/>
  <c r="F729" i="5"/>
  <c r="F730" i="5"/>
  <c r="F731" i="5"/>
  <c r="F732" i="5"/>
  <c r="F733" i="5"/>
  <c r="F734" i="5"/>
  <c r="F735" i="5"/>
  <c r="F736" i="5"/>
  <c r="F737" i="5"/>
  <c r="F738" i="5"/>
  <c r="F739" i="5"/>
  <c r="F740" i="5"/>
  <c r="F741" i="5"/>
  <c r="F742" i="5"/>
  <c r="F743" i="5"/>
  <c r="F744" i="5"/>
  <c r="F745" i="5"/>
  <c r="F746" i="5"/>
  <c r="F747" i="5"/>
  <c r="F748" i="5"/>
  <c r="F749" i="5"/>
  <c r="F750" i="5"/>
  <c r="F751" i="5"/>
  <c r="F752" i="5"/>
  <c r="F753" i="5"/>
  <c r="F754" i="5"/>
  <c r="F755" i="5"/>
  <c r="F756" i="5"/>
  <c r="F757" i="5"/>
  <c r="F758" i="5"/>
  <c r="F759" i="5"/>
  <c r="F760" i="5"/>
  <c r="F761" i="5"/>
  <c r="F762" i="5"/>
  <c r="F763" i="5"/>
  <c r="F764" i="5"/>
  <c r="F765" i="5"/>
  <c r="F766" i="5"/>
  <c r="F767" i="5"/>
  <c r="F768" i="5"/>
  <c r="F769" i="5"/>
  <c r="F770" i="5"/>
  <c r="F771" i="5"/>
  <c r="F772" i="5"/>
  <c r="F773" i="5"/>
  <c r="F774" i="5"/>
  <c r="F775" i="5"/>
  <c r="F776" i="5"/>
  <c r="F777" i="5"/>
  <c r="F778" i="5"/>
  <c r="F779" i="5"/>
  <c r="F780" i="5"/>
  <c r="F781" i="5"/>
  <c r="F782" i="5"/>
  <c r="F783" i="5"/>
  <c r="F784" i="5"/>
  <c r="F785" i="5"/>
  <c r="F786" i="5"/>
  <c r="F787" i="5"/>
  <c r="F788" i="5"/>
  <c r="F789" i="5"/>
  <c r="F790" i="5"/>
  <c r="F791" i="5"/>
  <c r="F792" i="5"/>
  <c r="F793" i="5"/>
  <c r="F794" i="5"/>
  <c r="F795" i="5"/>
  <c r="F796" i="5"/>
  <c r="F797" i="5"/>
  <c r="F798" i="5"/>
  <c r="F799" i="5"/>
  <c r="F800" i="5"/>
  <c r="F801" i="5"/>
  <c r="F802" i="5"/>
  <c r="F803" i="5"/>
  <c r="F804" i="5"/>
  <c r="F805" i="5"/>
  <c r="F806" i="5"/>
  <c r="F807" i="5"/>
  <c r="F808" i="5"/>
  <c r="F809" i="5"/>
  <c r="F810" i="5"/>
  <c r="F811" i="5"/>
  <c r="F812" i="5"/>
  <c r="F813" i="5"/>
  <c r="F814" i="5"/>
  <c r="F815" i="5"/>
  <c r="F816" i="5"/>
  <c r="F817" i="5"/>
  <c r="F818" i="5"/>
  <c r="F819" i="5"/>
  <c r="F820" i="5"/>
  <c r="F821" i="5"/>
  <c r="F822" i="5"/>
  <c r="F823" i="5"/>
  <c r="F824" i="5"/>
  <c r="F825" i="5"/>
  <c r="F826" i="5"/>
  <c r="F827" i="5"/>
  <c r="F828" i="5"/>
  <c r="F829" i="5"/>
  <c r="F830" i="5"/>
  <c r="F831" i="5"/>
  <c r="F832" i="5"/>
  <c r="F833" i="5"/>
  <c r="F834" i="5"/>
  <c r="F835" i="5"/>
  <c r="F836" i="5"/>
  <c r="F837" i="5"/>
  <c r="F838" i="5"/>
  <c r="F839" i="5"/>
  <c r="F840" i="5"/>
  <c r="F841" i="5"/>
  <c r="F842" i="5"/>
  <c r="F843" i="5"/>
  <c r="F844" i="5"/>
  <c r="F845" i="5"/>
  <c r="F846" i="5"/>
  <c r="F847" i="5"/>
  <c r="F848" i="5"/>
  <c r="F849" i="5"/>
  <c r="F850" i="5"/>
  <c r="F851" i="5"/>
  <c r="F852" i="5"/>
  <c r="F853" i="5"/>
  <c r="F854" i="5"/>
  <c r="F855" i="5"/>
  <c r="F856" i="5"/>
  <c r="F857" i="5"/>
  <c r="F858" i="5"/>
  <c r="F859" i="5"/>
  <c r="F860" i="5"/>
  <c r="F861" i="5"/>
  <c r="F862" i="5"/>
  <c r="F863" i="5"/>
  <c r="F864" i="5"/>
  <c r="F865" i="5"/>
  <c r="F866" i="5"/>
  <c r="F867" i="5"/>
  <c r="F868" i="5"/>
  <c r="F869" i="5"/>
  <c r="F870" i="5"/>
  <c r="F871" i="5"/>
  <c r="F872" i="5"/>
  <c r="F873" i="5"/>
  <c r="F874" i="5"/>
  <c r="F875" i="5"/>
  <c r="F876" i="5"/>
  <c r="F877" i="5"/>
  <c r="F878" i="5"/>
  <c r="F879" i="5"/>
  <c r="F880" i="5"/>
  <c r="F881" i="5"/>
  <c r="F882" i="5"/>
  <c r="F883" i="5"/>
  <c r="F884" i="5"/>
  <c r="F885" i="5"/>
  <c r="F886" i="5"/>
  <c r="F887" i="5"/>
  <c r="F888" i="5"/>
  <c r="F889" i="5"/>
  <c r="F890" i="5"/>
  <c r="F891" i="5"/>
  <c r="F892" i="5"/>
  <c r="F893" i="5"/>
  <c r="F894" i="5"/>
  <c r="F895" i="5"/>
  <c r="F896" i="5"/>
  <c r="F897" i="5"/>
  <c r="F898" i="5"/>
  <c r="F899" i="5"/>
  <c r="F900" i="5"/>
  <c r="F901" i="5"/>
  <c r="F902" i="5"/>
  <c r="F903" i="5"/>
  <c r="F904" i="5"/>
  <c r="F905" i="5"/>
  <c r="F906" i="5"/>
  <c r="F907" i="5"/>
  <c r="F908" i="5"/>
  <c r="F909" i="5"/>
  <c r="F910" i="5"/>
  <c r="F911" i="5"/>
  <c r="F912" i="5"/>
  <c r="F913" i="5"/>
  <c r="F914" i="5"/>
  <c r="F915" i="5"/>
  <c r="F916" i="5"/>
  <c r="F917" i="5"/>
  <c r="F918" i="5"/>
  <c r="F919" i="5"/>
  <c r="F920" i="5"/>
  <c r="F921" i="5"/>
  <c r="F922" i="5"/>
  <c r="F923" i="5"/>
  <c r="F924" i="5"/>
  <c r="F925" i="5"/>
  <c r="F926" i="5"/>
  <c r="F927" i="5"/>
  <c r="F928" i="5"/>
  <c r="F929" i="5"/>
  <c r="F930" i="5"/>
  <c r="F931" i="5"/>
  <c r="F932" i="5"/>
  <c r="F933" i="5"/>
  <c r="F934" i="5"/>
  <c r="F935" i="5"/>
  <c r="F936" i="5"/>
  <c r="F937" i="5"/>
  <c r="F938" i="5"/>
  <c r="F939" i="5"/>
  <c r="F940" i="5"/>
  <c r="F941" i="5"/>
  <c r="F942" i="5"/>
  <c r="F943" i="5"/>
  <c r="F944" i="5"/>
  <c r="F945" i="5"/>
  <c r="F946" i="5"/>
  <c r="F947" i="5"/>
  <c r="F948" i="5"/>
  <c r="F949" i="5"/>
  <c r="F950" i="5"/>
  <c r="F951" i="5"/>
  <c r="F952" i="5"/>
  <c r="F953" i="5"/>
  <c r="F954" i="5"/>
  <c r="F955" i="5"/>
  <c r="F956" i="5"/>
  <c r="F957" i="5"/>
  <c r="F958" i="5"/>
  <c r="F959" i="5"/>
  <c r="F960" i="5"/>
  <c r="F961" i="5"/>
  <c r="F962" i="5"/>
  <c r="F963" i="5"/>
  <c r="F964" i="5"/>
  <c r="F965" i="5"/>
  <c r="F966" i="5"/>
  <c r="F967" i="5"/>
  <c r="F968" i="5"/>
  <c r="F969" i="5"/>
  <c r="F970" i="5"/>
  <c r="F971" i="5"/>
  <c r="F972" i="5"/>
  <c r="F973" i="5"/>
  <c r="F974" i="5"/>
  <c r="F975" i="5"/>
  <c r="F976" i="5"/>
  <c r="F977" i="5"/>
  <c r="F978" i="5"/>
  <c r="F979" i="5"/>
  <c r="F980" i="5"/>
  <c r="F981" i="5"/>
  <c r="F982" i="5"/>
  <c r="F983" i="5"/>
  <c r="F984" i="5"/>
  <c r="F985" i="5"/>
  <c r="F986" i="5"/>
  <c r="F987" i="5"/>
  <c r="F988" i="5"/>
  <c r="F989" i="5"/>
  <c r="F990" i="5"/>
  <c r="F991" i="5"/>
  <c r="F992" i="5"/>
  <c r="F993" i="5"/>
  <c r="F994" i="5"/>
  <c r="F995" i="5"/>
  <c r="F996" i="5"/>
  <c r="F997" i="5"/>
  <c r="F998" i="5"/>
  <c r="F999" i="5"/>
  <c r="F1000" i="5"/>
  <c r="F1001" i="5"/>
  <c r="F2"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914" i="5"/>
  <c r="D915" i="5"/>
  <c r="D916" i="5"/>
  <c r="D917" i="5"/>
  <c r="D918" i="5"/>
  <c r="D919" i="5"/>
  <c r="D920" i="5"/>
  <c r="D921" i="5"/>
  <c r="D922" i="5"/>
  <c r="D923" i="5"/>
  <c r="D924" i="5"/>
  <c r="D925" i="5"/>
  <c r="D926" i="5"/>
  <c r="D927" i="5"/>
  <c r="D928" i="5"/>
  <c r="D929" i="5"/>
  <c r="D930" i="5"/>
  <c r="D931" i="5"/>
  <c r="D932" i="5"/>
  <c r="D933" i="5"/>
  <c r="D934" i="5"/>
  <c r="D935" i="5"/>
  <c r="D936" i="5"/>
  <c r="D937" i="5"/>
  <c r="D938" i="5"/>
  <c r="D939" i="5"/>
  <c r="D940" i="5"/>
  <c r="D941" i="5"/>
  <c r="D942" i="5"/>
  <c r="D943" i="5"/>
  <c r="D944" i="5"/>
  <c r="D945" i="5"/>
  <c r="D946" i="5"/>
  <c r="D947" i="5"/>
  <c r="D948" i="5"/>
  <c r="D949" i="5"/>
  <c r="D950" i="5"/>
  <c r="D951" i="5"/>
  <c r="D952" i="5"/>
  <c r="D953" i="5"/>
  <c r="D954" i="5"/>
  <c r="D955" i="5"/>
  <c r="D956" i="5"/>
  <c r="D957" i="5"/>
  <c r="D958" i="5"/>
  <c r="D959" i="5"/>
  <c r="D960" i="5"/>
  <c r="D961" i="5"/>
  <c r="D962" i="5"/>
  <c r="D963" i="5"/>
  <c r="D964" i="5"/>
  <c r="D965" i="5"/>
  <c r="D966" i="5"/>
  <c r="D967" i="5"/>
  <c r="D968" i="5"/>
  <c r="D969" i="5"/>
  <c r="D970" i="5"/>
  <c r="D971" i="5"/>
  <c r="D972" i="5"/>
  <c r="D973" i="5"/>
  <c r="D974" i="5"/>
  <c r="D975" i="5"/>
  <c r="D976" i="5"/>
  <c r="D977" i="5"/>
  <c r="D978" i="5"/>
  <c r="D979" i="5"/>
  <c r="D980" i="5"/>
  <c r="D981" i="5"/>
  <c r="D982" i="5"/>
  <c r="D983" i="5"/>
  <c r="D984" i="5"/>
  <c r="D985" i="5"/>
  <c r="D986" i="5"/>
  <c r="D987" i="5"/>
  <c r="D988" i="5"/>
  <c r="D989" i="5"/>
  <c r="D990" i="5"/>
  <c r="D991" i="5"/>
  <c r="D992" i="5"/>
  <c r="D993" i="5"/>
  <c r="D994" i="5"/>
  <c r="D995" i="5"/>
  <c r="D996" i="5"/>
  <c r="D997" i="5"/>
  <c r="D998" i="5"/>
  <c r="D999" i="5"/>
  <c r="D1000" i="5"/>
  <c r="D1001" i="5"/>
  <c r="D2" i="5"/>
  <c r="C3" i="5"/>
  <c r="E3" i="5" s="1"/>
  <c r="C4" i="5"/>
  <c r="E4" i="5" s="1"/>
  <c r="C5" i="5"/>
  <c r="E5" i="5" s="1"/>
  <c r="C6" i="5"/>
  <c r="E6" i="5" s="1"/>
  <c r="C7" i="5"/>
  <c r="E7" i="5" s="1"/>
  <c r="C8" i="5"/>
  <c r="E8" i="5" s="1"/>
  <c r="C9" i="5"/>
  <c r="E9" i="5" s="1"/>
  <c r="C10" i="5"/>
  <c r="E10" i="5" s="1"/>
  <c r="C11" i="5"/>
  <c r="E11" i="5" s="1"/>
  <c r="C12" i="5"/>
  <c r="E12" i="5" s="1"/>
  <c r="C13" i="5"/>
  <c r="E13" i="5" s="1"/>
  <c r="C14" i="5"/>
  <c r="E14" i="5" s="1"/>
  <c r="C15" i="5"/>
  <c r="E15" i="5" s="1"/>
  <c r="C16" i="5"/>
  <c r="E16" i="5" s="1"/>
  <c r="C17" i="5"/>
  <c r="E17" i="5" s="1"/>
  <c r="C18" i="5"/>
  <c r="E18" i="5" s="1"/>
  <c r="C19" i="5"/>
  <c r="E19" i="5" s="1"/>
  <c r="C20" i="5"/>
  <c r="E20" i="5" s="1"/>
  <c r="C21" i="5"/>
  <c r="E21" i="5" s="1"/>
  <c r="C22" i="5"/>
  <c r="E22" i="5" s="1"/>
  <c r="C23" i="5"/>
  <c r="E23" i="5" s="1"/>
  <c r="C24" i="5"/>
  <c r="E24" i="5" s="1"/>
  <c r="C25" i="5"/>
  <c r="E25" i="5" s="1"/>
  <c r="C26" i="5"/>
  <c r="E26" i="5" s="1"/>
  <c r="C27" i="5"/>
  <c r="E27" i="5" s="1"/>
  <c r="C28" i="5"/>
  <c r="E28" i="5" s="1"/>
  <c r="C29" i="5"/>
  <c r="E29" i="5" s="1"/>
  <c r="C30" i="5"/>
  <c r="E30" i="5" s="1"/>
  <c r="C31" i="5"/>
  <c r="E31" i="5" s="1"/>
  <c r="C32" i="5"/>
  <c r="E32" i="5" s="1"/>
  <c r="C33" i="5"/>
  <c r="E33" i="5" s="1"/>
  <c r="C34" i="5"/>
  <c r="E34" i="5" s="1"/>
  <c r="C35" i="5"/>
  <c r="E35" i="5" s="1"/>
  <c r="C36" i="5"/>
  <c r="E36" i="5" s="1"/>
  <c r="C37" i="5"/>
  <c r="E37" i="5" s="1"/>
  <c r="C38" i="5"/>
  <c r="E38" i="5" s="1"/>
  <c r="C39" i="5"/>
  <c r="E39" i="5" s="1"/>
  <c r="C40" i="5"/>
  <c r="E40" i="5" s="1"/>
  <c r="C41" i="5"/>
  <c r="E41" i="5" s="1"/>
  <c r="C42" i="5"/>
  <c r="E42" i="5" s="1"/>
  <c r="C43" i="5"/>
  <c r="E43" i="5" s="1"/>
  <c r="C44" i="5"/>
  <c r="E44" i="5" s="1"/>
  <c r="C45" i="5"/>
  <c r="E45" i="5" s="1"/>
  <c r="C46" i="5"/>
  <c r="E46" i="5" s="1"/>
  <c r="C47" i="5"/>
  <c r="E47" i="5" s="1"/>
  <c r="C48" i="5"/>
  <c r="E48" i="5" s="1"/>
  <c r="C49" i="5"/>
  <c r="E49" i="5" s="1"/>
  <c r="C50" i="5"/>
  <c r="E50" i="5" s="1"/>
  <c r="C51" i="5"/>
  <c r="E51" i="5" s="1"/>
  <c r="C52" i="5"/>
  <c r="E52" i="5" s="1"/>
  <c r="C53" i="5"/>
  <c r="E53" i="5" s="1"/>
  <c r="C54" i="5"/>
  <c r="E54" i="5" s="1"/>
  <c r="C55" i="5"/>
  <c r="E55" i="5" s="1"/>
  <c r="C56" i="5"/>
  <c r="E56" i="5" s="1"/>
  <c r="C57" i="5"/>
  <c r="E57" i="5" s="1"/>
  <c r="C58" i="5"/>
  <c r="E58" i="5" s="1"/>
  <c r="C59" i="5"/>
  <c r="E59" i="5" s="1"/>
  <c r="C60" i="5"/>
  <c r="E60" i="5" s="1"/>
  <c r="C61" i="5"/>
  <c r="E61" i="5" s="1"/>
  <c r="C62" i="5"/>
  <c r="E62" i="5" s="1"/>
  <c r="C63" i="5"/>
  <c r="E63" i="5" s="1"/>
  <c r="C64" i="5"/>
  <c r="E64" i="5" s="1"/>
  <c r="C65" i="5"/>
  <c r="E65" i="5" s="1"/>
  <c r="C66" i="5"/>
  <c r="E66" i="5" s="1"/>
  <c r="C67" i="5"/>
  <c r="E67" i="5" s="1"/>
  <c r="C68" i="5"/>
  <c r="E68" i="5" s="1"/>
  <c r="C69" i="5"/>
  <c r="E69" i="5" s="1"/>
  <c r="C70" i="5"/>
  <c r="E70" i="5" s="1"/>
  <c r="C71" i="5"/>
  <c r="E71" i="5" s="1"/>
  <c r="C72" i="5"/>
  <c r="E72" i="5" s="1"/>
  <c r="C73" i="5"/>
  <c r="E73" i="5" s="1"/>
  <c r="C74" i="5"/>
  <c r="E74" i="5" s="1"/>
  <c r="C75" i="5"/>
  <c r="E75" i="5" s="1"/>
  <c r="C76" i="5"/>
  <c r="E76" i="5" s="1"/>
  <c r="C77" i="5"/>
  <c r="E77" i="5" s="1"/>
  <c r="C78" i="5"/>
  <c r="E78" i="5" s="1"/>
  <c r="C79" i="5"/>
  <c r="E79" i="5" s="1"/>
  <c r="C80" i="5"/>
  <c r="E80" i="5" s="1"/>
  <c r="C81" i="5"/>
  <c r="E81" i="5" s="1"/>
  <c r="C82" i="5"/>
  <c r="E82" i="5" s="1"/>
  <c r="C83" i="5"/>
  <c r="E83" i="5" s="1"/>
  <c r="C84" i="5"/>
  <c r="E84" i="5" s="1"/>
  <c r="C85" i="5"/>
  <c r="E85" i="5" s="1"/>
  <c r="C86" i="5"/>
  <c r="E86" i="5" s="1"/>
  <c r="C87" i="5"/>
  <c r="E87" i="5" s="1"/>
  <c r="C88" i="5"/>
  <c r="E88" i="5" s="1"/>
  <c r="C89" i="5"/>
  <c r="E89" i="5" s="1"/>
  <c r="C90" i="5"/>
  <c r="E90" i="5" s="1"/>
  <c r="C91" i="5"/>
  <c r="E91" i="5" s="1"/>
  <c r="C92" i="5"/>
  <c r="E92" i="5" s="1"/>
  <c r="C93" i="5"/>
  <c r="E93" i="5" s="1"/>
  <c r="C94" i="5"/>
  <c r="E94" i="5" s="1"/>
  <c r="C95" i="5"/>
  <c r="E95" i="5" s="1"/>
  <c r="C96" i="5"/>
  <c r="E96" i="5" s="1"/>
  <c r="C97" i="5"/>
  <c r="E97" i="5" s="1"/>
  <c r="C98" i="5"/>
  <c r="E98" i="5" s="1"/>
  <c r="C99" i="5"/>
  <c r="E99" i="5" s="1"/>
  <c r="C100" i="5"/>
  <c r="E100" i="5" s="1"/>
  <c r="C101" i="5"/>
  <c r="E101" i="5" s="1"/>
  <c r="C102" i="5"/>
  <c r="E102" i="5" s="1"/>
  <c r="C103" i="5"/>
  <c r="E103" i="5" s="1"/>
  <c r="C104" i="5"/>
  <c r="E104" i="5" s="1"/>
  <c r="C105" i="5"/>
  <c r="E105" i="5" s="1"/>
  <c r="C106" i="5"/>
  <c r="E106" i="5" s="1"/>
  <c r="C107" i="5"/>
  <c r="E107" i="5" s="1"/>
  <c r="C108" i="5"/>
  <c r="E108" i="5" s="1"/>
  <c r="C109" i="5"/>
  <c r="E109" i="5" s="1"/>
  <c r="C110" i="5"/>
  <c r="E110" i="5" s="1"/>
  <c r="C111" i="5"/>
  <c r="E111" i="5" s="1"/>
  <c r="C112" i="5"/>
  <c r="E112" i="5" s="1"/>
  <c r="C113" i="5"/>
  <c r="E113" i="5" s="1"/>
  <c r="C114" i="5"/>
  <c r="E114" i="5" s="1"/>
  <c r="C115" i="5"/>
  <c r="E115" i="5" s="1"/>
  <c r="C116" i="5"/>
  <c r="E116" i="5" s="1"/>
  <c r="C117" i="5"/>
  <c r="E117" i="5" s="1"/>
  <c r="C118" i="5"/>
  <c r="E118" i="5" s="1"/>
  <c r="C119" i="5"/>
  <c r="E119" i="5" s="1"/>
  <c r="C120" i="5"/>
  <c r="E120" i="5" s="1"/>
  <c r="C121" i="5"/>
  <c r="E121" i="5" s="1"/>
  <c r="C122" i="5"/>
  <c r="E122" i="5" s="1"/>
  <c r="C123" i="5"/>
  <c r="E123" i="5" s="1"/>
  <c r="C124" i="5"/>
  <c r="E124" i="5" s="1"/>
  <c r="C125" i="5"/>
  <c r="E125" i="5" s="1"/>
  <c r="C126" i="5"/>
  <c r="E126" i="5" s="1"/>
  <c r="C127" i="5"/>
  <c r="E127" i="5" s="1"/>
  <c r="C128" i="5"/>
  <c r="E128" i="5" s="1"/>
  <c r="C129" i="5"/>
  <c r="E129" i="5" s="1"/>
  <c r="C130" i="5"/>
  <c r="E130" i="5" s="1"/>
  <c r="C131" i="5"/>
  <c r="E131" i="5" s="1"/>
  <c r="C132" i="5"/>
  <c r="E132" i="5" s="1"/>
  <c r="C133" i="5"/>
  <c r="E133" i="5" s="1"/>
  <c r="C134" i="5"/>
  <c r="E134" i="5" s="1"/>
  <c r="C135" i="5"/>
  <c r="E135" i="5" s="1"/>
  <c r="C136" i="5"/>
  <c r="E136" i="5" s="1"/>
  <c r="C137" i="5"/>
  <c r="E137" i="5" s="1"/>
  <c r="C138" i="5"/>
  <c r="E138" i="5" s="1"/>
  <c r="C139" i="5"/>
  <c r="E139" i="5" s="1"/>
  <c r="C140" i="5"/>
  <c r="E140" i="5" s="1"/>
  <c r="C141" i="5"/>
  <c r="E141" i="5" s="1"/>
  <c r="C142" i="5"/>
  <c r="E142" i="5" s="1"/>
  <c r="C143" i="5"/>
  <c r="E143" i="5" s="1"/>
  <c r="C144" i="5"/>
  <c r="E144" i="5" s="1"/>
  <c r="C145" i="5"/>
  <c r="E145" i="5" s="1"/>
  <c r="C146" i="5"/>
  <c r="E146" i="5" s="1"/>
  <c r="C147" i="5"/>
  <c r="E147" i="5" s="1"/>
  <c r="C148" i="5"/>
  <c r="E148" i="5" s="1"/>
  <c r="C149" i="5"/>
  <c r="E149" i="5" s="1"/>
  <c r="C150" i="5"/>
  <c r="E150" i="5" s="1"/>
  <c r="C151" i="5"/>
  <c r="E151" i="5" s="1"/>
  <c r="C152" i="5"/>
  <c r="E152" i="5" s="1"/>
  <c r="C153" i="5"/>
  <c r="E153" i="5" s="1"/>
  <c r="C154" i="5"/>
  <c r="E154" i="5" s="1"/>
  <c r="C155" i="5"/>
  <c r="E155" i="5" s="1"/>
  <c r="C156" i="5"/>
  <c r="E156" i="5" s="1"/>
  <c r="C157" i="5"/>
  <c r="E157" i="5" s="1"/>
  <c r="C158" i="5"/>
  <c r="E158" i="5" s="1"/>
  <c r="C159" i="5"/>
  <c r="E159" i="5" s="1"/>
  <c r="C160" i="5"/>
  <c r="E160" i="5" s="1"/>
  <c r="C161" i="5"/>
  <c r="E161" i="5" s="1"/>
  <c r="C162" i="5"/>
  <c r="E162" i="5" s="1"/>
  <c r="C163" i="5"/>
  <c r="E163" i="5" s="1"/>
  <c r="C164" i="5"/>
  <c r="E164" i="5" s="1"/>
  <c r="C165" i="5"/>
  <c r="E165" i="5" s="1"/>
  <c r="C166" i="5"/>
  <c r="E166" i="5" s="1"/>
  <c r="C167" i="5"/>
  <c r="E167" i="5" s="1"/>
  <c r="C168" i="5"/>
  <c r="E168" i="5" s="1"/>
  <c r="C169" i="5"/>
  <c r="E169" i="5" s="1"/>
  <c r="C170" i="5"/>
  <c r="E170" i="5" s="1"/>
  <c r="C171" i="5"/>
  <c r="E171" i="5" s="1"/>
  <c r="C172" i="5"/>
  <c r="E172" i="5" s="1"/>
  <c r="C173" i="5"/>
  <c r="E173" i="5" s="1"/>
  <c r="C174" i="5"/>
  <c r="E174" i="5" s="1"/>
  <c r="C175" i="5"/>
  <c r="E175" i="5" s="1"/>
  <c r="C176" i="5"/>
  <c r="E176" i="5" s="1"/>
  <c r="C177" i="5"/>
  <c r="E177" i="5" s="1"/>
  <c r="C178" i="5"/>
  <c r="E178" i="5" s="1"/>
  <c r="C179" i="5"/>
  <c r="E179" i="5" s="1"/>
  <c r="C180" i="5"/>
  <c r="E180" i="5" s="1"/>
  <c r="C181" i="5"/>
  <c r="E181" i="5" s="1"/>
  <c r="C182" i="5"/>
  <c r="E182" i="5" s="1"/>
  <c r="C183" i="5"/>
  <c r="E183" i="5" s="1"/>
  <c r="C184" i="5"/>
  <c r="E184" i="5" s="1"/>
  <c r="C185" i="5"/>
  <c r="E185" i="5" s="1"/>
  <c r="C186" i="5"/>
  <c r="E186" i="5" s="1"/>
  <c r="C187" i="5"/>
  <c r="E187" i="5" s="1"/>
  <c r="C188" i="5"/>
  <c r="E188" i="5" s="1"/>
  <c r="C189" i="5"/>
  <c r="E189" i="5" s="1"/>
  <c r="C190" i="5"/>
  <c r="E190" i="5" s="1"/>
  <c r="C191" i="5"/>
  <c r="E191" i="5" s="1"/>
  <c r="C192" i="5"/>
  <c r="E192" i="5" s="1"/>
  <c r="C193" i="5"/>
  <c r="E193" i="5" s="1"/>
  <c r="C194" i="5"/>
  <c r="E194" i="5" s="1"/>
  <c r="C195" i="5"/>
  <c r="E195" i="5" s="1"/>
  <c r="C196" i="5"/>
  <c r="E196" i="5" s="1"/>
  <c r="C197" i="5"/>
  <c r="E197" i="5" s="1"/>
  <c r="C198" i="5"/>
  <c r="E198" i="5" s="1"/>
  <c r="C199" i="5"/>
  <c r="E199" i="5" s="1"/>
  <c r="C200" i="5"/>
  <c r="E200" i="5" s="1"/>
  <c r="C201" i="5"/>
  <c r="E201" i="5" s="1"/>
  <c r="C202" i="5"/>
  <c r="E202" i="5" s="1"/>
  <c r="C203" i="5"/>
  <c r="E203" i="5" s="1"/>
  <c r="C204" i="5"/>
  <c r="E204" i="5" s="1"/>
  <c r="C205" i="5"/>
  <c r="E205" i="5" s="1"/>
  <c r="C206" i="5"/>
  <c r="E206" i="5" s="1"/>
  <c r="C207" i="5"/>
  <c r="E207" i="5" s="1"/>
  <c r="C208" i="5"/>
  <c r="E208" i="5" s="1"/>
  <c r="C209" i="5"/>
  <c r="E209" i="5" s="1"/>
  <c r="C210" i="5"/>
  <c r="E210" i="5" s="1"/>
  <c r="C211" i="5"/>
  <c r="E211" i="5" s="1"/>
  <c r="C212" i="5"/>
  <c r="E212" i="5" s="1"/>
  <c r="C213" i="5"/>
  <c r="E213" i="5" s="1"/>
  <c r="C214" i="5"/>
  <c r="E214" i="5" s="1"/>
  <c r="C215" i="5"/>
  <c r="E215" i="5" s="1"/>
  <c r="C216" i="5"/>
  <c r="E216" i="5" s="1"/>
  <c r="C217" i="5"/>
  <c r="E217" i="5" s="1"/>
  <c r="C218" i="5"/>
  <c r="E218" i="5" s="1"/>
  <c r="C219" i="5"/>
  <c r="E219" i="5" s="1"/>
  <c r="C220" i="5"/>
  <c r="E220" i="5" s="1"/>
  <c r="C221" i="5"/>
  <c r="E221" i="5" s="1"/>
  <c r="C222" i="5"/>
  <c r="E222" i="5" s="1"/>
  <c r="C223" i="5"/>
  <c r="E223" i="5" s="1"/>
  <c r="C224" i="5"/>
  <c r="E224" i="5" s="1"/>
  <c r="C225" i="5"/>
  <c r="E225" i="5" s="1"/>
  <c r="C226" i="5"/>
  <c r="E226" i="5" s="1"/>
  <c r="C227" i="5"/>
  <c r="E227" i="5" s="1"/>
  <c r="C228" i="5"/>
  <c r="E228" i="5" s="1"/>
  <c r="C229" i="5"/>
  <c r="E229" i="5" s="1"/>
  <c r="C230" i="5"/>
  <c r="E230" i="5" s="1"/>
  <c r="C231" i="5"/>
  <c r="E231" i="5" s="1"/>
  <c r="C232" i="5"/>
  <c r="E232" i="5" s="1"/>
  <c r="C233" i="5"/>
  <c r="E233" i="5" s="1"/>
  <c r="C234" i="5"/>
  <c r="E234" i="5" s="1"/>
  <c r="C235" i="5"/>
  <c r="E235" i="5" s="1"/>
  <c r="C236" i="5"/>
  <c r="E236" i="5" s="1"/>
  <c r="C237" i="5"/>
  <c r="E237" i="5" s="1"/>
  <c r="C238" i="5"/>
  <c r="E238" i="5" s="1"/>
  <c r="C239" i="5"/>
  <c r="E239" i="5" s="1"/>
  <c r="C240" i="5"/>
  <c r="E240" i="5" s="1"/>
  <c r="C241" i="5"/>
  <c r="E241" i="5" s="1"/>
  <c r="C242" i="5"/>
  <c r="E242" i="5" s="1"/>
  <c r="C243" i="5"/>
  <c r="E243" i="5" s="1"/>
  <c r="C244" i="5"/>
  <c r="E244" i="5" s="1"/>
  <c r="C245" i="5"/>
  <c r="E245" i="5" s="1"/>
  <c r="C246" i="5"/>
  <c r="E246" i="5" s="1"/>
  <c r="C247" i="5"/>
  <c r="E247" i="5" s="1"/>
  <c r="C248" i="5"/>
  <c r="E248" i="5" s="1"/>
  <c r="C249" i="5"/>
  <c r="E249" i="5" s="1"/>
  <c r="C250" i="5"/>
  <c r="E250" i="5" s="1"/>
  <c r="C251" i="5"/>
  <c r="E251" i="5" s="1"/>
  <c r="C252" i="5"/>
  <c r="E252" i="5" s="1"/>
  <c r="C253" i="5"/>
  <c r="E253" i="5" s="1"/>
  <c r="C254" i="5"/>
  <c r="E254" i="5" s="1"/>
  <c r="C255" i="5"/>
  <c r="E255" i="5" s="1"/>
  <c r="C256" i="5"/>
  <c r="E256" i="5" s="1"/>
  <c r="C257" i="5"/>
  <c r="E257" i="5" s="1"/>
  <c r="C258" i="5"/>
  <c r="E258" i="5" s="1"/>
  <c r="C259" i="5"/>
  <c r="E259" i="5" s="1"/>
  <c r="C260" i="5"/>
  <c r="E260" i="5" s="1"/>
  <c r="C261" i="5"/>
  <c r="E261" i="5" s="1"/>
  <c r="C262" i="5"/>
  <c r="E262" i="5" s="1"/>
  <c r="C263" i="5"/>
  <c r="E263" i="5" s="1"/>
  <c r="C264" i="5"/>
  <c r="E264" i="5" s="1"/>
  <c r="C265" i="5"/>
  <c r="E265" i="5" s="1"/>
  <c r="C266" i="5"/>
  <c r="E266" i="5" s="1"/>
  <c r="C267" i="5"/>
  <c r="E267" i="5" s="1"/>
  <c r="C268" i="5"/>
  <c r="E268" i="5" s="1"/>
  <c r="C269" i="5"/>
  <c r="E269" i="5" s="1"/>
  <c r="C270" i="5"/>
  <c r="E270" i="5" s="1"/>
  <c r="C271" i="5"/>
  <c r="E271" i="5" s="1"/>
  <c r="C272" i="5"/>
  <c r="E272" i="5" s="1"/>
  <c r="C273" i="5"/>
  <c r="E273" i="5" s="1"/>
  <c r="C274" i="5"/>
  <c r="E274" i="5" s="1"/>
  <c r="C275" i="5"/>
  <c r="E275" i="5" s="1"/>
  <c r="C276" i="5"/>
  <c r="E276" i="5" s="1"/>
  <c r="C277" i="5"/>
  <c r="E277" i="5" s="1"/>
  <c r="C278" i="5"/>
  <c r="E278" i="5" s="1"/>
  <c r="C279" i="5"/>
  <c r="E279" i="5" s="1"/>
  <c r="C280" i="5"/>
  <c r="E280" i="5" s="1"/>
  <c r="C281" i="5"/>
  <c r="E281" i="5" s="1"/>
  <c r="C282" i="5"/>
  <c r="E282" i="5" s="1"/>
  <c r="C283" i="5"/>
  <c r="E283" i="5" s="1"/>
  <c r="C284" i="5"/>
  <c r="E284" i="5" s="1"/>
  <c r="C285" i="5"/>
  <c r="E285" i="5" s="1"/>
  <c r="C286" i="5"/>
  <c r="E286" i="5" s="1"/>
  <c r="C287" i="5"/>
  <c r="E287" i="5" s="1"/>
  <c r="C288" i="5"/>
  <c r="E288" i="5" s="1"/>
  <c r="C289" i="5"/>
  <c r="E289" i="5" s="1"/>
  <c r="C290" i="5"/>
  <c r="E290" i="5" s="1"/>
  <c r="C291" i="5"/>
  <c r="E291" i="5" s="1"/>
  <c r="C292" i="5"/>
  <c r="E292" i="5" s="1"/>
  <c r="C293" i="5"/>
  <c r="E293" i="5" s="1"/>
  <c r="C294" i="5"/>
  <c r="E294" i="5" s="1"/>
  <c r="C295" i="5"/>
  <c r="E295" i="5" s="1"/>
  <c r="C296" i="5"/>
  <c r="E296" i="5" s="1"/>
  <c r="C297" i="5"/>
  <c r="E297" i="5" s="1"/>
  <c r="C298" i="5"/>
  <c r="E298" i="5" s="1"/>
  <c r="C299" i="5"/>
  <c r="E299" i="5" s="1"/>
  <c r="C300" i="5"/>
  <c r="E300" i="5" s="1"/>
  <c r="C301" i="5"/>
  <c r="E301" i="5" s="1"/>
  <c r="C302" i="5"/>
  <c r="E302" i="5" s="1"/>
  <c r="C303" i="5"/>
  <c r="E303" i="5" s="1"/>
  <c r="C304" i="5"/>
  <c r="E304" i="5" s="1"/>
  <c r="C305" i="5"/>
  <c r="E305" i="5" s="1"/>
  <c r="C306" i="5"/>
  <c r="E306" i="5" s="1"/>
  <c r="C307" i="5"/>
  <c r="E307" i="5" s="1"/>
  <c r="C308" i="5"/>
  <c r="E308" i="5" s="1"/>
  <c r="C309" i="5"/>
  <c r="E309" i="5" s="1"/>
  <c r="C310" i="5"/>
  <c r="E310" i="5" s="1"/>
  <c r="C311" i="5"/>
  <c r="E311" i="5" s="1"/>
  <c r="C312" i="5"/>
  <c r="E312" i="5" s="1"/>
  <c r="C313" i="5"/>
  <c r="E313" i="5" s="1"/>
  <c r="C314" i="5"/>
  <c r="E314" i="5" s="1"/>
  <c r="C315" i="5"/>
  <c r="E315" i="5" s="1"/>
  <c r="C316" i="5"/>
  <c r="E316" i="5" s="1"/>
  <c r="C317" i="5"/>
  <c r="E317" i="5" s="1"/>
  <c r="C318" i="5"/>
  <c r="E318" i="5" s="1"/>
  <c r="C319" i="5"/>
  <c r="E319" i="5" s="1"/>
  <c r="C320" i="5"/>
  <c r="E320" i="5" s="1"/>
  <c r="C321" i="5"/>
  <c r="E321" i="5" s="1"/>
  <c r="C322" i="5"/>
  <c r="E322" i="5" s="1"/>
  <c r="C323" i="5"/>
  <c r="E323" i="5" s="1"/>
  <c r="C324" i="5"/>
  <c r="E324" i="5" s="1"/>
  <c r="C325" i="5"/>
  <c r="E325" i="5" s="1"/>
  <c r="C326" i="5"/>
  <c r="E326" i="5" s="1"/>
  <c r="C327" i="5"/>
  <c r="E327" i="5" s="1"/>
  <c r="C328" i="5"/>
  <c r="E328" i="5" s="1"/>
  <c r="C329" i="5"/>
  <c r="E329" i="5" s="1"/>
  <c r="C330" i="5"/>
  <c r="E330" i="5" s="1"/>
  <c r="C331" i="5"/>
  <c r="E331" i="5" s="1"/>
  <c r="C332" i="5"/>
  <c r="E332" i="5" s="1"/>
  <c r="C333" i="5"/>
  <c r="E333" i="5" s="1"/>
  <c r="C334" i="5"/>
  <c r="E334" i="5" s="1"/>
  <c r="C335" i="5"/>
  <c r="E335" i="5" s="1"/>
  <c r="C336" i="5"/>
  <c r="E336" i="5" s="1"/>
  <c r="C337" i="5"/>
  <c r="E337" i="5" s="1"/>
  <c r="C338" i="5"/>
  <c r="E338" i="5" s="1"/>
  <c r="C339" i="5"/>
  <c r="E339" i="5" s="1"/>
  <c r="C340" i="5"/>
  <c r="E340" i="5" s="1"/>
  <c r="C341" i="5"/>
  <c r="E341" i="5" s="1"/>
  <c r="C342" i="5"/>
  <c r="E342" i="5" s="1"/>
  <c r="C343" i="5"/>
  <c r="E343" i="5" s="1"/>
  <c r="C344" i="5"/>
  <c r="E344" i="5" s="1"/>
  <c r="C345" i="5"/>
  <c r="E345" i="5" s="1"/>
  <c r="C346" i="5"/>
  <c r="E346" i="5" s="1"/>
  <c r="C347" i="5"/>
  <c r="E347" i="5" s="1"/>
  <c r="C348" i="5"/>
  <c r="E348" i="5" s="1"/>
  <c r="C349" i="5"/>
  <c r="E349" i="5" s="1"/>
  <c r="C350" i="5"/>
  <c r="E350" i="5" s="1"/>
  <c r="C351" i="5"/>
  <c r="E351" i="5" s="1"/>
  <c r="C352" i="5"/>
  <c r="E352" i="5" s="1"/>
  <c r="C353" i="5"/>
  <c r="E353" i="5" s="1"/>
  <c r="C354" i="5"/>
  <c r="E354" i="5" s="1"/>
  <c r="C355" i="5"/>
  <c r="E355" i="5" s="1"/>
  <c r="C356" i="5"/>
  <c r="E356" i="5" s="1"/>
  <c r="C357" i="5"/>
  <c r="E357" i="5" s="1"/>
  <c r="C358" i="5"/>
  <c r="E358" i="5" s="1"/>
  <c r="C359" i="5"/>
  <c r="E359" i="5" s="1"/>
  <c r="C360" i="5"/>
  <c r="E360" i="5" s="1"/>
  <c r="C361" i="5"/>
  <c r="E361" i="5" s="1"/>
  <c r="C362" i="5"/>
  <c r="E362" i="5" s="1"/>
  <c r="C363" i="5"/>
  <c r="E363" i="5" s="1"/>
  <c r="C364" i="5"/>
  <c r="E364" i="5" s="1"/>
  <c r="C365" i="5"/>
  <c r="E365" i="5" s="1"/>
  <c r="C366" i="5"/>
  <c r="E366" i="5" s="1"/>
  <c r="C367" i="5"/>
  <c r="E367" i="5" s="1"/>
  <c r="C368" i="5"/>
  <c r="E368" i="5" s="1"/>
  <c r="C369" i="5"/>
  <c r="E369" i="5" s="1"/>
  <c r="C370" i="5"/>
  <c r="E370" i="5" s="1"/>
  <c r="C371" i="5"/>
  <c r="E371" i="5" s="1"/>
  <c r="C372" i="5"/>
  <c r="E372" i="5" s="1"/>
  <c r="C373" i="5"/>
  <c r="E373" i="5" s="1"/>
  <c r="C374" i="5"/>
  <c r="E374" i="5" s="1"/>
  <c r="C375" i="5"/>
  <c r="E375" i="5" s="1"/>
  <c r="C376" i="5"/>
  <c r="E376" i="5" s="1"/>
  <c r="C377" i="5"/>
  <c r="E377" i="5" s="1"/>
  <c r="C378" i="5"/>
  <c r="E378" i="5" s="1"/>
  <c r="C379" i="5"/>
  <c r="E379" i="5" s="1"/>
  <c r="C380" i="5"/>
  <c r="E380" i="5" s="1"/>
  <c r="C381" i="5"/>
  <c r="E381" i="5" s="1"/>
  <c r="C382" i="5"/>
  <c r="E382" i="5" s="1"/>
  <c r="C383" i="5"/>
  <c r="E383" i="5" s="1"/>
  <c r="C384" i="5"/>
  <c r="E384" i="5" s="1"/>
  <c r="C385" i="5"/>
  <c r="E385" i="5" s="1"/>
  <c r="C386" i="5"/>
  <c r="E386" i="5" s="1"/>
  <c r="C387" i="5"/>
  <c r="E387" i="5" s="1"/>
  <c r="C388" i="5"/>
  <c r="E388" i="5" s="1"/>
  <c r="C389" i="5"/>
  <c r="E389" i="5" s="1"/>
  <c r="C390" i="5"/>
  <c r="E390" i="5" s="1"/>
  <c r="C391" i="5"/>
  <c r="E391" i="5" s="1"/>
  <c r="C392" i="5"/>
  <c r="E392" i="5" s="1"/>
  <c r="C393" i="5"/>
  <c r="E393" i="5" s="1"/>
  <c r="C394" i="5"/>
  <c r="E394" i="5" s="1"/>
  <c r="C395" i="5"/>
  <c r="E395" i="5" s="1"/>
  <c r="C396" i="5"/>
  <c r="E396" i="5" s="1"/>
  <c r="C397" i="5"/>
  <c r="E397" i="5" s="1"/>
  <c r="C398" i="5"/>
  <c r="E398" i="5" s="1"/>
  <c r="C399" i="5"/>
  <c r="E399" i="5" s="1"/>
  <c r="C400" i="5"/>
  <c r="E400" i="5" s="1"/>
  <c r="C401" i="5"/>
  <c r="E401" i="5" s="1"/>
  <c r="C402" i="5"/>
  <c r="E402" i="5" s="1"/>
  <c r="C403" i="5"/>
  <c r="E403" i="5" s="1"/>
  <c r="C404" i="5"/>
  <c r="E404" i="5" s="1"/>
  <c r="C405" i="5"/>
  <c r="E405" i="5" s="1"/>
  <c r="C406" i="5"/>
  <c r="E406" i="5" s="1"/>
  <c r="C407" i="5"/>
  <c r="E407" i="5" s="1"/>
  <c r="C408" i="5"/>
  <c r="E408" i="5" s="1"/>
  <c r="C409" i="5"/>
  <c r="E409" i="5" s="1"/>
  <c r="C410" i="5"/>
  <c r="E410" i="5" s="1"/>
  <c r="C411" i="5"/>
  <c r="E411" i="5" s="1"/>
  <c r="C412" i="5"/>
  <c r="E412" i="5" s="1"/>
  <c r="C413" i="5"/>
  <c r="E413" i="5" s="1"/>
  <c r="C414" i="5"/>
  <c r="E414" i="5" s="1"/>
  <c r="C415" i="5"/>
  <c r="E415" i="5" s="1"/>
  <c r="C416" i="5"/>
  <c r="E416" i="5" s="1"/>
  <c r="C417" i="5"/>
  <c r="E417" i="5" s="1"/>
  <c r="C418" i="5"/>
  <c r="E418" i="5" s="1"/>
  <c r="C419" i="5"/>
  <c r="E419" i="5" s="1"/>
  <c r="C420" i="5"/>
  <c r="E420" i="5" s="1"/>
  <c r="C421" i="5"/>
  <c r="E421" i="5" s="1"/>
  <c r="C422" i="5"/>
  <c r="E422" i="5" s="1"/>
  <c r="C423" i="5"/>
  <c r="E423" i="5" s="1"/>
  <c r="C424" i="5"/>
  <c r="E424" i="5" s="1"/>
  <c r="C425" i="5"/>
  <c r="E425" i="5" s="1"/>
  <c r="C426" i="5"/>
  <c r="E426" i="5" s="1"/>
  <c r="C427" i="5"/>
  <c r="E427" i="5" s="1"/>
  <c r="C428" i="5"/>
  <c r="E428" i="5" s="1"/>
  <c r="C429" i="5"/>
  <c r="E429" i="5" s="1"/>
  <c r="C430" i="5"/>
  <c r="E430" i="5" s="1"/>
  <c r="C431" i="5"/>
  <c r="E431" i="5" s="1"/>
  <c r="C432" i="5"/>
  <c r="E432" i="5" s="1"/>
  <c r="C433" i="5"/>
  <c r="E433" i="5" s="1"/>
  <c r="C434" i="5"/>
  <c r="E434" i="5" s="1"/>
  <c r="C435" i="5"/>
  <c r="E435" i="5" s="1"/>
  <c r="C436" i="5"/>
  <c r="E436" i="5" s="1"/>
  <c r="C437" i="5"/>
  <c r="E437" i="5" s="1"/>
  <c r="C438" i="5"/>
  <c r="E438" i="5" s="1"/>
  <c r="C439" i="5"/>
  <c r="E439" i="5" s="1"/>
  <c r="C440" i="5"/>
  <c r="E440" i="5" s="1"/>
  <c r="C441" i="5"/>
  <c r="E441" i="5" s="1"/>
  <c r="C442" i="5"/>
  <c r="E442" i="5" s="1"/>
  <c r="C443" i="5"/>
  <c r="E443" i="5" s="1"/>
  <c r="C444" i="5"/>
  <c r="E444" i="5" s="1"/>
  <c r="C445" i="5"/>
  <c r="E445" i="5" s="1"/>
  <c r="C446" i="5"/>
  <c r="E446" i="5" s="1"/>
  <c r="C447" i="5"/>
  <c r="E447" i="5" s="1"/>
  <c r="C448" i="5"/>
  <c r="E448" i="5" s="1"/>
  <c r="C449" i="5"/>
  <c r="E449" i="5" s="1"/>
  <c r="C450" i="5"/>
  <c r="E450" i="5" s="1"/>
  <c r="C451" i="5"/>
  <c r="E451" i="5" s="1"/>
  <c r="C452" i="5"/>
  <c r="E452" i="5" s="1"/>
  <c r="C453" i="5"/>
  <c r="E453" i="5" s="1"/>
  <c r="C454" i="5"/>
  <c r="E454" i="5" s="1"/>
  <c r="C455" i="5"/>
  <c r="E455" i="5" s="1"/>
  <c r="C456" i="5"/>
  <c r="E456" i="5" s="1"/>
  <c r="C457" i="5"/>
  <c r="E457" i="5" s="1"/>
  <c r="C458" i="5"/>
  <c r="E458" i="5" s="1"/>
  <c r="C459" i="5"/>
  <c r="E459" i="5" s="1"/>
  <c r="C460" i="5"/>
  <c r="E460" i="5" s="1"/>
  <c r="C461" i="5"/>
  <c r="E461" i="5" s="1"/>
  <c r="C462" i="5"/>
  <c r="E462" i="5" s="1"/>
  <c r="C463" i="5"/>
  <c r="E463" i="5" s="1"/>
  <c r="C464" i="5"/>
  <c r="E464" i="5" s="1"/>
  <c r="C465" i="5"/>
  <c r="E465" i="5" s="1"/>
  <c r="C466" i="5"/>
  <c r="E466" i="5" s="1"/>
  <c r="C467" i="5"/>
  <c r="E467" i="5" s="1"/>
  <c r="C468" i="5"/>
  <c r="E468" i="5" s="1"/>
  <c r="C469" i="5"/>
  <c r="E469" i="5" s="1"/>
  <c r="C470" i="5"/>
  <c r="E470" i="5" s="1"/>
  <c r="C471" i="5"/>
  <c r="E471" i="5" s="1"/>
  <c r="C472" i="5"/>
  <c r="E472" i="5" s="1"/>
  <c r="C473" i="5"/>
  <c r="E473" i="5" s="1"/>
  <c r="C474" i="5"/>
  <c r="E474" i="5" s="1"/>
  <c r="C475" i="5"/>
  <c r="E475" i="5" s="1"/>
  <c r="C476" i="5"/>
  <c r="E476" i="5" s="1"/>
  <c r="C477" i="5"/>
  <c r="E477" i="5" s="1"/>
  <c r="C478" i="5"/>
  <c r="E478" i="5" s="1"/>
  <c r="C479" i="5"/>
  <c r="E479" i="5" s="1"/>
  <c r="C480" i="5"/>
  <c r="E480" i="5" s="1"/>
  <c r="C481" i="5"/>
  <c r="E481" i="5" s="1"/>
  <c r="C482" i="5"/>
  <c r="E482" i="5" s="1"/>
  <c r="C483" i="5"/>
  <c r="E483" i="5" s="1"/>
  <c r="C484" i="5"/>
  <c r="E484" i="5" s="1"/>
  <c r="C485" i="5"/>
  <c r="E485" i="5" s="1"/>
  <c r="C486" i="5"/>
  <c r="E486" i="5" s="1"/>
  <c r="C487" i="5"/>
  <c r="E487" i="5" s="1"/>
  <c r="C488" i="5"/>
  <c r="E488" i="5" s="1"/>
  <c r="C489" i="5"/>
  <c r="E489" i="5" s="1"/>
  <c r="C490" i="5"/>
  <c r="E490" i="5" s="1"/>
  <c r="C491" i="5"/>
  <c r="E491" i="5" s="1"/>
  <c r="C492" i="5"/>
  <c r="E492" i="5" s="1"/>
  <c r="C493" i="5"/>
  <c r="E493" i="5" s="1"/>
  <c r="C494" i="5"/>
  <c r="E494" i="5" s="1"/>
  <c r="C495" i="5"/>
  <c r="E495" i="5" s="1"/>
  <c r="C496" i="5"/>
  <c r="E496" i="5" s="1"/>
  <c r="C497" i="5"/>
  <c r="E497" i="5" s="1"/>
  <c r="C498" i="5"/>
  <c r="E498" i="5" s="1"/>
  <c r="C499" i="5"/>
  <c r="E499" i="5" s="1"/>
  <c r="C500" i="5"/>
  <c r="E500" i="5" s="1"/>
  <c r="C501" i="5"/>
  <c r="E501" i="5" s="1"/>
  <c r="C502" i="5"/>
  <c r="E502" i="5" s="1"/>
  <c r="C503" i="5"/>
  <c r="E503" i="5" s="1"/>
  <c r="C504" i="5"/>
  <c r="E504" i="5" s="1"/>
  <c r="C505" i="5"/>
  <c r="E505" i="5" s="1"/>
  <c r="C506" i="5"/>
  <c r="E506" i="5" s="1"/>
  <c r="C507" i="5"/>
  <c r="E507" i="5" s="1"/>
  <c r="C508" i="5"/>
  <c r="E508" i="5" s="1"/>
  <c r="C509" i="5"/>
  <c r="E509" i="5" s="1"/>
  <c r="C510" i="5"/>
  <c r="E510" i="5" s="1"/>
  <c r="C511" i="5"/>
  <c r="E511" i="5" s="1"/>
  <c r="C512" i="5"/>
  <c r="E512" i="5" s="1"/>
  <c r="C513" i="5"/>
  <c r="E513" i="5" s="1"/>
  <c r="C514" i="5"/>
  <c r="E514" i="5" s="1"/>
  <c r="C515" i="5"/>
  <c r="E515" i="5" s="1"/>
  <c r="C516" i="5"/>
  <c r="E516" i="5" s="1"/>
  <c r="C517" i="5"/>
  <c r="E517" i="5" s="1"/>
  <c r="C518" i="5"/>
  <c r="E518" i="5" s="1"/>
  <c r="C519" i="5"/>
  <c r="E519" i="5" s="1"/>
  <c r="C520" i="5"/>
  <c r="E520" i="5" s="1"/>
  <c r="C521" i="5"/>
  <c r="E521" i="5" s="1"/>
  <c r="C522" i="5"/>
  <c r="E522" i="5" s="1"/>
  <c r="C523" i="5"/>
  <c r="E523" i="5" s="1"/>
  <c r="C524" i="5"/>
  <c r="E524" i="5" s="1"/>
  <c r="C525" i="5"/>
  <c r="E525" i="5" s="1"/>
  <c r="C526" i="5"/>
  <c r="E526" i="5" s="1"/>
  <c r="C527" i="5"/>
  <c r="E527" i="5" s="1"/>
  <c r="C528" i="5"/>
  <c r="E528" i="5" s="1"/>
  <c r="C529" i="5"/>
  <c r="E529" i="5" s="1"/>
  <c r="C530" i="5"/>
  <c r="E530" i="5" s="1"/>
  <c r="C531" i="5"/>
  <c r="E531" i="5" s="1"/>
  <c r="C532" i="5"/>
  <c r="E532" i="5" s="1"/>
  <c r="C533" i="5"/>
  <c r="E533" i="5" s="1"/>
  <c r="C534" i="5"/>
  <c r="E534" i="5" s="1"/>
  <c r="C535" i="5"/>
  <c r="E535" i="5" s="1"/>
  <c r="C536" i="5"/>
  <c r="E536" i="5" s="1"/>
  <c r="C537" i="5"/>
  <c r="E537" i="5" s="1"/>
  <c r="C538" i="5"/>
  <c r="E538" i="5" s="1"/>
  <c r="C539" i="5"/>
  <c r="E539" i="5" s="1"/>
  <c r="C540" i="5"/>
  <c r="E540" i="5" s="1"/>
  <c r="C541" i="5"/>
  <c r="E541" i="5" s="1"/>
  <c r="C542" i="5"/>
  <c r="E542" i="5" s="1"/>
  <c r="C543" i="5"/>
  <c r="E543" i="5" s="1"/>
  <c r="C544" i="5"/>
  <c r="E544" i="5" s="1"/>
  <c r="C545" i="5"/>
  <c r="E545" i="5" s="1"/>
  <c r="C546" i="5"/>
  <c r="E546" i="5" s="1"/>
  <c r="C547" i="5"/>
  <c r="E547" i="5" s="1"/>
  <c r="C548" i="5"/>
  <c r="E548" i="5" s="1"/>
  <c r="C549" i="5"/>
  <c r="E549" i="5" s="1"/>
  <c r="C550" i="5"/>
  <c r="E550" i="5" s="1"/>
  <c r="C551" i="5"/>
  <c r="E551" i="5" s="1"/>
  <c r="C552" i="5"/>
  <c r="E552" i="5" s="1"/>
  <c r="C553" i="5"/>
  <c r="E553" i="5" s="1"/>
  <c r="C554" i="5"/>
  <c r="E554" i="5" s="1"/>
  <c r="C555" i="5"/>
  <c r="E555" i="5" s="1"/>
  <c r="C556" i="5"/>
  <c r="E556" i="5" s="1"/>
  <c r="C557" i="5"/>
  <c r="E557" i="5" s="1"/>
  <c r="C558" i="5"/>
  <c r="E558" i="5" s="1"/>
  <c r="C559" i="5"/>
  <c r="E559" i="5" s="1"/>
  <c r="C560" i="5"/>
  <c r="E560" i="5" s="1"/>
  <c r="C561" i="5"/>
  <c r="E561" i="5" s="1"/>
  <c r="C562" i="5"/>
  <c r="E562" i="5" s="1"/>
  <c r="C563" i="5"/>
  <c r="E563" i="5" s="1"/>
  <c r="C564" i="5"/>
  <c r="E564" i="5" s="1"/>
  <c r="C565" i="5"/>
  <c r="E565" i="5" s="1"/>
  <c r="C566" i="5"/>
  <c r="E566" i="5" s="1"/>
  <c r="C567" i="5"/>
  <c r="E567" i="5" s="1"/>
  <c r="C568" i="5"/>
  <c r="E568" i="5" s="1"/>
  <c r="C569" i="5"/>
  <c r="E569" i="5" s="1"/>
  <c r="C570" i="5"/>
  <c r="E570" i="5" s="1"/>
  <c r="C571" i="5"/>
  <c r="E571" i="5" s="1"/>
  <c r="C572" i="5"/>
  <c r="E572" i="5" s="1"/>
  <c r="C573" i="5"/>
  <c r="E573" i="5" s="1"/>
  <c r="C574" i="5"/>
  <c r="E574" i="5" s="1"/>
  <c r="C575" i="5"/>
  <c r="E575" i="5" s="1"/>
  <c r="C576" i="5"/>
  <c r="E576" i="5" s="1"/>
  <c r="C577" i="5"/>
  <c r="E577" i="5" s="1"/>
  <c r="C578" i="5"/>
  <c r="E578" i="5" s="1"/>
  <c r="C579" i="5"/>
  <c r="E579" i="5" s="1"/>
  <c r="C580" i="5"/>
  <c r="E580" i="5" s="1"/>
  <c r="C581" i="5"/>
  <c r="E581" i="5" s="1"/>
  <c r="C582" i="5"/>
  <c r="E582" i="5" s="1"/>
  <c r="C583" i="5"/>
  <c r="E583" i="5" s="1"/>
  <c r="C584" i="5"/>
  <c r="E584" i="5" s="1"/>
  <c r="C585" i="5"/>
  <c r="E585" i="5" s="1"/>
  <c r="C586" i="5"/>
  <c r="E586" i="5" s="1"/>
  <c r="C587" i="5"/>
  <c r="E587" i="5" s="1"/>
  <c r="C588" i="5"/>
  <c r="E588" i="5" s="1"/>
  <c r="C589" i="5"/>
  <c r="E589" i="5" s="1"/>
  <c r="C590" i="5"/>
  <c r="E590" i="5" s="1"/>
  <c r="C591" i="5"/>
  <c r="E591" i="5" s="1"/>
  <c r="C592" i="5"/>
  <c r="E592" i="5" s="1"/>
  <c r="C593" i="5"/>
  <c r="E593" i="5" s="1"/>
  <c r="C594" i="5"/>
  <c r="E594" i="5" s="1"/>
  <c r="C595" i="5"/>
  <c r="E595" i="5" s="1"/>
  <c r="C596" i="5"/>
  <c r="E596" i="5" s="1"/>
  <c r="C597" i="5"/>
  <c r="E597" i="5" s="1"/>
  <c r="C598" i="5"/>
  <c r="E598" i="5" s="1"/>
  <c r="C599" i="5"/>
  <c r="E599" i="5" s="1"/>
  <c r="C600" i="5"/>
  <c r="E600" i="5" s="1"/>
  <c r="C601" i="5"/>
  <c r="E601" i="5" s="1"/>
  <c r="C602" i="5"/>
  <c r="E602" i="5" s="1"/>
  <c r="C603" i="5"/>
  <c r="E603" i="5" s="1"/>
  <c r="C604" i="5"/>
  <c r="E604" i="5" s="1"/>
  <c r="C605" i="5"/>
  <c r="E605" i="5" s="1"/>
  <c r="C606" i="5"/>
  <c r="E606" i="5" s="1"/>
  <c r="C607" i="5"/>
  <c r="E607" i="5" s="1"/>
  <c r="C608" i="5"/>
  <c r="E608" i="5" s="1"/>
  <c r="C609" i="5"/>
  <c r="E609" i="5" s="1"/>
  <c r="C610" i="5"/>
  <c r="E610" i="5" s="1"/>
  <c r="C611" i="5"/>
  <c r="E611" i="5" s="1"/>
  <c r="C612" i="5"/>
  <c r="E612" i="5" s="1"/>
  <c r="C613" i="5"/>
  <c r="E613" i="5" s="1"/>
  <c r="C614" i="5"/>
  <c r="E614" i="5" s="1"/>
  <c r="C615" i="5"/>
  <c r="E615" i="5" s="1"/>
  <c r="C616" i="5"/>
  <c r="E616" i="5" s="1"/>
  <c r="C617" i="5"/>
  <c r="E617" i="5" s="1"/>
  <c r="C618" i="5"/>
  <c r="E618" i="5" s="1"/>
  <c r="C619" i="5"/>
  <c r="E619" i="5" s="1"/>
  <c r="C620" i="5"/>
  <c r="E620" i="5" s="1"/>
  <c r="C621" i="5"/>
  <c r="E621" i="5" s="1"/>
  <c r="C622" i="5"/>
  <c r="E622" i="5" s="1"/>
  <c r="C623" i="5"/>
  <c r="E623" i="5" s="1"/>
  <c r="C624" i="5"/>
  <c r="E624" i="5" s="1"/>
  <c r="C625" i="5"/>
  <c r="E625" i="5" s="1"/>
  <c r="C626" i="5"/>
  <c r="E626" i="5" s="1"/>
  <c r="C627" i="5"/>
  <c r="E627" i="5" s="1"/>
  <c r="C628" i="5"/>
  <c r="E628" i="5" s="1"/>
  <c r="C629" i="5"/>
  <c r="E629" i="5" s="1"/>
  <c r="C630" i="5"/>
  <c r="E630" i="5" s="1"/>
  <c r="C631" i="5"/>
  <c r="E631" i="5" s="1"/>
  <c r="C632" i="5"/>
  <c r="E632" i="5" s="1"/>
  <c r="C633" i="5"/>
  <c r="E633" i="5" s="1"/>
  <c r="C634" i="5"/>
  <c r="E634" i="5" s="1"/>
  <c r="C635" i="5"/>
  <c r="E635" i="5" s="1"/>
  <c r="C636" i="5"/>
  <c r="E636" i="5" s="1"/>
  <c r="C637" i="5"/>
  <c r="E637" i="5" s="1"/>
  <c r="C638" i="5"/>
  <c r="E638" i="5" s="1"/>
  <c r="C639" i="5"/>
  <c r="E639" i="5" s="1"/>
  <c r="C640" i="5"/>
  <c r="E640" i="5" s="1"/>
  <c r="C641" i="5"/>
  <c r="E641" i="5" s="1"/>
  <c r="C642" i="5"/>
  <c r="E642" i="5" s="1"/>
  <c r="C643" i="5"/>
  <c r="E643" i="5" s="1"/>
  <c r="C644" i="5"/>
  <c r="E644" i="5" s="1"/>
  <c r="C645" i="5"/>
  <c r="E645" i="5" s="1"/>
  <c r="C646" i="5"/>
  <c r="E646" i="5" s="1"/>
  <c r="C647" i="5"/>
  <c r="E647" i="5" s="1"/>
  <c r="C648" i="5"/>
  <c r="E648" i="5" s="1"/>
  <c r="C649" i="5"/>
  <c r="E649" i="5" s="1"/>
  <c r="C650" i="5"/>
  <c r="E650" i="5" s="1"/>
  <c r="C651" i="5"/>
  <c r="E651" i="5" s="1"/>
  <c r="C652" i="5"/>
  <c r="E652" i="5" s="1"/>
  <c r="C653" i="5"/>
  <c r="E653" i="5" s="1"/>
  <c r="C654" i="5"/>
  <c r="E654" i="5" s="1"/>
  <c r="C655" i="5"/>
  <c r="E655" i="5" s="1"/>
  <c r="C656" i="5"/>
  <c r="E656" i="5" s="1"/>
  <c r="C657" i="5"/>
  <c r="E657" i="5" s="1"/>
  <c r="C658" i="5"/>
  <c r="E658" i="5" s="1"/>
  <c r="C659" i="5"/>
  <c r="E659" i="5" s="1"/>
  <c r="C660" i="5"/>
  <c r="E660" i="5" s="1"/>
  <c r="C661" i="5"/>
  <c r="E661" i="5" s="1"/>
  <c r="C662" i="5"/>
  <c r="E662" i="5" s="1"/>
  <c r="C663" i="5"/>
  <c r="E663" i="5" s="1"/>
  <c r="C664" i="5"/>
  <c r="E664" i="5" s="1"/>
  <c r="C665" i="5"/>
  <c r="E665" i="5" s="1"/>
  <c r="C666" i="5"/>
  <c r="E666" i="5" s="1"/>
  <c r="C667" i="5"/>
  <c r="E667" i="5" s="1"/>
  <c r="C668" i="5"/>
  <c r="E668" i="5" s="1"/>
  <c r="C669" i="5"/>
  <c r="E669" i="5" s="1"/>
  <c r="C670" i="5"/>
  <c r="E670" i="5" s="1"/>
  <c r="C671" i="5"/>
  <c r="E671" i="5" s="1"/>
  <c r="C672" i="5"/>
  <c r="E672" i="5" s="1"/>
  <c r="C673" i="5"/>
  <c r="E673" i="5" s="1"/>
  <c r="C674" i="5"/>
  <c r="E674" i="5" s="1"/>
  <c r="C675" i="5"/>
  <c r="E675" i="5" s="1"/>
  <c r="C676" i="5"/>
  <c r="E676" i="5" s="1"/>
  <c r="C677" i="5"/>
  <c r="E677" i="5" s="1"/>
  <c r="C678" i="5"/>
  <c r="E678" i="5" s="1"/>
  <c r="C679" i="5"/>
  <c r="E679" i="5" s="1"/>
  <c r="C680" i="5"/>
  <c r="E680" i="5" s="1"/>
  <c r="C681" i="5"/>
  <c r="E681" i="5" s="1"/>
  <c r="C682" i="5"/>
  <c r="E682" i="5" s="1"/>
  <c r="C683" i="5"/>
  <c r="E683" i="5" s="1"/>
  <c r="C684" i="5"/>
  <c r="E684" i="5" s="1"/>
  <c r="C685" i="5"/>
  <c r="E685" i="5" s="1"/>
  <c r="C686" i="5"/>
  <c r="E686" i="5" s="1"/>
  <c r="C687" i="5"/>
  <c r="E687" i="5" s="1"/>
  <c r="C688" i="5"/>
  <c r="E688" i="5" s="1"/>
  <c r="C689" i="5"/>
  <c r="E689" i="5" s="1"/>
  <c r="C690" i="5"/>
  <c r="E690" i="5" s="1"/>
  <c r="C691" i="5"/>
  <c r="E691" i="5" s="1"/>
  <c r="C692" i="5"/>
  <c r="E692" i="5" s="1"/>
  <c r="C693" i="5"/>
  <c r="E693" i="5" s="1"/>
  <c r="C694" i="5"/>
  <c r="E694" i="5" s="1"/>
  <c r="C695" i="5"/>
  <c r="E695" i="5" s="1"/>
  <c r="C696" i="5"/>
  <c r="E696" i="5" s="1"/>
  <c r="C697" i="5"/>
  <c r="E697" i="5" s="1"/>
  <c r="C698" i="5"/>
  <c r="E698" i="5" s="1"/>
  <c r="C699" i="5"/>
  <c r="E699" i="5" s="1"/>
  <c r="C700" i="5"/>
  <c r="E700" i="5" s="1"/>
  <c r="C701" i="5"/>
  <c r="E701" i="5" s="1"/>
  <c r="C702" i="5"/>
  <c r="E702" i="5" s="1"/>
  <c r="C703" i="5"/>
  <c r="E703" i="5" s="1"/>
  <c r="C704" i="5"/>
  <c r="E704" i="5" s="1"/>
  <c r="C705" i="5"/>
  <c r="E705" i="5" s="1"/>
  <c r="C706" i="5"/>
  <c r="E706" i="5" s="1"/>
  <c r="C707" i="5"/>
  <c r="E707" i="5" s="1"/>
  <c r="C708" i="5"/>
  <c r="E708" i="5" s="1"/>
  <c r="C709" i="5"/>
  <c r="E709" i="5" s="1"/>
  <c r="C710" i="5"/>
  <c r="E710" i="5" s="1"/>
  <c r="C711" i="5"/>
  <c r="E711" i="5" s="1"/>
  <c r="C712" i="5"/>
  <c r="E712" i="5" s="1"/>
  <c r="C713" i="5"/>
  <c r="E713" i="5" s="1"/>
  <c r="C714" i="5"/>
  <c r="E714" i="5" s="1"/>
  <c r="C715" i="5"/>
  <c r="E715" i="5" s="1"/>
  <c r="C716" i="5"/>
  <c r="E716" i="5" s="1"/>
  <c r="C717" i="5"/>
  <c r="E717" i="5" s="1"/>
  <c r="C718" i="5"/>
  <c r="E718" i="5" s="1"/>
  <c r="C719" i="5"/>
  <c r="E719" i="5" s="1"/>
  <c r="C720" i="5"/>
  <c r="E720" i="5" s="1"/>
  <c r="C721" i="5"/>
  <c r="E721" i="5" s="1"/>
  <c r="C722" i="5"/>
  <c r="E722" i="5" s="1"/>
  <c r="C723" i="5"/>
  <c r="E723" i="5" s="1"/>
  <c r="C724" i="5"/>
  <c r="E724" i="5" s="1"/>
  <c r="C725" i="5"/>
  <c r="E725" i="5" s="1"/>
  <c r="C726" i="5"/>
  <c r="E726" i="5" s="1"/>
  <c r="C727" i="5"/>
  <c r="E727" i="5" s="1"/>
  <c r="C728" i="5"/>
  <c r="E728" i="5" s="1"/>
  <c r="C729" i="5"/>
  <c r="E729" i="5" s="1"/>
  <c r="C730" i="5"/>
  <c r="E730" i="5" s="1"/>
  <c r="C731" i="5"/>
  <c r="E731" i="5" s="1"/>
  <c r="C732" i="5"/>
  <c r="E732" i="5" s="1"/>
  <c r="C733" i="5"/>
  <c r="E733" i="5" s="1"/>
  <c r="C734" i="5"/>
  <c r="E734" i="5" s="1"/>
  <c r="C735" i="5"/>
  <c r="E735" i="5" s="1"/>
  <c r="C736" i="5"/>
  <c r="E736" i="5" s="1"/>
  <c r="C737" i="5"/>
  <c r="E737" i="5" s="1"/>
  <c r="C738" i="5"/>
  <c r="E738" i="5" s="1"/>
  <c r="C739" i="5"/>
  <c r="E739" i="5" s="1"/>
  <c r="C740" i="5"/>
  <c r="E740" i="5" s="1"/>
  <c r="C741" i="5"/>
  <c r="E741" i="5" s="1"/>
  <c r="C742" i="5"/>
  <c r="E742" i="5" s="1"/>
  <c r="C743" i="5"/>
  <c r="E743" i="5" s="1"/>
  <c r="C744" i="5"/>
  <c r="E744" i="5" s="1"/>
  <c r="C745" i="5"/>
  <c r="E745" i="5" s="1"/>
  <c r="C746" i="5"/>
  <c r="E746" i="5" s="1"/>
  <c r="C747" i="5"/>
  <c r="E747" i="5" s="1"/>
  <c r="C748" i="5"/>
  <c r="E748" i="5" s="1"/>
  <c r="C749" i="5"/>
  <c r="E749" i="5" s="1"/>
  <c r="C750" i="5"/>
  <c r="E750" i="5" s="1"/>
  <c r="C751" i="5"/>
  <c r="E751" i="5" s="1"/>
  <c r="C752" i="5"/>
  <c r="E752" i="5" s="1"/>
  <c r="C753" i="5"/>
  <c r="E753" i="5" s="1"/>
  <c r="C754" i="5"/>
  <c r="E754" i="5" s="1"/>
  <c r="C755" i="5"/>
  <c r="E755" i="5" s="1"/>
  <c r="C756" i="5"/>
  <c r="E756" i="5" s="1"/>
  <c r="C757" i="5"/>
  <c r="E757" i="5" s="1"/>
  <c r="C758" i="5"/>
  <c r="E758" i="5" s="1"/>
  <c r="C759" i="5"/>
  <c r="E759" i="5" s="1"/>
  <c r="C760" i="5"/>
  <c r="E760" i="5" s="1"/>
  <c r="C761" i="5"/>
  <c r="E761" i="5" s="1"/>
  <c r="C762" i="5"/>
  <c r="E762" i="5" s="1"/>
  <c r="C763" i="5"/>
  <c r="E763" i="5" s="1"/>
  <c r="C764" i="5"/>
  <c r="E764" i="5" s="1"/>
  <c r="C765" i="5"/>
  <c r="E765" i="5" s="1"/>
  <c r="C766" i="5"/>
  <c r="E766" i="5" s="1"/>
  <c r="C767" i="5"/>
  <c r="E767" i="5" s="1"/>
  <c r="C768" i="5"/>
  <c r="E768" i="5" s="1"/>
  <c r="C769" i="5"/>
  <c r="E769" i="5" s="1"/>
  <c r="C770" i="5"/>
  <c r="E770" i="5" s="1"/>
  <c r="C771" i="5"/>
  <c r="E771" i="5" s="1"/>
  <c r="C772" i="5"/>
  <c r="E772" i="5" s="1"/>
  <c r="C773" i="5"/>
  <c r="E773" i="5" s="1"/>
  <c r="C774" i="5"/>
  <c r="E774" i="5" s="1"/>
  <c r="C775" i="5"/>
  <c r="E775" i="5" s="1"/>
  <c r="C776" i="5"/>
  <c r="E776" i="5" s="1"/>
  <c r="C777" i="5"/>
  <c r="E777" i="5" s="1"/>
  <c r="C778" i="5"/>
  <c r="E778" i="5" s="1"/>
  <c r="C779" i="5"/>
  <c r="E779" i="5" s="1"/>
  <c r="C780" i="5"/>
  <c r="E780" i="5" s="1"/>
  <c r="C781" i="5"/>
  <c r="E781" i="5" s="1"/>
  <c r="C782" i="5"/>
  <c r="E782" i="5" s="1"/>
  <c r="C783" i="5"/>
  <c r="E783" i="5" s="1"/>
  <c r="C784" i="5"/>
  <c r="E784" i="5" s="1"/>
  <c r="C785" i="5"/>
  <c r="E785" i="5" s="1"/>
  <c r="C786" i="5"/>
  <c r="E786" i="5" s="1"/>
  <c r="C787" i="5"/>
  <c r="E787" i="5" s="1"/>
  <c r="C788" i="5"/>
  <c r="E788" i="5" s="1"/>
  <c r="C789" i="5"/>
  <c r="E789" i="5" s="1"/>
  <c r="C790" i="5"/>
  <c r="E790" i="5" s="1"/>
  <c r="C791" i="5"/>
  <c r="E791" i="5" s="1"/>
  <c r="C792" i="5"/>
  <c r="E792" i="5" s="1"/>
  <c r="C793" i="5"/>
  <c r="E793" i="5" s="1"/>
  <c r="C794" i="5"/>
  <c r="E794" i="5" s="1"/>
  <c r="C795" i="5"/>
  <c r="E795" i="5" s="1"/>
  <c r="C796" i="5"/>
  <c r="E796" i="5" s="1"/>
  <c r="C797" i="5"/>
  <c r="E797" i="5" s="1"/>
  <c r="C798" i="5"/>
  <c r="E798" i="5" s="1"/>
  <c r="C799" i="5"/>
  <c r="E799" i="5" s="1"/>
  <c r="C800" i="5"/>
  <c r="E800" i="5" s="1"/>
  <c r="C801" i="5"/>
  <c r="E801" i="5" s="1"/>
  <c r="C802" i="5"/>
  <c r="E802" i="5" s="1"/>
  <c r="C803" i="5"/>
  <c r="E803" i="5" s="1"/>
  <c r="C804" i="5"/>
  <c r="E804" i="5" s="1"/>
  <c r="C805" i="5"/>
  <c r="E805" i="5" s="1"/>
  <c r="C806" i="5"/>
  <c r="E806" i="5" s="1"/>
  <c r="C807" i="5"/>
  <c r="E807" i="5" s="1"/>
  <c r="C808" i="5"/>
  <c r="E808" i="5" s="1"/>
  <c r="C809" i="5"/>
  <c r="E809" i="5" s="1"/>
  <c r="C810" i="5"/>
  <c r="E810" i="5" s="1"/>
  <c r="C811" i="5"/>
  <c r="E811" i="5" s="1"/>
  <c r="C812" i="5"/>
  <c r="E812" i="5" s="1"/>
  <c r="C813" i="5"/>
  <c r="E813" i="5" s="1"/>
  <c r="C814" i="5"/>
  <c r="E814" i="5" s="1"/>
  <c r="C815" i="5"/>
  <c r="E815" i="5" s="1"/>
  <c r="C816" i="5"/>
  <c r="E816" i="5" s="1"/>
  <c r="C817" i="5"/>
  <c r="E817" i="5" s="1"/>
  <c r="C818" i="5"/>
  <c r="E818" i="5" s="1"/>
  <c r="C819" i="5"/>
  <c r="E819" i="5" s="1"/>
  <c r="C820" i="5"/>
  <c r="E820" i="5" s="1"/>
  <c r="C821" i="5"/>
  <c r="E821" i="5" s="1"/>
  <c r="C822" i="5"/>
  <c r="E822" i="5" s="1"/>
  <c r="C823" i="5"/>
  <c r="E823" i="5" s="1"/>
  <c r="C824" i="5"/>
  <c r="E824" i="5" s="1"/>
  <c r="C825" i="5"/>
  <c r="E825" i="5" s="1"/>
  <c r="C826" i="5"/>
  <c r="E826" i="5" s="1"/>
  <c r="C827" i="5"/>
  <c r="E827" i="5" s="1"/>
  <c r="C828" i="5"/>
  <c r="E828" i="5" s="1"/>
  <c r="C829" i="5"/>
  <c r="E829" i="5" s="1"/>
  <c r="C830" i="5"/>
  <c r="E830" i="5" s="1"/>
  <c r="C831" i="5"/>
  <c r="E831" i="5" s="1"/>
  <c r="C832" i="5"/>
  <c r="E832" i="5" s="1"/>
  <c r="C833" i="5"/>
  <c r="E833" i="5" s="1"/>
  <c r="C834" i="5"/>
  <c r="E834" i="5" s="1"/>
  <c r="C835" i="5"/>
  <c r="E835" i="5" s="1"/>
  <c r="C836" i="5"/>
  <c r="E836" i="5" s="1"/>
  <c r="C837" i="5"/>
  <c r="E837" i="5" s="1"/>
  <c r="C838" i="5"/>
  <c r="E838" i="5" s="1"/>
  <c r="C839" i="5"/>
  <c r="E839" i="5" s="1"/>
  <c r="C840" i="5"/>
  <c r="E840" i="5" s="1"/>
  <c r="C841" i="5"/>
  <c r="E841" i="5" s="1"/>
  <c r="C842" i="5"/>
  <c r="E842" i="5" s="1"/>
  <c r="C843" i="5"/>
  <c r="E843" i="5" s="1"/>
  <c r="C844" i="5"/>
  <c r="E844" i="5" s="1"/>
  <c r="C845" i="5"/>
  <c r="E845" i="5" s="1"/>
  <c r="C846" i="5"/>
  <c r="E846" i="5" s="1"/>
  <c r="C847" i="5"/>
  <c r="E847" i="5" s="1"/>
  <c r="C848" i="5"/>
  <c r="E848" i="5" s="1"/>
  <c r="C849" i="5"/>
  <c r="E849" i="5" s="1"/>
  <c r="C850" i="5"/>
  <c r="E850" i="5" s="1"/>
  <c r="C851" i="5"/>
  <c r="E851" i="5" s="1"/>
  <c r="C852" i="5"/>
  <c r="E852" i="5" s="1"/>
  <c r="C853" i="5"/>
  <c r="E853" i="5" s="1"/>
  <c r="C854" i="5"/>
  <c r="E854" i="5" s="1"/>
  <c r="C855" i="5"/>
  <c r="E855" i="5" s="1"/>
  <c r="C856" i="5"/>
  <c r="E856" i="5" s="1"/>
  <c r="C857" i="5"/>
  <c r="E857" i="5" s="1"/>
  <c r="C858" i="5"/>
  <c r="E858" i="5" s="1"/>
  <c r="C859" i="5"/>
  <c r="E859" i="5" s="1"/>
  <c r="C860" i="5"/>
  <c r="E860" i="5" s="1"/>
  <c r="C861" i="5"/>
  <c r="E861" i="5" s="1"/>
  <c r="C862" i="5"/>
  <c r="E862" i="5" s="1"/>
  <c r="C863" i="5"/>
  <c r="E863" i="5" s="1"/>
  <c r="C864" i="5"/>
  <c r="E864" i="5" s="1"/>
  <c r="C865" i="5"/>
  <c r="E865" i="5" s="1"/>
  <c r="C866" i="5"/>
  <c r="E866" i="5" s="1"/>
  <c r="C867" i="5"/>
  <c r="E867" i="5" s="1"/>
  <c r="C868" i="5"/>
  <c r="E868" i="5" s="1"/>
  <c r="C869" i="5"/>
  <c r="E869" i="5" s="1"/>
  <c r="C870" i="5"/>
  <c r="E870" i="5" s="1"/>
  <c r="C871" i="5"/>
  <c r="E871" i="5" s="1"/>
  <c r="C872" i="5"/>
  <c r="E872" i="5" s="1"/>
  <c r="C873" i="5"/>
  <c r="E873" i="5" s="1"/>
  <c r="C874" i="5"/>
  <c r="E874" i="5" s="1"/>
  <c r="C875" i="5"/>
  <c r="E875" i="5" s="1"/>
  <c r="C876" i="5"/>
  <c r="E876" i="5" s="1"/>
  <c r="C877" i="5"/>
  <c r="E877" i="5" s="1"/>
  <c r="C878" i="5"/>
  <c r="E878" i="5" s="1"/>
  <c r="C879" i="5"/>
  <c r="E879" i="5" s="1"/>
  <c r="C880" i="5"/>
  <c r="E880" i="5" s="1"/>
  <c r="C881" i="5"/>
  <c r="E881" i="5" s="1"/>
  <c r="C882" i="5"/>
  <c r="E882" i="5" s="1"/>
  <c r="C883" i="5"/>
  <c r="E883" i="5" s="1"/>
  <c r="C884" i="5"/>
  <c r="E884" i="5" s="1"/>
  <c r="C885" i="5"/>
  <c r="E885" i="5" s="1"/>
  <c r="C886" i="5"/>
  <c r="E886" i="5" s="1"/>
  <c r="C887" i="5"/>
  <c r="E887" i="5" s="1"/>
  <c r="C888" i="5"/>
  <c r="E888" i="5" s="1"/>
  <c r="C889" i="5"/>
  <c r="E889" i="5" s="1"/>
  <c r="C890" i="5"/>
  <c r="E890" i="5" s="1"/>
  <c r="C891" i="5"/>
  <c r="E891" i="5" s="1"/>
  <c r="C892" i="5"/>
  <c r="E892" i="5" s="1"/>
  <c r="C893" i="5"/>
  <c r="E893" i="5" s="1"/>
  <c r="C894" i="5"/>
  <c r="E894" i="5" s="1"/>
  <c r="C895" i="5"/>
  <c r="E895" i="5" s="1"/>
  <c r="C896" i="5"/>
  <c r="E896" i="5" s="1"/>
  <c r="C897" i="5"/>
  <c r="E897" i="5" s="1"/>
  <c r="C898" i="5"/>
  <c r="E898" i="5" s="1"/>
  <c r="C899" i="5"/>
  <c r="E899" i="5" s="1"/>
  <c r="C900" i="5"/>
  <c r="E900" i="5" s="1"/>
  <c r="C901" i="5"/>
  <c r="E901" i="5" s="1"/>
  <c r="C902" i="5"/>
  <c r="E902" i="5" s="1"/>
  <c r="C903" i="5"/>
  <c r="E903" i="5" s="1"/>
  <c r="C904" i="5"/>
  <c r="E904" i="5" s="1"/>
  <c r="C905" i="5"/>
  <c r="E905" i="5" s="1"/>
  <c r="C906" i="5"/>
  <c r="E906" i="5" s="1"/>
  <c r="C907" i="5"/>
  <c r="E907" i="5" s="1"/>
  <c r="C908" i="5"/>
  <c r="E908" i="5" s="1"/>
  <c r="C909" i="5"/>
  <c r="E909" i="5" s="1"/>
  <c r="C910" i="5"/>
  <c r="E910" i="5" s="1"/>
  <c r="C911" i="5"/>
  <c r="E911" i="5" s="1"/>
  <c r="C912" i="5"/>
  <c r="E912" i="5" s="1"/>
  <c r="C913" i="5"/>
  <c r="E913" i="5" s="1"/>
  <c r="C914" i="5"/>
  <c r="E914" i="5" s="1"/>
  <c r="C915" i="5"/>
  <c r="E915" i="5" s="1"/>
  <c r="C916" i="5"/>
  <c r="E916" i="5" s="1"/>
  <c r="C917" i="5"/>
  <c r="E917" i="5" s="1"/>
  <c r="C918" i="5"/>
  <c r="E918" i="5" s="1"/>
  <c r="C919" i="5"/>
  <c r="E919" i="5" s="1"/>
  <c r="C920" i="5"/>
  <c r="E920" i="5" s="1"/>
  <c r="C921" i="5"/>
  <c r="E921" i="5" s="1"/>
  <c r="C922" i="5"/>
  <c r="E922" i="5" s="1"/>
  <c r="C923" i="5"/>
  <c r="E923" i="5" s="1"/>
  <c r="C924" i="5"/>
  <c r="E924" i="5" s="1"/>
  <c r="C925" i="5"/>
  <c r="E925" i="5" s="1"/>
  <c r="C926" i="5"/>
  <c r="E926" i="5" s="1"/>
  <c r="C927" i="5"/>
  <c r="E927" i="5" s="1"/>
  <c r="C928" i="5"/>
  <c r="E928" i="5" s="1"/>
  <c r="C929" i="5"/>
  <c r="E929" i="5" s="1"/>
  <c r="C930" i="5"/>
  <c r="E930" i="5" s="1"/>
  <c r="C931" i="5"/>
  <c r="E931" i="5" s="1"/>
  <c r="C932" i="5"/>
  <c r="E932" i="5" s="1"/>
  <c r="C933" i="5"/>
  <c r="E933" i="5" s="1"/>
  <c r="C934" i="5"/>
  <c r="E934" i="5" s="1"/>
  <c r="C935" i="5"/>
  <c r="E935" i="5" s="1"/>
  <c r="C936" i="5"/>
  <c r="E936" i="5" s="1"/>
  <c r="C937" i="5"/>
  <c r="E937" i="5" s="1"/>
  <c r="C938" i="5"/>
  <c r="E938" i="5" s="1"/>
  <c r="C939" i="5"/>
  <c r="E939" i="5" s="1"/>
  <c r="C940" i="5"/>
  <c r="E940" i="5" s="1"/>
  <c r="C941" i="5"/>
  <c r="E941" i="5" s="1"/>
  <c r="C942" i="5"/>
  <c r="E942" i="5" s="1"/>
  <c r="C943" i="5"/>
  <c r="E943" i="5" s="1"/>
  <c r="C944" i="5"/>
  <c r="E944" i="5" s="1"/>
  <c r="C945" i="5"/>
  <c r="E945" i="5" s="1"/>
  <c r="C946" i="5"/>
  <c r="E946" i="5" s="1"/>
  <c r="C947" i="5"/>
  <c r="E947" i="5" s="1"/>
  <c r="C948" i="5"/>
  <c r="E948" i="5" s="1"/>
  <c r="C949" i="5"/>
  <c r="E949" i="5" s="1"/>
  <c r="C950" i="5"/>
  <c r="E950" i="5" s="1"/>
  <c r="C951" i="5"/>
  <c r="E951" i="5" s="1"/>
  <c r="C952" i="5"/>
  <c r="E952" i="5" s="1"/>
  <c r="C953" i="5"/>
  <c r="E953" i="5" s="1"/>
  <c r="C954" i="5"/>
  <c r="E954" i="5" s="1"/>
  <c r="C955" i="5"/>
  <c r="E955" i="5" s="1"/>
  <c r="C956" i="5"/>
  <c r="E956" i="5" s="1"/>
  <c r="C957" i="5"/>
  <c r="E957" i="5" s="1"/>
  <c r="C958" i="5"/>
  <c r="E958" i="5" s="1"/>
  <c r="C959" i="5"/>
  <c r="E959" i="5" s="1"/>
  <c r="C960" i="5"/>
  <c r="E960" i="5" s="1"/>
  <c r="C961" i="5"/>
  <c r="E961" i="5" s="1"/>
  <c r="C962" i="5"/>
  <c r="E962" i="5" s="1"/>
  <c r="C963" i="5"/>
  <c r="E963" i="5" s="1"/>
  <c r="C964" i="5"/>
  <c r="E964" i="5" s="1"/>
  <c r="C965" i="5"/>
  <c r="E965" i="5" s="1"/>
  <c r="C966" i="5"/>
  <c r="E966" i="5" s="1"/>
  <c r="C967" i="5"/>
  <c r="E967" i="5" s="1"/>
  <c r="C968" i="5"/>
  <c r="E968" i="5" s="1"/>
  <c r="C969" i="5"/>
  <c r="E969" i="5" s="1"/>
  <c r="C970" i="5"/>
  <c r="E970" i="5" s="1"/>
  <c r="C971" i="5"/>
  <c r="E971" i="5" s="1"/>
  <c r="C972" i="5"/>
  <c r="E972" i="5" s="1"/>
  <c r="C973" i="5"/>
  <c r="E973" i="5" s="1"/>
  <c r="C974" i="5"/>
  <c r="E974" i="5" s="1"/>
  <c r="C975" i="5"/>
  <c r="E975" i="5" s="1"/>
  <c r="C976" i="5"/>
  <c r="E976" i="5" s="1"/>
  <c r="C977" i="5"/>
  <c r="E977" i="5" s="1"/>
  <c r="C978" i="5"/>
  <c r="E978" i="5" s="1"/>
  <c r="C979" i="5"/>
  <c r="E979" i="5" s="1"/>
  <c r="C980" i="5"/>
  <c r="E980" i="5" s="1"/>
  <c r="C981" i="5"/>
  <c r="E981" i="5" s="1"/>
  <c r="C982" i="5"/>
  <c r="E982" i="5" s="1"/>
  <c r="C983" i="5"/>
  <c r="E983" i="5" s="1"/>
  <c r="C984" i="5"/>
  <c r="E984" i="5" s="1"/>
  <c r="C985" i="5"/>
  <c r="E985" i="5" s="1"/>
  <c r="C986" i="5"/>
  <c r="E986" i="5" s="1"/>
  <c r="C987" i="5"/>
  <c r="E987" i="5" s="1"/>
  <c r="C988" i="5"/>
  <c r="E988" i="5" s="1"/>
  <c r="C989" i="5"/>
  <c r="E989" i="5" s="1"/>
  <c r="C990" i="5"/>
  <c r="E990" i="5" s="1"/>
  <c r="C991" i="5"/>
  <c r="E991" i="5" s="1"/>
  <c r="C992" i="5"/>
  <c r="E992" i="5" s="1"/>
  <c r="C993" i="5"/>
  <c r="E993" i="5" s="1"/>
  <c r="C994" i="5"/>
  <c r="E994" i="5" s="1"/>
  <c r="C995" i="5"/>
  <c r="E995" i="5" s="1"/>
  <c r="C996" i="5"/>
  <c r="E996" i="5" s="1"/>
  <c r="C997" i="5"/>
  <c r="E997" i="5" s="1"/>
  <c r="C998" i="5"/>
  <c r="E998" i="5" s="1"/>
  <c r="C999" i="5"/>
  <c r="E999" i="5" s="1"/>
  <c r="C1000" i="5"/>
  <c r="E1000" i="5" s="1"/>
  <c r="C1001" i="5"/>
  <c r="E1001" i="5" s="1"/>
  <c r="C2" i="5"/>
  <c r="E2" i="5" s="1"/>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B9" i="7"/>
  <c r="B6" i="7"/>
  <c r="B3" i="7"/>
  <c r="B5" i="4"/>
  <c r="B4" i="4"/>
  <c r="B6" i="4"/>
  <c r="B3" i="4"/>
  <c r="B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9FD45C-2970-49E6-BCBE-E9FB0D01F361}" keepAlive="1" name="Query - global_freelancer_raw" description="Connection to the 'global_freelancer_raw' query in the workbook." type="5" refreshedVersion="8" background="1" saveData="1">
    <dbPr connection="Provider=Microsoft.Mashup.OleDb.1;Data Source=$Workbook$;Location=global_freelancer_raw;Extended Properties=&quot;&quot;" command="SELECT * FROM [global_freelancer_raw]"/>
  </connection>
  <connection id="2" xr16:uid="{EC601FC6-D297-49DD-833E-91BB8B22CA35}" keepAlive="1" name="Query - global_freelancer_raw (2)" description="Connection to the 'global_freelancer_raw (2)' query in the workbook." type="5" refreshedVersion="8" background="1" saveData="1">
    <dbPr connection="Provider=Microsoft.Mashup.OleDb.1;Data Source=$Workbook$;Location=&quot;global_freelancer_raw (2)&quot;;Extended Properties=&quot;&quot;" command="SELECT * FROM [global_freelancer_raw (2)]"/>
  </connection>
  <connection id="3" xr16:uid="{4FE09F24-E050-483A-ABDE-3B0069F62D5B}" keepAlive="1" name="Query - global_freelancer_raw (3)" description="Connection to the 'global_freelancer_raw (3)' query in the workbook." type="5" refreshedVersion="8" background="1" saveData="1">
    <dbPr connection="Provider=Microsoft.Mashup.OleDb.1;Data Source=$Workbook$;Location=&quot;global_freelancer_raw (3)&quot;;Extended Properties=&quot;&quot;" command="SELECT * FROM [global_freelancer_raw (3)]"/>
  </connection>
  <connection id="4" xr16:uid="{8A35913A-4917-40EE-A74E-61E293806F4B}" keepAlive="1" name="Query - global_freelancer_raw (4)" description="Connection to the 'global_freelancer_raw (4)' query in the workbook." type="5" refreshedVersion="8" background="1" saveData="1">
    <dbPr connection="Provider=Microsoft.Mashup.OleDb.1;Data Source=$Workbook$;Location=&quot;global_freelancer_raw (4)&quot;;Extended Properties=&quot;&quot;" command="SELECT * FROM [global_freelancer_raw (4)]"/>
  </connection>
</connections>
</file>

<file path=xl/sharedStrings.xml><?xml version="1.0" encoding="utf-8"?>
<sst xmlns="http://schemas.openxmlformats.org/spreadsheetml/2006/main" count="50669" uniqueCount="2199">
  <si>
    <t>freelancer_ID</t>
  </si>
  <si>
    <t>name</t>
  </si>
  <si>
    <t>gender</t>
  </si>
  <si>
    <t>age</t>
  </si>
  <si>
    <t>country</t>
  </si>
  <si>
    <t>language</t>
  </si>
  <si>
    <t>primary_skill</t>
  </si>
  <si>
    <t>years_of_experience</t>
  </si>
  <si>
    <t>hourly_rate (USD)</t>
  </si>
  <si>
    <t>rating</t>
  </si>
  <si>
    <t>is_active</t>
  </si>
  <si>
    <t>client_satisfaction</t>
  </si>
  <si>
    <t>Notes</t>
  </si>
  <si>
    <t>Status</t>
  </si>
  <si>
    <t xml:space="preserve">no of projects </t>
  </si>
  <si>
    <t>duration_months</t>
  </si>
  <si>
    <t>FL250001</t>
  </si>
  <si>
    <t>Ms. Nicole Kidd</t>
  </si>
  <si>
    <t>f</t>
  </si>
  <si>
    <t>Italy</t>
  </si>
  <si>
    <t>Italian</t>
  </si>
  <si>
    <t>Blockchain Development</t>
  </si>
  <si>
    <t>100</t>
  </si>
  <si>
    <t>0</t>
  </si>
  <si>
    <t>Reviewed</t>
  </si>
  <si>
    <t>On Hold</t>
  </si>
  <si>
    <t>FL250002</t>
  </si>
  <si>
    <t>Vanessa Garcia</t>
  </si>
  <si>
    <t>FEMALE</t>
  </si>
  <si>
    <t>Australia</t>
  </si>
  <si>
    <t>English</t>
  </si>
  <si>
    <t>Mobile Apps</t>
  </si>
  <si>
    <t>USD 100</t>
  </si>
  <si>
    <t>1</t>
  </si>
  <si>
    <t>Completed</t>
  </si>
  <si>
    <t>FL250003</t>
  </si>
  <si>
    <t>Juan Nelson</t>
  </si>
  <si>
    <t>male</t>
  </si>
  <si>
    <t>Germany</t>
  </si>
  <si>
    <t>Graphic Design</t>
  </si>
  <si>
    <t>50</t>
  </si>
  <si>
    <t>N</t>
  </si>
  <si>
    <t>Active</t>
  </si>
  <si>
    <t>FL250004</t>
  </si>
  <si>
    <t>Amanda Spencer</t>
  </si>
  <si>
    <t>F</t>
  </si>
  <si>
    <t>Web Development</t>
  </si>
  <si>
    <t>$40</t>
  </si>
  <si>
    <t>FL250005</t>
  </si>
  <si>
    <t>Lynn Curtis DDS</t>
  </si>
  <si>
    <t>female</t>
  </si>
  <si>
    <t/>
  </si>
  <si>
    <t>30</t>
  </si>
  <si>
    <t>FL250006</t>
  </si>
  <si>
    <t>Lisa Johnson</t>
  </si>
  <si>
    <t>Netherlands</t>
  </si>
  <si>
    <t>Dutch</t>
  </si>
  <si>
    <t>AI</t>
  </si>
  <si>
    <t>$30</t>
  </si>
  <si>
    <t>FALSE</t>
  </si>
  <si>
    <t>Urgent</t>
  </si>
  <si>
    <t>FL250007</t>
  </si>
  <si>
    <t>Eric Myers</t>
  </si>
  <si>
    <t>m</t>
  </si>
  <si>
    <t>Indonesia</t>
  </si>
  <si>
    <t>Indonesian</t>
  </si>
  <si>
    <t>Data Analysis</t>
  </si>
  <si>
    <t>USD 75</t>
  </si>
  <si>
    <t>FL250008</t>
  </si>
  <si>
    <t>Ricky Graham</t>
  </si>
  <si>
    <t>USD 40</t>
  </si>
  <si>
    <t>FL250009</t>
  </si>
  <si>
    <t>Sean Martin</t>
  </si>
  <si>
    <t>US</t>
  </si>
  <si>
    <t>TRUE</t>
  </si>
  <si>
    <t>Inactive</t>
  </si>
  <si>
    <t>FL250010</t>
  </si>
  <si>
    <t>Matthew Lloyd</t>
  </si>
  <si>
    <t>MALE</t>
  </si>
  <si>
    <t>Turkey</t>
  </si>
  <si>
    <t>Turkish</t>
  </si>
  <si>
    <t>$50</t>
  </si>
  <si>
    <t>Pending</t>
  </si>
  <si>
    <t>FL250011</t>
  </si>
  <si>
    <t>Gavin Randall</t>
  </si>
  <si>
    <t>UK</t>
  </si>
  <si>
    <t>40</t>
  </si>
  <si>
    <t>yes</t>
  </si>
  <si>
    <t>Follow-up</t>
  </si>
  <si>
    <t>FL250012</t>
  </si>
  <si>
    <t>Michelle Curtis</t>
  </si>
  <si>
    <t>Argentina</t>
  </si>
  <si>
    <t>Spanish</t>
  </si>
  <si>
    <t>UI/UX Design</t>
  </si>
  <si>
    <t>Y</t>
  </si>
  <si>
    <t>FL250013</t>
  </si>
  <si>
    <t>Alice Schneider</t>
  </si>
  <si>
    <t>Female</t>
  </si>
  <si>
    <t>Cybersecurity</t>
  </si>
  <si>
    <t>FL250014</t>
  </si>
  <si>
    <t>Phillip Shelton</t>
  </si>
  <si>
    <t>FL250015</t>
  </si>
  <si>
    <t>Edward Ferguson</t>
  </si>
  <si>
    <t>75</t>
  </si>
  <si>
    <t>FL250016</t>
  </si>
  <si>
    <t>Wyatt Stout</t>
  </si>
  <si>
    <t>Japan</t>
  </si>
  <si>
    <t>Japanese</t>
  </si>
  <si>
    <t>FL250017</t>
  </si>
  <si>
    <t>Laura Johnson</t>
  </si>
  <si>
    <t>DevOps</t>
  </si>
  <si>
    <t>FL250018</t>
  </si>
  <si>
    <t>Scott Burns</t>
  </si>
  <si>
    <t>M</t>
  </si>
  <si>
    <t>India</t>
  </si>
  <si>
    <t>Hindi</t>
  </si>
  <si>
    <t>FL250019</t>
  </si>
  <si>
    <t>Tyler Aguirre</t>
  </si>
  <si>
    <t>Male</t>
  </si>
  <si>
    <t>USD 50</t>
  </si>
  <si>
    <t>FL250020</t>
  </si>
  <si>
    <t>Matthew Lawson</t>
  </si>
  <si>
    <t>FL250021</t>
  </si>
  <si>
    <t>James Cherry</t>
  </si>
  <si>
    <t>FL250022</t>
  </si>
  <si>
    <t>Samuel Sanford</t>
  </si>
  <si>
    <t>FL250023</t>
  </si>
  <si>
    <t>Cesar Greene</t>
  </si>
  <si>
    <t>Brazil</t>
  </si>
  <si>
    <t>Portuguese</t>
  </si>
  <si>
    <t>USD 30</t>
  </si>
  <si>
    <t>FL250024</t>
  </si>
  <si>
    <t>Melanie Carter</t>
  </si>
  <si>
    <t>South Korea</t>
  </si>
  <si>
    <t>Korean</t>
  </si>
  <si>
    <t>Machine Learning</t>
  </si>
  <si>
    <t>FL250025</t>
  </si>
  <si>
    <t>Jennifer Martin</t>
  </si>
  <si>
    <t>FL250026</t>
  </si>
  <si>
    <t>Anna Mccann</t>
  </si>
  <si>
    <t>FL250027</t>
  </si>
  <si>
    <t>Marissa Bass</t>
  </si>
  <si>
    <t>$20</t>
  </si>
  <si>
    <t>FL250028</t>
  </si>
  <si>
    <t>Alexis Day</t>
  </si>
  <si>
    <t>Russia</t>
  </si>
  <si>
    <t>Russian</t>
  </si>
  <si>
    <t>FL250029</t>
  </si>
  <si>
    <t>Megan Jones</t>
  </si>
  <si>
    <t>Canada</t>
  </si>
  <si>
    <t>FL250030</t>
  </si>
  <si>
    <t>Lori Smith</t>
  </si>
  <si>
    <t>FL250031</t>
  </si>
  <si>
    <t>Eric Carpenter</t>
  </si>
  <si>
    <t>FL250032</t>
  </si>
  <si>
    <t>Timothy Daniels</t>
  </si>
  <si>
    <t>France</t>
  </si>
  <si>
    <t>French</t>
  </si>
  <si>
    <t>FL250033</t>
  </si>
  <si>
    <t>Robert Nelson</t>
  </si>
  <si>
    <t>Egypt</t>
  </si>
  <si>
    <t>Arabic</t>
  </si>
  <si>
    <t>20</t>
  </si>
  <si>
    <t>FL250034</t>
  </si>
  <si>
    <t>Michael Anderson</t>
  </si>
  <si>
    <t>FL250035</t>
  </si>
  <si>
    <t>Jessica Snyder</t>
  </si>
  <si>
    <t>FL250036</t>
  </si>
  <si>
    <t>Emily Daniels</t>
  </si>
  <si>
    <t>FL250037</t>
  </si>
  <si>
    <t>Jamie Ramirez</t>
  </si>
  <si>
    <t>FL250038</t>
  </si>
  <si>
    <t>Amy Harrison</t>
  </si>
  <si>
    <t>FL250039</t>
  </si>
  <si>
    <t>Melinda White</t>
  </si>
  <si>
    <t>South Africa</t>
  </si>
  <si>
    <t>Afrikaans</t>
  </si>
  <si>
    <t>FL250040</t>
  </si>
  <si>
    <t>James Hernandez</t>
  </si>
  <si>
    <t>FL250041</t>
  </si>
  <si>
    <t>Angelica Rogers</t>
  </si>
  <si>
    <t>no</t>
  </si>
  <si>
    <t>FL250042</t>
  </si>
  <si>
    <t>Savannah Williams</t>
  </si>
  <si>
    <t>FL250043</t>
  </si>
  <si>
    <t>Kaitlyn Schmidt</t>
  </si>
  <si>
    <t>FL250044</t>
  </si>
  <si>
    <t>Jason Singh</t>
  </si>
  <si>
    <t>FL250045</t>
  </si>
  <si>
    <t>Michelle Ramirez</t>
  </si>
  <si>
    <t>FL250046</t>
  </si>
  <si>
    <t>James Brown</t>
  </si>
  <si>
    <t>$75</t>
  </si>
  <si>
    <t>FL250047</t>
  </si>
  <si>
    <t>Mrs. Samantha Simmons</t>
  </si>
  <si>
    <t>FL250048</t>
  </si>
  <si>
    <t>Chase Mason</t>
  </si>
  <si>
    <t>China</t>
  </si>
  <si>
    <t>Mandarin</t>
  </si>
  <si>
    <t>FL250049</t>
  </si>
  <si>
    <t>Dominique Ward</t>
  </si>
  <si>
    <t>Mexico</t>
  </si>
  <si>
    <t>FL250050</t>
  </si>
  <si>
    <t>Lance Griffin</t>
  </si>
  <si>
    <t>FL250051</t>
  </si>
  <si>
    <t>Julie Burgess</t>
  </si>
  <si>
    <t>FL250052</t>
  </si>
  <si>
    <t>Don Scott</t>
  </si>
  <si>
    <t>FL250053</t>
  </si>
  <si>
    <t>Kyle Atkinson</t>
  </si>
  <si>
    <t>FL250054</t>
  </si>
  <si>
    <t>Jimmy Hogan</t>
  </si>
  <si>
    <t>Spain</t>
  </si>
  <si>
    <t>FL250055</t>
  </si>
  <si>
    <t>Jennifer Mcintyre</t>
  </si>
  <si>
    <t>FL250056</t>
  </si>
  <si>
    <t>Larry Simpson</t>
  </si>
  <si>
    <t>FL250057</t>
  </si>
  <si>
    <t>Laura Price</t>
  </si>
  <si>
    <t>FL250058</t>
  </si>
  <si>
    <t>Mark Wright</t>
  </si>
  <si>
    <t>FL250059</t>
  </si>
  <si>
    <t>Samantha Mcdaniel</t>
  </si>
  <si>
    <t>FL250060</t>
  </si>
  <si>
    <t>Barbara Foster</t>
  </si>
  <si>
    <t>FL250061</t>
  </si>
  <si>
    <t>Courtney Tran</t>
  </si>
  <si>
    <t>FL250062</t>
  </si>
  <si>
    <t>Eddie Todd</t>
  </si>
  <si>
    <t>FL250063</t>
  </si>
  <si>
    <t>Christine Johnson</t>
  </si>
  <si>
    <t>FL250064</t>
  </si>
  <si>
    <t>Leah Phelps</t>
  </si>
  <si>
    <t>FL250065</t>
  </si>
  <si>
    <t>Rebekah Williams</t>
  </si>
  <si>
    <t>FL250066</t>
  </si>
  <si>
    <t>Crystal Wilson</t>
  </si>
  <si>
    <t>FL250067</t>
  </si>
  <si>
    <t>Ashley Cordova</t>
  </si>
  <si>
    <t>FL250068</t>
  </si>
  <si>
    <t>Vicki Kelly</t>
  </si>
  <si>
    <t>FL250069</t>
  </si>
  <si>
    <t>Corey Warren</t>
  </si>
  <si>
    <t>FL250070</t>
  </si>
  <si>
    <t>Gina Thompson</t>
  </si>
  <si>
    <t>FL250071</t>
  </si>
  <si>
    <t>Yvonne Berg</t>
  </si>
  <si>
    <t>FL250072</t>
  </si>
  <si>
    <t>Thomas Miller</t>
  </si>
  <si>
    <t>FL250073</t>
  </si>
  <si>
    <t>Nicholas Burton</t>
  </si>
  <si>
    <t>$100</t>
  </si>
  <si>
    <t>FL250074</t>
  </si>
  <si>
    <t>Jorge Riley</t>
  </si>
  <si>
    <t>FL250075</t>
  </si>
  <si>
    <t>Melvin Harris</t>
  </si>
  <si>
    <t>FL250076</t>
  </si>
  <si>
    <t>Jeremy Meyer</t>
  </si>
  <si>
    <t>FL250077</t>
  </si>
  <si>
    <t>Timothy Lee</t>
  </si>
  <si>
    <t>FL250078</t>
  </si>
  <si>
    <t>Diana Bautista</t>
  </si>
  <si>
    <t>FL250079</t>
  </si>
  <si>
    <t>Leslie Rodriguez</t>
  </si>
  <si>
    <t>FL250080</t>
  </si>
  <si>
    <t>Noah Wiggins</t>
  </si>
  <si>
    <t>FL250081</t>
  </si>
  <si>
    <t>Bridget Williams</t>
  </si>
  <si>
    <t>FL250082</t>
  </si>
  <si>
    <t>Veronica Baker</t>
  </si>
  <si>
    <t>FL250083</t>
  </si>
  <si>
    <t>Andrew Avila</t>
  </si>
  <si>
    <t>FL250084</t>
  </si>
  <si>
    <t>Michael Roberson</t>
  </si>
  <si>
    <t>FL250085</t>
  </si>
  <si>
    <t>Austin Jenkins</t>
  </si>
  <si>
    <t>FL250086</t>
  </si>
  <si>
    <t>Brenda Green</t>
  </si>
  <si>
    <t>FL250087</t>
  </si>
  <si>
    <t>Samuel Pierce</t>
  </si>
  <si>
    <t>FL250088</t>
  </si>
  <si>
    <t>Briana Smith</t>
  </si>
  <si>
    <t>FL250089</t>
  </si>
  <si>
    <t>Ronald Barrett</t>
  </si>
  <si>
    <t>FL250090</t>
  </si>
  <si>
    <t>Matthew Smith</t>
  </si>
  <si>
    <t>FL250091</t>
  </si>
  <si>
    <t>Logan Huang</t>
  </si>
  <si>
    <t>FL250092</t>
  </si>
  <si>
    <t>Miranda Hutchinson</t>
  </si>
  <si>
    <t>FL250093</t>
  </si>
  <si>
    <t>Paul Richardson</t>
  </si>
  <si>
    <t>FL250094</t>
  </si>
  <si>
    <t>Jose Jones</t>
  </si>
  <si>
    <t>FL250095</t>
  </si>
  <si>
    <t>Denise Smith</t>
  </si>
  <si>
    <t>FL250096</t>
  </si>
  <si>
    <t>Shelby Mcmahon</t>
  </si>
  <si>
    <t>FL250097</t>
  </si>
  <si>
    <t>Bethany Wright</t>
  </si>
  <si>
    <t>FL250098</t>
  </si>
  <si>
    <t>David Ortiz</t>
  </si>
  <si>
    <t>FL250099</t>
  </si>
  <si>
    <t>Andrew Lynch</t>
  </si>
  <si>
    <t>FL250100</t>
  </si>
  <si>
    <t>Kristopher Meyers</t>
  </si>
  <si>
    <t>FL250101</t>
  </si>
  <si>
    <t>Thomas Roth</t>
  </si>
  <si>
    <t>FL250102</t>
  </si>
  <si>
    <t>Vicki Brown</t>
  </si>
  <si>
    <t>FL250103</t>
  </si>
  <si>
    <t>Stacy Sutton</t>
  </si>
  <si>
    <t>FL250104</t>
  </si>
  <si>
    <t>Kimberly Holland</t>
  </si>
  <si>
    <t>FL250105</t>
  </si>
  <si>
    <t>Travis Richardson</t>
  </si>
  <si>
    <t>FL250106</t>
  </si>
  <si>
    <t>Jasmin Ho</t>
  </si>
  <si>
    <t>FL250107</t>
  </si>
  <si>
    <t>Mark Paul</t>
  </si>
  <si>
    <t>FL250108</t>
  </si>
  <si>
    <t>Jennifer Lewis</t>
  </si>
  <si>
    <t>FL250109</t>
  </si>
  <si>
    <t>Elizabeth Lester</t>
  </si>
  <si>
    <t>FL250110</t>
  </si>
  <si>
    <t>Kimberly Griffin</t>
  </si>
  <si>
    <t>FL250111</t>
  </si>
  <si>
    <t>Tyler Warner</t>
  </si>
  <si>
    <t>FL250112</t>
  </si>
  <si>
    <t>Jane Cox</t>
  </si>
  <si>
    <t>FL250113</t>
  </si>
  <si>
    <t>Leah Williams</t>
  </si>
  <si>
    <t>FL250114</t>
  </si>
  <si>
    <t>Kevin Wong</t>
  </si>
  <si>
    <t>FL250115</t>
  </si>
  <si>
    <t>Robert Andrews</t>
  </si>
  <si>
    <t>USD 20</t>
  </si>
  <si>
    <t>FL250116</t>
  </si>
  <si>
    <t>Jessica Torres</t>
  </si>
  <si>
    <t>FL250117</t>
  </si>
  <si>
    <t>Teresa Kim</t>
  </si>
  <si>
    <t>FL250118</t>
  </si>
  <si>
    <t>Jon Morgan</t>
  </si>
  <si>
    <t>FL250119</t>
  </si>
  <si>
    <t>Gloria Chaney</t>
  </si>
  <si>
    <t>FL250120</t>
  </si>
  <si>
    <t>Jesse Campbell</t>
  </si>
  <si>
    <t>FL250121</t>
  </si>
  <si>
    <t>Allison Tucker MD</t>
  </si>
  <si>
    <t>FL250122</t>
  </si>
  <si>
    <t>Candice Petersen</t>
  </si>
  <si>
    <t>FL250123</t>
  </si>
  <si>
    <t>Christopher Nichols</t>
  </si>
  <si>
    <t>FL250124</t>
  </si>
  <si>
    <t>Debra Garcia</t>
  </si>
  <si>
    <t>FL250125</t>
  </si>
  <si>
    <t>Andrew Fuentes</t>
  </si>
  <si>
    <t>FL250126</t>
  </si>
  <si>
    <t>Jason Carter</t>
  </si>
  <si>
    <t>FL250127</t>
  </si>
  <si>
    <t>Austin Romero</t>
  </si>
  <si>
    <t>FL250128</t>
  </si>
  <si>
    <t>Clayton Burns</t>
  </si>
  <si>
    <t>FL250129</t>
  </si>
  <si>
    <t>Jonathan Clark</t>
  </si>
  <si>
    <t>FL250130</t>
  </si>
  <si>
    <t>Alexander Griffin</t>
  </si>
  <si>
    <t>FL250131</t>
  </si>
  <si>
    <t>Shelly Whitehead</t>
  </si>
  <si>
    <t>FL250132</t>
  </si>
  <si>
    <t>Kaitlyn Davis</t>
  </si>
  <si>
    <t>FL250133</t>
  </si>
  <si>
    <t>Christopher Jones</t>
  </si>
  <si>
    <t>FL250134</t>
  </si>
  <si>
    <t>Cindy Jacobs</t>
  </si>
  <si>
    <t>FL250135</t>
  </si>
  <si>
    <t>Penny Day</t>
  </si>
  <si>
    <t>FL250136</t>
  </si>
  <si>
    <t>Thomas Ingram</t>
  </si>
  <si>
    <t>FL250137</t>
  </si>
  <si>
    <t>Donna Hansen</t>
  </si>
  <si>
    <t>FL250138</t>
  </si>
  <si>
    <t>Donna Bailey</t>
  </si>
  <si>
    <t>FL250139</t>
  </si>
  <si>
    <t>Joshua Armstrong</t>
  </si>
  <si>
    <t>FL250140</t>
  </si>
  <si>
    <t>Jonathan Garza</t>
  </si>
  <si>
    <t>FL250141</t>
  </si>
  <si>
    <t>Charles Jones</t>
  </si>
  <si>
    <t>FL250142</t>
  </si>
  <si>
    <t>Lindsey Miles</t>
  </si>
  <si>
    <t>FL250143</t>
  </si>
  <si>
    <t>Eduardo Reed</t>
  </si>
  <si>
    <t>FL250144</t>
  </si>
  <si>
    <t>Lee Fowler</t>
  </si>
  <si>
    <t>FL250145</t>
  </si>
  <si>
    <t>Steven Jones Jr.</t>
  </si>
  <si>
    <t>FL250146</t>
  </si>
  <si>
    <t>Ashley Chen</t>
  </si>
  <si>
    <t>FL250147</t>
  </si>
  <si>
    <t>Erica Davis</t>
  </si>
  <si>
    <t>FL250148</t>
  </si>
  <si>
    <t>Wayne Gonzales</t>
  </si>
  <si>
    <t>FL250149</t>
  </si>
  <si>
    <t>Gary Ballard</t>
  </si>
  <si>
    <t>FL250150</t>
  </si>
  <si>
    <t>Maria Mcguire</t>
  </si>
  <si>
    <t>FL250151</t>
  </si>
  <si>
    <t>Matthew Richards</t>
  </si>
  <si>
    <t>FL250152</t>
  </si>
  <si>
    <t>Patrick Malone</t>
  </si>
  <si>
    <t>FL250153</t>
  </si>
  <si>
    <t>Cindy Martin</t>
  </si>
  <si>
    <t>FL250154</t>
  </si>
  <si>
    <t>Anne Edwards</t>
  </si>
  <si>
    <t>FL250155</t>
  </si>
  <si>
    <t>Mitchell Martin</t>
  </si>
  <si>
    <t>FL250156</t>
  </si>
  <si>
    <t>Mitchell Patrick</t>
  </si>
  <si>
    <t>FL250157</t>
  </si>
  <si>
    <t>Rebecca Lyons</t>
  </si>
  <si>
    <t>FL250158</t>
  </si>
  <si>
    <t>Christian Lopez</t>
  </si>
  <si>
    <t>FL250159</t>
  </si>
  <si>
    <t>Nathan Blair</t>
  </si>
  <si>
    <t>FL250160</t>
  </si>
  <si>
    <t>Patricia Lopez</t>
  </si>
  <si>
    <t>FL250161</t>
  </si>
  <si>
    <t>Michelle Wu</t>
  </si>
  <si>
    <t>FL250162</t>
  </si>
  <si>
    <t>Donald Mitchell</t>
  </si>
  <si>
    <t>FL250163</t>
  </si>
  <si>
    <t>Sean Gordon</t>
  </si>
  <si>
    <t>FL250164</t>
  </si>
  <si>
    <t>Gregory Clarke</t>
  </si>
  <si>
    <t>FL250165</t>
  </si>
  <si>
    <t>Steven Whitney</t>
  </si>
  <si>
    <t>FL250166</t>
  </si>
  <si>
    <t>Robin Acosta</t>
  </si>
  <si>
    <t>FL250167</t>
  </si>
  <si>
    <t>John Smith</t>
  </si>
  <si>
    <t>FL250168</t>
  </si>
  <si>
    <t>Susan Baker</t>
  </si>
  <si>
    <t>FL250169</t>
  </si>
  <si>
    <t>Anthony Larsen</t>
  </si>
  <si>
    <t>FL250170</t>
  </si>
  <si>
    <t>Nicholas Carpenter</t>
  </si>
  <si>
    <t>FL250171</t>
  </si>
  <si>
    <t>Debra Salazar</t>
  </si>
  <si>
    <t>FL250172</t>
  </si>
  <si>
    <t>William Smith</t>
  </si>
  <si>
    <t>FL250173</t>
  </si>
  <si>
    <t>Caroline Gross</t>
  </si>
  <si>
    <t>FL250174</t>
  </si>
  <si>
    <t>Jeremy Sawyer</t>
  </si>
  <si>
    <t>FL250175</t>
  </si>
  <si>
    <t>Eduardo Burns</t>
  </si>
  <si>
    <t>FL250176</t>
  </si>
  <si>
    <t>Amanda Jones</t>
  </si>
  <si>
    <t>FL250177</t>
  </si>
  <si>
    <t>Frederick Ware</t>
  </si>
  <si>
    <t>FL250178</t>
  </si>
  <si>
    <t>Michael Black</t>
  </si>
  <si>
    <t>FL250179</t>
  </si>
  <si>
    <t>Patricia Sanders</t>
  </si>
  <si>
    <t>FL250180</t>
  </si>
  <si>
    <t>Marc Joseph</t>
  </si>
  <si>
    <t>FL250181</t>
  </si>
  <si>
    <t>Vanessa White</t>
  </si>
  <si>
    <t>FL250182</t>
  </si>
  <si>
    <t>Jennifer Garcia</t>
  </si>
  <si>
    <t>FL250183</t>
  </si>
  <si>
    <t>Michael Zavala</t>
  </si>
  <si>
    <t>FL250184</t>
  </si>
  <si>
    <t>Kimberly Williams</t>
  </si>
  <si>
    <t>FL250185</t>
  </si>
  <si>
    <t>Elizabeth Jenkins</t>
  </si>
  <si>
    <t>FL250186</t>
  </si>
  <si>
    <t>Brandon Ford</t>
  </si>
  <si>
    <t>FL250187</t>
  </si>
  <si>
    <t>Justin House</t>
  </si>
  <si>
    <t>FL250188</t>
  </si>
  <si>
    <t>Henry Mullen</t>
  </si>
  <si>
    <t>FL250189</t>
  </si>
  <si>
    <t>Jesse Cochran</t>
  </si>
  <si>
    <t>FL250190</t>
  </si>
  <si>
    <t>Melissa Rich</t>
  </si>
  <si>
    <t>FL250191</t>
  </si>
  <si>
    <t>Patrick Dunlap</t>
  </si>
  <si>
    <t>FL250192</t>
  </si>
  <si>
    <t>Troy Carson</t>
  </si>
  <si>
    <t>FL250193</t>
  </si>
  <si>
    <t>FL250194</t>
  </si>
  <si>
    <t>Jennifer Cherry</t>
  </si>
  <si>
    <t>FL250195</t>
  </si>
  <si>
    <t>Brandi Tucker</t>
  </si>
  <si>
    <t>FL250196</t>
  </si>
  <si>
    <t>Zachary Burke</t>
  </si>
  <si>
    <t>FL250197</t>
  </si>
  <si>
    <t>Thomas Jones</t>
  </si>
  <si>
    <t>FL250198</t>
  </si>
  <si>
    <t>Brian Dunn</t>
  </si>
  <si>
    <t>FL250199</t>
  </si>
  <si>
    <t>Shirley Strickland</t>
  </si>
  <si>
    <t>FL250200</t>
  </si>
  <si>
    <t>Nicole Meyers</t>
  </si>
  <si>
    <t>FL250201</t>
  </si>
  <si>
    <t>Jill Stephens</t>
  </si>
  <si>
    <t>FL250202</t>
  </si>
  <si>
    <t>Heidi Miranda</t>
  </si>
  <si>
    <t>FL250203</t>
  </si>
  <si>
    <t>Jesus Martinez</t>
  </si>
  <si>
    <t>FL250204</t>
  </si>
  <si>
    <t>Adam Payne</t>
  </si>
  <si>
    <t>FL250205</t>
  </si>
  <si>
    <t>Walter Williams</t>
  </si>
  <si>
    <t>FL250206</t>
  </si>
  <si>
    <t>Shannon Farmer</t>
  </si>
  <si>
    <t>FL250207</t>
  </si>
  <si>
    <t>Peter Reyes</t>
  </si>
  <si>
    <t>FL250208</t>
  </si>
  <si>
    <t>Kristen Knight</t>
  </si>
  <si>
    <t>FL250209</t>
  </si>
  <si>
    <t>William Moore Jr.</t>
  </si>
  <si>
    <t>FL250210</t>
  </si>
  <si>
    <t>Jennifer Rowe</t>
  </si>
  <si>
    <t>FL250211</t>
  </si>
  <si>
    <t>Mikayla Henry</t>
  </si>
  <si>
    <t>FL250212</t>
  </si>
  <si>
    <t>Jacob Kerr</t>
  </si>
  <si>
    <t>FL250213</t>
  </si>
  <si>
    <t>Ryan Johnson</t>
  </si>
  <si>
    <t>FL250214</t>
  </si>
  <si>
    <t>Michael Ruiz</t>
  </si>
  <si>
    <t>FL250215</t>
  </si>
  <si>
    <t>Monica Roberts</t>
  </si>
  <si>
    <t>FL250216</t>
  </si>
  <si>
    <t>Danny Brown</t>
  </si>
  <si>
    <t>FL250217</t>
  </si>
  <si>
    <t>Karen Larsen</t>
  </si>
  <si>
    <t>FL250218</t>
  </si>
  <si>
    <t>Robert Evans</t>
  </si>
  <si>
    <t>FL250219</t>
  </si>
  <si>
    <t>Sean Poole</t>
  </si>
  <si>
    <t>FL250220</t>
  </si>
  <si>
    <t>Richard Quinn</t>
  </si>
  <si>
    <t>FL250221</t>
  </si>
  <si>
    <t>Jennifer Gonzalez</t>
  </si>
  <si>
    <t>FL250222</t>
  </si>
  <si>
    <t>James Skinner</t>
  </si>
  <si>
    <t>FL250223</t>
  </si>
  <si>
    <t>Michelle Hill</t>
  </si>
  <si>
    <t>FL250224</t>
  </si>
  <si>
    <t>Jacqueline Williams</t>
  </si>
  <si>
    <t>FL250225</t>
  </si>
  <si>
    <t>Darrell Johnson</t>
  </si>
  <si>
    <t>FL250226</t>
  </si>
  <si>
    <t>Ryan Crawford</t>
  </si>
  <si>
    <t>FL250227</t>
  </si>
  <si>
    <t>Chelsea Barber</t>
  </si>
  <si>
    <t>FL250228</t>
  </si>
  <si>
    <t>Elaine Martinez</t>
  </si>
  <si>
    <t>FL250229</t>
  </si>
  <si>
    <t>Joseph Kent</t>
  </si>
  <si>
    <t>FL250230</t>
  </si>
  <si>
    <t>Megan Welch</t>
  </si>
  <si>
    <t>FL250231</t>
  </si>
  <si>
    <t>Stephen Ramirez</t>
  </si>
  <si>
    <t>FL250232</t>
  </si>
  <si>
    <t>Chloe Gray</t>
  </si>
  <si>
    <t>FL250233</t>
  </si>
  <si>
    <t>Michael Williams Jr.</t>
  </si>
  <si>
    <t>FL250234</t>
  </si>
  <si>
    <t>Matthew Martin</t>
  </si>
  <si>
    <t>FL250235</t>
  </si>
  <si>
    <t>Julia Murphy</t>
  </si>
  <si>
    <t>FL250236</t>
  </si>
  <si>
    <t>Anna Evans</t>
  </si>
  <si>
    <t>FL250237</t>
  </si>
  <si>
    <t>Brenda Fleming</t>
  </si>
  <si>
    <t>FL250238</t>
  </si>
  <si>
    <t>Daniel Harrington</t>
  </si>
  <si>
    <t>FL250239</t>
  </si>
  <si>
    <t>Daniel Barnett</t>
  </si>
  <si>
    <t>FL250240</t>
  </si>
  <si>
    <t>Mark Cummings</t>
  </si>
  <si>
    <t>FL250241</t>
  </si>
  <si>
    <t>Christopher Guerra</t>
  </si>
  <si>
    <t>FL250242</t>
  </si>
  <si>
    <t>Sarah Ho</t>
  </si>
  <si>
    <t>FL250243</t>
  </si>
  <si>
    <t>Veronica Thomas</t>
  </si>
  <si>
    <t>FL250244</t>
  </si>
  <si>
    <t>Mitchell Watson</t>
  </si>
  <si>
    <t>FL250245</t>
  </si>
  <si>
    <t>Monica Murphy</t>
  </si>
  <si>
    <t>FL250246</t>
  </si>
  <si>
    <t>Kristen Williams</t>
  </si>
  <si>
    <t>FL250247</t>
  </si>
  <si>
    <t>Nicole Wright</t>
  </si>
  <si>
    <t>FL250248</t>
  </si>
  <si>
    <t>Andrew Ruiz</t>
  </si>
  <si>
    <t>FL250249</t>
  </si>
  <si>
    <t>Zachary Jackson</t>
  </si>
  <si>
    <t>FL250250</t>
  </si>
  <si>
    <t>Stephanie Carter</t>
  </si>
  <si>
    <t>FL250251</t>
  </si>
  <si>
    <t>Amy Olson</t>
  </si>
  <si>
    <t>FL250252</t>
  </si>
  <si>
    <t>Fred Stark</t>
  </si>
  <si>
    <t>FL250253</t>
  </si>
  <si>
    <t>Jacob Gill</t>
  </si>
  <si>
    <t>FL250254</t>
  </si>
  <si>
    <t>Anthony Nichols</t>
  </si>
  <si>
    <t>FL250255</t>
  </si>
  <si>
    <t>William Knapp</t>
  </si>
  <si>
    <t>FL250256</t>
  </si>
  <si>
    <t>Elizabeth Walker</t>
  </si>
  <si>
    <t>FL250257</t>
  </si>
  <si>
    <t>Brenda Reeves</t>
  </si>
  <si>
    <t>FL250258</t>
  </si>
  <si>
    <t>Carrie Little</t>
  </si>
  <si>
    <t>FL250259</t>
  </si>
  <si>
    <t>Steven Jackson</t>
  </si>
  <si>
    <t>FL250260</t>
  </si>
  <si>
    <t>Mark Perry</t>
  </si>
  <si>
    <t>FL250261</t>
  </si>
  <si>
    <t>Cameron Spencer</t>
  </si>
  <si>
    <t>FL250262</t>
  </si>
  <si>
    <t>Jennifer Holmes</t>
  </si>
  <si>
    <t>FL250263</t>
  </si>
  <si>
    <t>Jacob Joseph</t>
  </si>
  <si>
    <t>FL250264</t>
  </si>
  <si>
    <t>Jeffery Tucker</t>
  </si>
  <si>
    <t>FL250265</t>
  </si>
  <si>
    <t>Jacqueline Drake</t>
  </si>
  <si>
    <t>FL250266</t>
  </si>
  <si>
    <t>Brian Bautista</t>
  </si>
  <si>
    <t>FL250267</t>
  </si>
  <si>
    <t>Dakota Wells</t>
  </si>
  <si>
    <t>FL250268</t>
  </si>
  <si>
    <t>Julie White</t>
  </si>
  <si>
    <t>FL250269</t>
  </si>
  <si>
    <t>Barbara Keith</t>
  </si>
  <si>
    <t>FL250270</t>
  </si>
  <si>
    <t>Heather Camacho</t>
  </si>
  <si>
    <t>FL250271</t>
  </si>
  <si>
    <t>Melanie Harris</t>
  </si>
  <si>
    <t>FL250272</t>
  </si>
  <si>
    <t>Jacqueline Peterson</t>
  </si>
  <si>
    <t>FL250273</t>
  </si>
  <si>
    <t>Nancy Long</t>
  </si>
  <si>
    <t>FL250274</t>
  </si>
  <si>
    <t>Mr. Juan Mitchell</t>
  </si>
  <si>
    <t>FL250275</t>
  </si>
  <si>
    <t>William Gaines</t>
  </si>
  <si>
    <t>FL250276</t>
  </si>
  <si>
    <t>Haley Yates</t>
  </si>
  <si>
    <t>FL250277</t>
  </si>
  <si>
    <t>Richard Mcguire</t>
  </si>
  <si>
    <t>FL250278</t>
  </si>
  <si>
    <t>Stephanie Fisher</t>
  </si>
  <si>
    <t>FL250279</t>
  </si>
  <si>
    <t>Anthony Goodwin DDS</t>
  </si>
  <si>
    <t>FL250280</t>
  </si>
  <si>
    <t>Meagan Walters</t>
  </si>
  <si>
    <t>FL250281</t>
  </si>
  <si>
    <t>David Powell</t>
  </si>
  <si>
    <t>FL250282</t>
  </si>
  <si>
    <t>Kelly Jones</t>
  </si>
  <si>
    <t>FL250283</t>
  </si>
  <si>
    <t>Dr. Michael Aguilar</t>
  </si>
  <si>
    <t>FL250284</t>
  </si>
  <si>
    <t>Alex Novak</t>
  </si>
  <si>
    <t>FL250285</t>
  </si>
  <si>
    <t>Ann Contreras</t>
  </si>
  <si>
    <t>FL250286</t>
  </si>
  <si>
    <t>Mary Reed</t>
  </si>
  <si>
    <t>FL250287</t>
  </si>
  <si>
    <t>Lauren Ross</t>
  </si>
  <si>
    <t>FL250288</t>
  </si>
  <si>
    <t>Candice Wise</t>
  </si>
  <si>
    <t>FL250289</t>
  </si>
  <si>
    <t>Joyce Humphrey</t>
  </si>
  <si>
    <t>FL250290</t>
  </si>
  <si>
    <t>James Carr</t>
  </si>
  <si>
    <t>FL250291</t>
  </si>
  <si>
    <t>Joseph Mendoza</t>
  </si>
  <si>
    <t>FL250292</t>
  </si>
  <si>
    <t>Cathy Baldwin</t>
  </si>
  <si>
    <t>FL250293</t>
  </si>
  <si>
    <t>Christine Hart</t>
  </si>
  <si>
    <t>FL250294</t>
  </si>
  <si>
    <t>Mike Stanley</t>
  </si>
  <si>
    <t>FL250295</t>
  </si>
  <si>
    <t>Jeffrey Edwards</t>
  </si>
  <si>
    <t>FL250296</t>
  </si>
  <si>
    <t>Amy Lee</t>
  </si>
  <si>
    <t>FL250297</t>
  </si>
  <si>
    <t>Mark Thompson</t>
  </si>
  <si>
    <t>FL250298</t>
  </si>
  <si>
    <t>Alex Wilson</t>
  </si>
  <si>
    <t>FL250299</t>
  </si>
  <si>
    <t>Nancy Mendez</t>
  </si>
  <si>
    <t>FL250300</t>
  </si>
  <si>
    <t>Beth Crane</t>
  </si>
  <si>
    <t>FL250301</t>
  </si>
  <si>
    <t>Miguel Rogers</t>
  </si>
  <si>
    <t>FL250302</t>
  </si>
  <si>
    <t>Thomas Robles</t>
  </si>
  <si>
    <t>FL250303</t>
  </si>
  <si>
    <t>Joel Brown III</t>
  </si>
  <si>
    <t>FL250304</t>
  </si>
  <si>
    <t>Olivia Schultz</t>
  </si>
  <si>
    <t>FL250305</t>
  </si>
  <si>
    <t>Clayton Pena</t>
  </si>
  <si>
    <t>FL250306</t>
  </si>
  <si>
    <t>Ashley Salazar</t>
  </si>
  <si>
    <t>FL250307</t>
  </si>
  <si>
    <t>Robert Lucas</t>
  </si>
  <si>
    <t>FL250308</t>
  </si>
  <si>
    <t>David Cox</t>
  </si>
  <si>
    <t>FL250309</t>
  </si>
  <si>
    <t>Christian Campbell</t>
  </si>
  <si>
    <t>FL250310</t>
  </si>
  <si>
    <t>Mrs. Angela Ward</t>
  </si>
  <si>
    <t>FL250311</t>
  </si>
  <si>
    <t>Lucas Chen</t>
  </si>
  <si>
    <t>FL250312</t>
  </si>
  <si>
    <t>Ruben Nelson</t>
  </si>
  <si>
    <t>FL250313</t>
  </si>
  <si>
    <t>Brenda Briggs</t>
  </si>
  <si>
    <t>FL250314</t>
  </si>
  <si>
    <t>Ronald Smith</t>
  </si>
  <si>
    <t>FL250315</t>
  </si>
  <si>
    <t>Dakota Giles</t>
  </si>
  <si>
    <t>FL250316</t>
  </si>
  <si>
    <t>Angela Castillo</t>
  </si>
  <si>
    <t>FL250317</t>
  </si>
  <si>
    <t>Allen Lee</t>
  </si>
  <si>
    <t>FL250318</t>
  </si>
  <si>
    <t>Michael Rogers</t>
  </si>
  <si>
    <t>FL250319</t>
  </si>
  <si>
    <t>Danielle Costa</t>
  </si>
  <si>
    <t>FL250320</t>
  </si>
  <si>
    <t>William Nunez</t>
  </si>
  <si>
    <t>FL250321</t>
  </si>
  <si>
    <t>Christopher Riggs</t>
  </si>
  <si>
    <t>FL250322</t>
  </si>
  <si>
    <t>Kathryn Myers</t>
  </si>
  <si>
    <t>FL250323</t>
  </si>
  <si>
    <t>Robert Walls</t>
  </si>
  <si>
    <t>FL250324</t>
  </si>
  <si>
    <t>Justin Johnson</t>
  </si>
  <si>
    <t>FL250325</t>
  </si>
  <si>
    <t>Paula Stevens</t>
  </si>
  <si>
    <t>FL250326</t>
  </si>
  <si>
    <t>Jennifer Allen</t>
  </si>
  <si>
    <t>FL250327</t>
  </si>
  <si>
    <t>Mark Hudson</t>
  </si>
  <si>
    <t>FL250328</t>
  </si>
  <si>
    <t>Jessica Smith</t>
  </si>
  <si>
    <t>FL250329</t>
  </si>
  <si>
    <t>Mike Dean</t>
  </si>
  <si>
    <t>FL250330</t>
  </si>
  <si>
    <t>Jose Wilson</t>
  </si>
  <si>
    <t>FL250331</t>
  </si>
  <si>
    <t>Tammy Hill</t>
  </si>
  <si>
    <t>FL250332</t>
  </si>
  <si>
    <t>Nathaniel Flores</t>
  </si>
  <si>
    <t>FL250333</t>
  </si>
  <si>
    <t>Edwin Carter</t>
  </si>
  <si>
    <t>FL250334</t>
  </si>
  <si>
    <t>Patricia Miller</t>
  </si>
  <si>
    <t>FL250335</t>
  </si>
  <si>
    <t>Rebecca Schneider</t>
  </si>
  <si>
    <t>FL250336</t>
  </si>
  <si>
    <t>John Greene</t>
  </si>
  <si>
    <t>FL250337</t>
  </si>
  <si>
    <t>Brittany Mcdowell</t>
  </si>
  <si>
    <t>FL250338</t>
  </si>
  <si>
    <t>Lori Miller</t>
  </si>
  <si>
    <t>FL250339</t>
  </si>
  <si>
    <t>Joseph Robinson</t>
  </si>
  <si>
    <t>FL250340</t>
  </si>
  <si>
    <t>Aaron Pruitt</t>
  </si>
  <si>
    <t>FL250341</t>
  </si>
  <si>
    <t>Victoria Miller</t>
  </si>
  <si>
    <t>FL250342</t>
  </si>
  <si>
    <t>Clarence Vega</t>
  </si>
  <si>
    <t>FL250343</t>
  </si>
  <si>
    <t>Deborah Day</t>
  </si>
  <si>
    <t>FL250344</t>
  </si>
  <si>
    <t>Nicole Rocha</t>
  </si>
  <si>
    <t>FL250345</t>
  </si>
  <si>
    <t>Elijah Green</t>
  </si>
  <si>
    <t>FL250346</t>
  </si>
  <si>
    <t>Emily Johnson</t>
  </si>
  <si>
    <t>FL250347</t>
  </si>
  <si>
    <t>Richard Velasquez Jr.</t>
  </si>
  <si>
    <t>FL250348</t>
  </si>
  <si>
    <t>Kurt Wilson</t>
  </si>
  <si>
    <t>FL250349</t>
  </si>
  <si>
    <t>Jeremiah Rodriguez</t>
  </si>
  <si>
    <t>FL250350</t>
  </si>
  <si>
    <t>Lauren Lang</t>
  </si>
  <si>
    <t>FL250351</t>
  </si>
  <si>
    <t>Matthew Phillips</t>
  </si>
  <si>
    <t>FL250352</t>
  </si>
  <si>
    <t>Michael Andersen</t>
  </si>
  <si>
    <t>FL250353</t>
  </si>
  <si>
    <t>Amanda Mayo</t>
  </si>
  <si>
    <t>FL250354</t>
  </si>
  <si>
    <t>Jessica Vance</t>
  </si>
  <si>
    <t>FL250355</t>
  </si>
  <si>
    <t>Alexa Gallegos</t>
  </si>
  <si>
    <t>FL250356</t>
  </si>
  <si>
    <t>Charles Pratt</t>
  </si>
  <si>
    <t>FL250357</t>
  </si>
  <si>
    <t>Brian Baker</t>
  </si>
  <si>
    <t>FL250358</t>
  </si>
  <si>
    <t>Christina Norman</t>
  </si>
  <si>
    <t>FL250359</t>
  </si>
  <si>
    <t>Laura Kelly</t>
  </si>
  <si>
    <t>FL250360</t>
  </si>
  <si>
    <t>John Webb</t>
  </si>
  <si>
    <t>FL250361</t>
  </si>
  <si>
    <t>Christopher Burton</t>
  </si>
  <si>
    <t>FL250362</t>
  </si>
  <si>
    <t>Bradley Aguilar</t>
  </si>
  <si>
    <t>FL250363</t>
  </si>
  <si>
    <t>Arthur Vasquez</t>
  </si>
  <si>
    <t>FL250364</t>
  </si>
  <si>
    <t>Angela Castro</t>
  </si>
  <si>
    <t>FL250365</t>
  </si>
  <si>
    <t>Summer Yoder</t>
  </si>
  <si>
    <t>FL250366</t>
  </si>
  <si>
    <t>Jackie Allen</t>
  </si>
  <si>
    <t>FL250367</t>
  </si>
  <si>
    <t>Brandon Williams</t>
  </si>
  <si>
    <t>FL250368</t>
  </si>
  <si>
    <t>Manuel Torres</t>
  </si>
  <si>
    <t>FL250369</t>
  </si>
  <si>
    <t>Scott Keller</t>
  </si>
  <si>
    <t>FL250370</t>
  </si>
  <si>
    <t>Deborah Brown</t>
  </si>
  <si>
    <t>FL250371</t>
  </si>
  <si>
    <t>Jennifer Lara</t>
  </si>
  <si>
    <t>FL250372</t>
  </si>
  <si>
    <t>Jason Scott</t>
  </si>
  <si>
    <t>FL250373</t>
  </si>
  <si>
    <t>Gregory Garrison</t>
  </si>
  <si>
    <t>FL250374</t>
  </si>
  <si>
    <t>Chelsea Anderson</t>
  </si>
  <si>
    <t>FL250375</t>
  </si>
  <si>
    <t>Gerald Johnson</t>
  </si>
  <si>
    <t>FL250376</t>
  </si>
  <si>
    <t>Kevin Ellis</t>
  </si>
  <si>
    <t>FL250377</t>
  </si>
  <si>
    <t>Mitchell Keller</t>
  </si>
  <si>
    <t>FL250378</t>
  </si>
  <si>
    <t>Mary Brown</t>
  </si>
  <si>
    <t>FL250379</t>
  </si>
  <si>
    <t>Ronald Walls</t>
  </si>
  <si>
    <t>FL250380</t>
  </si>
  <si>
    <t>Anthony Avila</t>
  </si>
  <si>
    <t>FL250381</t>
  </si>
  <si>
    <t>Douglas Goodwin</t>
  </si>
  <si>
    <t>FL250382</t>
  </si>
  <si>
    <t>James Mills</t>
  </si>
  <si>
    <t>FL250383</t>
  </si>
  <si>
    <t>Nicole Marks</t>
  </si>
  <si>
    <t>FL250384</t>
  </si>
  <si>
    <t>Phyllis Dawson</t>
  </si>
  <si>
    <t>FL250385</t>
  </si>
  <si>
    <t>Renee Arnold</t>
  </si>
  <si>
    <t>FL250386</t>
  </si>
  <si>
    <t>Eric Robinson</t>
  </si>
  <si>
    <t>FL250387</t>
  </si>
  <si>
    <t>Paul Brown</t>
  </si>
  <si>
    <t>FL250388</t>
  </si>
  <si>
    <t>Sarah Proctor</t>
  </si>
  <si>
    <t>FL250389</t>
  </si>
  <si>
    <t>Matthew Hicks</t>
  </si>
  <si>
    <t>FL250390</t>
  </si>
  <si>
    <t>Christopher Black</t>
  </si>
  <si>
    <t>FL250391</t>
  </si>
  <si>
    <t>Joanne Reyes</t>
  </si>
  <si>
    <t>FL250392</t>
  </si>
  <si>
    <t>Isaac Gray</t>
  </si>
  <si>
    <t>FL250393</t>
  </si>
  <si>
    <t>Joshua Roberts</t>
  </si>
  <si>
    <t>FL250394</t>
  </si>
  <si>
    <t>Elizabeth Estrada</t>
  </si>
  <si>
    <t>FL250395</t>
  </si>
  <si>
    <t>Lori Malone</t>
  </si>
  <si>
    <t>FL250396</t>
  </si>
  <si>
    <t>Anthony Huynh MD</t>
  </si>
  <si>
    <t>FL250397</t>
  </si>
  <si>
    <t>Mindy York</t>
  </si>
  <si>
    <t>FL250398</t>
  </si>
  <si>
    <t>Ms. Christine Cherry</t>
  </si>
  <si>
    <t>FL250399</t>
  </si>
  <si>
    <t>Daniel Foster</t>
  </si>
  <si>
    <t>FL250400</t>
  </si>
  <si>
    <t>Mr. David Valencia</t>
  </si>
  <si>
    <t>FL250401</t>
  </si>
  <si>
    <t>Ethan Adams</t>
  </si>
  <si>
    <t>FL250402</t>
  </si>
  <si>
    <t>Brett Moore</t>
  </si>
  <si>
    <t>FL250403</t>
  </si>
  <si>
    <t>Phillip Griffin</t>
  </si>
  <si>
    <t>FL250404</t>
  </si>
  <si>
    <t>Stacie Wall</t>
  </si>
  <si>
    <t>FL250405</t>
  </si>
  <si>
    <t>Jacob Austin</t>
  </si>
  <si>
    <t>FL250406</t>
  </si>
  <si>
    <t>Sabrina Davidson</t>
  </si>
  <si>
    <t>FL250407</t>
  </si>
  <si>
    <t>Dustin Douglas</t>
  </si>
  <si>
    <t>FL250408</t>
  </si>
  <si>
    <t>Steven Norris</t>
  </si>
  <si>
    <t>FL250409</t>
  </si>
  <si>
    <t>Mindy Sullivan</t>
  </si>
  <si>
    <t>FL250410</t>
  </si>
  <si>
    <t>Elizabeth Stone</t>
  </si>
  <si>
    <t>FL250411</t>
  </si>
  <si>
    <t>Diane Flores</t>
  </si>
  <si>
    <t>FL250412</t>
  </si>
  <si>
    <t>Jessica Erickson</t>
  </si>
  <si>
    <t>FL250413</t>
  </si>
  <si>
    <t>Sara Moses</t>
  </si>
  <si>
    <t>FL250414</t>
  </si>
  <si>
    <t>Allison Henderson</t>
  </si>
  <si>
    <t>FL250415</t>
  </si>
  <si>
    <t>Susan Dixon</t>
  </si>
  <si>
    <t>FL250416</t>
  </si>
  <si>
    <t>David Morrison</t>
  </si>
  <si>
    <t>FL250417</t>
  </si>
  <si>
    <t>FL250418</t>
  </si>
  <si>
    <t>James Jacobs</t>
  </si>
  <si>
    <t>FL250419</t>
  </si>
  <si>
    <t>Kathleen Quinn</t>
  </si>
  <si>
    <t>FL250420</t>
  </si>
  <si>
    <t>Natalie Frank MD</t>
  </si>
  <si>
    <t>FL250421</t>
  </si>
  <si>
    <t>Michael Reed</t>
  </si>
  <si>
    <t>FL250422</t>
  </si>
  <si>
    <t>Sheila Smith</t>
  </si>
  <si>
    <t>FL250423</t>
  </si>
  <si>
    <t>Morgan Ford</t>
  </si>
  <si>
    <t>FL250424</t>
  </si>
  <si>
    <t>Linda Schultz</t>
  </si>
  <si>
    <t>FL250425</t>
  </si>
  <si>
    <t>Regina Daniel</t>
  </si>
  <si>
    <t>FL250426</t>
  </si>
  <si>
    <t>Allison Perkins</t>
  </si>
  <si>
    <t>FL250427</t>
  </si>
  <si>
    <t>Bradley Weaver</t>
  </si>
  <si>
    <t>FL250428</t>
  </si>
  <si>
    <t>Sarah Hall</t>
  </si>
  <si>
    <t>FL250429</t>
  </si>
  <si>
    <t>Diana Walton</t>
  </si>
  <si>
    <t>FL250430</t>
  </si>
  <si>
    <t>Donna Davis</t>
  </si>
  <si>
    <t>FL250431</t>
  </si>
  <si>
    <t>Christopher Mcclain</t>
  </si>
  <si>
    <t>FL250432</t>
  </si>
  <si>
    <t>Dr. Paul Williamson</t>
  </si>
  <si>
    <t>FL250433</t>
  </si>
  <si>
    <t>Barbara Brown</t>
  </si>
  <si>
    <t>FL250434</t>
  </si>
  <si>
    <t>Kimberly Allen</t>
  </si>
  <si>
    <t>FL250435</t>
  </si>
  <si>
    <t>Elizabeth Edwards</t>
  </si>
  <si>
    <t>FL250436</t>
  </si>
  <si>
    <t>Anthony Downs</t>
  </si>
  <si>
    <t>FL250437</t>
  </si>
  <si>
    <t>Jack Ortega</t>
  </si>
  <si>
    <t>FL250438</t>
  </si>
  <si>
    <t>Marvin Moore</t>
  </si>
  <si>
    <t>FL250439</t>
  </si>
  <si>
    <t>Tony French</t>
  </si>
  <si>
    <t>FL250440</t>
  </si>
  <si>
    <t>Stacy Hudson</t>
  </si>
  <si>
    <t>FL250441</t>
  </si>
  <si>
    <t>Scott Washington</t>
  </si>
  <si>
    <t>FL250442</t>
  </si>
  <si>
    <t>Timothy Wright</t>
  </si>
  <si>
    <t>FL250443</t>
  </si>
  <si>
    <t>Joseph Gonzalez</t>
  </si>
  <si>
    <t>FL250444</t>
  </si>
  <si>
    <t>Andrea Perez</t>
  </si>
  <si>
    <t>FL250445</t>
  </si>
  <si>
    <t>Angel Collins</t>
  </si>
  <si>
    <t>FL250446</t>
  </si>
  <si>
    <t>Daniel Terry</t>
  </si>
  <si>
    <t>FL250447</t>
  </si>
  <si>
    <t>Steven Whitaker</t>
  </si>
  <si>
    <t>FL250448</t>
  </si>
  <si>
    <t>Denise Neal</t>
  </si>
  <si>
    <t>FL250449</t>
  </si>
  <si>
    <t>Amanda Jacobs</t>
  </si>
  <si>
    <t>FL250450</t>
  </si>
  <si>
    <t>Karen Mercer</t>
  </si>
  <si>
    <t>FL250451</t>
  </si>
  <si>
    <t>Lindsay Hudson</t>
  </si>
  <si>
    <t>FL250452</t>
  </si>
  <si>
    <t>Stephanie Armstrong</t>
  </si>
  <si>
    <t>FL250453</t>
  </si>
  <si>
    <t>Dr. Jessica Campbell</t>
  </si>
  <si>
    <t>FL250454</t>
  </si>
  <si>
    <t>Curtis Maxwell</t>
  </si>
  <si>
    <t>FL250455</t>
  </si>
  <si>
    <t>Adam Kelly PhD</t>
  </si>
  <si>
    <t>FL250456</t>
  </si>
  <si>
    <t>Julie Becker</t>
  </si>
  <si>
    <t>FL250457</t>
  </si>
  <si>
    <t>James Moore</t>
  </si>
  <si>
    <t>FL250458</t>
  </si>
  <si>
    <t>Danielle Barrera</t>
  </si>
  <si>
    <t>FL250459</t>
  </si>
  <si>
    <t>David Sanchez</t>
  </si>
  <si>
    <t>FL250460</t>
  </si>
  <si>
    <t>Tiffany Bowman</t>
  </si>
  <si>
    <t>FL250461</t>
  </si>
  <si>
    <t>Jesus Quinn</t>
  </si>
  <si>
    <t>FL250462</t>
  </si>
  <si>
    <t>Mr. Danny Morris DDS</t>
  </si>
  <si>
    <t>FL250463</t>
  </si>
  <si>
    <t>Nicole York</t>
  </si>
  <si>
    <t>FL250464</t>
  </si>
  <si>
    <t>John Mathis</t>
  </si>
  <si>
    <t>FL250465</t>
  </si>
  <si>
    <t>Julie Barnett</t>
  </si>
  <si>
    <t>FL250466</t>
  </si>
  <si>
    <t>Jasmine Harris</t>
  </si>
  <si>
    <t>FL250467</t>
  </si>
  <si>
    <t>Mary Henry</t>
  </si>
  <si>
    <t>FL250468</t>
  </si>
  <si>
    <t>Judith Riggs</t>
  </si>
  <si>
    <t>FL250469</t>
  </si>
  <si>
    <t>Justin Ruiz</t>
  </si>
  <si>
    <t>FL250470</t>
  </si>
  <si>
    <t>Jennifer Sullivan</t>
  </si>
  <si>
    <t>FL250471</t>
  </si>
  <si>
    <t>Jesse Moran</t>
  </si>
  <si>
    <t>FL250472</t>
  </si>
  <si>
    <t>Monica Smith</t>
  </si>
  <si>
    <t>FL250473</t>
  </si>
  <si>
    <t>Ian May</t>
  </si>
  <si>
    <t>FL250474</t>
  </si>
  <si>
    <t>Kayla Meyers</t>
  </si>
  <si>
    <t>FL250475</t>
  </si>
  <si>
    <t>John Bray</t>
  </si>
  <si>
    <t>FL250476</t>
  </si>
  <si>
    <t>James Smith</t>
  </si>
  <si>
    <t>FL250477</t>
  </si>
  <si>
    <t>Mark Duncan</t>
  </si>
  <si>
    <t>FL250478</t>
  </si>
  <si>
    <t>Matthew Gay</t>
  </si>
  <si>
    <t>FL250479</t>
  </si>
  <si>
    <t>Cheryl Freeman</t>
  </si>
  <si>
    <t>FL250480</t>
  </si>
  <si>
    <t>Patrick Welch</t>
  </si>
  <si>
    <t>FL250481</t>
  </si>
  <si>
    <t>Craig Levine</t>
  </si>
  <si>
    <t>FL250482</t>
  </si>
  <si>
    <t>Richard Harvey</t>
  </si>
  <si>
    <t>FL250483</t>
  </si>
  <si>
    <t>Bonnie Sherman</t>
  </si>
  <si>
    <t>FL250484</t>
  </si>
  <si>
    <t>Keith Trujillo</t>
  </si>
  <si>
    <t>FL250485</t>
  </si>
  <si>
    <t>Corey Combs</t>
  </si>
  <si>
    <t>FL250486</t>
  </si>
  <si>
    <t>Antonio King</t>
  </si>
  <si>
    <t>FL250487</t>
  </si>
  <si>
    <t>FL250488</t>
  </si>
  <si>
    <t>Jennifer Rogers</t>
  </si>
  <si>
    <t>FL250489</t>
  </si>
  <si>
    <t>Jeffrey Cooper</t>
  </si>
  <si>
    <t>FL250490</t>
  </si>
  <si>
    <t>Allison Williams</t>
  </si>
  <si>
    <t>FL250491</t>
  </si>
  <si>
    <t>Raymond Sherman</t>
  </si>
  <si>
    <t>FL250492</t>
  </si>
  <si>
    <t>Jennifer Nelson</t>
  </si>
  <si>
    <t>FL250493</t>
  </si>
  <si>
    <t>Jennifer Carter</t>
  </si>
  <si>
    <t>FL250494</t>
  </si>
  <si>
    <t>Todd Williams</t>
  </si>
  <si>
    <t>FL250495</t>
  </si>
  <si>
    <t>Emily Horton</t>
  </si>
  <si>
    <t>FL250496</t>
  </si>
  <si>
    <t>Lance Lester</t>
  </si>
  <si>
    <t>FL250497</t>
  </si>
  <si>
    <t>Kevin Flores</t>
  </si>
  <si>
    <t>FL250498</t>
  </si>
  <si>
    <t>Aaron Stewart PhD</t>
  </si>
  <si>
    <t>FL250499</t>
  </si>
  <si>
    <t>Robin Moore</t>
  </si>
  <si>
    <t>FL250500</t>
  </si>
  <si>
    <t>Suzanne Ingram</t>
  </si>
  <si>
    <t>FL250501</t>
  </si>
  <si>
    <t>Jacob Mclaughlin</t>
  </si>
  <si>
    <t>FL250502</t>
  </si>
  <si>
    <t>Michael Nunez</t>
  </si>
  <si>
    <t>FL250503</t>
  </si>
  <si>
    <t>Isabel Brown</t>
  </si>
  <si>
    <t>FL250504</t>
  </si>
  <si>
    <t>Michael Stein</t>
  </si>
  <si>
    <t>FL250505</t>
  </si>
  <si>
    <t>Robert Stone</t>
  </si>
  <si>
    <t>FL250506</t>
  </si>
  <si>
    <t>Dillon Henry</t>
  </si>
  <si>
    <t>FL250507</t>
  </si>
  <si>
    <t>James Todd</t>
  </si>
  <si>
    <t>FL250508</t>
  </si>
  <si>
    <t>Clifford Moore MD</t>
  </si>
  <si>
    <t>FL250509</t>
  </si>
  <si>
    <t>John Rios</t>
  </si>
  <si>
    <t>FL250510</t>
  </si>
  <si>
    <t>Anthony Gaines</t>
  </si>
  <si>
    <t>FL250511</t>
  </si>
  <si>
    <t>Kristi Brown DVM</t>
  </si>
  <si>
    <t>FL250512</t>
  </si>
  <si>
    <t>Ashley Odonnell</t>
  </si>
  <si>
    <t>FL250513</t>
  </si>
  <si>
    <t>Ronald Elliott</t>
  </si>
  <si>
    <t>FL250514</t>
  </si>
  <si>
    <t>Lorraine Lowery</t>
  </si>
  <si>
    <t>FL250515</t>
  </si>
  <si>
    <t>Victoria Chapman</t>
  </si>
  <si>
    <t>FL250516</t>
  </si>
  <si>
    <t>Heather Davis</t>
  </si>
  <si>
    <t>FL250517</t>
  </si>
  <si>
    <t>Diana Chase</t>
  </si>
  <si>
    <t>FL250518</t>
  </si>
  <si>
    <t>Danielle Adkins</t>
  </si>
  <si>
    <t>FL250519</t>
  </si>
  <si>
    <t>Kenneth Arias</t>
  </si>
  <si>
    <t>FL250520</t>
  </si>
  <si>
    <t>Victoria Owen</t>
  </si>
  <si>
    <t>FL250521</t>
  </si>
  <si>
    <t>Christina King</t>
  </si>
  <si>
    <t>FL250522</t>
  </si>
  <si>
    <t>Samantha King</t>
  </si>
  <si>
    <t>FL250523</t>
  </si>
  <si>
    <t>Scott Compton</t>
  </si>
  <si>
    <t>FL250524</t>
  </si>
  <si>
    <t>Monica West</t>
  </si>
  <si>
    <t>FL250525</t>
  </si>
  <si>
    <t>Theresa Stewart</t>
  </si>
  <si>
    <t>FL250526</t>
  </si>
  <si>
    <t>Steven Kim</t>
  </si>
  <si>
    <t>FL250527</t>
  </si>
  <si>
    <t>Kristi Knight</t>
  </si>
  <si>
    <t>FL250528</t>
  </si>
  <si>
    <t>Jason Bryant</t>
  </si>
  <si>
    <t>FL250529</t>
  </si>
  <si>
    <t>Maureen Keith</t>
  </si>
  <si>
    <t>FL250530</t>
  </si>
  <si>
    <t>Shawn Hogan</t>
  </si>
  <si>
    <t>FL250531</t>
  </si>
  <si>
    <t>William Davis</t>
  </si>
  <si>
    <t>FL250532</t>
  </si>
  <si>
    <t>Stacy Bailey</t>
  </si>
  <si>
    <t>FL250533</t>
  </si>
  <si>
    <t>Thomas Dixon</t>
  </si>
  <si>
    <t>FL250534</t>
  </si>
  <si>
    <t>Maria Hall</t>
  </si>
  <si>
    <t>FL250535</t>
  </si>
  <si>
    <t>Tony Lee</t>
  </si>
  <si>
    <t>FL250536</t>
  </si>
  <si>
    <t>Catherine Mccoy MD</t>
  </si>
  <si>
    <t>FL250537</t>
  </si>
  <si>
    <t>Maria Benitez</t>
  </si>
  <si>
    <t>FL250538</t>
  </si>
  <si>
    <t>Joshua Chambers</t>
  </si>
  <si>
    <t>FL250539</t>
  </si>
  <si>
    <t>Janice Daniels</t>
  </si>
  <si>
    <t>FL250540</t>
  </si>
  <si>
    <t>Carla Wood</t>
  </si>
  <si>
    <t>FL250541</t>
  </si>
  <si>
    <t>Kenneth Vasquez</t>
  </si>
  <si>
    <t>FL250542</t>
  </si>
  <si>
    <t>Kevin Smith</t>
  </si>
  <si>
    <t>FL250543</t>
  </si>
  <si>
    <t>Thomas Kim</t>
  </si>
  <si>
    <t>FL250544</t>
  </si>
  <si>
    <t>Sean Park</t>
  </si>
  <si>
    <t>FL250545</t>
  </si>
  <si>
    <t>Judith Poole</t>
  </si>
  <si>
    <t>FL250546</t>
  </si>
  <si>
    <t>Melanie Baird</t>
  </si>
  <si>
    <t>FL250547</t>
  </si>
  <si>
    <t>Erika Mitchell</t>
  </si>
  <si>
    <t>FL250548</t>
  </si>
  <si>
    <t>Ricky Martinez</t>
  </si>
  <si>
    <t>FL250549</t>
  </si>
  <si>
    <t>John Christian</t>
  </si>
  <si>
    <t>FL250550</t>
  </si>
  <si>
    <t>Nancy Smith</t>
  </si>
  <si>
    <t>FL250551</t>
  </si>
  <si>
    <t>Cassandra Stephens</t>
  </si>
  <si>
    <t>FL250552</t>
  </si>
  <si>
    <t>Miss Janet Donovan MD</t>
  </si>
  <si>
    <t>FL250553</t>
  </si>
  <si>
    <t>Kristina Williams</t>
  </si>
  <si>
    <t>FL250554</t>
  </si>
  <si>
    <t>Wayne Barnes</t>
  </si>
  <si>
    <t>FL250555</t>
  </si>
  <si>
    <t>James Hinton</t>
  </si>
  <si>
    <t>FL250556</t>
  </si>
  <si>
    <t>David Spence</t>
  </si>
  <si>
    <t>FL250557</t>
  </si>
  <si>
    <t>Tyler Cooper</t>
  </si>
  <si>
    <t>FL250558</t>
  </si>
  <si>
    <t>Sean Martinez</t>
  </si>
  <si>
    <t>FL250559</t>
  </si>
  <si>
    <t>Janet Barron</t>
  </si>
  <si>
    <t>FL250560</t>
  </si>
  <si>
    <t>Rodney Wilson</t>
  </si>
  <si>
    <t>FL250561</t>
  </si>
  <si>
    <t>Kimberly Fitzgerald</t>
  </si>
  <si>
    <t>FL250562</t>
  </si>
  <si>
    <t>Nicole Davis</t>
  </si>
  <si>
    <t>FL250563</t>
  </si>
  <si>
    <t>Elizabeth Hayes</t>
  </si>
  <si>
    <t>FL250564</t>
  </si>
  <si>
    <t>Kathy Faulkner</t>
  </si>
  <si>
    <t>FL250565</t>
  </si>
  <si>
    <t>John Gonzales</t>
  </si>
  <si>
    <t>FL250566</t>
  </si>
  <si>
    <t>Shannon Luna</t>
  </si>
  <si>
    <t>FL250567</t>
  </si>
  <si>
    <t>Stephanie Burton</t>
  </si>
  <si>
    <t>FL250568</t>
  </si>
  <si>
    <t>Kevin Gonzales</t>
  </si>
  <si>
    <t>FL250569</t>
  </si>
  <si>
    <t>Dawn Hardy</t>
  </si>
  <si>
    <t>FL250570</t>
  </si>
  <si>
    <t>Margaret Perkins</t>
  </si>
  <si>
    <t>FL250571</t>
  </si>
  <si>
    <t>Amanda Vargas</t>
  </si>
  <si>
    <t>FL250572</t>
  </si>
  <si>
    <t>Tonya Gonzalez</t>
  </si>
  <si>
    <t>FL250573</t>
  </si>
  <si>
    <t>Elizabeth Bowman</t>
  </si>
  <si>
    <t>FL250574</t>
  </si>
  <si>
    <t>Ariana Pittman</t>
  </si>
  <si>
    <t>FL250575</t>
  </si>
  <si>
    <t>Antonio Johnson</t>
  </si>
  <si>
    <t>FL250576</t>
  </si>
  <si>
    <t>Justin Lang</t>
  </si>
  <si>
    <t>FL250577</t>
  </si>
  <si>
    <t>Kelli Ramirez</t>
  </si>
  <si>
    <t>FL250578</t>
  </si>
  <si>
    <t>Deborah Torres</t>
  </si>
  <si>
    <t>FL250579</t>
  </si>
  <si>
    <t>Joseph Horn</t>
  </si>
  <si>
    <t>FL250580</t>
  </si>
  <si>
    <t>Christopher Robinson</t>
  </si>
  <si>
    <t>FL250581</t>
  </si>
  <si>
    <t>Sandra Mccormick</t>
  </si>
  <si>
    <t>FL250582</t>
  </si>
  <si>
    <t>Michael Holland</t>
  </si>
  <si>
    <t>FL250583</t>
  </si>
  <si>
    <t>Kenneth Stevenson</t>
  </si>
  <si>
    <t>FL250584</t>
  </si>
  <si>
    <t>Timothy Bennett</t>
  </si>
  <si>
    <t>FL250585</t>
  </si>
  <si>
    <t>Gregory Randall</t>
  </si>
  <si>
    <t>FL250586</t>
  </si>
  <si>
    <t>Charles Martinez</t>
  </si>
  <si>
    <t>FL250587</t>
  </si>
  <si>
    <t>James Hall</t>
  </si>
  <si>
    <t>FL250588</t>
  </si>
  <si>
    <t>Michael Garcia</t>
  </si>
  <si>
    <t>FL250589</t>
  </si>
  <si>
    <t>Michele Duran</t>
  </si>
  <si>
    <t>FL250590</t>
  </si>
  <si>
    <t>Jessica Gray</t>
  </si>
  <si>
    <t>FL250591</t>
  </si>
  <si>
    <t>Keith Shaffer</t>
  </si>
  <si>
    <t>FL250592</t>
  </si>
  <si>
    <t>Jessica Decker</t>
  </si>
  <si>
    <t>FL250593</t>
  </si>
  <si>
    <t>Brianna Pittman</t>
  </si>
  <si>
    <t>FL250594</t>
  </si>
  <si>
    <t>Kimberly Hunter</t>
  </si>
  <si>
    <t>FL250595</t>
  </si>
  <si>
    <t>Daniel Martin</t>
  </si>
  <si>
    <t>FL250596</t>
  </si>
  <si>
    <t>Rachel Smith</t>
  </si>
  <si>
    <t>FL250597</t>
  </si>
  <si>
    <t>Michael Miller</t>
  </si>
  <si>
    <t>FL250598</t>
  </si>
  <si>
    <t>Willie Clark</t>
  </si>
  <si>
    <t>FL250599</t>
  </si>
  <si>
    <t>Jeremy Hernandez</t>
  </si>
  <si>
    <t>FL250600</t>
  </si>
  <si>
    <t>Tina Shelton</t>
  </si>
  <si>
    <t>FL250601</t>
  </si>
  <si>
    <t>Dr. Pamela Larson</t>
  </si>
  <si>
    <t>FL250602</t>
  </si>
  <si>
    <t>Ryan Ewing</t>
  </si>
  <si>
    <t>FL250603</t>
  </si>
  <si>
    <t>Mark Cochran</t>
  </si>
  <si>
    <t>FL250604</t>
  </si>
  <si>
    <t>Martha Carson</t>
  </si>
  <si>
    <t>FL250605</t>
  </si>
  <si>
    <t>Heather Jackson</t>
  </si>
  <si>
    <t>FL250606</t>
  </si>
  <si>
    <t>Megan Young</t>
  </si>
  <si>
    <t>FL250607</t>
  </si>
  <si>
    <t>Thomas Davis</t>
  </si>
  <si>
    <t>FL250608</t>
  </si>
  <si>
    <t>Thomas Mooney</t>
  </si>
  <si>
    <t>FL250609</t>
  </si>
  <si>
    <t>Susan Smith</t>
  </si>
  <si>
    <t>FL250610</t>
  </si>
  <si>
    <t>Brianna Orr</t>
  </si>
  <si>
    <t>FL250611</t>
  </si>
  <si>
    <t>Dustin Smith</t>
  </si>
  <si>
    <t>FL250612</t>
  </si>
  <si>
    <t>Sarah White</t>
  </si>
  <si>
    <t>FL250613</t>
  </si>
  <si>
    <t>Michael Davis</t>
  </si>
  <si>
    <t>FL250614</t>
  </si>
  <si>
    <t>Jennifer Phillips</t>
  </si>
  <si>
    <t>FL250615</t>
  </si>
  <si>
    <t>Dana Sanders</t>
  </si>
  <si>
    <t>FL250616</t>
  </si>
  <si>
    <t>Daniel Quinn</t>
  </si>
  <si>
    <t>FL250617</t>
  </si>
  <si>
    <t>Matthew Steele</t>
  </si>
  <si>
    <t>FL250618</t>
  </si>
  <si>
    <t>Michele Taylor</t>
  </si>
  <si>
    <t>FL250619</t>
  </si>
  <si>
    <t>Ashley Hammond</t>
  </si>
  <si>
    <t>FL250620</t>
  </si>
  <si>
    <t>Nicole Taylor</t>
  </si>
  <si>
    <t>FL250621</t>
  </si>
  <si>
    <t>Casey Bush</t>
  </si>
  <si>
    <t>FL250622</t>
  </si>
  <si>
    <t>Samuel Patterson</t>
  </si>
  <si>
    <t>FL250623</t>
  </si>
  <si>
    <t>Craig Dennis</t>
  </si>
  <si>
    <t>FL250624</t>
  </si>
  <si>
    <t>Heidi Dixon</t>
  </si>
  <si>
    <t>FL250625</t>
  </si>
  <si>
    <t>David Bishop</t>
  </si>
  <si>
    <t>FL250626</t>
  </si>
  <si>
    <t>Laura Butler</t>
  </si>
  <si>
    <t>FL250627</t>
  </si>
  <si>
    <t>Denise Erickson</t>
  </si>
  <si>
    <t>FL250628</t>
  </si>
  <si>
    <t>Nicole Austin</t>
  </si>
  <si>
    <t>FL250629</t>
  </si>
  <si>
    <t>Summer Williams</t>
  </si>
  <si>
    <t>FL250630</t>
  </si>
  <si>
    <t>Angela Blackwell</t>
  </si>
  <si>
    <t>FL250631</t>
  </si>
  <si>
    <t>Thomas Wall</t>
  </si>
  <si>
    <t>FL250632</t>
  </si>
  <si>
    <t>Sarah Anderson</t>
  </si>
  <si>
    <t>FL250633</t>
  </si>
  <si>
    <t>Christian Lane</t>
  </si>
  <si>
    <t>FL250634</t>
  </si>
  <si>
    <t>Todd Casey</t>
  </si>
  <si>
    <t>FL250635</t>
  </si>
  <si>
    <t>David Martinez</t>
  </si>
  <si>
    <t>FL250636</t>
  </si>
  <si>
    <t>Donald Salas</t>
  </si>
  <si>
    <t>FL250637</t>
  </si>
  <si>
    <t>Emma Hicks</t>
  </si>
  <si>
    <t>FL250638</t>
  </si>
  <si>
    <t>Alison Clark</t>
  </si>
  <si>
    <t>FL250639</t>
  </si>
  <si>
    <t>Andrew Barnes</t>
  </si>
  <si>
    <t>FL250640</t>
  </si>
  <si>
    <t>Gina Snyder</t>
  </si>
  <si>
    <t>FL250641</t>
  </si>
  <si>
    <t>David Watson</t>
  </si>
  <si>
    <t>FL250642</t>
  </si>
  <si>
    <t>John Davis</t>
  </si>
  <si>
    <t>FL250643</t>
  </si>
  <si>
    <t>Joseph Thomas</t>
  </si>
  <si>
    <t>FL250644</t>
  </si>
  <si>
    <t>Dean Finley</t>
  </si>
  <si>
    <t>FL250645</t>
  </si>
  <si>
    <t>Ashley Kemp</t>
  </si>
  <si>
    <t>FL250646</t>
  </si>
  <si>
    <t>Kenneth Evans</t>
  </si>
  <si>
    <t>FL250647</t>
  </si>
  <si>
    <t>Brandon Newman</t>
  </si>
  <si>
    <t>FL250648</t>
  </si>
  <si>
    <t>Katie Hensley</t>
  </si>
  <si>
    <t>FL250649</t>
  </si>
  <si>
    <t>Joel Randolph</t>
  </si>
  <si>
    <t>FL250650</t>
  </si>
  <si>
    <t>Andrew Scott</t>
  </si>
  <si>
    <t>FL250651</t>
  </si>
  <si>
    <t>Zachary Ochoa</t>
  </si>
  <si>
    <t>FL250652</t>
  </si>
  <si>
    <t>John Arroyo</t>
  </si>
  <si>
    <t>FL250653</t>
  </si>
  <si>
    <t>Matthew Fernandez</t>
  </si>
  <si>
    <t>FL250654</t>
  </si>
  <si>
    <t>Benjamin Stark</t>
  </si>
  <si>
    <t>FL250655</t>
  </si>
  <si>
    <t>Tammy Greer</t>
  </si>
  <si>
    <t>FL250656</t>
  </si>
  <si>
    <t>Cynthia Mckinney</t>
  </si>
  <si>
    <t>FL250657</t>
  </si>
  <si>
    <t>Wendy Rice</t>
  </si>
  <si>
    <t>FL250658</t>
  </si>
  <si>
    <t>Randy Bender</t>
  </si>
  <si>
    <t>FL250659</t>
  </si>
  <si>
    <t>Richard Dominguez</t>
  </si>
  <si>
    <t>FL250660</t>
  </si>
  <si>
    <t>Melissa Maldonado</t>
  </si>
  <si>
    <t>FL250661</t>
  </si>
  <si>
    <t>Leah Harris</t>
  </si>
  <si>
    <t>FL250662</t>
  </si>
  <si>
    <t>Lynn French</t>
  </si>
  <si>
    <t>FL250663</t>
  </si>
  <si>
    <t>Angela Johnson</t>
  </si>
  <si>
    <t>FL250664</t>
  </si>
  <si>
    <t>Sarah Edwards</t>
  </si>
  <si>
    <t>FL250665</t>
  </si>
  <si>
    <t>Roy Collins</t>
  </si>
  <si>
    <t>FL250666</t>
  </si>
  <si>
    <t>Samantha Porter</t>
  </si>
  <si>
    <t>FL250667</t>
  </si>
  <si>
    <t>Juan Elliott</t>
  </si>
  <si>
    <t>FL250668</t>
  </si>
  <si>
    <t>Elizabeth Phillips</t>
  </si>
  <si>
    <t>FL250669</t>
  </si>
  <si>
    <t>Laura Evans</t>
  </si>
  <si>
    <t>FL250670</t>
  </si>
  <si>
    <t>Amanda Mitchell</t>
  </si>
  <si>
    <t>FL250671</t>
  </si>
  <si>
    <t>Sandra Williams</t>
  </si>
  <si>
    <t>FL250672</t>
  </si>
  <si>
    <t>Eric Johnson</t>
  </si>
  <si>
    <t>FL250673</t>
  </si>
  <si>
    <t>Javier Hobbs</t>
  </si>
  <si>
    <t>FL250674</t>
  </si>
  <si>
    <t>Jacob Jones</t>
  </si>
  <si>
    <t>FL250675</t>
  </si>
  <si>
    <t>Zachary Murphy</t>
  </si>
  <si>
    <t>FL250676</t>
  </si>
  <si>
    <t>Joshua Owens</t>
  </si>
  <si>
    <t>FL250677</t>
  </si>
  <si>
    <t>Dawn Mitchell</t>
  </si>
  <si>
    <t>FL250678</t>
  </si>
  <si>
    <t>Regina Dunn</t>
  </si>
  <si>
    <t>FL250679</t>
  </si>
  <si>
    <t>Ernest Cole</t>
  </si>
  <si>
    <t>FL250680</t>
  </si>
  <si>
    <t>Hannah Sanders</t>
  </si>
  <si>
    <t>FL250681</t>
  </si>
  <si>
    <t>Ellen Bowman</t>
  </si>
  <si>
    <t>FL250682</t>
  </si>
  <si>
    <t>Nancy Moore</t>
  </si>
  <si>
    <t>FL250683</t>
  </si>
  <si>
    <t>Joseph Wood</t>
  </si>
  <si>
    <t>FL250684</t>
  </si>
  <si>
    <t>Michael Harrell</t>
  </si>
  <si>
    <t>FL250685</t>
  </si>
  <si>
    <t>Connie Mcclain</t>
  </si>
  <si>
    <t>FL250686</t>
  </si>
  <si>
    <t>Matthew Baldwin</t>
  </si>
  <si>
    <t>FL250687</t>
  </si>
  <si>
    <t>Danielle Nelson</t>
  </si>
  <si>
    <t>FL250688</t>
  </si>
  <si>
    <t>Steven Moore</t>
  </si>
  <si>
    <t>FL250689</t>
  </si>
  <si>
    <t>Megan Hudson</t>
  </si>
  <si>
    <t>FL250690</t>
  </si>
  <si>
    <t>FL250691</t>
  </si>
  <si>
    <t>Tracy White</t>
  </si>
  <si>
    <t>FL250692</t>
  </si>
  <si>
    <t>Natalie Diaz</t>
  </si>
  <si>
    <t>FL250693</t>
  </si>
  <si>
    <t>FL250694</t>
  </si>
  <si>
    <t>Karen Scott</t>
  </si>
  <si>
    <t>FL250695</t>
  </si>
  <si>
    <t>FL250696</t>
  </si>
  <si>
    <t>Jon Jones</t>
  </si>
  <si>
    <t>FL250697</t>
  </si>
  <si>
    <t>Jason Phillips</t>
  </si>
  <si>
    <t>FL250698</t>
  </si>
  <si>
    <t>Eric Walsh</t>
  </si>
  <si>
    <t>FL250699</t>
  </si>
  <si>
    <t>Carol Schneider</t>
  </si>
  <si>
    <t>FL250700</t>
  </si>
  <si>
    <t>Juan Hines</t>
  </si>
  <si>
    <t>FL250701</t>
  </si>
  <si>
    <t>Martha Sweeney</t>
  </si>
  <si>
    <t>FL250702</t>
  </si>
  <si>
    <t>Jason Weaver</t>
  </si>
  <si>
    <t>FL250703</t>
  </si>
  <si>
    <t>Benjamin Stevens</t>
  </si>
  <si>
    <t>FL250704</t>
  </si>
  <si>
    <t>Daniel Lopez</t>
  </si>
  <si>
    <t>FL250705</t>
  </si>
  <si>
    <t>John Simpson</t>
  </si>
  <si>
    <t>FL250706</t>
  </si>
  <si>
    <t>Katrina Schultz</t>
  </si>
  <si>
    <t>FL250707</t>
  </si>
  <si>
    <t>Danielle Bell</t>
  </si>
  <si>
    <t>FL250708</t>
  </si>
  <si>
    <t>Jason Brady</t>
  </si>
  <si>
    <t>FL250709</t>
  </si>
  <si>
    <t>Megan Bright</t>
  </si>
  <si>
    <t>FL250710</t>
  </si>
  <si>
    <t>David Griffin</t>
  </si>
  <si>
    <t>FL250711</t>
  </si>
  <si>
    <t>Michael Clark</t>
  </si>
  <si>
    <t>FL250712</t>
  </si>
  <si>
    <t>Rebecca Barker</t>
  </si>
  <si>
    <t>FL250713</t>
  </si>
  <si>
    <t>Angela Smith</t>
  </si>
  <si>
    <t>FL250714</t>
  </si>
  <si>
    <t>Christina Wright</t>
  </si>
  <si>
    <t>FL250715</t>
  </si>
  <si>
    <t>Todd Turner</t>
  </si>
  <si>
    <t>FL250716</t>
  </si>
  <si>
    <t>Elizabeth Green</t>
  </si>
  <si>
    <t>FL250717</t>
  </si>
  <si>
    <t>Alex Smith</t>
  </si>
  <si>
    <t>FL250718</t>
  </si>
  <si>
    <t>Shane Hale</t>
  </si>
  <si>
    <t>FL250719</t>
  </si>
  <si>
    <t>Kathy Grimes</t>
  </si>
  <si>
    <t>FL250720</t>
  </si>
  <si>
    <t>David Cherry</t>
  </si>
  <si>
    <t>FL250721</t>
  </si>
  <si>
    <t>Rachel Rogers</t>
  </si>
  <si>
    <t>FL250722</t>
  </si>
  <si>
    <t>Travis Braun</t>
  </si>
  <si>
    <t>FL250723</t>
  </si>
  <si>
    <t>Shawna Palmer</t>
  </si>
  <si>
    <t>FL250724</t>
  </si>
  <si>
    <t>Bradley Gaines</t>
  </si>
  <si>
    <t>FL250725</t>
  </si>
  <si>
    <t>April Ford</t>
  </si>
  <si>
    <t>FL250726</t>
  </si>
  <si>
    <t>James Gonzalez</t>
  </si>
  <si>
    <t>FL250727</t>
  </si>
  <si>
    <t>John Castillo</t>
  </si>
  <si>
    <t>FL250728</t>
  </si>
  <si>
    <t>Ian Hayes</t>
  </si>
  <si>
    <t>FL250729</t>
  </si>
  <si>
    <t>Christine Castro</t>
  </si>
  <si>
    <t>FL250730</t>
  </si>
  <si>
    <t>Jessica Chaney</t>
  </si>
  <si>
    <t>FL250731</t>
  </si>
  <si>
    <t>John Gray</t>
  </si>
  <si>
    <t>FL250732</t>
  </si>
  <si>
    <t>Shane Booker</t>
  </si>
  <si>
    <t>FL250733</t>
  </si>
  <si>
    <t>Kyle Hall</t>
  </si>
  <si>
    <t>FL250734</t>
  </si>
  <si>
    <t>Ronald Munoz</t>
  </si>
  <si>
    <t>FL250735</t>
  </si>
  <si>
    <t>Christopher Long</t>
  </si>
  <si>
    <t>FL250736</t>
  </si>
  <si>
    <t>Sandra Ali</t>
  </si>
  <si>
    <t>FL250737</t>
  </si>
  <si>
    <t>Jessica Garza</t>
  </si>
  <si>
    <t>FL250738</t>
  </si>
  <si>
    <t>Gregory Waters</t>
  </si>
  <si>
    <t>FL250739</t>
  </si>
  <si>
    <t>Misty Adams</t>
  </si>
  <si>
    <t>FL250740</t>
  </si>
  <si>
    <t>Megan Brown</t>
  </si>
  <si>
    <t>FL250741</t>
  </si>
  <si>
    <t>Gregory Brown</t>
  </si>
  <si>
    <t>FL250742</t>
  </si>
  <si>
    <t>Scott Alexander MD</t>
  </si>
  <si>
    <t>FL250743</t>
  </si>
  <si>
    <t>Eric Nguyen</t>
  </si>
  <si>
    <t>FL250744</t>
  </si>
  <si>
    <t>Wendy Boyer</t>
  </si>
  <si>
    <t>FL250745</t>
  </si>
  <si>
    <t>Mark Clark</t>
  </si>
  <si>
    <t>FL250746</t>
  </si>
  <si>
    <t>Carl Kline</t>
  </si>
  <si>
    <t>FL250747</t>
  </si>
  <si>
    <t>Linda Williams</t>
  </si>
  <si>
    <t>FL250748</t>
  </si>
  <si>
    <t>Jason Edwards</t>
  </si>
  <si>
    <t>FL250749</t>
  </si>
  <si>
    <t>Madison Mcintosh</t>
  </si>
  <si>
    <t>FL250750</t>
  </si>
  <si>
    <t>Desiree Winters</t>
  </si>
  <si>
    <t>FL250751</t>
  </si>
  <si>
    <t>Ryan Taylor</t>
  </si>
  <si>
    <t>FL250752</t>
  </si>
  <si>
    <t>Patricia Scott</t>
  </si>
  <si>
    <t>FL250753</t>
  </si>
  <si>
    <t>Erin Jimenez</t>
  </si>
  <si>
    <t>FL250754</t>
  </si>
  <si>
    <t>Anthony Krause</t>
  </si>
  <si>
    <t>FL250755</t>
  </si>
  <si>
    <t>Diane Dean</t>
  </si>
  <si>
    <t>FL250756</t>
  </si>
  <si>
    <t>Stuart Mckinney</t>
  </si>
  <si>
    <t>FL250757</t>
  </si>
  <si>
    <t>Kellie Le</t>
  </si>
  <si>
    <t>FL250758</t>
  </si>
  <si>
    <t>Lauren Henry</t>
  </si>
  <si>
    <t>FL250759</t>
  </si>
  <si>
    <t>Brandon Fox</t>
  </si>
  <si>
    <t>FL250760</t>
  </si>
  <si>
    <t>Richard Smith</t>
  </si>
  <si>
    <t>FL250761</t>
  </si>
  <si>
    <t>John White</t>
  </si>
  <si>
    <t>FL250762</t>
  </si>
  <si>
    <t>Gilbert Mcintyre</t>
  </si>
  <si>
    <t>FL250763</t>
  </si>
  <si>
    <t>Christopher Sparks</t>
  </si>
  <si>
    <t>FL250764</t>
  </si>
  <si>
    <t>Aaron Hicks</t>
  </si>
  <si>
    <t>FL250765</t>
  </si>
  <si>
    <t>Jose Patterson</t>
  </si>
  <si>
    <t>FL250766</t>
  </si>
  <si>
    <t>Bryan Long</t>
  </si>
  <si>
    <t>FL250767</t>
  </si>
  <si>
    <t>Tammy Gomez</t>
  </si>
  <si>
    <t>FL250768</t>
  </si>
  <si>
    <t>Diana Raymond</t>
  </si>
  <si>
    <t>FL250769</t>
  </si>
  <si>
    <t>Jessica Armstrong</t>
  </si>
  <si>
    <t>FL250770</t>
  </si>
  <si>
    <t>Amanda Martin</t>
  </si>
  <si>
    <t>FL250771</t>
  </si>
  <si>
    <t>Anne Hamilton</t>
  </si>
  <si>
    <t>FL250772</t>
  </si>
  <si>
    <t>Heather Curtis</t>
  </si>
  <si>
    <t>FL250773</t>
  </si>
  <si>
    <t>Tiffany Moses</t>
  </si>
  <si>
    <t>FL250774</t>
  </si>
  <si>
    <t>Jacqueline Moon</t>
  </si>
  <si>
    <t>FL250775</t>
  </si>
  <si>
    <t>James Campbell</t>
  </si>
  <si>
    <t>FL250776</t>
  </si>
  <si>
    <t>Melissa Vasquez</t>
  </si>
  <si>
    <t>FL250777</t>
  </si>
  <si>
    <t>Katherine Carlson</t>
  </si>
  <si>
    <t>FL250778</t>
  </si>
  <si>
    <t>Adam Clay</t>
  </si>
  <si>
    <t>FL250779</t>
  </si>
  <si>
    <t>Amy Combs</t>
  </si>
  <si>
    <t>FL250780</t>
  </si>
  <si>
    <t>Anthony Case</t>
  </si>
  <si>
    <t>FL250781</t>
  </si>
  <si>
    <t>Kimberly Brown</t>
  </si>
  <si>
    <t>FL250782</t>
  </si>
  <si>
    <t>Joshua Holloway</t>
  </si>
  <si>
    <t>FL250783</t>
  </si>
  <si>
    <t>Cynthia Walton</t>
  </si>
  <si>
    <t>FL250784</t>
  </si>
  <si>
    <t>Shawn Delgado</t>
  </si>
  <si>
    <t>FL250785</t>
  </si>
  <si>
    <t>Jeremy Smith</t>
  </si>
  <si>
    <t>FL250786</t>
  </si>
  <si>
    <t>Marc Ortiz</t>
  </si>
  <si>
    <t>FL250787</t>
  </si>
  <si>
    <t>Michelle Gregory</t>
  </si>
  <si>
    <t>FL250788</t>
  </si>
  <si>
    <t>Melanie Gay</t>
  </si>
  <si>
    <t>FL250789</t>
  </si>
  <si>
    <t>Brittany Lambert</t>
  </si>
  <si>
    <t>FL250790</t>
  </si>
  <si>
    <t>Mary Hernandez</t>
  </si>
  <si>
    <t>FL250791</t>
  </si>
  <si>
    <t>Jonathan Jones</t>
  </si>
  <si>
    <t>FL250792</t>
  </si>
  <si>
    <t>Gina Williams</t>
  </si>
  <si>
    <t>FL250793</t>
  </si>
  <si>
    <t>Kelly Lawson</t>
  </si>
  <si>
    <t>FL250794</t>
  </si>
  <si>
    <t>Keith Smith</t>
  </si>
  <si>
    <t>FL250795</t>
  </si>
  <si>
    <t>Christopher Hunter</t>
  </si>
  <si>
    <t>FL250796</t>
  </si>
  <si>
    <t>Dwayne Parks</t>
  </si>
  <si>
    <t>FL250797</t>
  </si>
  <si>
    <t>Mary Hall</t>
  </si>
  <si>
    <t>FL250798</t>
  </si>
  <si>
    <t>Jake Gilmore</t>
  </si>
  <si>
    <t>FL250799</t>
  </si>
  <si>
    <t>Mark Lopez</t>
  </si>
  <si>
    <t>FL250800</t>
  </si>
  <si>
    <t>Dana Rice</t>
  </si>
  <si>
    <t>FL250801</t>
  </si>
  <si>
    <t>Beth Young</t>
  </si>
  <si>
    <t>FL250802</t>
  </si>
  <si>
    <t>Ryan Powell</t>
  </si>
  <si>
    <t>FL250803</t>
  </si>
  <si>
    <t>Amanda Fowler</t>
  </si>
  <si>
    <t>FL250804</t>
  </si>
  <si>
    <t>Lindsay Rivera</t>
  </si>
  <si>
    <t>FL250805</t>
  </si>
  <si>
    <t>Mark Ward</t>
  </si>
  <si>
    <t>FL250806</t>
  </si>
  <si>
    <t>Amanda Smith</t>
  </si>
  <si>
    <t>FL250807</t>
  </si>
  <si>
    <t>Emily Brown</t>
  </si>
  <si>
    <t>FL250808</t>
  </si>
  <si>
    <t>Dwayne Cardenas</t>
  </si>
  <si>
    <t>FL250809</t>
  </si>
  <si>
    <t>Dr. Rhonda Hernandez</t>
  </si>
  <si>
    <t>FL250810</t>
  </si>
  <si>
    <t>Melody Barker</t>
  </si>
  <si>
    <t>FL250811</t>
  </si>
  <si>
    <t>Russell Carpenter</t>
  </si>
  <si>
    <t>FL250812</t>
  </si>
  <si>
    <t>Richard Hill</t>
  </si>
  <si>
    <t>FL250813</t>
  </si>
  <si>
    <t>Lindsay Potts</t>
  </si>
  <si>
    <t>FL250814</t>
  </si>
  <si>
    <t>Michelle Campbell</t>
  </si>
  <si>
    <t>FL250815</t>
  </si>
  <si>
    <t>Alan Williams</t>
  </si>
  <si>
    <t>FL250816</t>
  </si>
  <si>
    <t>Robin Hinton</t>
  </si>
  <si>
    <t>FL250817</t>
  </si>
  <si>
    <t>Brian Holland</t>
  </si>
  <si>
    <t>FL250818</t>
  </si>
  <si>
    <t>Adam Stone</t>
  </si>
  <si>
    <t>FL250819</t>
  </si>
  <si>
    <t>Curtis Lambert</t>
  </si>
  <si>
    <t>FL250820</t>
  </si>
  <si>
    <t>Alexandra Sims</t>
  </si>
  <si>
    <t>FL250821</t>
  </si>
  <si>
    <t>Brenda Spencer</t>
  </si>
  <si>
    <t>FL250822</t>
  </si>
  <si>
    <t>Joshua Bush</t>
  </si>
  <si>
    <t>FL250823</t>
  </si>
  <si>
    <t>Erin Martin</t>
  </si>
  <si>
    <t>FL250824</t>
  </si>
  <si>
    <t>Alexander Hogan</t>
  </si>
  <si>
    <t>FL250825</t>
  </si>
  <si>
    <t>William Harris</t>
  </si>
  <si>
    <t>FL250826</t>
  </si>
  <si>
    <t>Michael Mcmahon</t>
  </si>
  <si>
    <t>FL250827</t>
  </si>
  <si>
    <t>Michael Watson</t>
  </si>
  <si>
    <t>FL250828</t>
  </si>
  <si>
    <t>Lori Perez</t>
  </si>
  <si>
    <t>FL250829</t>
  </si>
  <si>
    <t>Lindsay Le</t>
  </si>
  <si>
    <t>FL250830</t>
  </si>
  <si>
    <t>Scott Long</t>
  </si>
  <si>
    <t>FL250831</t>
  </si>
  <si>
    <t>Diana Ferguson</t>
  </si>
  <si>
    <t>FL250832</t>
  </si>
  <si>
    <t>Joseph Miller</t>
  </si>
  <si>
    <t>FL250833</t>
  </si>
  <si>
    <t>Julia Reid</t>
  </si>
  <si>
    <t>FL250834</t>
  </si>
  <si>
    <t>Samantha Matthews</t>
  </si>
  <si>
    <t>FL250835</t>
  </si>
  <si>
    <t>Brian Bailey</t>
  </si>
  <si>
    <t>FL250836</t>
  </si>
  <si>
    <t>Toni Hinton</t>
  </si>
  <si>
    <t>FL250837</t>
  </si>
  <si>
    <t>Robin Ortiz</t>
  </si>
  <si>
    <t>FL250838</t>
  </si>
  <si>
    <t>Adam Griffith</t>
  </si>
  <si>
    <t>FL250839</t>
  </si>
  <si>
    <t>Daniel Roberson</t>
  </si>
  <si>
    <t>FL250840</t>
  </si>
  <si>
    <t>Dale Haynes</t>
  </si>
  <si>
    <t>FL250841</t>
  </si>
  <si>
    <t>Emily Scott</t>
  </si>
  <si>
    <t>FL250842</t>
  </si>
  <si>
    <t>David Brown</t>
  </si>
  <si>
    <t>FL250843</t>
  </si>
  <si>
    <t>Stephanie Guzman</t>
  </si>
  <si>
    <t>FL250844</t>
  </si>
  <si>
    <t>Maxwell Johnson</t>
  </si>
  <si>
    <t>FL250845</t>
  </si>
  <si>
    <t>Reginald Stephens</t>
  </si>
  <si>
    <t>FL250846</t>
  </si>
  <si>
    <t>Justin Jones</t>
  </si>
  <si>
    <t>FL250847</t>
  </si>
  <si>
    <t>Kristine Garcia</t>
  </si>
  <si>
    <t>FL250848</t>
  </si>
  <si>
    <t>John Nguyen</t>
  </si>
  <si>
    <t>FL250849</t>
  </si>
  <si>
    <t>Anna Fleming</t>
  </si>
  <si>
    <t>FL250850</t>
  </si>
  <si>
    <t>Linda Williamson</t>
  </si>
  <si>
    <t>FL250851</t>
  </si>
  <si>
    <t>Roy Wilson</t>
  </si>
  <si>
    <t>FL250852</t>
  </si>
  <si>
    <t>Jennifer Pierce</t>
  </si>
  <si>
    <t>FL250853</t>
  </si>
  <si>
    <t>Jason Johnson</t>
  </si>
  <si>
    <t>FL250854</t>
  </si>
  <si>
    <t>Jasmine Lane</t>
  </si>
  <si>
    <t>FL250855</t>
  </si>
  <si>
    <t>Evan Soto</t>
  </si>
  <si>
    <t>FL250856</t>
  </si>
  <si>
    <t>Kevin Serrano</t>
  </si>
  <si>
    <t>FL250857</t>
  </si>
  <si>
    <t>Nathaniel Benson</t>
  </si>
  <si>
    <t>FL250858</t>
  </si>
  <si>
    <t>Deanna Miles</t>
  </si>
  <si>
    <t>FL250859</t>
  </si>
  <si>
    <t>Beverly Roy</t>
  </si>
  <si>
    <t>FL250860</t>
  </si>
  <si>
    <t>Heather Saunders</t>
  </si>
  <si>
    <t>FL250861</t>
  </si>
  <si>
    <t>Nicholas Guerrero</t>
  </si>
  <si>
    <t>FL250862</t>
  </si>
  <si>
    <t>Christopher Johnson</t>
  </si>
  <si>
    <t>FL250863</t>
  </si>
  <si>
    <t>Steven Flowers</t>
  </si>
  <si>
    <t>FL250864</t>
  </si>
  <si>
    <t>Marvin Woods III</t>
  </si>
  <si>
    <t>FL250865</t>
  </si>
  <si>
    <t>Michelle Cook</t>
  </si>
  <si>
    <t>FL250866</t>
  </si>
  <si>
    <t>Logan Zamora</t>
  </si>
  <si>
    <t>FL250867</t>
  </si>
  <si>
    <t>Casey Roberts</t>
  </si>
  <si>
    <t>FL250868</t>
  </si>
  <si>
    <t>Jerry Price</t>
  </si>
  <si>
    <t>FL250869</t>
  </si>
  <si>
    <t>Kelly Ellis</t>
  </si>
  <si>
    <t>FL250870</t>
  </si>
  <si>
    <t>Caleb Guerra</t>
  </si>
  <si>
    <t>FL250871</t>
  </si>
  <si>
    <t>Samantha Norman</t>
  </si>
  <si>
    <t>FL250872</t>
  </si>
  <si>
    <t>Sarah Clarke</t>
  </si>
  <si>
    <t>FL250873</t>
  </si>
  <si>
    <t>Aaron Blair</t>
  </si>
  <si>
    <t>FL250874</t>
  </si>
  <si>
    <t>Courtney Burton</t>
  </si>
  <si>
    <t>FL250875</t>
  </si>
  <si>
    <t>Gerald Taylor</t>
  </si>
  <si>
    <t>FL250876</t>
  </si>
  <si>
    <t>Mary Ward</t>
  </si>
  <si>
    <t>FL250877</t>
  </si>
  <si>
    <t>Mrs. Lisa Beard DVM</t>
  </si>
  <si>
    <t>FL250878</t>
  </si>
  <si>
    <t>Larry Wallace</t>
  </si>
  <si>
    <t>FL250879</t>
  </si>
  <si>
    <t>Jeremiah Thompson</t>
  </si>
  <si>
    <t>FL250880</t>
  </si>
  <si>
    <t>Mrs. Jessica Williams DVM</t>
  </si>
  <si>
    <t>FL250881</t>
  </si>
  <si>
    <t>Martin Moreno</t>
  </si>
  <si>
    <t>FL250882</t>
  </si>
  <si>
    <t>Yolanda Proctor</t>
  </si>
  <si>
    <t>FL250883</t>
  </si>
  <si>
    <t>Allen Turner</t>
  </si>
  <si>
    <t>FL250884</t>
  </si>
  <si>
    <t>Beth Huff</t>
  </si>
  <si>
    <t>FL250885</t>
  </si>
  <si>
    <t>John Mckinney</t>
  </si>
  <si>
    <t>FL250886</t>
  </si>
  <si>
    <t>FL250887</t>
  </si>
  <si>
    <t>Lindsey Wang</t>
  </si>
  <si>
    <t>FL250888</t>
  </si>
  <si>
    <t>Margaret Schwartz</t>
  </si>
  <si>
    <t>FL250889</t>
  </si>
  <si>
    <t>Kyle Ray</t>
  </si>
  <si>
    <t>FL250890</t>
  </si>
  <si>
    <t>Isaac Hebert</t>
  </si>
  <si>
    <t>FL250891</t>
  </si>
  <si>
    <t>Michele Jones</t>
  </si>
  <si>
    <t>FL250892</t>
  </si>
  <si>
    <t>Austin Allen</t>
  </si>
  <si>
    <t>FL250893</t>
  </si>
  <si>
    <t>Haley Castro</t>
  </si>
  <si>
    <t>FL250894</t>
  </si>
  <si>
    <t>David Armstrong</t>
  </si>
  <si>
    <t>FL250895</t>
  </si>
  <si>
    <t>Wendy Mitchell</t>
  </si>
  <si>
    <t>FL250896</t>
  </si>
  <si>
    <t>Anthony Hernandez</t>
  </si>
  <si>
    <t>FL250897</t>
  </si>
  <si>
    <t>Erica Johnson</t>
  </si>
  <si>
    <t>FL250898</t>
  </si>
  <si>
    <t>Randall Barrett</t>
  </si>
  <si>
    <t>FL250899</t>
  </si>
  <si>
    <t>Nathan Huff</t>
  </si>
  <si>
    <t>FL250900</t>
  </si>
  <si>
    <t>Robin Walsh</t>
  </si>
  <si>
    <t>FL250901</t>
  </si>
  <si>
    <t>Yvonne Robinson</t>
  </si>
  <si>
    <t>FL250902</t>
  </si>
  <si>
    <t>Kathleen Hendrix</t>
  </si>
  <si>
    <t>FL250903</t>
  </si>
  <si>
    <t>Jennifer Baker</t>
  </si>
  <si>
    <t>FL250904</t>
  </si>
  <si>
    <t>Kim Martinez</t>
  </si>
  <si>
    <t>FL250905</t>
  </si>
  <si>
    <t>Andrew Little</t>
  </si>
  <si>
    <t>FL250906</t>
  </si>
  <si>
    <t>Kelly Shelton</t>
  </si>
  <si>
    <t>FL250907</t>
  </si>
  <si>
    <t>Steven Duncan</t>
  </si>
  <si>
    <t>FL250908</t>
  </si>
  <si>
    <t>Kristen Haney</t>
  </si>
  <si>
    <t>FL250909</t>
  </si>
  <si>
    <t>Kathy Reese</t>
  </si>
  <si>
    <t>FL250910</t>
  </si>
  <si>
    <t>Steven Murphy</t>
  </si>
  <si>
    <t>FL250911</t>
  </si>
  <si>
    <t>William Hartman</t>
  </si>
  <si>
    <t>FL250912</t>
  </si>
  <si>
    <t>Sonya Haley</t>
  </si>
  <si>
    <t>FL250913</t>
  </si>
  <si>
    <t>FL250914</t>
  </si>
  <si>
    <t>Patricia Richardson</t>
  </si>
  <si>
    <t>FL250915</t>
  </si>
  <si>
    <t>Carolyn Lopez</t>
  </si>
  <si>
    <t>FL250916</t>
  </si>
  <si>
    <t>Kyle Burns</t>
  </si>
  <si>
    <t>FL250917</t>
  </si>
  <si>
    <t>Margaret Garcia</t>
  </si>
  <si>
    <t>FL250918</t>
  </si>
  <si>
    <t>Brittany Barker</t>
  </si>
  <si>
    <t>FL250919</t>
  </si>
  <si>
    <t>Paul Campbell</t>
  </si>
  <si>
    <t>FL250920</t>
  </si>
  <si>
    <t>Amy Morrow</t>
  </si>
  <si>
    <t>FL250921</t>
  </si>
  <si>
    <t>Amy Fitzgerald</t>
  </si>
  <si>
    <t>FL250922</t>
  </si>
  <si>
    <t>Anita Becker</t>
  </si>
  <si>
    <t>FL250923</t>
  </si>
  <si>
    <t>Mrs. Amy Brooks</t>
  </si>
  <si>
    <t>FL250924</t>
  </si>
  <si>
    <t>Lori Marshall</t>
  </si>
  <si>
    <t>FL250925</t>
  </si>
  <si>
    <t>Jennifer Miller</t>
  </si>
  <si>
    <t>FL250926</t>
  </si>
  <si>
    <t>Thomas Young</t>
  </si>
  <si>
    <t>FL250927</t>
  </si>
  <si>
    <t>Zachary Larsen</t>
  </si>
  <si>
    <t>FL250928</t>
  </si>
  <si>
    <t>Valerie Gutierrez</t>
  </si>
  <si>
    <t>FL250929</t>
  </si>
  <si>
    <t>Daniel Parker</t>
  </si>
  <si>
    <t>FL250930</t>
  </si>
  <si>
    <t>Nicole Bennett</t>
  </si>
  <si>
    <t>FL250931</t>
  </si>
  <si>
    <t>Lauren Lowery</t>
  </si>
  <si>
    <t>FL250932</t>
  </si>
  <si>
    <t>Alexander Woodward</t>
  </si>
  <si>
    <t>FL250933</t>
  </si>
  <si>
    <t>Anthony Walter</t>
  </si>
  <si>
    <t>FL250934</t>
  </si>
  <si>
    <t>Valerie Finley</t>
  </si>
  <si>
    <t>FL250935</t>
  </si>
  <si>
    <t>Deborah Kelley</t>
  </si>
  <si>
    <t>FL250936</t>
  </si>
  <si>
    <t>Kristina Miller</t>
  </si>
  <si>
    <t>FL250937</t>
  </si>
  <si>
    <t>Anne Hampton</t>
  </si>
  <si>
    <t>FL250938</t>
  </si>
  <si>
    <t>Sandra Henry</t>
  </si>
  <si>
    <t>FL250939</t>
  </si>
  <si>
    <t>Tony Hester</t>
  </si>
  <si>
    <t>FL250940</t>
  </si>
  <si>
    <t>Nathan Davis</t>
  </si>
  <si>
    <t>FL250941</t>
  </si>
  <si>
    <t>Erica Jackson</t>
  </si>
  <si>
    <t>FL250942</t>
  </si>
  <si>
    <t>Nancy Glover</t>
  </si>
  <si>
    <t>FL250943</t>
  </si>
  <si>
    <t>Richard Sanchez</t>
  </si>
  <si>
    <t>FL250944</t>
  </si>
  <si>
    <t>Savannah Reid</t>
  </si>
  <si>
    <t>FL250945</t>
  </si>
  <si>
    <t>Robert Salazar</t>
  </si>
  <si>
    <t>FL250946</t>
  </si>
  <si>
    <t>Hector Greer</t>
  </si>
  <si>
    <t>FL250947</t>
  </si>
  <si>
    <t>Thomas Jackson</t>
  </si>
  <si>
    <t>FL250948</t>
  </si>
  <si>
    <t>Tina Clark</t>
  </si>
  <si>
    <t>FL250949</t>
  </si>
  <si>
    <t>Heather Brown</t>
  </si>
  <si>
    <t>FL250950</t>
  </si>
  <si>
    <t>John Weaver</t>
  </si>
  <si>
    <t>FL250951</t>
  </si>
  <si>
    <t>Bradley Harris</t>
  </si>
  <si>
    <t>FL250952</t>
  </si>
  <si>
    <t>Cassandra Macdonald</t>
  </si>
  <si>
    <t>FL250953</t>
  </si>
  <si>
    <t>Matthew White</t>
  </si>
  <si>
    <t>FL250954</t>
  </si>
  <si>
    <t>Miss Kimberly Marshall</t>
  </si>
  <si>
    <t>FL250955</t>
  </si>
  <si>
    <t>Laura Thompson</t>
  </si>
  <si>
    <t>FL250956</t>
  </si>
  <si>
    <t>Nathan Soto</t>
  </si>
  <si>
    <t>FL250957</t>
  </si>
  <si>
    <t>Rhonda Hines</t>
  </si>
  <si>
    <t>FL250958</t>
  </si>
  <si>
    <t>Gabrielle Bowman</t>
  </si>
  <si>
    <t>FL250959</t>
  </si>
  <si>
    <t>Julian Edwards</t>
  </si>
  <si>
    <t>FL250960</t>
  </si>
  <si>
    <t>Nicholas Scott</t>
  </si>
  <si>
    <t>FL250961</t>
  </si>
  <si>
    <t>Daniel Green</t>
  </si>
  <si>
    <t>FL250962</t>
  </si>
  <si>
    <t>Catherine Johnston</t>
  </si>
  <si>
    <t>FL250963</t>
  </si>
  <si>
    <t>Brenda Koch</t>
  </si>
  <si>
    <t>FL250964</t>
  </si>
  <si>
    <t>Mr. Robert Meza</t>
  </si>
  <si>
    <t>FL250965</t>
  </si>
  <si>
    <t>Latoya Brown</t>
  </si>
  <si>
    <t>FL250966</t>
  </si>
  <si>
    <t>David Osborne III</t>
  </si>
  <si>
    <t>FL250967</t>
  </si>
  <si>
    <t>David Hooper</t>
  </si>
  <si>
    <t>FL250968</t>
  </si>
  <si>
    <t>Sarah Miller</t>
  </si>
  <si>
    <t>FL250969</t>
  </si>
  <si>
    <t>Lisa Werner MD</t>
  </si>
  <si>
    <t>FL250970</t>
  </si>
  <si>
    <t>Eric Jimenez</t>
  </si>
  <si>
    <t>FL250971</t>
  </si>
  <si>
    <t>Jay Bush</t>
  </si>
  <si>
    <t>FL250972</t>
  </si>
  <si>
    <t>Johnny Rice</t>
  </si>
  <si>
    <t>FL250973</t>
  </si>
  <si>
    <t>Matthew Strong</t>
  </si>
  <si>
    <t>FL250974</t>
  </si>
  <si>
    <t>Mark Chandler</t>
  </si>
  <si>
    <t>FL250975</t>
  </si>
  <si>
    <t>Crystal Brown</t>
  </si>
  <si>
    <t>FL250976</t>
  </si>
  <si>
    <t>Timothy Barton</t>
  </si>
  <si>
    <t>FL250977</t>
  </si>
  <si>
    <t>Lisa Hickman</t>
  </si>
  <si>
    <t>FL250978</t>
  </si>
  <si>
    <t>Alan Mendoza</t>
  </si>
  <si>
    <t>FL250979</t>
  </si>
  <si>
    <t>Jason Sanders</t>
  </si>
  <si>
    <t>FL250980</t>
  </si>
  <si>
    <t>Charles Dean</t>
  </si>
  <si>
    <t>FL250981</t>
  </si>
  <si>
    <t>Blake Newton</t>
  </si>
  <si>
    <t>FL250982</t>
  </si>
  <si>
    <t>David Gonzalez</t>
  </si>
  <si>
    <t>FL250983</t>
  </si>
  <si>
    <t>Cindy Williams</t>
  </si>
  <si>
    <t>FL250984</t>
  </si>
  <si>
    <t>Laura Wong DDS</t>
  </si>
  <si>
    <t>FL250985</t>
  </si>
  <si>
    <t>Robert Moran</t>
  </si>
  <si>
    <t>FL250986</t>
  </si>
  <si>
    <t>Bradley Wu</t>
  </si>
  <si>
    <t>FL250987</t>
  </si>
  <si>
    <t>Daniel Thomas</t>
  </si>
  <si>
    <t>FL250988</t>
  </si>
  <si>
    <t>Michelle Peterson</t>
  </si>
  <si>
    <t>FL250989</t>
  </si>
  <si>
    <t>Seth Thomas</t>
  </si>
  <si>
    <t>FL250990</t>
  </si>
  <si>
    <t>Evan Ramos</t>
  </si>
  <si>
    <t>FL250991</t>
  </si>
  <si>
    <t>Michelle Solis</t>
  </si>
  <si>
    <t>FL250992</t>
  </si>
  <si>
    <t>Charlotte Taylor</t>
  </si>
  <si>
    <t>FL250993</t>
  </si>
  <si>
    <t>Sandra Preston</t>
  </si>
  <si>
    <t>FL250994</t>
  </si>
  <si>
    <t>Jim Weiss</t>
  </si>
  <si>
    <t>FL250995</t>
  </si>
  <si>
    <t>Jennifer Hinton</t>
  </si>
  <si>
    <t>FL250996</t>
  </si>
  <si>
    <t>Albert Wilcox</t>
  </si>
  <si>
    <t>FL250997</t>
  </si>
  <si>
    <t>Cheryl Norris</t>
  </si>
  <si>
    <t>FL250998</t>
  </si>
  <si>
    <t>Kathy Watkins</t>
  </si>
  <si>
    <t>FL250999</t>
  </si>
  <si>
    <t>John Obrien</t>
  </si>
  <si>
    <t>FL251000</t>
  </si>
  <si>
    <t>Dawn Green</t>
  </si>
  <si>
    <t>The dataset has 16 columns and 1000 rows</t>
  </si>
  <si>
    <t>In this dataset a global freelancers who provides specialized services to clients worldwide on a project by project details are there.</t>
  </si>
  <si>
    <t>And I have found some missing values and inconsistent data.</t>
  </si>
  <si>
    <t>Dataset holds numeric and non numeric data.</t>
  </si>
  <si>
    <t>Data Entry &amp; Formatting</t>
  </si>
  <si>
    <t>Observation</t>
  </si>
  <si>
    <t>Name</t>
  </si>
  <si>
    <t>Gender</t>
  </si>
  <si>
    <t>Age</t>
  </si>
  <si>
    <t>Country</t>
  </si>
  <si>
    <t>Language</t>
  </si>
  <si>
    <t>Primary_skill</t>
  </si>
  <si>
    <t>Years_of_Experience</t>
  </si>
  <si>
    <t>Hourly_rate (USD)</t>
  </si>
  <si>
    <t>Rating</t>
  </si>
  <si>
    <t>Is_active</t>
  </si>
  <si>
    <t>Client Satisfaction</t>
  </si>
  <si>
    <t>Freelancer ID</t>
  </si>
  <si>
    <t xml:space="preserve">No of projects </t>
  </si>
  <si>
    <t>Duration Months</t>
  </si>
  <si>
    <t>Not given</t>
  </si>
  <si>
    <t>Not Mentioned</t>
  </si>
  <si>
    <t>click here</t>
  </si>
  <si>
    <t>Now the data looks clean and readable.</t>
  </si>
  <si>
    <t>Makes changes in the dataset in proper format:Bold,color and the alignment.</t>
  </si>
  <si>
    <t>Column1</t>
  </si>
  <si>
    <t>CLICK HERE</t>
  </si>
  <si>
    <t>Total</t>
  </si>
  <si>
    <t>Average</t>
  </si>
  <si>
    <t>Min</t>
  </si>
  <si>
    <t>Max</t>
  </si>
  <si>
    <t>Count</t>
  </si>
  <si>
    <t>No of projects</t>
  </si>
  <si>
    <t>I have seen missing values in some columns and replaced by not mentioned and not given.</t>
  </si>
  <si>
    <t>SUM(), AVERAGE(),MIN(), MAX(), COUNT()</t>
  </si>
  <si>
    <t>IF(), SUMIF(), COUNTIF(), AVERAGEIF()</t>
  </si>
  <si>
    <t>Sumif</t>
  </si>
  <si>
    <t>No of projects of Data Analysis</t>
  </si>
  <si>
    <t>Countif</t>
  </si>
  <si>
    <t>No of projects &gt;10</t>
  </si>
  <si>
    <t>Averageif</t>
  </si>
  <si>
    <t>No of projects of AI</t>
  </si>
  <si>
    <t>IF</t>
  </si>
  <si>
    <t>IF Condition</t>
  </si>
  <si>
    <t>UPPER</t>
  </si>
  <si>
    <t>LOWER</t>
  </si>
  <si>
    <t>PROPER</t>
  </si>
  <si>
    <t>LEFT</t>
  </si>
  <si>
    <t>RIGHT</t>
  </si>
  <si>
    <t>MIDDLE</t>
  </si>
  <si>
    <t>We need to structure the data for analysis so data cleaning is required before that.</t>
  </si>
  <si>
    <t>Here they are from 21 countries</t>
  </si>
  <si>
    <t>I can see 10 different kinds of skills ,different years of experience,no of projects they have done.</t>
  </si>
  <si>
    <t>FL</t>
  </si>
  <si>
    <t>Freelancer</t>
  </si>
  <si>
    <t>ID</t>
  </si>
  <si>
    <t>Text to Column</t>
  </si>
  <si>
    <t>Flashfill</t>
  </si>
  <si>
    <t>FreelancerID</t>
  </si>
  <si>
    <t>TRIM</t>
  </si>
  <si>
    <t>left</t>
  </si>
  <si>
    <t>Mid</t>
  </si>
  <si>
    <t>Right</t>
  </si>
  <si>
    <t>Conditional Formatting for Data Cleaning</t>
  </si>
  <si>
    <t>Refer Day6 worksheet</t>
  </si>
  <si>
    <t>Mean</t>
  </si>
  <si>
    <t>Standard Error</t>
  </si>
  <si>
    <t>Median</t>
  </si>
  <si>
    <t>Mode</t>
  </si>
  <si>
    <t>Standard Deviation</t>
  </si>
  <si>
    <t>Sample Variance</t>
  </si>
  <si>
    <t>Kurtosis</t>
  </si>
  <si>
    <t>Skewness</t>
  </si>
  <si>
    <t>Range</t>
  </si>
  <si>
    <t>Minimum</t>
  </si>
  <si>
    <t>Maximum</t>
  </si>
  <si>
    <t>Sum</t>
  </si>
  <si>
    <t>Descriptive Statistics</t>
  </si>
  <si>
    <t>Top 5</t>
  </si>
  <si>
    <t>Bottom 5</t>
  </si>
  <si>
    <t>Gender_</t>
  </si>
  <si>
    <t>Age_</t>
  </si>
  <si>
    <t>Country_</t>
  </si>
  <si>
    <t>Primary_skill_</t>
  </si>
  <si>
    <t>Years_of_Experience_</t>
  </si>
  <si>
    <t>Hourly_rate (USD)_</t>
  </si>
  <si>
    <t>Rating_</t>
  </si>
  <si>
    <t>Is_active_</t>
  </si>
  <si>
    <t>Client Satisfaction_</t>
  </si>
  <si>
    <t>In this dataset,there is no date &amp; time data is available. So couldn't perform date &amp; time functions.</t>
  </si>
  <si>
    <t>(All)</t>
  </si>
  <si>
    <t>Row Labels</t>
  </si>
  <si>
    <t>Grand Total</t>
  </si>
  <si>
    <t>Column Labels</t>
  </si>
  <si>
    <t>Count of Name</t>
  </si>
  <si>
    <t>Count of Notes</t>
  </si>
  <si>
    <t>Count of IF Condition</t>
  </si>
  <si>
    <t>Entry level</t>
  </si>
  <si>
    <t>Well Experienced</t>
  </si>
  <si>
    <t>Sum of Years_of_Experience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</si>
</sst>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sz val="11"/>
      <color theme="1"/>
      <name val="Calibri Light"/>
      <family val="2"/>
      <scheme val="major"/>
    </font>
    <font>
      <b/>
      <sz val="11"/>
      <color theme="0"/>
      <name val="Calibri Light"/>
      <family val="2"/>
      <scheme val="major"/>
    </font>
    <font>
      <u/>
      <sz val="11"/>
      <color theme="10"/>
      <name val="Calibri"/>
      <family val="2"/>
      <scheme val="minor"/>
    </font>
    <font>
      <b/>
      <u/>
      <sz val="20"/>
      <color theme="10"/>
      <name val="Calibri"/>
      <family val="2"/>
      <scheme val="minor"/>
    </font>
    <font>
      <sz val="12"/>
      <color theme="1"/>
      <name val="Calibri"/>
      <family val="2"/>
      <scheme val="minor"/>
    </font>
    <font>
      <u/>
      <sz val="12"/>
      <color theme="10"/>
      <name val="Calibri"/>
      <family val="2"/>
      <scheme val="minor"/>
    </font>
    <font>
      <sz val="11"/>
      <color theme="1"/>
      <name val="Calibri"/>
      <family val="2"/>
      <scheme val="minor"/>
    </font>
    <font>
      <b/>
      <sz val="11"/>
      <name val="Calibri"/>
      <family val="2"/>
      <scheme val="minor"/>
    </font>
    <font>
      <sz val="8"/>
      <name val="Calibri"/>
      <family val="2"/>
      <scheme val="minor"/>
    </font>
    <font>
      <b/>
      <sz val="11"/>
      <name val="Calibri Light"/>
      <family val="2"/>
      <scheme val="major"/>
    </font>
    <font>
      <sz val="18"/>
      <color theme="1"/>
      <name val="Calibri"/>
      <family val="2"/>
      <scheme val="minor"/>
    </font>
    <font>
      <u/>
      <sz val="16"/>
      <color theme="10"/>
      <name val="Calibri"/>
      <family val="2"/>
      <scheme val="minor"/>
    </font>
    <font>
      <b/>
      <sz val="14"/>
      <color theme="1"/>
      <name val="Calibri"/>
      <family val="2"/>
      <scheme val="minor"/>
    </font>
    <font>
      <sz val="16"/>
      <color theme="1"/>
      <name val="Calibri"/>
      <family val="2"/>
      <scheme val="minor"/>
    </font>
    <font>
      <sz val="11"/>
      <color theme="4" tint="0.79998168889431442"/>
      <name val="Calibri"/>
      <family val="2"/>
      <scheme val="minor"/>
    </font>
  </fonts>
  <fills count="11">
    <fill>
      <patternFill patternType="none"/>
    </fill>
    <fill>
      <patternFill patternType="gray125"/>
    </fill>
    <fill>
      <patternFill patternType="solid">
        <fgColor theme="4" tint="0.59999389629810485"/>
        <bgColor indexed="64"/>
      </patternFill>
    </fill>
    <fill>
      <patternFill patternType="solid">
        <fgColor theme="9" tint="-0.249977111117893"/>
        <bgColor indexed="64"/>
      </patternFill>
    </fill>
    <fill>
      <patternFill patternType="solid">
        <fgColor theme="4" tint="0.79998168889431442"/>
        <bgColor indexed="64"/>
      </patternFill>
    </fill>
    <fill>
      <patternFill patternType="solid">
        <fgColor theme="4"/>
        <bgColor indexed="64"/>
      </patternFill>
    </fill>
    <fill>
      <patternFill patternType="solid">
        <fgColor theme="9" tint="0.79998168889431442"/>
        <bgColor theme="9" tint="0.79998168889431442"/>
      </patternFill>
    </fill>
    <fill>
      <patternFill patternType="solid">
        <fgColor rgb="FFFFFF00"/>
        <bgColor indexed="64"/>
      </patternFill>
    </fill>
    <fill>
      <patternFill patternType="solid">
        <fgColor theme="9" tint="0.39997558519241921"/>
        <bgColor indexed="64"/>
      </patternFill>
    </fill>
    <fill>
      <patternFill patternType="solid">
        <fgColor theme="2" tint="-9.9978637043366805E-2"/>
        <bgColor indexed="64"/>
      </patternFill>
    </fill>
    <fill>
      <patternFill patternType="solid">
        <fgColor theme="9" tint="0.59999389629810485"/>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3">
    <xf numFmtId="0" fontId="0" fillId="0" borderId="0"/>
    <xf numFmtId="0" fontId="7" fillId="0" borderId="0" applyNumberFormat="0" applyFill="0" applyBorder="0" applyAlignment="0" applyProtection="0"/>
    <xf numFmtId="9" fontId="11" fillId="0" borderId="0" applyFont="0" applyFill="0" applyBorder="0" applyAlignment="0" applyProtection="0"/>
  </cellStyleXfs>
  <cellXfs count="72">
    <xf numFmtId="0" fontId="0" fillId="0" borderId="0" xfId="0"/>
    <xf numFmtId="0" fontId="0" fillId="0" borderId="0" xfId="0" applyAlignment="1">
      <alignment horizontal="center"/>
    </xf>
    <xf numFmtId="0" fontId="0" fillId="0" borderId="0" xfId="0" applyAlignment="1">
      <alignment horizontal="left"/>
    </xf>
    <xf numFmtId="0" fontId="0" fillId="0" borderId="0" xfId="0" applyAlignment="1">
      <alignment horizontal="center" vertical="top"/>
    </xf>
    <xf numFmtId="0" fontId="0" fillId="0" borderId="1" xfId="0" applyBorder="1" applyAlignment="1">
      <alignment horizontal="left" vertical="top"/>
    </xf>
    <xf numFmtId="0" fontId="5" fillId="3" borderId="0" xfId="0" applyFont="1" applyFill="1" applyAlignment="1">
      <alignment vertical="center"/>
    </xf>
    <xf numFmtId="0" fontId="5" fillId="3" borderId="0" xfId="0" applyFont="1" applyFill="1" applyAlignment="1">
      <alignment horizontal="left" vertical="center"/>
    </xf>
    <xf numFmtId="0" fontId="9" fillId="0" borderId="0" xfId="0" applyFont="1"/>
    <xf numFmtId="0" fontId="9" fillId="0" borderId="1" xfId="0" applyFont="1" applyBorder="1" applyAlignment="1">
      <alignment horizontal="left" vertical="top"/>
    </xf>
    <xf numFmtId="0" fontId="8" fillId="0" borderId="1" xfId="1" applyFont="1" applyBorder="1" applyAlignment="1">
      <alignment horizontal="center" vertical="center"/>
    </xf>
    <xf numFmtId="0" fontId="9" fillId="0" borderId="1" xfId="0" applyFont="1" applyBorder="1"/>
    <xf numFmtId="0" fontId="4" fillId="4" borderId="1" xfId="0" applyFont="1" applyFill="1" applyBorder="1" applyAlignment="1">
      <alignment horizontal="center" vertical="center"/>
    </xf>
    <xf numFmtId="0" fontId="0" fillId="0" borderId="1" xfId="0" applyBorder="1" applyAlignment="1">
      <alignment horizontal="center" vertical="top"/>
    </xf>
    <xf numFmtId="0" fontId="0" fillId="0" borderId="1" xfId="0" applyBorder="1"/>
    <xf numFmtId="0" fontId="2" fillId="4" borderId="0" xfId="0" applyFont="1" applyFill="1" applyAlignment="1">
      <alignment horizontal="left" vertical="center" wrapText="1"/>
    </xf>
    <xf numFmtId="0" fontId="4" fillId="4" borderId="2" xfId="0" applyFont="1" applyFill="1" applyBorder="1" applyAlignment="1">
      <alignment horizontal="center" vertical="center"/>
    </xf>
    <xf numFmtId="0" fontId="9" fillId="0" borderId="1" xfId="0" applyFont="1" applyBorder="1" applyAlignment="1">
      <alignment horizontal="center"/>
    </xf>
    <xf numFmtId="2" fontId="9" fillId="0" borderId="1" xfId="0" applyNumberFormat="1" applyFont="1" applyBorder="1" applyAlignment="1">
      <alignment horizontal="center"/>
    </xf>
    <xf numFmtId="0" fontId="3" fillId="5" borderId="1" xfId="0" applyFont="1" applyFill="1" applyBorder="1"/>
    <xf numFmtId="0" fontId="1" fillId="5" borderId="1" xfId="0" applyFont="1" applyFill="1" applyBorder="1"/>
    <xf numFmtId="0" fontId="1" fillId="5" borderId="1" xfId="0" applyFont="1" applyFill="1" applyBorder="1" applyAlignment="1">
      <alignment horizontal="center" vertical="top"/>
    </xf>
    <xf numFmtId="0" fontId="7" fillId="0" borderId="1" xfId="1" applyBorder="1" applyAlignment="1">
      <alignment horizontal="center" vertical="top"/>
    </xf>
    <xf numFmtId="0" fontId="6" fillId="5" borderId="1" xfId="0" applyFont="1" applyFill="1" applyBorder="1" applyAlignment="1">
      <alignment vertical="center"/>
    </xf>
    <xf numFmtId="0" fontId="9" fillId="4" borderId="1" xfId="0" applyFont="1" applyFill="1" applyBorder="1"/>
    <xf numFmtId="0" fontId="10" fillId="4" borderId="1" xfId="1" applyFont="1" applyFill="1" applyBorder="1"/>
    <xf numFmtId="0" fontId="0" fillId="4" borderId="1" xfId="0" applyFill="1" applyBorder="1" applyAlignment="1">
      <alignment horizontal="left" vertical="top"/>
    </xf>
    <xf numFmtId="0" fontId="0" fillId="4" borderId="2" xfId="0" applyFill="1" applyBorder="1" applyAlignment="1">
      <alignment horizontal="left" vertical="top"/>
    </xf>
    <xf numFmtId="0" fontId="0" fillId="0" borderId="6" xfId="0" applyBorder="1" applyAlignment="1">
      <alignment horizontal="left" vertical="top"/>
    </xf>
    <xf numFmtId="0" fontId="0" fillId="0" borderId="3" xfId="0" applyBorder="1" applyAlignment="1">
      <alignment horizontal="left" vertical="top" wrapText="1"/>
    </xf>
    <xf numFmtId="0" fontId="0" fillId="0" borderId="4" xfId="0" applyBorder="1" applyAlignment="1">
      <alignment horizontal="left" vertical="top" wrapText="1"/>
    </xf>
    <xf numFmtId="0" fontId="12" fillId="7" borderId="4" xfId="0" applyFont="1" applyFill="1" applyBorder="1" applyAlignment="1">
      <alignment horizontal="left" vertical="top" wrapText="1"/>
    </xf>
    <xf numFmtId="0" fontId="14" fillId="7" borderId="4" xfId="0" applyFont="1" applyFill="1" applyBorder="1" applyAlignment="1">
      <alignment horizontal="left" vertical="top" wrapText="1"/>
    </xf>
    <xf numFmtId="0" fontId="14" fillId="7" borderId="5" xfId="0" applyFont="1" applyFill="1" applyBorder="1" applyAlignment="1">
      <alignment horizontal="left" vertical="top" wrapText="1"/>
    </xf>
    <xf numFmtId="0" fontId="0" fillId="0" borderId="0" xfId="0" applyAlignment="1">
      <alignment wrapText="1"/>
    </xf>
    <xf numFmtId="0" fontId="0" fillId="0" borderId="1" xfId="2" applyNumberFormat="1" applyFont="1" applyBorder="1" applyAlignment="1">
      <alignment horizontal="left" vertical="top"/>
    </xf>
    <xf numFmtId="0" fontId="0" fillId="0" borderId="0" xfId="0" applyAlignment="1">
      <alignment horizontal="left" vertical="top"/>
    </xf>
    <xf numFmtId="0" fontId="0" fillId="0" borderId="0" xfId="0" applyAlignment="1">
      <alignment vertical="top"/>
    </xf>
    <xf numFmtId="0" fontId="15" fillId="0" borderId="0" xfId="0" applyFont="1"/>
    <xf numFmtId="0" fontId="2" fillId="8" borderId="1" xfId="0" applyFont="1" applyFill="1" applyBorder="1" applyAlignment="1">
      <alignment horizontal="left" vertical="top"/>
    </xf>
    <xf numFmtId="0" fontId="6" fillId="3" borderId="1" xfId="0" applyFont="1" applyFill="1" applyBorder="1" applyAlignment="1">
      <alignment vertical="center"/>
    </xf>
    <xf numFmtId="0" fontId="2" fillId="7" borderId="1" xfId="0" applyFont="1" applyFill="1" applyBorder="1" applyAlignment="1">
      <alignment vertical="top"/>
    </xf>
    <xf numFmtId="0" fontId="2" fillId="7" borderId="1" xfId="0" applyFont="1" applyFill="1" applyBorder="1" applyAlignment="1">
      <alignment horizontal="left" vertical="top"/>
    </xf>
    <xf numFmtId="0" fontId="2" fillId="7" borderId="1" xfId="0" applyFont="1" applyFill="1" applyBorder="1"/>
    <xf numFmtId="0" fontId="0" fillId="6" borderId="1" xfId="0" applyFill="1" applyBorder="1"/>
    <xf numFmtId="0" fontId="0" fillId="0" borderId="1" xfId="0" applyBorder="1" applyAlignment="1">
      <alignment vertical="top"/>
    </xf>
    <xf numFmtId="2" fontId="0" fillId="0" borderId="1" xfId="0" applyNumberFormat="1" applyBorder="1" applyAlignment="1">
      <alignment horizontal="center"/>
    </xf>
    <xf numFmtId="0" fontId="0" fillId="0" borderId="1" xfId="0" applyBorder="1" applyAlignment="1">
      <alignment horizontal="center"/>
    </xf>
    <xf numFmtId="0" fontId="0" fillId="9" borderId="1" xfId="0" applyFill="1" applyBorder="1"/>
    <xf numFmtId="2" fontId="0" fillId="9" borderId="1" xfId="0" applyNumberFormat="1" applyFill="1" applyBorder="1" applyAlignment="1">
      <alignment horizontal="center"/>
    </xf>
    <xf numFmtId="0" fontId="0" fillId="9" borderId="1" xfId="0" applyFill="1" applyBorder="1" applyAlignment="1">
      <alignment horizontal="center"/>
    </xf>
    <xf numFmtId="0" fontId="5" fillId="3" borderId="1" xfId="0" applyFont="1" applyFill="1" applyBorder="1" applyAlignment="1">
      <alignment horizontal="left" vertical="center"/>
    </xf>
    <xf numFmtId="0" fontId="0" fillId="0" borderId="1" xfId="0" applyBorder="1" applyAlignment="1">
      <alignment horizontal="left"/>
    </xf>
    <xf numFmtId="0" fontId="5" fillId="3" borderId="1" xfId="0" applyFont="1" applyFill="1" applyBorder="1" applyAlignment="1">
      <alignment horizontal="center" vertical="center"/>
    </xf>
    <xf numFmtId="0" fontId="5" fillId="3" borderId="1" xfId="0" applyFont="1" applyFill="1" applyBorder="1" applyAlignment="1">
      <alignment vertical="center"/>
    </xf>
    <xf numFmtId="0" fontId="5" fillId="3" borderId="1" xfId="0" applyFont="1" applyFill="1" applyBorder="1" applyAlignment="1">
      <alignment horizontal="center"/>
    </xf>
    <xf numFmtId="0" fontId="18" fillId="0" borderId="0" xfId="0" applyFont="1" applyAlignment="1">
      <alignment wrapText="1"/>
    </xf>
    <xf numFmtId="0" fontId="18" fillId="0" borderId="0" xfId="0" applyFont="1" applyAlignment="1">
      <alignment horizontal="left" vertical="top" wrapText="1"/>
    </xf>
    <xf numFmtId="0" fontId="6" fillId="3" borderId="1" xfId="0" applyFont="1" applyFill="1" applyBorder="1" applyAlignment="1">
      <alignment horizontal="left" vertical="center"/>
    </xf>
    <xf numFmtId="0" fontId="0" fillId="6" borderId="1" xfId="0" applyFill="1" applyBorder="1" applyAlignment="1">
      <alignment horizontal="left"/>
    </xf>
    <xf numFmtId="0" fontId="6" fillId="3" borderId="1" xfId="0" applyFont="1" applyFill="1" applyBorder="1" applyAlignment="1">
      <alignment horizontal="center" vertical="top"/>
    </xf>
    <xf numFmtId="0" fontId="0" fillId="6" borderId="1" xfId="0" applyFill="1" applyBorder="1" applyAlignment="1">
      <alignment horizontal="center" vertical="top"/>
    </xf>
    <xf numFmtId="0" fontId="0" fillId="0" borderId="0" xfId="0" pivotButton="1"/>
    <xf numFmtId="0" fontId="19" fillId="10" borderId="0" xfId="0" applyFont="1" applyFill="1"/>
    <xf numFmtId="0" fontId="12" fillId="8" borderId="1" xfId="0" applyFont="1" applyFill="1" applyBorder="1" applyAlignment="1">
      <alignment horizontal="center" vertical="top"/>
    </xf>
    <xf numFmtId="0" fontId="2" fillId="8" borderId="1" xfId="0" applyFont="1" applyFill="1" applyBorder="1" applyAlignment="1">
      <alignment horizontal="center" vertical="top"/>
    </xf>
    <xf numFmtId="0" fontId="4" fillId="2" borderId="1" xfId="0" applyFont="1" applyFill="1" applyBorder="1" applyAlignment="1">
      <alignment horizontal="center" vertical="center"/>
    </xf>
    <xf numFmtId="0" fontId="2" fillId="4" borderId="1" xfId="0" applyFont="1" applyFill="1" applyBorder="1" applyAlignment="1">
      <alignment horizontal="center" vertical="center" wrapText="1"/>
    </xf>
    <xf numFmtId="0" fontId="15" fillId="0" borderId="0" xfId="0" applyFont="1" applyAlignment="1">
      <alignment horizontal="center"/>
    </xf>
    <xf numFmtId="0" fontId="16" fillId="7" borderId="0" xfId="1" applyFont="1" applyFill="1" applyAlignment="1">
      <alignment horizontal="center" vertical="center"/>
    </xf>
    <xf numFmtId="0" fontId="17" fillId="7" borderId="2" xfId="0" applyFont="1" applyFill="1" applyBorder="1" applyAlignment="1">
      <alignment horizontal="center" vertical="center"/>
    </xf>
    <xf numFmtId="0" fontId="17" fillId="7" borderId="6" xfId="0" applyFont="1" applyFill="1" applyBorder="1" applyAlignment="1">
      <alignment horizontal="center" vertical="center"/>
    </xf>
    <xf numFmtId="0" fontId="2" fillId="7" borderId="7" xfId="0" applyFont="1" applyFill="1" applyBorder="1" applyAlignment="1">
      <alignment horizontal="center"/>
    </xf>
  </cellXfs>
  <cellStyles count="3">
    <cellStyle name="Hyperlink" xfId="1" builtinId="8"/>
    <cellStyle name="Normal" xfId="0" builtinId="0"/>
    <cellStyle name="Percent" xfId="2" builtinId="5"/>
  </cellStyles>
  <dxfs count="75">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left" textRotation="0" wrapText="0" indent="0" justifyLastLine="0" shrinkToFit="0" readingOrder="0"/>
    </dxf>
    <dxf>
      <numFmt numFmtId="0" formatCode="General"/>
      <alignment horizontal="left" vertical="bottom" textRotation="0" wrapText="0" indent="0" justifyLastLine="0" shrinkToFit="0" readingOrder="0"/>
    </dxf>
    <dxf>
      <alignment horizontal="left" textRotation="0" wrapText="0" indent="0" justifyLastLine="0" shrinkToFit="0" readingOrder="0"/>
    </dxf>
    <dxf>
      <numFmt numFmtId="0" formatCode="General"/>
      <alignment horizontal="left" textRotation="0" wrapText="0" indent="0" justifyLastLine="0" shrinkToFit="0" readingOrder="0"/>
    </dxf>
    <dxf>
      <numFmt numFmtId="0" formatCode="General"/>
      <alignment horizontal="left" textRotation="0" wrapText="0" indent="0" justifyLastLine="0" shrinkToFit="0" readingOrder="0"/>
    </dxf>
    <dxf>
      <alignment horizontal="left" textRotation="0" wrapText="0" indent="0" justifyLastLine="0" shrinkToFit="0" readingOrder="0"/>
    </dxf>
    <dxf>
      <numFmt numFmtId="0" formatCode="General"/>
      <alignment horizontal="left" textRotation="0" wrapText="0" indent="0" justifyLastLine="0" shrinkToFit="0" readingOrder="0"/>
    </dxf>
    <dxf>
      <alignment horizontal="left" textRotation="0" wrapText="0" indent="0" justifyLastLine="0" shrinkToFit="0" readingOrder="0"/>
    </dxf>
    <dxf>
      <numFmt numFmtId="0" formatCode="General"/>
      <alignment horizontal="left" textRotation="0" wrapText="0" indent="0" justifyLastLine="0" shrinkToFit="0" readingOrder="0"/>
    </dxf>
    <dxf>
      <alignment horizontal="left" textRotation="0" wrapText="0" indent="0" justifyLastLine="0" shrinkToFit="0" readingOrder="0"/>
    </dxf>
    <dxf>
      <numFmt numFmtId="0" formatCode="General"/>
      <alignment horizontal="left" textRotation="0" wrapText="0" indent="0" justifyLastLine="0" shrinkToFit="0" readingOrder="0"/>
    </dxf>
    <dxf>
      <numFmt numFmtId="0" formatCode="General"/>
    </dxf>
    <dxf>
      <numFmt numFmtId="0" formatCode="General"/>
    </dxf>
    <dxf>
      <alignment horizontal="left" textRotation="0" wrapText="0" indent="0" justifyLastLine="0" shrinkToFit="0" readingOrder="0"/>
    </dxf>
    <dxf>
      <numFmt numFmtId="0" formatCode="General"/>
    </dxf>
    <dxf>
      <numFmt numFmtId="0" formatCode="General"/>
    </dxf>
    <dxf>
      <numFmt numFmtId="0" formatCode="General"/>
    </dxf>
    <dxf>
      <font>
        <b/>
        <i val="0"/>
        <strike val="0"/>
        <outline val="0"/>
        <shadow val="0"/>
        <u val="none"/>
        <vertAlign val="baseline"/>
        <sz val="11"/>
        <color theme="1"/>
        <name val="Calibri Light"/>
        <family val="2"/>
        <scheme val="major"/>
      </font>
      <fill>
        <patternFill patternType="solid">
          <fgColor indexed="64"/>
          <bgColor theme="9" tint="-0.249977111117893"/>
        </patternFill>
      </fill>
      <alignment vertical="center" textRotation="0" wrapText="0" indent="0" justifyLastLine="0" shrinkToFit="0" readingOrder="0"/>
    </dxf>
    <dxf>
      <fill>
        <patternFill>
          <fgColor indexed="64"/>
          <bgColor theme="4" tint="0.79998168889431442"/>
        </patternFill>
      </fill>
      <alignment horizontal="left" vertical="top" textRotation="0" wrapText="0" indent="0" justifyLastLine="0" shrinkToFit="0" readingOrder="0"/>
      <border diagonalUp="0" diagonalDown="0" outline="0">
        <left style="thin">
          <color indexed="64"/>
        </left>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fgColor indexed="64"/>
          <bgColor theme="4" tint="0.79998168889431442"/>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fgColor indexed="64"/>
          <bgColor theme="4" tint="0.79998168889431442"/>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fgColor indexed="64"/>
          <bgColor theme="4" tint="0.79998168889431442"/>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fgColor indexed="64"/>
          <bgColor theme="4" tint="0.79998168889431442"/>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fgColor indexed="64"/>
          <bgColor theme="4" tint="0.79998168889431442"/>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fgColor indexed="64"/>
          <bgColor theme="4" tint="0.79998168889431442"/>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fgColor indexed="64"/>
          <bgColor theme="4" tint="0.79998168889431442"/>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solid">
          <fgColor indexed="64"/>
          <bgColor theme="4" tint="0.79998168889431442"/>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left" vertical="top" textRotation="0" wrapText="0" indent="0" justifyLastLine="0" shrinkToFit="0" readingOrder="0"/>
    </dxf>
    <dxf>
      <border>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bottom/>
      </border>
    </dxf>
    <dxf>
      <alignment horizontal="left" textRotation="0" wrapText="0" indent="0" justifyLastLine="0" shrinkToFit="0" readingOrder="0"/>
    </dxf>
    <dxf>
      <numFmt numFmtId="0" formatCode="General"/>
      <alignment horizontal="left" vertical="bottom" textRotation="0" wrapText="0" indent="0" justifyLastLine="0" shrinkToFit="0" readingOrder="0"/>
    </dxf>
    <dxf>
      <alignment horizontal="left" textRotation="0" wrapText="0" indent="0" justifyLastLine="0" shrinkToFit="0" readingOrder="0"/>
    </dxf>
    <dxf>
      <numFmt numFmtId="0" formatCode="General"/>
      <alignment horizontal="left" textRotation="0" wrapText="0" indent="0" justifyLastLine="0" shrinkToFit="0" readingOrder="0"/>
    </dxf>
    <dxf>
      <numFmt numFmtId="0" formatCode="General"/>
      <alignment horizontal="left" textRotation="0" wrapText="0" indent="0" justifyLastLine="0" shrinkToFit="0" readingOrder="0"/>
    </dxf>
    <dxf>
      <alignment horizontal="left" textRotation="0" wrapText="0" indent="0" justifyLastLine="0" shrinkToFit="0" readingOrder="0"/>
    </dxf>
    <dxf>
      <numFmt numFmtId="0" formatCode="General"/>
      <alignment horizontal="left" textRotation="0" wrapText="0" indent="0" justifyLastLine="0" shrinkToFit="0" readingOrder="0"/>
    </dxf>
    <dxf>
      <alignment horizontal="left" textRotation="0" wrapText="0" indent="0" justifyLastLine="0" shrinkToFit="0" readingOrder="0"/>
    </dxf>
    <dxf>
      <numFmt numFmtId="0" formatCode="General"/>
      <alignment horizontal="left" textRotation="0" wrapText="0" indent="0" justifyLastLine="0" shrinkToFit="0" readingOrder="0"/>
    </dxf>
    <dxf>
      <alignment horizontal="left" textRotation="0" wrapText="0" indent="0" justifyLastLine="0" shrinkToFit="0" readingOrder="0"/>
    </dxf>
    <dxf>
      <numFmt numFmtId="0" formatCode="General"/>
      <alignment horizontal="left" textRotation="0" wrapText="0" indent="0" justifyLastLine="0" shrinkToFit="0" readingOrder="0"/>
    </dxf>
    <dxf>
      <numFmt numFmtId="0" formatCode="General"/>
    </dxf>
    <dxf>
      <numFmt numFmtId="0" formatCode="General"/>
    </dxf>
    <dxf>
      <alignment horizontal="left" textRotation="0" wrapText="0" indent="0" justifyLastLine="0" shrinkToFit="0" readingOrder="0"/>
    </dxf>
    <dxf>
      <numFmt numFmtId="0" formatCode="General"/>
    </dxf>
    <dxf>
      <numFmt numFmtId="0" formatCode="General"/>
    </dxf>
    <dxf>
      <numFmt numFmtId="0" formatCode="General"/>
    </dxf>
    <dxf>
      <font>
        <b/>
        <i val="0"/>
        <strike val="0"/>
        <outline val="0"/>
        <shadow val="0"/>
        <u val="none"/>
        <vertAlign val="baseline"/>
        <sz val="11"/>
        <color theme="1"/>
        <name val="Calibri Light"/>
        <family val="2"/>
        <scheme val="major"/>
      </font>
      <fill>
        <patternFill patternType="solid">
          <fgColor indexed="64"/>
          <bgColor theme="9" tint="-0.249977111117893"/>
        </patternFill>
      </fill>
      <alignment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39CF4CE2-E6DA-4EF4-AB70-65D908C0B73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 Report.xlsx]Pivot!PivotTable1</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Pivot!$B$4:$B$5</c:f>
              <c:strCache>
                <c:ptCount val="1"/>
                <c:pt idx="0">
                  <c:v>Male</c:v>
                </c:pt>
              </c:strCache>
            </c:strRef>
          </c:tx>
          <c:spPr>
            <a:solidFill>
              <a:schemeClr val="accent1"/>
            </a:solidFill>
            <a:ln>
              <a:noFill/>
            </a:ln>
            <a:effectLst/>
          </c:spPr>
          <c:invertIfNegative val="0"/>
          <c:cat>
            <c:strRef>
              <c:f>Pivot!$A$6:$A$28</c:f>
              <c:strCache>
                <c:ptCount val="22"/>
                <c:pt idx="0">
                  <c:v>Argentina</c:v>
                </c:pt>
                <c:pt idx="1">
                  <c:v>Australia</c:v>
                </c:pt>
                <c:pt idx="2">
                  <c:v>Brazil</c:v>
                </c:pt>
                <c:pt idx="3">
                  <c:v>Canada</c:v>
                </c:pt>
                <c:pt idx="4">
                  <c:v>China</c:v>
                </c:pt>
                <c:pt idx="5">
                  <c:v>Egypt</c:v>
                </c:pt>
                <c:pt idx="6">
                  <c:v>France</c:v>
                </c:pt>
                <c:pt idx="7">
                  <c:v>Germany</c:v>
                </c:pt>
                <c:pt idx="8">
                  <c:v>India</c:v>
                </c:pt>
                <c:pt idx="9">
                  <c:v>Indonesia</c:v>
                </c:pt>
                <c:pt idx="10">
                  <c:v>Italy</c:v>
                </c:pt>
                <c:pt idx="11">
                  <c:v>Japan</c:v>
                </c:pt>
                <c:pt idx="12">
                  <c:v>Mexico</c:v>
                </c:pt>
                <c:pt idx="13">
                  <c:v>Netherlands</c:v>
                </c:pt>
                <c:pt idx="14">
                  <c:v>Not Mentioned</c:v>
                </c:pt>
                <c:pt idx="15">
                  <c:v>Russia</c:v>
                </c:pt>
                <c:pt idx="16">
                  <c:v>South Africa</c:v>
                </c:pt>
                <c:pt idx="17">
                  <c:v>South Korea</c:v>
                </c:pt>
                <c:pt idx="18">
                  <c:v>Spain</c:v>
                </c:pt>
                <c:pt idx="19">
                  <c:v>Turkey</c:v>
                </c:pt>
                <c:pt idx="20">
                  <c:v>UK</c:v>
                </c:pt>
                <c:pt idx="21">
                  <c:v>US</c:v>
                </c:pt>
              </c:strCache>
            </c:strRef>
          </c:cat>
          <c:val>
            <c:numRef>
              <c:f>Pivot!$B$6:$B$28</c:f>
              <c:numCache>
                <c:formatCode>General</c:formatCode>
                <c:ptCount val="22"/>
                <c:pt idx="0">
                  <c:v>22</c:v>
                </c:pt>
                <c:pt idx="1">
                  <c:v>27</c:v>
                </c:pt>
                <c:pt idx="2">
                  <c:v>14</c:v>
                </c:pt>
                <c:pt idx="3">
                  <c:v>27</c:v>
                </c:pt>
                <c:pt idx="4">
                  <c:v>21</c:v>
                </c:pt>
                <c:pt idx="5">
                  <c:v>23</c:v>
                </c:pt>
                <c:pt idx="6">
                  <c:v>25</c:v>
                </c:pt>
                <c:pt idx="7">
                  <c:v>28</c:v>
                </c:pt>
                <c:pt idx="8">
                  <c:v>28</c:v>
                </c:pt>
                <c:pt idx="9">
                  <c:v>21</c:v>
                </c:pt>
                <c:pt idx="10">
                  <c:v>21</c:v>
                </c:pt>
                <c:pt idx="11">
                  <c:v>20</c:v>
                </c:pt>
                <c:pt idx="12">
                  <c:v>25</c:v>
                </c:pt>
                <c:pt idx="13">
                  <c:v>22</c:v>
                </c:pt>
                <c:pt idx="14">
                  <c:v>3</c:v>
                </c:pt>
                <c:pt idx="15">
                  <c:v>20</c:v>
                </c:pt>
                <c:pt idx="16">
                  <c:v>20</c:v>
                </c:pt>
                <c:pt idx="17">
                  <c:v>39</c:v>
                </c:pt>
                <c:pt idx="18">
                  <c:v>26</c:v>
                </c:pt>
                <c:pt idx="19">
                  <c:v>24</c:v>
                </c:pt>
                <c:pt idx="20">
                  <c:v>27</c:v>
                </c:pt>
                <c:pt idx="21">
                  <c:v>27</c:v>
                </c:pt>
              </c:numCache>
            </c:numRef>
          </c:val>
          <c:extLst>
            <c:ext xmlns:c16="http://schemas.microsoft.com/office/drawing/2014/chart" uri="{C3380CC4-5D6E-409C-BE32-E72D297353CC}">
              <c16:uniqueId val="{00000000-BE64-4F33-9A71-47E794D54437}"/>
            </c:ext>
          </c:extLst>
        </c:ser>
        <c:ser>
          <c:idx val="1"/>
          <c:order val="1"/>
          <c:tx>
            <c:strRef>
              <c:f>Pivot!$C$4:$C$5</c:f>
              <c:strCache>
                <c:ptCount val="1"/>
                <c:pt idx="0">
                  <c:v>Female</c:v>
                </c:pt>
              </c:strCache>
            </c:strRef>
          </c:tx>
          <c:spPr>
            <a:solidFill>
              <a:schemeClr val="accent2"/>
            </a:solidFill>
            <a:ln>
              <a:noFill/>
            </a:ln>
            <a:effectLst/>
          </c:spPr>
          <c:invertIfNegative val="0"/>
          <c:cat>
            <c:strRef>
              <c:f>Pivot!$A$6:$A$28</c:f>
              <c:strCache>
                <c:ptCount val="22"/>
                <c:pt idx="0">
                  <c:v>Argentina</c:v>
                </c:pt>
                <c:pt idx="1">
                  <c:v>Australia</c:v>
                </c:pt>
                <c:pt idx="2">
                  <c:v>Brazil</c:v>
                </c:pt>
                <c:pt idx="3">
                  <c:v>Canada</c:v>
                </c:pt>
                <c:pt idx="4">
                  <c:v>China</c:v>
                </c:pt>
                <c:pt idx="5">
                  <c:v>Egypt</c:v>
                </c:pt>
                <c:pt idx="6">
                  <c:v>France</c:v>
                </c:pt>
                <c:pt idx="7">
                  <c:v>Germany</c:v>
                </c:pt>
                <c:pt idx="8">
                  <c:v>India</c:v>
                </c:pt>
                <c:pt idx="9">
                  <c:v>Indonesia</c:v>
                </c:pt>
                <c:pt idx="10">
                  <c:v>Italy</c:v>
                </c:pt>
                <c:pt idx="11">
                  <c:v>Japan</c:v>
                </c:pt>
                <c:pt idx="12">
                  <c:v>Mexico</c:v>
                </c:pt>
                <c:pt idx="13">
                  <c:v>Netherlands</c:v>
                </c:pt>
                <c:pt idx="14">
                  <c:v>Not Mentioned</c:v>
                </c:pt>
                <c:pt idx="15">
                  <c:v>Russia</c:v>
                </c:pt>
                <c:pt idx="16">
                  <c:v>South Africa</c:v>
                </c:pt>
                <c:pt idx="17">
                  <c:v>South Korea</c:v>
                </c:pt>
                <c:pt idx="18">
                  <c:v>Spain</c:v>
                </c:pt>
                <c:pt idx="19">
                  <c:v>Turkey</c:v>
                </c:pt>
                <c:pt idx="20">
                  <c:v>UK</c:v>
                </c:pt>
                <c:pt idx="21">
                  <c:v>US</c:v>
                </c:pt>
              </c:strCache>
            </c:strRef>
          </c:cat>
          <c:val>
            <c:numRef>
              <c:f>Pivot!$C$6:$C$28</c:f>
              <c:numCache>
                <c:formatCode>General</c:formatCode>
                <c:ptCount val="22"/>
                <c:pt idx="0">
                  <c:v>24</c:v>
                </c:pt>
                <c:pt idx="1">
                  <c:v>24</c:v>
                </c:pt>
                <c:pt idx="2">
                  <c:v>17</c:v>
                </c:pt>
                <c:pt idx="3">
                  <c:v>38</c:v>
                </c:pt>
                <c:pt idx="4">
                  <c:v>28</c:v>
                </c:pt>
                <c:pt idx="5">
                  <c:v>19</c:v>
                </c:pt>
                <c:pt idx="6">
                  <c:v>19</c:v>
                </c:pt>
                <c:pt idx="7">
                  <c:v>24</c:v>
                </c:pt>
                <c:pt idx="8">
                  <c:v>17</c:v>
                </c:pt>
                <c:pt idx="9">
                  <c:v>24</c:v>
                </c:pt>
                <c:pt idx="10">
                  <c:v>20</c:v>
                </c:pt>
                <c:pt idx="11">
                  <c:v>17</c:v>
                </c:pt>
                <c:pt idx="12">
                  <c:v>25</c:v>
                </c:pt>
                <c:pt idx="13">
                  <c:v>28</c:v>
                </c:pt>
                <c:pt idx="14">
                  <c:v>1</c:v>
                </c:pt>
                <c:pt idx="15">
                  <c:v>27</c:v>
                </c:pt>
                <c:pt idx="16">
                  <c:v>24</c:v>
                </c:pt>
                <c:pt idx="17">
                  <c:v>29</c:v>
                </c:pt>
                <c:pt idx="18">
                  <c:v>19</c:v>
                </c:pt>
                <c:pt idx="19">
                  <c:v>21</c:v>
                </c:pt>
                <c:pt idx="20">
                  <c:v>23</c:v>
                </c:pt>
                <c:pt idx="21">
                  <c:v>22</c:v>
                </c:pt>
              </c:numCache>
            </c:numRef>
          </c:val>
          <c:extLst>
            <c:ext xmlns:c16="http://schemas.microsoft.com/office/drawing/2014/chart" uri="{C3380CC4-5D6E-409C-BE32-E72D297353CC}">
              <c16:uniqueId val="{00000003-BE64-4F33-9A71-47E794D54437}"/>
            </c:ext>
          </c:extLst>
        </c:ser>
        <c:dLbls>
          <c:showLegendKey val="0"/>
          <c:showVal val="0"/>
          <c:showCatName val="0"/>
          <c:showSerName val="0"/>
          <c:showPercent val="0"/>
          <c:showBubbleSize val="0"/>
        </c:dLbls>
        <c:gapWidth val="219"/>
        <c:overlap val="-27"/>
        <c:axId val="31295200"/>
        <c:axId val="53260240"/>
      </c:barChart>
      <c:catAx>
        <c:axId val="31295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60240"/>
        <c:crosses val="autoZero"/>
        <c:auto val="1"/>
        <c:lblAlgn val="ctr"/>
        <c:lblOffset val="100"/>
        <c:noMultiLvlLbl val="0"/>
      </c:catAx>
      <c:valAx>
        <c:axId val="53260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95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 Report.xlsx]Pivot!PivotTable3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Pivot!$B$32:$B$33</c:f>
              <c:strCache>
                <c:ptCount val="1"/>
                <c:pt idx="0">
                  <c:v>Follow-up</c:v>
                </c:pt>
              </c:strCache>
            </c:strRef>
          </c:tx>
          <c:spPr>
            <a:solidFill>
              <a:schemeClr val="accent1"/>
            </a:solidFill>
            <a:ln>
              <a:noFill/>
            </a:ln>
            <a:effectLst/>
          </c:spPr>
          <c:invertIfNegative val="0"/>
          <c:cat>
            <c:strRef>
              <c:f>Pivot!$A$34:$A$45</c:f>
              <c:strCache>
                <c:ptCount val="11"/>
                <c:pt idx="0">
                  <c:v>AI</c:v>
                </c:pt>
                <c:pt idx="1">
                  <c:v>Blockchain Development</c:v>
                </c:pt>
                <c:pt idx="2">
                  <c:v>Cybersecurity</c:v>
                </c:pt>
                <c:pt idx="3">
                  <c:v>Data Analysis</c:v>
                </c:pt>
                <c:pt idx="4">
                  <c:v>DevOps</c:v>
                </c:pt>
                <c:pt idx="5">
                  <c:v>Graphic Design</c:v>
                </c:pt>
                <c:pt idx="6">
                  <c:v>Machine Learning</c:v>
                </c:pt>
                <c:pt idx="7">
                  <c:v>Mobile Apps</c:v>
                </c:pt>
                <c:pt idx="8">
                  <c:v>Not Mentioned</c:v>
                </c:pt>
                <c:pt idx="9">
                  <c:v>UI/UX Design</c:v>
                </c:pt>
                <c:pt idx="10">
                  <c:v>Web Development</c:v>
                </c:pt>
              </c:strCache>
            </c:strRef>
          </c:cat>
          <c:val>
            <c:numRef>
              <c:f>Pivot!$B$34:$B$45</c:f>
              <c:numCache>
                <c:formatCode>General</c:formatCode>
                <c:ptCount val="11"/>
                <c:pt idx="0">
                  <c:v>25</c:v>
                </c:pt>
                <c:pt idx="1">
                  <c:v>29</c:v>
                </c:pt>
                <c:pt idx="2">
                  <c:v>18</c:v>
                </c:pt>
                <c:pt idx="3">
                  <c:v>29</c:v>
                </c:pt>
                <c:pt idx="4">
                  <c:v>25</c:v>
                </c:pt>
                <c:pt idx="5">
                  <c:v>26</c:v>
                </c:pt>
                <c:pt idx="6">
                  <c:v>26</c:v>
                </c:pt>
                <c:pt idx="7">
                  <c:v>26</c:v>
                </c:pt>
                <c:pt idx="9">
                  <c:v>26</c:v>
                </c:pt>
                <c:pt idx="10">
                  <c:v>25</c:v>
                </c:pt>
              </c:numCache>
            </c:numRef>
          </c:val>
          <c:extLst>
            <c:ext xmlns:c16="http://schemas.microsoft.com/office/drawing/2014/chart" uri="{C3380CC4-5D6E-409C-BE32-E72D297353CC}">
              <c16:uniqueId val="{00000000-E4B2-4D65-8999-59A7A73293B3}"/>
            </c:ext>
          </c:extLst>
        </c:ser>
        <c:ser>
          <c:idx val="1"/>
          <c:order val="1"/>
          <c:tx>
            <c:strRef>
              <c:f>Pivot!$C$32:$C$33</c:f>
              <c:strCache>
                <c:ptCount val="1"/>
                <c:pt idx="0">
                  <c:v>Pending</c:v>
                </c:pt>
              </c:strCache>
            </c:strRef>
          </c:tx>
          <c:spPr>
            <a:solidFill>
              <a:schemeClr val="accent2"/>
            </a:solidFill>
            <a:ln>
              <a:noFill/>
            </a:ln>
            <a:effectLst/>
          </c:spPr>
          <c:invertIfNegative val="0"/>
          <c:cat>
            <c:strRef>
              <c:f>Pivot!$A$34:$A$45</c:f>
              <c:strCache>
                <c:ptCount val="11"/>
                <c:pt idx="0">
                  <c:v>AI</c:v>
                </c:pt>
                <c:pt idx="1">
                  <c:v>Blockchain Development</c:v>
                </c:pt>
                <c:pt idx="2">
                  <c:v>Cybersecurity</c:v>
                </c:pt>
                <c:pt idx="3">
                  <c:v>Data Analysis</c:v>
                </c:pt>
                <c:pt idx="4">
                  <c:v>DevOps</c:v>
                </c:pt>
                <c:pt idx="5">
                  <c:v>Graphic Design</c:v>
                </c:pt>
                <c:pt idx="6">
                  <c:v>Machine Learning</c:v>
                </c:pt>
                <c:pt idx="7">
                  <c:v>Mobile Apps</c:v>
                </c:pt>
                <c:pt idx="8">
                  <c:v>Not Mentioned</c:v>
                </c:pt>
                <c:pt idx="9">
                  <c:v>UI/UX Design</c:v>
                </c:pt>
                <c:pt idx="10">
                  <c:v>Web Development</c:v>
                </c:pt>
              </c:strCache>
            </c:strRef>
          </c:cat>
          <c:val>
            <c:numRef>
              <c:f>Pivot!$C$34:$C$45</c:f>
              <c:numCache>
                <c:formatCode>General</c:formatCode>
                <c:ptCount val="11"/>
                <c:pt idx="0">
                  <c:v>30</c:v>
                </c:pt>
                <c:pt idx="1">
                  <c:v>23</c:v>
                </c:pt>
                <c:pt idx="2">
                  <c:v>16</c:v>
                </c:pt>
                <c:pt idx="3">
                  <c:v>24</c:v>
                </c:pt>
                <c:pt idx="4">
                  <c:v>26</c:v>
                </c:pt>
                <c:pt idx="5">
                  <c:v>23</c:v>
                </c:pt>
                <c:pt idx="6">
                  <c:v>26</c:v>
                </c:pt>
                <c:pt idx="7">
                  <c:v>24</c:v>
                </c:pt>
                <c:pt idx="9">
                  <c:v>31</c:v>
                </c:pt>
                <c:pt idx="10">
                  <c:v>24</c:v>
                </c:pt>
              </c:numCache>
            </c:numRef>
          </c:val>
          <c:extLst>
            <c:ext xmlns:c16="http://schemas.microsoft.com/office/drawing/2014/chart" uri="{C3380CC4-5D6E-409C-BE32-E72D297353CC}">
              <c16:uniqueId val="{00000001-E4B2-4D65-8999-59A7A73293B3}"/>
            </c:ext>
          </c:extLst>
        </c:ser>
        <c:ser>
          <c:idx val="2"/>
          <c:order val="2"/>
          <c:tx>
            <c:strRef>
              <c:f>Pivot!$D$32:$D$33</c:f>
              <c:strCache>
                <c:ptCount val="1"/>
                <c:pt idx="0">
                  <c:v>Reviewed</c:v>
                </c:pt>
              </c:strCache>
            </c:strRef>
          </c:tx>
          <c:spPr>
            <a:solidFill>
              <a:schemeClr val="accent3"/>
            </a:solidFill>
            <a:ln>
              <a:noFill/>
            </a:ln>
            <a:effectLst/>
          </c:spPr>
          <c:invertIfNegative val="0"/>
          <c:cat>
            <c:strRef>
              <c:f>Pivot!$A$34:$A$45</c:f>
              <c:strCache>
                <c:ptCount val="11"/>
                <c:pt idx="0">
                  <c:v>AI</c:v>
                </c:pt>
                <c:pt idx="1">
                  <c:v>Blockchain Development</c:v>
                </c:pt>
                <c:pt idx="2">
                  <c:v>Cybersecurity</c:v>
                </c:pt>
                <c:pt idx="3">
                  <c:v>Data Analysis</c:v>
                </c:pt>
                <c:pt idx="4">
                  <c:v>DevOps</c:v>
                </c:pt>
                <c:pt idx="5">
                  <c:v>Graphic Design</c:v>
                </c:pt>
                <c:pt idx="6">
                  <c:v>Machine Learning</c:v>
                </c:pt>
                <c:pt idx="7">
                  <c:v>Mobile Apps</c:v>
                </c:pt>
                <c:pt idx="8">
                  <c:v>Not Mentioned</c:v>
                </c:pt>
                <c:pt idx="9">
                  <c:v>UI/UX Design</c:v>
                </c:pt>
                <c:pt idx="10">
                  <c:v>Web Development</c:v>
                </c:pt>
              </c:strCache>
            </c:strRef>
          </c:cat>
          <c:val>
            <c:numRef>
              <c:f>Pivot!$D$34:$D$45</c:f>
              <c:numCache>
                <c:formatCode>General</c:formatCode>
                <c:ptCount val="11"/>
                <c:pt idx="0">
                  <c:v>17</c:v>
                </c:pt>
                <c:pt idx="1">
                  <c:v>23</c:v>
                </c:pt>
                <c:pt idx="2">
                  <c:v>25</c:v>
                </c:pt>
                <c:pt idx="3">
                  <c:v>21</c:v>
                </c:pt>
                <c:pt idx="4">
                  <c:v>20</c:v>
                </c:pt>
                <c:pt idx="5">
                  <c:v>22</c:v>
                </c:pt>
                <c:pt idx="6">
                  <c:v>18</c:v>
                </c:pt>
                <c:pt idx="7">
                  <c:v>35</c:v>
                </c:pt>
                <c:pt idx="8">
                  <c:v>1</c:v>
                </c:pt>
                <c:pt idx="9">
                  <c:v>31</c:v>
                </c:pt>
                <c:pt idx="10">
                  <c:v>19</c:v>
                </c:pt>
              </c:numCache>
            </c:numRef>
          </c:val>
          <c:extLst>
            <c:ext xmlns:c16="http://schemas.microsoft.com/office/drawing/2014/chart" uri="{C3380CC4-5D6E-409C-BE32-E72D297353CC}">
              <c16:uniqueId val="{00000002-E4B2-4D65-8999-59A7A73293B3}"/>
            </c:ext>
          </c:extLst>
        </c:ser>
        <c:ser>
          <c:idx val="3"/>
          <c:order val="3"/>
          <c:tx>
            <c:strRef>
              <c:f>Pivot!$E$32:$E$33</c:f>
              <c:strCache>
                <c:ptCount val="1"/>
                <c:pt idx="0">
                  <c:v>Urgent</c:v>
                </c:pt>
              </c:strCache>
            </c:strRef>
          </c:tx>
          <c:spPr>
            <a:solidFill>
              <a:schemeClr val="accent4"/>
            </a:solidFill>
            <a:ln>
              <a:noFill/>
            </a:ln>
            <a:effectLst/>
          </c:spPr>
          <c:invertIfNegative val="0"/>
          <c:cat>
            <c:strRef>
              <c:f>Pivot!$A$34:$A$45</c:f>
              <c:strCache>
                <c:ptCount val="11"/>
                <c:pt idx="0">
                  <c:v>AI</c:v>
                </c:pt>
                <c:pt idx="1">
                  <c:v>Blockchain Development</c:v>
                </c:pt>
                <c:pt idx="2">
                  <c:v>Cybersecurity</c:v>
                </c:pt>
                <c:pt idx="3">
                  <c:v>Data Analysis</c:v>
                </c:pt>
                <c:pt idx="4">
                  <c:v>DevOps</c:v>
                </c:pt>
                <c:pt idx="5">
                  <c:v>Graphic Design</c:v>
                </c:pt>
                <c:pt idx="6">
                  <c:v>Machine Learning</c:v>
                </c:pt>
                <c:pt idx="7">
                  <c:v>Mobile Apps</c:v>
                </c:pt>
                <c:pt idx="8">
                  <c:v>Not Mentioned</c:v>
                </c:pt>
                <c:pt idx="9">
                  <c:v>UI/UX Design</c:v>
                </c:pt>
                <c:pt idx="10">
                  <c:v>Web Development</c:v>
                </c:pt>
              </c:strCache>
            </c:strRef>
          </c:cat>
          <c:val>
            <c:numRef>
              <c:f>Pivot!$E$34:$E$45</c:f>
              <c:numCache>
                <c:formatCode>General</c:formatCode>
                <c:ptCount val="11"/>
                <c:pt idx="0">
                  <c:v>28</c:v>
                </c:pt>
                <c:pt idx="1">
                  <c:v>30</c:v>
                </c:pt>
                <c:pt idx="2">
                  <c:v>27</c:v>
                </c:pt>
                <c:pt idx="3">
                  <c:v>21</c:v>
                </c:pt>
                <c:pt idx="4">
                  <c:v>41</c:v>
                </c:pt>
                <c:pt idx="5">
                  <c:v>22</c:v>
                </c:pt>
                <c:pt idx="6">
                  <c:v>23</c:v>
                </c:pt>
                <c:pt idx="7">
                  <c:v>17</c:v>
                </c:pt>
                <c:pt idx="8">
                  <c:v>2</c:v>
                </c:pt>
                <c:pt idx="9">
                  <c:v>21</c:v>
                </c:pt>
                <c:pt idx="10">
                  <c:v>34</c:v>
                </c:pt>
              </c:numCache>
            </c:numRef>
          </c:val>
          <c:extLst>
            <c:ext xmlns:c16="http://schemas.microsoft.com/office/drawing/2014/chart" uri="{C3380CC4-5D6E-409C-BE32-E72D297353CC}">
              <c16:uniqueId val="{00000003-E4B2-4D65-8999-59A7A73293B3}"/>
            </c:ext>
          </c:extLst>
        </c:ser>
        <c:dLbls>
          <c:showLegendKey val="0"/>
          <c:showVal val="0"/>
          <c:showCatName val="0"/>
          <c:showSerName val="0"/>
          <c:showPercent val="0"/>
          <c:showBubbleSize val="0"/>
        </c:dLbls>
        <c:gapWidth val="182"/>
        <c:axId val="930333184"/>
        <c:axId val="930332224"/>
      </c:barChart>
      <c:catAx>
        <c:axId val="930333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332224"/>
        <c:crosses val="autoZero"/>
        <c:auto val="1"/>
        <c:lblAlgn val="ctr"/>
        <c:lblOffset val="100"/>
        <c:noMultiLvlLbl val="0"/>
      </c:catAx>
      <c:valAx>
        <c:axId val="9303322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333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 Report.xlsx]Pivot!PivotTable2</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pivotFmt>
      <c:pivotFmt>
        <c:idx val="213"/>
        <c:spPr>
          <a:solidFill>
            <a:schemeClr val="accent1"/>
          </a:solidFill>
          <a:ln w="19050">
            <a:solidFill>
              <a:schemeClr val="lt1"/>
            </a:solidFill>
          </a:ln>
          <a:effectLst/>
        </c:spPr>
      </c:pivotFmt>
      <c:pivotFmt>
        <c:idx val="214"/>
        <c:spPr>
          <a:solidFill>
            <a:schemeClr val="accent1"/>
          </a:solidFill>
          <a:ln w="19050">
            <a:solidFill>
              <a:schemeClr val="lt1"/>
            </a:solidFill>
          </a:ln>
          <a:effectLst/>
        </c:spPr>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w="19050">
            <a:solidFill>
              <a:schemeClr val="lt1"/>
            </a:solidFill>
          </a:ln>
          <a:effectLst/>
        </c:spPr>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pivotFmt>
      <c:pivotFmt>
        <c:idx val="222"/>
        <c:spPr>
          <a:solidFill>
            <a:schemeClr val="accent1"/>
          </a:solidFill>
          <a:ln w="19050">
            <a:solidFill>
              <a:schemeClr val="lt1"/>
            </a:solidFill>
          </a:ln>
          <a:effectLst/>
        </c:spPr>
      </c:pivotFmt>
      <c:pivotFmt>
        <c:idx val="223"/>
        <c:spPr>
          <a:solidFill>
            <a:schemeClr val="accent1"/>
          </a:solidFill>
          <a:ln w="19050">
            <a:solidFill>
              <a:schemeClr val="lt1"/>
            </a:solidFill>
          </a:ln>
          <a:effectLst/>
        </c:spPr>
      </c:pivotFmt>
      <c:pivotFmt>
        <c:idx val="224"/>
        <c:spPr>
          <a:solidFill>
            <a:schemeClr val="accent1"/>
          </a:solidFill>
          <a:ln w="19050">
            <a:solidFill>
              <a:schemeClr val="lt1"/>
            </a:solidFill>
          </a:ln>
          <a:effectLst/>
        </c:spPr>
      </c:pivotFmt>
      <c:pivotFmt>
        <c:idx val="225"/>
        <c:spPr>
          <a:solidFill>
            <a:schemeClr val="accent1"/>
          </a:solidFill>
          <a:ln w="19050">
            <a:solidFill>
              <a:schemeClr val="lt1"/>
            </a:solidFill>
          </a:ln>
          <a:effectLst/>
        </c:spPr>
      </c:pivotFmt>
      <c:pivotFmt>
        <c:idx val="226"/>
        <c:spPr>
          <a:solidFill>
            <a:schemeClr val="accent1"/>
          </a:solidFill>
          <a:ln w="19050">
            <a:solidFill>
              <a:schemeClr val="lt1"/>
            </a:solidFill>
          </a:ln>
          <a:effectLst/>
        </c:spPr>
      </c:pivotFmt>
      <c:pivotFmt>
        <c:idx val="227"/>
        <c:spPr>
          <a:solidFill>
            <a:schemeClr val="accent1"/>
          </a:solidFill>
          <a:ln w="19050">
            <a:solidFill>
              <a:schemeClr val="lt1"/>
            </a:solidFill>
          </a:ln>
          <a:effectLst/>
        </c:spPr>
      </c:pivotFmt>
      <c:pivotFmt>
        <c:idx val="228"/>
        <c:spPr>
          <a:solidFill>
            <a:schemeClr val="accent1"/>
          </a:solidFill>
          <a:ln w="19050">
            <a:solidFill>
              <a:schemeClr val="lt1"/>
            </a:solidFill>
          </a:ln>
          <a:effectLst/>
        </c:spPr>
      </c:pivotFmt>
      <c:pivotFmt>
        <c:idx val="229"/>
        <c:spPr>
          <a:solidFill>
            <a:schemeClr val="accent1"/>
          </a:solidFill>
          <a:ln w="19050">
            <a:solidFill>
              <a:schemeClr val="lt1"/>
            </a:solidFill>
          </a:ln>
          <a:effectLst/>
        </c:spPr>
      </c:pivotFmt>
      <c:pivotFmt>
        <c:idx val="230"/>
        <c:spPr>
          <a:solidFill>
            <a:schemeClr val="accent1"/>
          </a:solidFill>
          <a:ln w="19050">
            <a:solidFill>
              <a:schemeClr val="lt1"/>
            </a:solidFill>
          </a:ln>
          <a:effectLst/>
        </c:spPr>
      </c:pivotFmt>
      <c:pivotFmt>
        <c:idx val="231"/>
        <c:spPr>
          <a:solidFill>
            <a:schemeClr val="accent1"/>
          </a:solidFill>
          <a:ln w="19050">
            <a:solidFill>
              <a:schemeClr val="lt1"/>
            </a:solidFill>
          </a:ln>
          <a:effectLst/>
        </c:spPr>
      </c:pivotFmt>
      <c:pivotFmt>
        <c:idx val="232"/>
        <c:spPr>
          <a:solidFill>
            <a:schemeClr val="accent1"/>
          </a:solidFill>
          <a:ln w="19050">
            <a:solidFill>
              <a:schemeClr val="lt1"/>
            </a:solidFill>
          </a:ln>
          <a:effectLst/>
        </c:spPr>
      </c:pivotFmt>
      <c:pivotFmt>
        <c:idx val="233"/>
        <c:spPr>
          <a:solidFill>
            <a:schemeClr val="accent1"/>
          </a:solidFill>
          <a:ln w="19050">
            <a:solidFill>
              <a:schemeClr val="lt1"/>
            </a:solidFill>
          </a:ln>
          <a:effectLst/>
        </c:spPr>
      </c:pivotFmt>
      <c:pivotFmt>
        <c:idx val="234"/>
        <c:spPr>
          <a:solidFill>
            <a:schemeClr val="accent1"/>
          </a:solidFill>
          <a:ln w="19050">
            <a:solidFill>
              <a:schemeClr val="lt1"/>
            </a:solidFill>
          </a:ln>
          <a:effectLst/>
        </c:spPr>
      </c:pivotFmt>
      <c:pivotFmt>
        <c:idx val="235"/>
        <c:spPr>
          <a:solidFill>
            <a:schemeClr val="accent1"/>
          </a:solidFill>
          <a:ln w="19050">
            <a:solidFill>
              <a:schemeClr val="lt1"/>
            </a:solidFill>
          </a:ln>
          <a:effectLst/>
        </c:spPr>
      </c:pivotFmt>
      <c:pivotFmt>
        <c:idx val="236"/>
        <c:spPr>
          <a:solidFill>
            <a:schemeClr val="accent1"/>
          </a:solidFill>
          <a:ln w="19050">
            <a:solidFill>
              <a:schemeClr val="lt1"/>
            </a:solidFill>
          </a:ln>
          <a:effectLst/>
        </c:spPr>
      </c:pivotFmt>
      <c:pivotFmt>
        <c:idx val="237"/>
        <c:spPr>
          <a:solidFill>
            <a:schemeClr val="accent1"/>
          </a:solidFill>
          <a:ln w="19050">
            <a:solidFill>
              <a:schemeClr val="lt1"/>
            </a:solidFill>
          </a:ln>
          <a:effectLst/>
        </c:spPr>
      </c:pivotFmt>
      <c:pivotFmt>
        <c:idx val="238"/>
        <c:spPr>
          <a:solidFill>
            <a:schemeClr val="accent1"/>
          </a:solidFill>
          <a:ln w="19050">
            <a:solidFill>
              <a:schemeClr val="lt1"/>
            </a:solidFill>
          </a:ln>
          <a:effectLst/>
        </c:spPr>
      </c:pivotFmt>
      <c:pivotFmt>
        <c:idx val="239"/>
        <c:spPr>
          <a:solidFill>
            <a:schemeClr val="accent1"/>
          </a:solidFill>
          <a:ln w="19050">
            <a:solidFill>
              <a:schemeClr val="lt1"/>
            </a:solidFill>
          </a:ln>
          <a:effectLst/>
        </c:spPr>
      </c:pivotFmt>
      <c:pivotFmt>
        <c:idx val="240"/>
        <c:spPr>
          <a:solidFill>
            <a:schemeClr val="accent1"/>
          </a:solidFill>
          <a:ln w="19050">
            <a:solidFill>
              <a:schemeClr val="lt1"/>
            </a:solidFill>
          </a:ln>
          <a:effectLst/>
        </c:spPr>
      </c:pivotFmt>
      <c:pivotFmt>
        <c:idx val="24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2"/>
        <c:spPr>
          <a:solidFill>
            <a:schemeClr val="accent1"/>
          </a:solidFill>
          <a:ln w="19050">
            <a:solidFill>
              <a:schemeClr val="lt1"/>
            </a:solidFill>
          </a:ln>
          <a:effectLst/>
        </c:spPr>
      </c:pivotFmt>
      <c:pivotFmt>
        <c:idx val="243"/>
        <c:spPr>
          <a:solidFill>
            <a:schemeClr val="accent1"/>
          </a:solidFill>
          <a:ln w="19050">
            <a:solidFill>
              <a:schemeClr val="lt1"/>
            </a:solidFill>
          </a:ln>
          <a:effectLst/>
        </c:spPr>
      </c:pivotFmt>
      <c:pivotFmt>
        <c:idx val="244"/>
        <c:spPr>
          <a:solidFill>
            <a:schemeClr val="accent1"/>
          </a:solidFill>
          <a:ln w="19050">
            <a:solidFill>
              <a:schemeClr val="lt1"/>
            </a:solidFill>
          </a:ln>
          <a:effectLst/>
        </c:spPr>
      </c:pivotFmt>
      <c:pivotFmt>
        <c:idx val="245"/>
        <c:spPr>
          <a:solidFill>
            <a:schemeClr val="accent1"/>
          </a:solidFill>
          <a:ln w="19050">
            <a:solidFill>
              <a:schemeClr val="lt1"/>
            </a:solidFill>
          </a:ln>
          <a:effectLst/>
        </c:spPr>
      </c:pivotFmt>
      <c:pivotFmt>
        <c:idx val="246"/>
        <c:spPr>
          <a:solidFill>
            <a:schemeClr val="accent1"/>
          </a:solidFill>
          <a:ln w="19050">
            <a:solidFill>
              <a:schemeClr val="lt1"/>
            </a:solidFill>
          </a:ln>
          <a:effectLst/>
        </c:spPr>
      </c:pivotFmt>
      <c:pivotFmt>
        <c:idx val="247"/>
        <c:spPr>
          <a:solidFill>
            <a:schemeClr val="accent1"/>
          </a:solidFill>
          <a:ln w="19050">
            <a:solidFill>
              <a:schemeClr val="lt1"/>
            </a:solidFill>
          </a:ln>
          <a:effectLst/>
        </c:spPr>
      </c:pivotFmt>
      <c:pivotFmt>
        <c:idx val="248"/>
        <c:spPr>
          <a:solidFill>
            <a:schemeClr val="accent1"/>
          </a:solidFill>
          <a:ln w="19050">
            <a:solidFill>
              <a:schemeClr val="lt1"/>
            </a:solidFill>
          </a:ln>
          <a:effectLst/>
        </c:spPr>
      </c:pivotFmt>
      <c:pivotFmt>
        <c:idx val="249"/>
        <c:spPr>
          <a:solidFill>
            <a:schemeClr val="accent1"/>
          </a:solidFill>
          <a:ln w="19050">
            <a:solidFill>
              <a:schemeClr val="lt1"/>
            </a:solidFill>
          </a:ln>
          <a:effectLst/>
        </c:spPr>
      </c:pivotFmt>
      <c:pivotFmt>
        <c:idx val="250"/>
        <c:spPr>
          <a:solidFill>
            <a:schemeClr val="accent1"/>
          </a:solidFill>
          <a:ln w="19050">
            <a:solidFill>
              <a:schemeClr val="lt1"/>
            </a:solidFill>
          </a:ln>
          <a:effectLst/>
        </c:spPr>
      </c:pivotFmt>
      <c:pivotFmt>
        <c:idx val="251"/>
        <c:spPr>
          <a:solidFill>
            <a:schemeClr val="accent1"/>
          </a:solidFill>
          <a:ln w="19050">
            <a:solidFill>
              <a:schemeClr val="lt1"/>
            </a:solidFill>
          </a:ln>
          <a:effectLst/>
        </c:spPr>
      </c:pivotFmt>
      <c:pivotFmt>
        <c:idx val="252"/>
        <c:spPr>
          <a:solidFill>
            <a:schemeClr val="accent1"/>
          </a:solidFill>
          <a:ln w="19050">
            <a:solidFill>
              <a:schemeClr val="lt1"/>
            </a:solidFill>
          </a:ln>
          <a:effectLst/>
        </c:spPr>
      </c:pivotFmt>
      <c:pivotFmt>
        <c:idx val="253"/>
        <c:spPr>
          <a:solidFill>
            <a:schemeClr val="accent1"/>
          </a:solidFill>
          <a:ln w="19050">
            <a:solidFill>
              <a:schemeClr val="lt1"/>
            </a:solidFill>
          </a:ln>
          <a:effectLst/>
        </c:spPr>
      </c:pivotFmt>
      <c:pivotFmt>
        <c:idx val="254"/>
        <c:spPr>
          <a:solidFill>
            <a:schemeClr val="accent1"/>
          </a:solidFill>
          <a:ln w="19050">
            <a:solidFill>
              <a:schemeClr val="lt1"/>
            </a:solidFill>
          </a:ln>
          <a:effectLst/>
        </c:spPr>
      </c:pivotFmt>
      <c:pivotFmt>
        <c:idx val="255"/>
        <c:spPr>
          <a:solidFill>
            <a:schemeClr val="accent1"/>
          </a:solidFill>
          <a:ln w="19050">
            <a:solidFill>
              <a:schemeClr val="lt1"/>
            </a:solidFill>
          </a:ln>
          <a:effectLst/>
        </c:spPr>
      </c:pivotFmt>
      <c:pivotFmt>
        <c:idx val="256"/>
        <c:spPr>
          <a:solidFill>
            <a:schemeClr val="accent1"/>
          </a:solidFill>
          <a:ln w="19050">
            <a:solidFill>
              <a:schemeClr val="lt1"/>
            </a:solidFill>
          </a:ln>
          <a:effectLst/>
        </c:spPr>
      </c:pivotFmt>
      <c:pivotFmt>
        <c:idx val="257"/>
        <c:spPr>
          <a:solidFill>
            <a:schemeClr val="accent1"/>
          </a:solidFill>
          <a:ln w="19050">
            <a:solidFill>
              <a:schemeClr val="lt1"/>
            </a:solidFill>
          </a:ln>
          <a:effectLst/>
        </c:spPr>
      </c:pivotFmt>
      <c:pivotFmt>
        <c:idx val="258"/>
        <c:spPr>
          <a:solidFill>
            <a:schemeClr val="accent1"/>
          </a:solidFill>
          <a:ln w="19050">
            <a:solidFill>
              <a:schemeClr val="lt1"/>
            </a:solidFill>
          </a:ln>
          <a:effectLst/>
        </c:spPr>
      </c:pivotFmt>
      <c:pivotFmt>
        <c:idx val="259"/>
        <c:spPr>
          <a:solidFill>
            <a:schemeClr val="accent1"/>
          </a:solidFill>
          <a:ln w="19050">
            <a:solidFill>
              <a:schemeClr val="lt1"/>
            </a:solidFill>
          </a:ln>
          <a:effectLst/>
        </c:spPr>
      </c:pivotFmt>
      <c:pivotFmt>
        <c:idx val="260"/>
        <c:spPr>
          <a:solidFill>
            <a:schemeClr val="accent1"/>
          </a:solidFill>
          <a:ln w="19050">
            <a:solidFill>
              <a:schemeClr val="lt1"/>
            </a:solidFill>
          </a:ln>
          <a:effectLst/>
        </c:spPr>
      </c:pivotFmt>
      <c:pivotFmt>
        <c:idx val="261"/>
        <c:spPr>
          <a:solidFill>
            <a:schemeClr val="accent1"/>
          </a:solidFill>
          <a:ln w="19050">
            <a:solidFill>
              <a:schemeClr val="lt1"/>
            </a:solidFill>
          </a:ln>
          <a:effectLst/>
        </c:spPr>
      </c:pivotFmt>
      <c:pivotFmt>
        <c:idx val="262"/>
        <c:spPr>
          <a:solidFill>
            <a:schemeClr val="accent1"/>
          </a:solidFill>
          <a:ln w="19050">
            <a:solidFill>
              <a:schemeClr val="lt1"/>
            </a:solidFill>
          </a:ln>
          <a:effectLst/>
        </c:spPr>
      </c:pivotFmt>
      <c:pivotFmt>
        <c:idx val="263"/>
        <c:spPr>
          <a:solidFill>
            <a:schemeClr val="accent1"/>
          </a:solidFill>
          <a:ln w="19050">
            <a:solidFill>
              <a:schemeClr val="lt1"/>
            </a:solidFill>
          </a:ln>
          <a:effectLst/>
        </c:spPr>
      </c:pivotFmt>
      <c:pivotFmt>
        <c:idx val="26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5"/>
        <c:spPr>
          <a:solidFill>
            <a:schemeClr val="accent1"/>
          </a:solidFill>
          <a:ln w="19050">
            <a:solidFill>
              <a:schemeClr val="lt1"/>
            </a:solidFill>
          </a:ln>
          <a:effectLst/>
        </c:spPr>
      </c:pivotFmt>
      <c:pivotFmt>
        <c:idx val="266"/>
        <c:spPr>
          <a:solidFill>
            <a:schemeClr val="accent1"/>
          </a:solidFill>
          <a:ln w="19050">
            <a:solidFill>
              <a:schemeClr val="lt1"/>
            </a:solidFill>
          </a:ln>
          <a:effectLst/>
        </c:spPr>
      </c:pivotFmt>
      <c:pivotFmt>
        <c:idx val="267"/>
        <c:spPr>
          <a:solidFill>
            <a:schemeClr val="accent1"/>
          </a:solidFill>
          <a:ln w="19050">
            <a:solidFill>
              <a:schemeClr val="lt1"/>
            </a:solidFill>
          </a:ln>
          <a:effectLst/>
        </c:spPr>
      </c:pivotFmt>
      <c:pivotFmt>
        <c:idx val="268"/>
        <c:spPr>
          <a:solidFill>
            <a:schemeClr val="accent1"/>
          </a:solidFill>
          <a:ln w="19050">
            <a:solidFill>
              <a:schemeClr val="lt1"/>
            </a:solidFill>
          </a:ln>
          <a:effectLst/>
        </c:spPr>
      </c:pivotFmt>
      <c:pivotFmt>
        <c:idx val="269"/>
        <c:spPr>
          <a:solidFill>
            <a:schemeClr val="accent1"/>
          </a:solidFill>
          <a:ln w="19050">
            <a:solidFill>
              <a:schemeClr val="lt1"/>
            </a:solidFill>
          </a:ln>
          <a:effectLst/>
        </c:spPr>
      </c:pivotFmt>
      <c:pivotFmt>
        <c:idx val="270"/>
        <c:spPr>
          <a:solidFill>
            <a:schemeClr val="accent1"/>
          </a:solidFill>
          <a:ln w="19050">
            <a:solidFill>
              <a:schemeClr val="lt1"/>
            </a:solidFill>
          </a:ln>
          <a:effectLst/>
        </c:spPr>
      </c:pivotFmt>
      <c:pivotFmt>
        <c:idx val="271"/>
        <c:spPr>
          <a:solidFill>
            <a:schemeClr val="accent1"/>
          </a:solidFill>
          <a:ln w="19050">
            <a:solidFill>
              <a:schemeClr val="lt1"/>
            </a:solidFill>
          </a:ln>
          <a:effectLst/>
        </c:spPr>
      </c:pivotFmt>
      <c:pivotFmt>
        <c:idx val="272"/>
        <c:spPr>
          <a:solidFill>
            <a:schemeClr val="accent1"/>
          </a:solidFill>
          <a:ln w="19050">
            <a:solidFill>
              <a:schemeClr val="lt1"/>
            </a:solidFill>
          </a:ln>
          <a:effectLst/>
        </c:spPr>
      </c:pivotFmt>
      <c:pivotFmt>
        <c:idx val="273"/>
        <c:spPr>
          <a:solidFill>
            <a:schemeClr val="accent1"/>
          </a:solidFill>
          <a:ln w="19050">
            <a:solidFill>
              <a:schemeClr val="lt1"/>
            </a:solidFill>
          </a:ln>
          <a:effectLst/>
        </c:spPr>
      </c:pivotFmt>
      <c:pivotFmt>
        <c:idx val="274"/>
        <c:spPr>
          <a:solidFill>
            <a:schemeClr val="accent1"/>
          </a:solidFill>
          <a:ln w="19050">
            <a:solidFill>
              <a:schemeClr val="lt1"/>
            </a:solidFill>
          </a:ln>
          <a:effectLst/>
        </c:spPr>
      </c:pivotFmt>
      <c:pivotFmt>
        <c:idx val="275"/>
        <c:spPr>
          <a:solidFill>
            <a:schemeClr val="accent1"/>
          </a:solidFill>
          <a:ln w="19050">
            <a:solidFill>
              <a:schemeClr val="lt1"/>
            </a:solidFill>
          </a:ln>
          <a:effectLst/>
        </c:spPr>
      </c:pivotFmt>
      <c:pivotFmt>
        <c:idx val="276"/>
        <c:spPr>
          <a:solidFill>
            <a:schemeClr val="accent1"/>
          </a:solidFill>
          <a:ln w="19050">
            <a:solidFill>
              <a:schemeClr val="lt1"/>
            </a:solidFill>
          </a:ln>
          <a:effectLst/>
        </c:spPr>
      </c:pivotFmt>
      <c:pivotFmt>
        <c:idx val="277"/>
        <c:spPr>
          <a:solidFill>
            <a:schemeClr val="accent1"/>
          </a:solidFill>
          <a:ln w="19050">
            <a:solidFill>
              <a:schemeClr val="lt1"/>
            </a:solidFill>
          </a:ln>
          <a:effectLst/>
        </c:spPr>
      </c:pivotFmt>
      <c:pivotFmt>
        <c:idx val="278"/>
        <c:spPr>
          <a:solidFill>
            <a:schemeClr val="accent1"/>
          </a:solidFill>
          <a:ln w="19050">
            <a:solidFill>
              <a:schemeClr val="lt1"/>
            </a:solidFill>
          </a:ln>
          <a:effectLst/>
        </c:spPr>
      </c:pivotFmt>
      <c:pivotFmt>
        <c:idx val="279"/>
        <c:spPr>
          <a:solidFill>
            <a:schemeClr val="accent1"/>
          </a:solidFill>
          <a:ln w="19050">
            <a:solidFill>
              <a:schemeClr val="lt1"/>
            </a:solidFill>
          </a:ln>
          <a:effectLst/>
        </c:spPr>
      </c:pivotFmt>
      <c:pivotFmt>
        <c:idx val="280"/>
        <c:spPr>
          <a:solidFill>
            <a:schemeClr val="accent1"/>
          </a:solidFill>
          <a:ln w="19050">
            <a:solidFill>
              <a:schemeClr val="lt1"/>
            </a:solidFill>
          </a:ln>
          <a:effectLst/>
        </c:spPr>
      </c:pivotFmt>
      <c:pivotFmt>
        <c:idx val="281"/>
        <c:spPr>
          <a:solidFill>
            <a:schemeClr val="accent1"/>
          </a:solidFill>
          <a:ln w="19050">
            <a:solidFill>
              <a:schemeClr val="lt1"/>
            </a:solidFill>
          </a:ln>
          <a:effectLst/>
        </c:spPr>
      </c:pivotFmt>
      <c:pivotFmt>
        <c:idx val="282"/>
        <c:spPr>
          <a:solidFill>
            <a:schemeClr val="accent1"/>
          </a:solidFill>
          <a:ln w="19050">
            <a:solidFill>
              <a:schemeClr val="lt1"/>
            </a:solidFill>
          </a:ln>
          <a:effectLst/>
        </c:spPr>
      </c:pivotFmt>
      <c:pivotFmt>
        <c:idx val="283"/>
        <c:spPr>
          <a:solidFill>
            <a:schemeClr val="accent1"/>
          </a:solidFill>
          <a:ln w="19050">
            <a:solidFill>
              <a:schemeClr val="lt1"/>
            </a:solidFill>
          </a:ln>
          <a:effectLst/>
        </c:spPr>
      </c:pivotFmt>
      <c:pivotFmt>
        <c:idx val="284"/>
        <c:spPr>
          <a:solidFill>
            <a:schemeClr val="accent1"/>
          </a:solidFill>
          <a:ln w="19050">
            <a:solidFill>
              <a:schemeClr val="lt1"/>
            </a:solidFill>
          </a:ln>
          <a:effectLst/>
        </c:spPr>
      </c:pivotFmt>
      <c:pivotFmt>
        <c:idx val="285"/>
        <c:spPr>
          <a:solidFill>
            <a:schemeClr val="accent1"/>
          </a:solidFill>
          <a:ln w="19050">
            <a:solidFill>
              <a:schemeClr val="lt1"/>
            </a:solidFill>
          </a:ln>
          <a:effectLst/>
        </c:spPr>
      </c:pivotFmt>
      <c:pivotFmt>
        <c:idx val="286"/>
        <c:spPr>
          <a:solidFill>
            <a:schemeClr val="accent1"/>
          </a:solidFill>
          <a:ln w="19050">
            <a:solidFill>
              <a:schemeClr val="lt1"/>
            </a:solidFill>
          </a:ln>
          <a:effectLst/>
        </c:spPr>
      </c:pivotFmt>
      <c:pivotFmt>
        <c:idx val="28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8"/>
        <c:spPr>
          <a:solidFill>
            <a:schemeClr val="accent1"/>
          </a:solidFill>
          <a:ln w="19050">
            <a:solidFill>
              <a:schemeClr val="lt1"/>
            </a:solidFill>
          </a:ln>
          <a:effectLst/>
        </c:spPr>
      </c:pivotFmt>
      <c:pivotFmt>
        <c:idx val="289"/>
        <c:spPr>
          <a:solidFill>
            <a:schemeClr val="accent1"/>
          </a:solidFill>
          <a:ln w="19050">
            <a:solidFill>
              <a:schemeClr val="lt1"/>
            </a:solidFill>
          </a:ln>
          <a:effectLst/>
        </c:spPr>
      </c:pivotFmt>
      <c:pivotFmt>
        <c:idx val="290"/>
        <c:spPr>
          <a:solidFill>
            <a:schemeClr val="accent1"/>
          </a:solidFill>
          <a:ln w="19050">
            <a:solidFill>
              <a:schemeClr val="lt1"/>
            </a:solidFill>
          </a:ln>
          <a:effectLst/>
        </c:spPr>
      </c:pivotFmt>
      <c:pivotFmt>
        <c:idx val="291"/>
        <c:spPr>
          <a:solidFill>
            <a:schemeClr val="accent1"/>
          </a:solidFill>
          <a:ln w="19050">
            <a:solidFill>
              <a:schemeClr val="lt1"/>
            </a:solidFill>
          </a:ln>
          <a:effectLst/>
        </c:spPr>
      </c:pivotFmt>
      <c:pivotFmt>
        <c:idx val="292"/>
        <c:spPr>
          <a:solidFill>
            <a:schemeClr val="accent1"/>
          </a:solidFill>
          <a:ln w="19050">
            <a:solidFill>
              <a:schemeClr val="lt1"/>
            </a:solidFill>
          </a:ln>
          <a:effectLst/>
        </c:spPr>
      </c:pivotFmt>
      <c:pivotFmt>
        <c:idx val="293"/>
        <c:spPr>
          <a:solidFill>
            <a:schemeClr val="accent1"/>
          </a:solidFill>
          <a:ln w="19050">
            <a:solidFill>
              <a:schemeClr val="lt1"/>
            </a:solidFill>
          </a:ln>
          <a:effectLst/>
        </c:spPr>
      </c:pivotFmt>
      <c:pivotFmt>
        <c:idx val="294"/>
        <c:spPr>
          <a:solidFill>
            <a:schemeClr val="accent1"/>
          </a:solidFill>
          <a:ln w="19050">
            <a:solidFill>
              <a:schemeClr val="lt1"/>
            </a:solidFill>
          </a:ln>
          <a:effectLst/>
        </c:spPr>
      </c:pivotFmt>
      <c:pivotFmt>
        <c:idx val="295"/>
        <c:spPr>
          <a:solidFill>
            <a:schemeClr val="accent1"/>
          </a:solidFill>
          <a:ln w="19050">
            <a:solidFill>
              <a:schemeClr val="lt1"/>
            </a:solidFill>
          </a:ln>
          <a:effectLst/>
        </c:spPr>
      </c:pivotFmt>
      <c:pivotFmt>
        <c:idx val="296"/>
        <c:spPr>
          <a:solidFill>
            <a:schemeClr val="accent1"/>
          </a:solidFill>
          <a:ln w="19050">
            <a:solidFill>
              <a:schemeClr val="lt1"/>
            </a:solidFill>
          </a:ln>
          <a:effectLst/>
        </c:spPr>
      </c:pivotFmt>
      <c:pivotFmt>
        <c:idx val="297"/>
        <c:spPr>
          <a:solidFill>
            <a:schemeClr val="accent1"/>
          </a:solidFill>
          <a:ln w="19050">
            <a:solidFill>
              <a:schemeClr val="lt1"/>
            </a:solidFill>
          </a:ln>
          <a:effectLst/>
        </c:spPr>
      </c:pivotFmt>
      <c:pivotFmt>
        <c:idx val="298"/>
        <c:spPr>
          <a:solidFill>
            <a:schemeClr val="accent1"/>
          </a:solidFill>
          <a:ln w="19050">
            <a:solidFill>
              <a:schemeClr val="lt1"/>
            </a:solidFill>
          </a:ln>
          <a:effectLst/>
        </c:spPr>
      </c:pivotFmt>
      <c:pivotFmt>
        <c:idx val="299"/>
        <c:spPr>
          <a:solidFill>
            <a:schemeClr val="accent1"/>
          </a:solidFill>
          <a:ln w="19050">
            <a:solidFill>
              <a:schemeClr val="lt1"/>
            </a:solidFill>
          </a:ln>
          <a:effectLst/>
        </c:spPr>
      </c:pivotFmt>
      <c:pivotFmt>
        <c:idx val="300"/>
        <c:spPr>
          <a:solidFill>
            <a:schemeClr val="accent1"/>
          </a:solidFill>
          <a:ln w="19050">
            <a:solidFill>
              <a:schemeClr val="lt1"/>
            </a:solidFill>
          </a:ln>
          <a:effectLst/>
        </c:spPr>
      </c:pivotFmt>
      <c:pivotFmt>
        <c:idx val="301"/>
        <c:spPr>
          <a:solidFill>
            <a:schemeClr val="accent1"/>
          </a:solidFill>
          <a:ln w="19050">
            <a:solidFill>
              <a:schemeClr val="lt1"/>
            </a:solidFill>
          </a:ln>
          <a:effectLst/>
        </c:spPr>
      </c:pivotFmt>
      <c:pivotFmt>
        <c:idx val="302"/>
        <c:spPr>
          <a:solidFill>
            <a:schemeClr val="accent1"/>
          </a:solidFill>
          <a:ln w="19050">
            <a:solidFill>
              <a:schemeClr val="lt1"/>
            </a:solidFill>
          </a:ln>
          <a:effectLst/>
        </c:spPr>
      </c:pivotFmt>
      <c:pivotFmt>
        <c:idx val="303"/>
        <c:spPr>
          <a:solidFill>
            <a:schemeClr val="accent1"/>
          </a:solidFill>
          <a:ln w="19050">
            <a:solidFill>
              <a:schemeClr val="lt1"/>
            </a:solidFill>
          </a:ln>
          <a:effectLst/>
        </c:spPr>
      </c:pivotFmt>
      <c:pivotFmt>
        <c:idx val="304"/>
        <c:spPr>
          <a:solidFill>
            <a:schemeClr val="accent1"/>
          </a:solidFill>
          <a:ln w="19050">
            <a:solidFill>
              <a:schemeClr val="lt1"/>
            </a:solidFill>
          </a:ln>
          <a:effectLst/>
        </c:spPr>
      </c:pivotFmt>
      <c:pivotFmt>
        <c:idx val="305"/>
        <c:spPr>
          <a:solidFill>
            <a:schemeClr val="accent1"/>
          </a:solidFill>
          <a:ln w="19050">
            <a:solidFill>
              <a:schemeClr val="lt1"/>
            </a:solidFill>
          </a:ln>
          <a:effectLst/>
        </c:spPr>
      </c:pivotFmt>
      <c:pivotFmt>
        <c:idx val="306"/>
        <c:spPr>
          <a:solidFill>
            <a:schemeClr val="accent1"/>
          </a:solidFill>
          <a:ln w="19050">
            <a:solidFill>
              <a:schemeClr val="lt1"/>
            </a:solidFill>
          </a:ln>
          <a:effectLst/>
        </c:spPr>
      </c:pivotFmt>
      <c:pivotFmt>
        <c:idx val="307"/>
        <c:spPr>
          <a:solidFill>
            <a:schemeClr val="accent1"/>
          </a:solidFill>
          <a:ln w="19050">
            <a:solidFill>
              <a:schemeClr val="lt1"/>
            </a:solidFill>
          </a:ln>
          <a:effectLst/>
        </c:spPr>
      </c:pivotFmt>
      <c:pivotFmt>
        <c:idx val="308"/>
        <c:spPr>
          <a:solidFill>
            <a:schemeClr val="accent1"/>
          </a:solidFill>
          <a:ln w="19050">
            <a:solidFill>
              <a:schemeClr val="lt1"/>
            </a:solidFill>
          </a:ln>
          <a:effectLst/>
        </c:spPr>
      </c:pivotFmt>
      <c:pivotFmt>
        <c:idx val="309"/>
        <c:spPr>
          <a:solidFill>
            <a:schemeClr val="accent1"/>
          </a:solidFill>
          <a:ln w="19050">
            <a:solidFill>
              <a:schemeClr val="lt1"/>
            </a:solidFill>
          </a:ln>
          <a:effectLst/>
        </c:spPr>
      </c:pivotFmt>
      <c:pivotFmt>
        <c:idx val="3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1"/>
        <c:spPr>
          <a:solidFill>
            <a:schemeClr val="accent1"/>
          </a:solidFill>
          <a:ln w="19050">
            <a:solidFill>
              <a:schemeClr val="lt1"/>
            </a:solidFill>
          </a:ln>
          <a:effectLst/>
        </c:spPr>
      </c:pivotFmt>
      <c:pivotFmt>
        <c:idx val="312"/>
        <c:spPr>
          <a:solidFill>
            <a:schemeClr val="accent1"/>
          </a:solidFill>
          <a:ln w="19050">
            <a:solidFill>
              <a:schemeClr val="lt1"/>
            </a:solidFill>
          </a:ln>
          <a:effectLst/>
        </c:spPr>
      </c:pivotFmt>
      <c:pivotFmt>
        <c:idx val="313"/>
        <c:spPr>
          <a:solidFill>
            <a:schemeClr val="accent1"/>
          </a:solidFill>
          <a:ln w="19050">
            <a:solidFill>
              <a:schemeClr val="lt1"/>
            </a:solidFill>
          </a:ln>
          <a:effectLst/>
        </c:spPr>
      </c:pivotFmt>
      <c:pivotFmt>
        <c:idx val="314"/>
        <c:spPr>
          <a:solidFill>
            <a:schemeClr val="accent1"/>
          </a:solidFill>
          <a:ln w="19050">
            <a:solidFill>
              <a:schemeClr val="lt1"/>
            </a:solidFill>
          </a:ln>
          <a:effectLst/>
        </c:spPr>
      </c:pivotFmt>
      <c:pivotFmt>
        <c:idx val="315"/>
        <c:spPr>
          <a:solidFill>
            <a:schemeClr val="accent1"/>
          </a:solidFill>
          <a:ln w="19050">
            <a:solidFill>
              <a:schemeClr val="lt1"/>
            </a:solidFill>
          </a:ln>
          <a:effectLst/>
        </c:spPr>
      </c:pivotFmt>
      <c:pivotFmt>
        <c:idx val="316"/>
        <c:spPr>
          <a:solidFill>
            <a:schemeClr val="accent1"/>
          </a:solidFill>
          <a:ln w="19050">
            <a:solidFill>
              <a:schemeClr val="lt1"/>
            </a:solidFill>
          </a:ln>
          <a:effectLst/>
        </c:spPr>
      </c:pivotFmt>
      <c:pivotFmt>
        <c:idx val="317"/>
        <c:spPr>
          <a:solidFill>
            <a:schemeClr val="accent1"/>
          </a:solidFill>
          <a:ln w="19050">
            <a:solidFill>
              <a:schemeClr val="lt1"/>
            </a:solidFill>
          </a:ln>
          <a:effectLst/>
        </c:spPr>
      </c:pivotFmt>
      <c:pivotFmt>
        <c:idx val="318"/>
        <c:spPr>
          <a:solidFill>
            <a:schemeClr val="accent1"/>
          </a:solidFill>
          <a:ln w="19050">
            <a:solidFill>
              <a:schemeClr val="lt1"/>
            </a:solidFill>
          </a:ln>
          <a:effectLst/>
        </c:spPr>
      </c:pivotFmt>
      <c:pivotFmt>
        <c:idx val="319"/>
        <c:spPr>
          <a:solidFill>
            <a:schemeClr val="accent1"/>
          </a:solidFill>
          <a:ln w="19050">
            <a:solidFill>
              <a:schemeClr val="lt1"/>
            </a:solidFill>
          </a:ln>
          <a:effectLst/>
        </c:spPr>
      </c:pivotFmt>
      <c:pivotFmt>
        <c:idx val="320"/>
        <c:spPr>
          <a:solidFill>
            <a:schemeClr val="accent1"/>
          </a:solidFill>
          <a:ln w="19050">
            <a:solidFill>
              <a:schemeClr val="lt1"/>
            </a:solidFill>
          </a:ln>
          <a:effectLst/>
        </c:spPr>
      </c:pivotFmt>
      <c:pivotFmt>
        <c:idx val="321"/>
        <c:spPr>
          <a:solidFill>
            <a:schemeClr val="accent1"/>
          </a:solidFill>
          <a:ln w="19050">
            <a:solidFill>
              <a:schemeClr val="lt1"/>
            </a:solidFill>
          </a:ln>
          <a:effectLst/>
        </c:spPr>
      </c:pivotFmt>
      <c:pivotFmt>
        <c:idx val="322"/>
        <c:spPr>
          <a:solidFill>
            <a:schemeClr val="accent1"/>
          </a:solidFill>
          <a:ln w="19050">
            <a:solidFill>
              <a:schemeClr val="lt1"/>
            </a:solidFill>
          </a:ln>
          <a:effectLst/>
        </c:spPr>
      </c:pivotFmt>
      <c:pivotFmt>
        <c:idx val="323"/>
        <c:spPr>
          <a:solidFill>
            <a:schemeClr val="accent1"/>
          </a:solidFill>
          <a:ln w="19050">
            <a:solidFill>
              <a:schemeClr val="lt1"/>
            </a:solidFill>
          </a:ln>
          <a:effectLst/>
        </c:spPr>
      </c:pivotFmt>
      <c:pivotFmt>
        <c:idx val="324"/>
        <c:spPr>
          <a:solidFill>
            <a:schemeClr val="accent1"/>
          </a:solidFill>
          <a:ln w="19050">
            <a:solidFill>
              <a:schemeClr val="lt1"/>
            </a:solidFill>
          </a:ln>
          <a:effectLst/>
        </c:spPr>
      </c:pivotFmt>
      <c:pivotFmt>
        <c:idx val="325"/>
        <c:spPr>
          <a:solidFill>
            <a:schemeClr val="accent1"/>
          </a:solidFill>
          <a:ln w="19050">
            <a:solidFill>
              <a:schemeClr val="lt1"/>
            </a:solidFill>
          </a:ln>
          <a:effectLst/>
        </c:spPr>
      </c:pivotFmt>
      <c:pivotFmt>
        <c:idx val="326"/>
        <c:spPr>
          <a:solidFill>
            <a:schemeClr val="accent1"/>
          </a:solidFill>
          <a:ln w="19050">
            <a:solidFill>
              <a:schemeClr val="lt1"/>
            </a:solidFill>
          </a:ln>
          <a:effectLst/>
        </c:spPr>
      </c:pivotFmt>
      <c:pivotFmt>
        <c:idx val="327"/>
        <c:spPr>
          <a:solidFill>
            <a:schemeClr val="accent1"/>
          </a:solidFill>
          <a:ln w="19050">
            <a:solidFill>
              <a:schemeClr val="lt1"/>
            </a:solidFill>
          </a:ln>
          <a:effectLst/>
        </c:spPr>
      </c:pivotFmt>
      <c:pivotFmt>
        <c:idx val="328"/>
        <c:spPr>
          <a:solidFill>
            <a:schemeClr val="accent1"/>
          </a:solidFill>
          <a:ln w="19050">
            <a:solidFill>
              <a:schemeClr val="lt1"/>
            </a:solidFill>
          </a:ln>
          <a:effectLst/>
        </c:spPr>
      </c:pivotFmt>
      <c:pivotFmt>
        <c:idx val="329"/>
        <c:spPr>
          <a:solidFill>
            <a:schemeClr val="accent1"/>
          </a:solidFill>
          <a:ln w="19050">
            <a:solidFill>
              <a:schemeClr val="lt1"/>
            </a:solidFill>
          </a:ln>
          <a:effectLst/>
        </c:spPr>
      </c:pivotFmt>
      <c:pivotFmt>
        <c:idx val="330"/>
        <c:spPr>
          <a:solidFill>
            <a:schemeClr val="accent1"/>
          </a:solidFill>
          <a:ln w="19050">
            <a:solidFill>
              <a:schemeClr val="lt1"/>
            </a:solidFill>
          </a:ln>
          <a:effectLst/>
        </c:spPr>
      </c:pivotFmt>
      <c:pivotFmt>
        <c:idx val="331"/>
        <c:spPr>
          <a:solidFill>
            <a:schemeClr val="accent1"/>
          </a:solidFill>
          <a:ln w="19050">
            <a:solidFill>
              <a:schemeClr val="lt1"/>
            </a:solidFill>
          </a:ln>
          <a:effectLst/>
        </c:spPr>
      </c:pivotFmt>
      <c:pivotFmt>
        <c:idx val="332"/>
        <c:spPr>
          <a:solidFill>
            <a:schemeClr val="accent1"/>
          </a:solidFill>
          <a:ln w="19050">
            <a:solidFill>
              <a:schemeClr val="lt1"/>
            </a:solidFill>
          </a:ln>
          <a:effectLst/>
        </c:spPr>
      </c:pivotFmt>
      <c:pivotFmt>
        <c:idx val="3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4"/>
        <c:spPr>
          <a:solidFill>
            <a:schemeClr val="accent1"/>
          </a:solidFill>
          <a:ln w="19050">
            <a:solidFill>
              <a:schemeClr val="lt1"/>
            </a:solidFill>
          </a:ln>
          <a:effectLst/>
        </c:spPr>
      </c:pivotFmt>
      <c:pivotFmt>
        <c:idx val="335"/>
        <c:spPr>
          <a:solidFill>
            <a:schemeClr val="accent1"/>
          </a:solidFill>
          <a:ln w="19050">
            <a:solidFill>
              <a:schemeClr val="lt1"/>
            </a:solidFill>
          </a:ln>
          <a:effectLst/>
        </c:spPr>
      </c:pivotFmt>
      <c:pivotFmt>
        <c:idx val="336"/>
        <c:spPr>
          <a:solidFill>
            <a:schemeClr val="accent1"/>
          </a:solidFill>
          <a:ln w="19050">
            <a:solidFill>
              <a:schemeClr val="lt1"/>
            </a:solidFill>
          </a:ln>
          <a:effectLst/>
        </c:spPr>
      </c:pivotFmt>
      <c:pivotFmt>
        <c:idx val="337"/>
        <c:spPr>
          <a:solidFill>
            <a:schemeClr val="accent1"/>
          </a:solidFill>
          <a:ln w="19050">
            <a:solidFill>
              <a:schemeClr val="lt1"/>
            </a:solidFill>
          </a:ln>
          <a:effectLst/>
        </c:spPr>
      </c:pivotFmt>
      <c:pivotFmt>
        <c:idx val="338"/>
        <c:spPr>
          <a:solidFill>
            <a:schemeClr val="accent1"/>
          </a:solidFill>
          <a:ln w="19050">
            <a:solidFill>
              <a:schemeClr val="lt1"/>
            </a:solidFill>
          </a:ln>
          <a:effectLst/>
        </c:spPr>
      </c:pivotFmt>
      <c:pivotFmt>
        <c:idx val="339"/>
        <c:spPr>
          <a:solidFill>
            <a:schemeClr val="accent1"/>
          </a:solidFill>
          <a:ln w="19050">
            <a:solidFill>
              <a:schemeClr val="lt1"/>
            </a:solidFill>
          </a:ln>
          <a:effectLst/>
        </c:spPr>
      </c:pivotFmt>
      <c:pivotFmt>
        <c:idx val="340"/>
        <c:spPr>
          <a:solidFill>
            <a:schemeClr val="accent1"/>
          </a:solidFill>
          <a:ln w="19050">
            <a:solidFill>
              <a:schemeClr val="lt1"/>
            </a:solidFill>
          </a:ln>
          <a:effectLst/>
        </c:spPr>
      </c:pivotFmt>
      <c:pivotFmt>
        <c:idx val="341"/>
        <c:spPr>
          <a:solidFill>
            <a:schemeClr val="accent1"/>
          </a:solidFill>
          <a:ln w="19050">
            <a:solidFill>
              <a:schemeClr val="lt1"/>
            </a:solidFill>
          </a:ln>
          <a:effectLst/>
        </c:spPr>
      </c:pivotFmt>
      <c:pivotFmt>
        <c:idx val="342"/>
        <c:spPr>
          <a:solidFill>
            <a:schemeClr val="accent1"/>
          </a:solidFill>
          <a:ln w="19050">
            <a:solidFill>
              <a:schemeClr val="lt1"/>
            </a:solidFill>
          </a:ln>
          <a:effectLst/>
        </c:spPr>
      </c:pivotFmt>
      <c:pivotFmt>
        <c:idx val="343"/>
        <c:spPr>
          <a:solidFill>
            <a:schemeClr val="accent1"/>
          </a:solidFill>
          <a:ln w="19050">
            <a:solidFill>
              <a:schemeClr val="lt1"/>
            </a:solidFill>
          </a:ln>
          <a:effectLst/>
        </c:spPr>
      </c:pivotFmt>
      <c:pivotFmt>
        <c:idx val="344"/>
        <c:spPr>
          <a:solidFill>
            <a:schemeClr val="accent1"/>
          </a:solidFill>
          <a:ln w="19050">
            <a:solidFill>
              <a:schemeClr val="lt1"/>
            </a:solidFill>
          </a:ln>
          <a:effectLst/>
        </c:spPr>
      </c:pivotFmt>
      <c:pivotFmt>
        <c:idx val="345"/>
        <c:spPr>
          <a:solidFill>
            <a:schemeClr val="accent1"/>
          </a:solidFill>
          <a:ln w="19050">
            <a:solidFill>
              <a:schemeClr val="lt1"/>
            </a:solidFill>
          </a:ln>
          <a:effectLst/>
        </c:spPr>
      </c:pivotFmt>
      <c:pivotFmt>
        <c:idx val="346"/>
        <c:spPr>
          <a:solidFill>
            <a:schemeClr val="accent1"/>
          </a:solidFill>
          <a:ln w="19050">
            <a:solidFill>
              <a:schemeClr val="lt1"/>
            </a:solidFill>
          </a:ln>
          <a:effectLst/>
        </c:spPr>
      </c:pivotFmt>
      <c:pivotFmt>
        <c:idx val="347"/>
        <c:spPr>
          <a:solidFill>
            <a:schemeClr val="accent1"/>
          </a:solidFill>
          <a:ln w="19050">
            <a:solidFill>
              <a:schemeClr val="lt1"/>
            </a:solidFill>
          </a:ln>
          <a:effectLst/>
        </c:spPr>
      </c:pivotFmt>
      <c:pivotFmt>
        <c:idx val="348"/>
        <c:spPr>
          <a:solidFill>
            <a:schemeClr val="accent1"/>
          </a:solidFill>
          <a:ln w="19050">
            <a:solidFill>
              <a:schemeClr val="lt1"/>
            </a:solidFill>
          </a:ln>
          <a:effectLst/>
        </c:spPr>
      </c:pivotFmt>
      <c:pivotFmt>
        <c:idx val="349"/>
        <c:spPr>
          <a:solidFill>
            <a:schemeClr val="accent1"/>
          </a:solidFill>
          <a:ln w="19050">
            <a:solidFill>
              <a:schemeClr val="lt1"/>
            </a:solidFill>
          </a:ln>
          <a:effectLst/>
        </c:spPr>
      </c:pivotFmt>
      <c:pivotFmt>
        <c:idx val="350"/>
        <c:spPr>
          <a:solidFill>
            <a:schemeClr val="accent1"/>
          </a:solidFill>
          <a:ln w="19050">
            <a:solidFill>
              <a:schemeClr val="lt1"/>
            </a:solidFill>
          </a:ln>
          <a:effectLst/>
        </c:spPr>
      </c:pivotFmt>
      <c:pivotFmt>
        <c:idx val="351"/>
        <c:spPr>
          <a:solidFill>
            <a:schemeClr val="accent1"/>
          </a:solidFill>
          <a:ln w="19050">
            <a:solidFill>
              <a:schemeClr val="lt1"/>
            </a:solidFill>
          </a:ln>
          <a:effectLst/>
        </c:spPr>
      </c:pivotFmt>
      <c:pivotFmt>
        <c:idx val="352"/>
        <c:spPr>
          <a:solidFill>
            <a:schemeClr val="accent1"/>
          </a:solidFill>
          <a:ln w="19050">
            <a:solidFill>
              <a:schemeClr val="lt1"/>
            </a:solidFill>
          </a:ln>
          <a:effectLst/>
        </c:spPr>
      </c:pivotFmt>
      <c:pivotFmt>
        <c:idx val="353"/>
        <c:spPr>
          <a:solidFill>
            <a:schemeClr val="accent1"/>
          </a:solidFill>
          <a:ln w="19050">
            <a:solidFill>
              <a:schemeClr val="lt1"/>
            </a:solidFill>
          </a:ln>
          <a:effectLst/>
        </c:spPr>
      </c:pivotFmt>
      <c:pivotFmt>
        <c:idx val="354"/>
        <c:spPr>
          <a:solidFill>
            <a:schemeClr val="accent1"/>
          </a:solidFill>
          <a:ln w="19050">
            <a:solidFill>
              <a:schemeClr val="lt1"/>
            </a:solidFill>
          </a:ln>
          <a:effectLst/>
        </c:spPr>
      </c:pivotFmt>
      <c:pivotFmt>
        <c:idx val="355"/>
        <c:spPr>
          <a:solidFill>
            <a:schemeClr val="accent1"/>
          </a:solidFill>
          <a:ln w="19050">
            <a:solidFill>
              <a:schemeClr val="lt1"/>
            </a:solidFill>
          </a:ln>
          <a:effectLst/>
        </c:spPr>
      </c:pivotFmt>
      <c:pivotFmt>
        <c:idx val="35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7"/>
        <c:spPr>
          <a:solidFill>
            <a:schemeClr val="accent1"/>
          </a:solidFill>
          <a:ln w="19050">
            <a:solidFill>
              <a:schemeClr val="lt1"/>
            </a:solidFill>
          </a:ln>
          <a:effectLst/>
        </c:spPr>
      </c:pivotFmt>
      <c:pivotFmt>
        <c:idx val="358"/>
        <c:spPr>
          <a:solidFill>
            <a:schemeClr val="accent1"/>
          </a:solidFill>
          <a:ln w="19050">
            <a:solidFill>
              <a:schemeClr val="lt1"/>
            </a:solidFill>
          </a:ln>
          <a:effectLst/>
        </c:spPr>
      </c:pivotFmt>
      <c:pivotFmt>
        <c:idx val="359"/>
        <c:spPr>
          <a:solidFill>
            <a:schemeClr val="accent1"/>
          </a:solidFill>
          <a:ln w="19050">
            <a:solidFill>
              <a:schemeClr val="lt1"/>
            </a:solidFill>
          </a:ln>
          <a:effectLst/>
        </c:spPr>
      </c:pivotFmt>
      <c:pivotFmt>
        <c:idx val="360"/>
        <c:spPr>
          <a:solidFill>
            <a:schemeClr val="accent1"/>
          </a:solidFill>
          <a:ln w="19050">
            <a:solidFill>
              <a:schemeClr val="lt1"/>
            </a:solidFill>
          </a:ln>
          <a:effectLst/>
        </c:spPr>
      </c:pivotFmt>
      <c:pivotFmt>
        <c:idx val="361"/>
        <c:spPr>
          <a:solidFill>
            <a:schemeClr val="accent1"/>
          </a:solidFill>
          <a:ln w="19050">
            <a:solidFill>
              <a:schemeClr val="lt1"/>
            </a:solidFill>
          </a:ln>
          <a:effectLst/>
        </c:spPr>
      </c:pivotFmt>
      <c:pivotFmt>
        <c:idx val="362"/>
        <c:spPr>
          <a:solidFill>
            <a:schemeClr val="accent1"/>
          </a:solidFill>
          <a:ln w="19050">
            <a:solidFill>
              <a:schemeClr val="lt1"/>
            </a:solidFill>
          </a:ln>
          <a:effectLst/>
        </c:spPr>
      </c:pivotFmt>
      <c:pivotFmt>
        <c:idx val="363"/>
        <c:spPr>
          <a:solidFill>
            <a:schemeClr val="accent1"/>
          </a:solidFill>
          <a:ln w="19050">
            <a:solidFill>
              <a:schemeClr val="lt1"/>
            </a:solidFill>
          </a:ln>
          <a:effectLst/>
        </c:spPr>
      </c:pivotFmt>
      <c:pivotFmt>
        <c:idx val="364"/>
        <c:spPr>
          <a:solidFill>
            <a:schemeClr val="accent1"/>
          </a:solidFill>
          <a:ln w="19050">
            <a:solidFill>
              <a:schemeClr val="lt1"/>
            </a:solidFill>
          </a:ln>
          <a:effectLst/>
        </c:spPr>
      </c:pivotFmt>
      <c:pivotFmt>
        <c:idx val="365"/>
        <c:spPr>
          <a:solidFill>
            <a:schemeClr val="accent1"/>
          </a:solidFill>
          <a:ln w="19050">
            <a:solidFill>
              <a:schemeClr val="lt1"/>
            </a:solidFill>
          </a:ln>
          <a:effectLst/>
        </c:spPr>
      </c:pivotFmt>
      <c:pivotFmt>
        <c:idx val="366"/>
        <c:spPr>
          <a:solidFill>
            <a:schemeClr val="accent1"/>
          </a:solidFill>
          <a:ln w="19050">
            <a:solidFill>
              <a:schemeClr val="lt1"/>
            </a:solidFill>
          </a:ln>
          <a:effectLst/>
        </c:spPr>
      </c:pivotFmt>
      <c:pivotFmt>
        <c:idx val="367"/>
        <c:spPr>
          <a:solidFill>
            <a:schemeClr val="accent1"/>
          </a:solidFill>
          <a:ln w="19050">
            <a:solidFill>
              <a:schemeClr val="lt1"/>
            </a:solidFill>
          </a:ln>
          <a:effectLst/>
        </c:spPr>
      </c:pivotFmt>
      <c:pivotFmt>
        <c:idx val="368"/>
        <c:spPr>
          <a:solidFill>
            <a:schemeClr val="accent1"/>
          </a:solidFill>
          <a:ln w="19050">
            <a:solidFill>
              <a:schemeClr val="lt1"/>
            </a:solidFill>
          </a:ln>
          <a:effectLst/>
        </c:spPr>
      </c:pivotFmt>
      <c:pivotFmt>
        <c:idx val="369"/>
        <c:spPr>
          <a:solidFill>
            <a:schemeClr val="accent1"/>
          </a:solidFill>
          <a:ln w="19050">
            <a:solidFill>
              <a:schemeClr val="lt1"/>
            </a:solidFill>
          </a:ln>
          <a:effectLst/>
        </c:spPr>
      </c:pivotFmt>
      <c:pivotFmt>
        <c:idx val="370"/>
        <c:spPr>
          <a:solidFill>
            <a:schemeClr val="accent1"/>
          </a:solidFill>
          <a:ln w="19050">
            <a:solidFill>
              <a:schemeClr val="lt1"/>
            </a:solidFill>
          </a:ln>
          <a:effectLst/>
        </c:spPr>
      </c:pivotFmt>
      <c:pivotFmt>
        <c:idx val="371"/>
        <c:spPr>
          <a:solidFill>
            <a:schemeClr val="accent1"/>
          </a:solidFill>
          <a:ln w="19050">
            <a:solidFill>
              <a:schemeClr val="lt1"/>
            </a:solidFill>
          </a:ln>
          <a:effectLst/>
        </c:spPr>
      </c:pivotFmt>
      <c:pivotFmt>
        <c:idx val="372"/>
        <c:spPr>
          <a:solidFill>
            <a:schemeClr val="accent1"/>
          </a:solidFill>
          <a:ln w="19050">
            <a:solidFill>
              <a:schemeClr val="lt1"/>
            </a:solidFill>
          </a:ln>
          <a:effectLst/>
        </c:spPr>
      </c:pivotFmt>
      <c:pivotFmt>
        <c:idx val="373"/>
        <c:spPr>
          <a:solidFill>
            <a:schemeClr val="accent1"/>
          </a:solidFill>
          <a:ln w="19050">
            <a:solidFill>
              <a:schemeClr val="lt1"/>
            </a:solidFill>
          </a:ln>
          <a:effectLst/>
        </c:spPr>
      </c:pivotFmt>
      <c:pivotFmt>
        <c:idx val="374"/>
        <c:spPr>
          <a:solidFill>
            <a:schemeClr val="accent1"/>
          </a:solidFill>
          <a:ln w="19050">
            <a:solidFill>
              <a:schemeClr val="lt1"/>
            </a:solidFill>
          </a:ln>
          <a:effectLst/>
        </c:spPr>
      </c:pivotFmt>
      <c:pivotFmt>
        <c:idx val="375"/>
        <c:spPr>
          <a:solidFill>
            <a:schemeClr val="accent1"/>
          </a:solidFill>
          <a:ln w="19050">
            <a:solidFill>
              <a:schemeClr val="lt1"/>
            </a:solidFill>
          </a:ln>
          <a:effectLst/>
        </c:spPr>
      </c:pivotFmt>
      <c:pivotFmt>
        <c:idx val="376"/>
        <c:spPr>
          <a:solidFill>
            <a:schemeClr val="accent1"/>
          </a:solidFill>
          <a:ln w="19050">
            <a:solidFill>
              <a:schemeClr val="lt1"/>
            </a:solidFill>
          </a:ln>
          <a:effectLst/>
        </c:spPr>
      </c:pivotFmt>
      <c:pivotFmt>
        <c:idx val="377"/>
        <c:spPr>
          <a:solidFill>
            <a:schemeClr val="accent1"/>
          </a:solidFill>
          <a:ln w="19050">
            <a:solidFill>
              <a:schemeClr val="lt1"/>
            </a:solidFill>
          </a:ln>
          <a:effectLst/>
        </c:spPr>
      </c:pivotFmt>
      <c:pivotFmt>
        <c:idx val="378"/>
        <c:spPr>
          <a:solidFill>
            <a:schemeClr val="accent1"/>
          </a:solidFill>
          <a:ln w="19050">
            <a:solidFill>
              <a:schemeClr val="lt1"/>
            </a:solidFill>
          </a:ln>
          <a:effectLst/>
        </c:spPr>
      </c:pivotFmt>
      <c:pivotFmt>
        <c:idx val="37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0"/>
        <c:spPr>
          <a:solidFill>
            <a:schemeClr val="accent1"/>
          </a:solidFill>
          <a:ln w="19050">
            <a:solidFill>
              <a:schemeClr val="lt1"/>
            </a:solidFill>
          </a:ln>
          <a:effectLst/>
        </c:spPr>
      </c:pivotFmt>
      <c:pivotFmt>
        <c:idx val="381"/>
        <c:spPr>
          <a:solidFill>
            <a:schemeClr val="accent1"/>
          </a:solidFill>
          <a:ln w="19050">
            <a:solidFill>
              <a:schemeClr val="lt1"/>
            </a:solidFill>
          </a:ln>
          <a:effectLst/>
        </c:spPr>
      </c:pivotFmt>
      <c:pivotFmt>
        <c:idx val="382"/>
        <c:spPr>
          <a:solidFill>
            <a:schemeClr val="accent1"/>
          </a:solidFill>
          <a:ln w="19050">
            <a:solidFill>
              <a:schemeClr val="lt1"/>
            </a:solidFill>
          </a:ln>
          <a:effectLst/>
        </c:spPr>
      </c:pivotFmt>
      <c:pivotFmt>
        <c:idx val="383"/>
        <c:spPr>
          <a:solidFill>
            <a:schemeClr val="accent1"/>
          </a:solidFill>
          <a:ln w="19050">
            <a:solidFill>
              <a:schemeClr val="lt1"/>
            </a:solidFill>
          </a:ln>
          <a:effectLst/>
        </c:spPr>
      </c:pivotFmt>
      <c:pivotFmt>
        <c:idx val="384"/>
        <c:spPr>
          <a:solidFill>
            <a:schemeClr val="accent1"/>
          </a:solidFill>
          <a:ln w="19050">
            <a:solidFill>
              <a:schemeClr val="lt1"/>
            </a:solidFill>
          </a:ln>
          <a:effectLst/>
        </c:spPr>
      </c:pivotFmt>
      <c:pivotFmt>
        <c:idx val="385"/>
        <c:spPr>
          <a:solidFill>
            <a:schemeClr val="accent1"/>
          </a:solidFill>
          <a:ln w="19050">
            <a:solidFill>
              <a:schemeClr val="lt1"/>
            </a:solidFill>
          </a:ln>
          <a:effectLst/>
        </c:spPr>
      </c:pivotFmt>
      <c:pivotFmt>
        <c:idx val="386"/>
        <c:spPr>
          <a:solidFill>
            <a:schemeClr val="accent1"/>
          </a:solidFill>
          <a:ln w="19050">
            <a:solidFill>
              <a:schemeClr val="lt1"/>
            </a:solidFill>
          </a:ln>
          <a:effectLst/>
        </c:spPr>
      </c:pivotFmt>
      <c:pivotFmt>
        <c:idx val="387"/>
        <c:spPr>
          <a:solidFill>
            <a:schemeClr val="accent1"/>
          </a:solidFill>
          <a:ln w="19050">
            <a:solidFill>
              <a:schemeClr val="lt1"/>
            </a:solidFill>
          </a:ln>
          <a:effectLst/>
        </c:spPr>
      </c:pivotFmt>
      <c:pivotFmt>
        <c:idx val="388"/>
        <c:spPr>
          <a:solidFill>
            <a:schemeClr val="accent1"/>
          </a:solidFill>
          <a:ln w="19050">
            <a:solidFill>
              <a:schemeClr val="lt1"/>
            </a:solidFill>
          </a:ln>
          <a:effectLst/>
        </c:spPr>
      </c:pivotFmt>
      <c:pivotFmt>
        <c:idx val="389"/>
        <c:spPr>
          <a:solidFill>
            <a:schemeClr val="accent1"/>
          </a:solidFill>
          <a:ln w="19050">
            <a:solidFill>
              <a:schemeClr val="lt1"/>
            </a:solidFill>
          </a:ln>
          <a:effectLst/>
        </c:spPr>
      </c:pivotFmt>
      <c:pivotFmt>
        <c:idx val="390"/>
        <c:spPr>
          <a:solidFill>
            <a:schemeClr val="accent1"/>
          </a:solidFill>
          <a:ln w="19050">
            <a:solidFill>
              <a:schemeClr val="lt1"/>
            </a:solidFill>
          </a:ln>
          <a:effectLst/>
        </c:spPr>
      </c:pivotFmt>
      <c:pivotFmt>
        <c:idx val="391"/>
        <c:spPr>
          <a:solidFill>
            <a:schemeClr val="accent1"/>
          </a:solidFill>
          <a:ln w="19050">
            <a:solidFill>
              <a:schemeClr val="lt1"/>
            </a:solidFill>
          </a:ln>
          <a:effectLst/>
        </c:spPr>
      </c:pivotFmt>
      <c:pivotFmt>
        <c:idx val="392"/>
        <c:spPr>
          <a:solidFill>
            <a:schemeClr val="accent1"/>
          </a:solidFill>
          <a:ln w="19050">
            <a:solidFill>
              <a:schemeClr val="lt1"/>
            </a:solidFill>
          </a:ln>
          <a:effectLst/>
        </c:spPr>
      </c:pivotFmt>
      <c:pivotFmt>
        <c:idx val="393"/>
        <c:spPr>
          <a:solidFill>
            <a:schemeClr val="accent1"/>
          </a:solidFill>
          <a:ln w="19050">
            <a:solidFill>
              <a:schemeClr val="lt1"/>
            </a:solidFill>
          </a:ln>
          <a:effectLst/>
        </c:spPr>
      </c:pivotFmt>
      <c:pivotFmt>
        <c:idx val="394"/>
        <c:spPr>
          <a:solidFill>
            <a:schemeClr val="accent1"/>
          </a:solidFill>
          <a:ln w="19050">
            <a:solidFill>
              <a:schemeClr val="lt1"/>
            </a:solidFill>
          </a:ln>
          <a:effectLst/>
        </c:spPr>
      </c:pivotFmt>
      <c:pivotFmt>
        <c:idx val="395"/>
        <c:spPr>
          <a:solidFill>
            <a:schemeClr val="accent1"/>
          </a:solidFill>
          <a:ln w="19050">
            <a:solidFill>
              <a:schemeClr val="lt1"/>
            </a:solidFill>
          </a:ln>
          <a:effectLst/>
        </c:spPr>
      </c:pivotFmt>
      <c:pivotFmt>
        <c:idx val="396"/>
        <c:spPr>
          <a:solidFill>
            <a:schemeClr val="accent1"/>
          </a:solidFill>
          <a:ln w="19050">
            <a:solidFill>
              <a:schemeClr val="lt1"/>
            </a:solidFill>
          </a:ln>
          <a:effectLst/>
        </c:spPr>
      </c:pivotFmt>
      <c:pivotFmt>
        <c:idx val="397"/>
        <c:spPr>
          <a:solidFill>
            <a:schemeClr val="accent1"/>
          </a:solidFill>
          <a:ln w="19050">
            <a:solidFill>
              <a:schemeClr val="lt1"/>
            </a:solidFill>
          </a:ln>
          <a:effectLst/>
        </c:spPr>
      </c:pivotFmt>
      <c:pivotFmt>
        <c:idx val="398"/>
        <c:spPr>
          <a:solidFill>
            <a:schemeClr val="accent1"/>
          </a:solidFill>
          <a:ln w="19050">
            <a:solidFill>
              <a:schemeClr val="lt1"/>
            </a:solidFill>
          </a:ln>
          <a:effectLst/>
        </c:spPr>
      </c:pivotFmt>
      <c:pivotFmt>
        <c:idx val="399"/>
        <c:spPr>
          <a:solidFill>
            <a:schemeClr val="accent1"/>
          </a:solidFill>
          <a:ln w="19050">
            <a:solidFill>
              <a:schemeClr val="lt1"/>
            </a:solidFill>
          </a:ln>
          <a:effectLst/>
        </c:spPr>
      </c:pivotFmt>
      <c:pivotFmt>
        <c:idx val="400"/>
        <c:spPr>
          <a:solidFill>
            <a:schemeClr val="accent1"/>
          </a:solidFill>
          <a:ln w="19050">
            <a:solidFill>
              <a:schemeClr val="lt1"/>
            </a:solidFill>
          </a:ln>
          <a:effectLst/>
        </c:spPr>
      </c:pivotFmt>
      <c:pivotFmt>
        <c:idx val="401"/>
        <c:spPr>
          <a:solidFill>
            <a:schemeClr val="accent1"/>
          </a:solidFill>
          <a:ln w="19050">
            <a:solidFill>
              <a:schemeClr val="lt1"/>
            </a:solidFill>
          </a:ln>
          <a:effectLst/>
        </c:spPr>
      </c:pivotFmt>
      <c:pivotFmt>
        <c:idx val="40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3"/>
        <c:spPr>
          <a:solidFill>
            <a:schemeClr val="accent1"/>
          </a:solidFill>
          <a:ln w="19050">
            <a:solidFill>
              <a:schemeClr val="lt1"/>
            </a:solidFill>
          </a:ln>
          <a:effectLst/>
        </c:spPr>
      </c:pivotFmt>
      <c:pivotFmt>
        <c:idx val="404"/>
        <c:spPr>
          <a:solidFill>
            <a:schemeClr val="accent1"/>
          </a:solidFill>
          <a:ln w="19050">
            <a:solidFill>
              <a:schemeClr val="lt1"/>
            </a:solidFill>
          </a:ln>
          <a:effectLst/>
        </c:spPr>
      </c:pivotFmt>
      <c:pivotFmt>
        <c:idx val="405"/>
        <c:spPr>
          <a:solidFill>
            <a:schemeClr val="accent1"/>
          </a:solidFill>
          <a:ln w="19050">
            <a:solidFill>
              <a:schemeClr val="lt1"/>
            </a:solidFill>
          </a:ln>
          <a:effectLst/>
        </c:spPr>
      </c:pivotFmt>
      <c:pivotFmt>
        <c:idx val="406"/>
        <c:spPr>
          <a:solidFill>
            <a:schemeClr val="accent1"/>
          </a:solidFill>
          <a:ln w="19050">
            <a:solidFill>
              <a:schemeClr val="lt1"/>
            </a:solidFill>
          </a:ln>
          <a:effectLst/>
        </c:spPr>
      </c:pivotFmt>
      <c:pivotFmt>
        <c:idx val="407"/>
        <c:spPr>
          <a:solidFill>
            <a:schemeClr val="accent1"/>
          </a:solidFill>
          <a:ln w="19050">
            <a:solidFill>
              <a:schemeClr val="lt1"/>
            </a:solidFill>
          </a:ln>
          <a:effectLst/>
        </c:spPr>
      </c:pivotFmt>
      <c:pivotFmt>
        <c:idx val="408"/>
        <c:spPr>
          <a:solidFill>
            <a:schemeClr val="accent1"/>
          </a:solidFill>
          <a:ln w="19050">
            <a:solidFill>
              <a:schemeClr val="lt1"/>
            </a:solidFill>
          </a:ln>
          <a:effectLst/>
        </c:spPr>
      </c:pivotFmt>
      <c:pivotFmt>
        <c:idx val="409"/>
        <c:spPr>
          <a:solidFill>
            <a:schemeClr val="accent1"/>
          </a:solidFill>
          <a:ln w="19050">
            <a:solidFill>
              <a:schemeClr val="lt1"/>
            </a:solidFill>
          </a:ln>
          <a:effectLst/>
        </c:spPr>
      </c:pivotFmt>
      <c:pivotFmt>
        <c:idx val="410"/>
        <c:spPr>
          <a:solidFill>
            <a:schemeClr val="accent1"/>
          </a:solidFill>
          <a:ln w="19050">
            <a:solidFill>
              <a:schemeClr val="lt1"/>
            </a:solidFill>
          </a:ln>
          <a:effectLst/>
        </c:spPr>
      </c:pivotFmt>
      <c:pivotFmt>
        <c:idx val="411"/>
        <c:spPr>
          <a:solidFill>
            <a:schemeClr val="accent1"/>
          </a:solidFill>
          <a:ln w="19050">
            <a:solidFill>
              <a:schemeClr val="lt1"/>
            </a:solidFill>
          </a:ln>
          <a:effectLst/>
        </c:spPr>
      </c:pivotFmt>
      <c:pivotFmt>
        <c:idx val="412"/>
        <c:spPr>
          <a:solidFill>
            <a:schemeClr val="accent1"/>
          </a:solidFill>
          <a:ln w="19050">
            <a:solidFill>
              <a:schemeClr val="lt1"/>
            </a:solidFill>
          </a:ln>
          <a:effectLst/>
        </c:spPr>
      </c:pivotFmt>
      <c:pivotFmt>
        <c:idx val="413"/>
        <c:spPr>
          <a:solidFill>
            <a:schemeClr val="accent1"/>
          </a:solidFill>
          <a:ln w="19050">
            <a:solidFill>
              <a:schemeClr val="lt1"/>
            </a:solidFill>
          </a:ln>
          <a:effectLst/>
        </c:spPr>
      </c:pivotFmt>
      <c:pivotFmt>
        <c:idx val="414"/>
        <c:spPr>
          <a:solidFill>
            <a:schemeClr val="accent1"/>
          </a:solidFill>
          <a:ln w="19050">
            <a:solidFill>
              <a:schemeClr val="lt1"/>
            </a:solidFill>
          </a:ln>
          <a:effectLst/>
        </c:spPr>
      </c:pivotFmt>
      <c:pivotFmt>
        <c:idx val="415"/>
        <c:spPr>
          <a:solidFill>
            <a:schemeClr val="accent1"/>
          </a:solidFill>
          <a:ln w="19050">
            <a:solidFill>
              <a:schemeClr val="lt1"/>
            </a:solidFill>
          </a:ln>
          <a:effectLst/>
        </c:spPr>
      </c:pivotFmt>
      <c:pivotFmt>
        <c:idx val="416"/>
        <c:spPr>
          <a:solidFill>
            <a:schemeClr val="accent1"/>
          </a:solidFill>
          <a:ln w="19050">
            <a:solidFill>
              <a:schemeClr val="lt1"/>
            </a:solidFill>
          </a:ln>
          <a:effectLst/>
        </c:spPr>
      </c:pivotFmt>
      <c:pivotFmt>
        <c:idx val="417"/>
        <c:spPr>
          <a:solidFill>
            <a:schemeClr val="accent1"/>
          </a:solidFill>
          <a:ln w="19050">
            <a:solidFill>
              <a:schemeClr val="lt1"/>
            </a:solidFill>
          </a:ln>
          <a:effectLst/>
        </c:spPr>
      </c:pivotFmt>
      <c:pivotFmt>
        <c:idx val="418"/>
        <c:spPr>
          <a:solidFill>
            <a:schemeClr val="accent1"/>
          </a:solidFill>
          <a:ln w="19050">
            <a:solidFill>
              <a:schemeClr val="lt1"/>
            </a:solidFill>
          </a:ln>
          <a:effectLst/>
        </c:spPr>
      </c:pivotFmt>
      <c:pivotFmt>
        <c:idx val="419"/>
        <c:spPr>
          <a:solidFill>
            <a:schemeClr val="accent1"/>
          </a:solidFill>
          <a:ln w="19050">
            <a:solidFill>
              <a:schemeClr val="lt1"/>
            </a:solidFill>
          </a:ln>
          <a:effectLst/>
        </c:spPr>
      </c:pivotFmt>
      <c:pivotFmt>
        <c:idx val="420"/>
        <c:spPr>
          <a:solidFill>
            <a:schemeClr val="accent1"/>
          </a:solidFill>
          <a:ln w="19050">
            <a:solidFill>
              <a:schemeClr val="lt1"/>
            </a:solidFill>
          </a:ln>
          <a:effectLst/>
        </c:spPr>
      </c:pivotFmt>
      <c:pivotFmt>
        <c:idx val="421"/>
        <c:spPr>
          <a:solidFill>
            <a:schemeClr val="accent1"/>
          </a:solidFill>
          <a:ln w="19050">
            <a:solidFill>
              <a:schemeClr val="lt1"/>
            </a:solidFill>
          </a:ln>
          <a:effectLst/>
        </c:spPr>
      </c:pivotFmt>
      <c:pivotFmt>
        <c:idx val="422"/>
        <c:spPr>
          <a:solidFill>
            <a:schemeClr val="accent1"/>
          </a:solidFill>
          <a:ln w="19050">
            <a:solidFill>
              <a:schemeClr val="lt1"/>
            </a:solidFill>
          </a:ln>
          <a:effectLst/>
        </c:spPr>
      </c:pivotFmt>
      <c:pivotFmt>
        <c:idx val="423"/>
        <c:spPr>
          <a:solidFill>
            <a:schemeClr val="accent1"/>
          </a:solidFill>
          <a:ln w="19050">
            <a:solidFill>
              <a:schemeClr val="lt1"/>
            </a:solidFill>
          </a:ln>
          <a:effectLst/>
        </c:spPr>
      </c:pivotFmt>
      <c:pivotFmt>
        <c:idx val="424"/>
        <c:spPr>
          <a:solidFill>
            <a:schemeClr val="accent1"/>
          </a:solidFill>
          <a:ln w="19050">
            <a:solidFill>
              <a:schemeClr val="lt1"/>
            </a:solidFill>
          </a:ln>
          <a:effectLst/>
        </c:spPr>
      </c:pivotFmt>
      <c:pivotFmt>
        <c:idx val="4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6"/>
        <c:spPr>
          <a:solidFill>
            <a:schemeClr val="accent1"/>
          </a:solidFill>
          <a:ln w="19050">
            <a:solidFill>
              <a:schemeClr val="lt1"/>
            </a:solidFill>
          </a:ln>
          <a:effectLst/>
        </c:spPr>
      </c:pivotFmt>
      <c:pivotFmt>
        <c:idx val="427"/>
        <c:spPr>
          <a:solidFill>
            <a:schemeClr val="accent1"/>
          </a:solidFill>
          <a:ln w="19050">
            <a:solidFill>
              <a:schemeClr val="lt1"/>
            </a:solidFill>
          </a:ln>
          <a:effectLst/>
        </c:spPr>
      </c:pivotFmt>
      <c:pivotFmt>
        <c:idx val="428"/>
        <c:spPr>
          <a:solidFill>
            <a:schemeClr val="accent1"/>
          </a:solidFill>
          <a:ln w="19050">
            <a:solidFill>
              <a:schemeClr val="lt1"/>
            </a:solidFill>
          </a:ln>
          <a:effectLst/>
        </c:spPr>
      </c:pivotFmt>
      <c:pivotFmt>
        <c:idx val="429"/>
        <c:spPr>
          <a:solidFill>
            <a:schemeClr val="accent1"/>
          </a:solidFill>
          <a:ln w="19050">
            <a:solidFill>
              <a:schemeClr val="lt1"/>
            </a:solidFill>
          </a:ln>
          <a:effectLst/>
        </c:spPr>
      </c:pivotFmt>
      <c:pivotFmt>
        <c:idx val="430"/>
        <c:spPr>
          <a:solidFill>
            <a:schemeClr val="accent1"/>
          </a:solidFill>
          <a:ln w="19050">
            <a:solidFill>
              <a:schemeClr val="lt1"/>
            </a:solidFill>
          </a:ln>
          <a:effectLst/>
        </c:spPr>
      </c:pivotFmt>
      <c:pivotFmt>
        <c:idx val="431"/>
        <c:spPr>
          <a:solidFill>
            <a:schemeClr val="accent1"/>
          </a:solidFill>
          <a:ln w="19050">
            <a:solidFill>
              <a:schemeClr val="lt1"/>
            </a:solidFill>
          </a:ln>
          <a:effectLst/>
        </c:spPr>
      </c:pivotFmt>
      <c:pivotFmt>
        <c:idx val="432"/>
        <c:spPr>
          <a:solidFill>
            <a:schemeClr val="accent1"/>
          </a:solidFill>
          <a:ln w="19050">
            <a:solidFill>
              <a:schemeClr val="lt1"/>
            </a:solidFill>
          </a:ln>
          <a:effectLst/>
        </c:spPr>
      </c:pivotFmt>
      <c:pivotFmt>
        <c:idx val="433"/>
        <c:spPr>
          <a:solidFill>
            <a:schemeClr val="accent1"/>
          </a:solidFill>
          <a:ln w="19050">
            <a:solidFill>
              <a:schemeClr val="lt1"/>
            </a:solidFill>
          </a:ln>
          <a:effectLst/>
        </c:spPr>
      </c:pivotFmt>
      <c:pivotFmt>
        <c:idx val="434"/>
        <c:spPr>
          <a:solidFill>
            <a:schemeClr val="accent1"/>
          </a:solidFill>
          <a:ln w="19050">
            <a:solidFill>
              <a:schemeClr val="lt1"/>
            </a:solidFill>
          </a:ln>
          <a:effectLst/>
        </c:spPr>
      </c:pivotFmt>
      <c:pivotFmt>
        <c:idx val="435"/>
        <c:spPr>
          <a:solidFill>
            <a:schemeClr val="accent1"/>
          </a:solidFill>
          <a:ln w="19050">
            <a:solidFill>
              <a:schemeClr val="lt1"/>
            </a:solidFill>
          </a:ln>
          <a:effectLst/>
        </c:spPr>
      </c:pivotFmt>
      <c:pivotFmt>
        <c:idx val="436"/>
        <c:spPr>
          <a:solidFill>
            <a:schemeClr val="accent1"/>
          </a:solidFill>
          <a:ln w="19050">
            <a:solidFill>
              <a:schemeClr val="lt1"/>
            </a:solidFill>
          </a:ln>
          <a:effectLst/>
        </c:spPr>
      </c:pivotFmt>
      <c:pivotFmt>
        <c:idx val="437"/>
        <c:spPr>
          <a:solidFill>
            <a:schemeClr val="accent1"/>
          </a:solidFill>
          <a:ln w="19050">
            <a:solidFill>
              <a:schemeClr val="lt1"/>
            </a:solidFill>
          </a:ln>
          <a:effectLst/>
        </c:spPr>
      </c:pivotFmt>
      <c:pivotFmt>
        <c:idx val="438"/>
        <c:spPr>
          <a:solidFill>
            <a:schemeClr val="accent1"/>
          </a:solidFill>
          <a:ln w="19050">
            <a:solidFill>
              <a:schemeClr val="lt1"/>
            </a:solidFill>
          </a:ln>
          <a:effectLst/>
        </c:spPr>
      </c:pivotFmt>
      <c:pivotFmt>
        <c:idx val="439"/>
        <c:spPr>
          <a:solidFill>
            <a:schemeClr val="accent1"/>
          </a:solidFill>
          <a:ln w="19050">
            <a:solidFill>
              <a:schemeClr val="lt1"/>
            </a:solidFill>
          </a:ln>
          <a:effectLst/>
        </c:spPr>
      </c:pivotFmt>
      <c:pivotFmt>
        <c:idx val="440"/>
        <c:spPr>
          <a:solidFill>
            <a:schemeClr val="accent1"/>
          </a:solidFill>
          <a:ln w="19050">
            <a:solidFill>
              <a:schemeClr val="lt1"/>
            </a:solidFill>
          </a:ln>
          <a:effectLst/>
        </c:spPr>
      </c:pivotFmt>
      <c:pivotFmt>
        <c:idx val="441"/>
        <c:spPr>
          <a:solidFill>
            <a:schemeClr val="accent1"/>
          </a:solidFill>
          <a:ln w="19050">
            <a:solidFill>
              <a:schemeClr val="lt1"/>
            </a:solidFill>
          </a:ln>
          <a:effectLst/>
        </c:spPr>
      </c:pivotFmt>
      <c:pivotFmt>
        <c:idx val="442"/>
        <c:spPr>
          <a:solidFill>
            <a:schemeClr val="accent1"/>
          </a:solidFill>
          <a:ln w="19050">
            <a:solidFill>
              <a:schemeClr val="lt1"/>
            </a:solidFill>
          </a:ln>
          <a:effectLst/>
        </c:spPr>
      </c:pivotFmt>
      <c:pivotFmt>
        <c:idx val="443"/>
        <c:spPr>
          <a:solidFill>
            <a:schemeClr val="accent1"/>
          </a:solidFill>
          <a:ln w="19050">
            <a:solidFill>
              <a:schemeClr val="lt1"/>
            </a:solidFill>
          </a:ln>
          <a:effectLst/>
        </c:spPr>
      </c:pivotFmt>
      <c:pivotFmt>
        <c:idx val="444"/>
        <c:spPr>
          <a:solidFill>
            <a:schemeClr val="accent1"/>
          </a:solidFill>
          <a:ln w="19050">
            <a:solidFill>
              <a:schemeClr val="lt1"/>
            </a:solidFill>
          </a:ln>
          <a:effectLst/>
        </c:spPr>
      </c:pivotFmt>
      <c:pivotFmt>
        <c:idx val="445"/>
        <c:spPr>
          <a:solidFill>
            <a:schemeClr val="accent1"/>
          </a:solidFill>
          <a:ln w="19050">
            <a:solidFill>
              <a:schemeClr val="lt1"/>
            </a:solidFill>
          </a:ln>
          <a:effectLst/>
        </c:spPr>
      </c:pivotFmt>
      <c:pivotFmt>
        <c:idx val="446"/>
        <c:spPr>
          <a:solidFill>
            <a:schemeClr val="accent1"/>
          </a:solidFill>
          <a:ln w="19050">
            <a:solidFill>
              <a:schemeClr val="lt1"/>
            </a:solidFill>
          </a:ln>
          <a:effectLst/>
        </c:spPr>
      </c:pivotFmt>
      <c:pivotFmt>
        <c:idx val="447"/>
        <c:spPr>
          <a:solidFill>
            <a:schemeClr val="accent1"/>
          </a:solidFill>
          <a:ln w="19050">
            <a:solidFill>
              <a:schemeClr val="lt1"/>
            </a:solidFill>
          </a:ln>
          <a:effectLst/>
        </c:spPr>
      </c:pivotFmt>
      <c:pivotFmt>
        <c:idx val="44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9"/>
        <c:spPr>
          <a:solidFill>
            <a:schemeClr val="accent1"/>
          </a:solidFill>
          <a:ln w="19050">
            <a:solidFill>
              <a:schemeClr val="lt1"/>
            </a:solidFill>
          </a:ln>
          <a:effectLst/>
        </c:spPr>
      </c:pivotFmt>
      <c:pivotFmt>
        <c:idx val="450"/>
        <c:spPr>
          <a:solidFill>
            <a:schemeClr val="accent1"/>
          </a:solidFill>
          <a:ln w="19050">
            <a:solidFill>
              <a:schemeClr val="lt1"/>
            </a:solidFill>
          </a:ln>
          <a:effectLst/>
        </c:spPr>
      </c:pivotFmt>
      <c:pivotFmt>
        <c:idx val="451"/>
        <c:spPr>
          <a:solidFill>
            <a:schemeClr val="accent1"/>
          </a:solidFill>
          <a:ln w="19050">
            <a:solidFill>
              <a:schemeClr val="lt1"/>
            </a:solidFill>
          </a:ln>
          <a:effectLst/>
        </c:spPr>
      </c:pivotFmt>
      <c:pivotFmt>
        <c:idx val="452"/>
        <c:spPr>
          <a:solidFill>
            <a:schemeClr val="accent1"/>
          </a:solidFill>
          <a:ln w="19050">
            <a:solidFill>
              <a:schemeClr val="lt1"/>
            </a:solidFill>
          </a:ln>
          <a:effectLst/>
        </c:spPr>
      </c:pivotFmt>
      <c:pivotFmt>
        <c:idx val="453"/>
        <c:spPr>
          <a:solidFill>
            <a:schemeClr val="accent1"/>
          </a:solidFill>
          <a:ln w="19050">
            <a:solidFill>
              <a:schemeClr val="lt1"/>
            </a:solidFill>
          </a:ln>
          <a:effectLst/>
        </c:spPr>
      </c:pivotFmt>
      <c:pivotFmt>
        <c:idx val="454"/>
        <c:spPr>
          <a:solidFill>
            <a:schemeClr val="accent1"/>
          </a:solidFill>
          <a:ln w="19050">
            <a:solidFill>
              <a:schemeClr val="lt1"/>
            </a:solidFill>
          </a:ln>
          <a:effectLst/>
        </c:spPr>
      </c:pivotFmt>
      <c:pivotFmt>
        <c:idx val="455"/>
        <c:spPr>
          <a:solidFill>
            <a:schemeClr val="accent1"/>
          </a:solidFill>
          <a:ln w="19050">
            <a:solidFill>
              <a:schemeClr val="lt1"/>
            </a:solidFill>
          </a:ln>
          <a:effectLst/>
        </c:spPr>
      </c:pivotFmt>
      <c:pivotFmt>
        <c:idx val="456"/>
        <c:spPr>
          <a:solidFill>
            <a:schemeClr val="accent1"/>
          </a:solidFill>
          <a:ln w="19050">
            <a:solidFill>
              <a:schemeClr val="lt1"/>
            </a:solidFill>
          </a:ln>
          <a:effectLst/>
        </c:spPr>
      </c:pivotFmt>
      <c:pivotFmt>
        <c:idx val="457"/>
        <c:spPr>
          <a:solidFill>
            <a:schemeClr val="accent1"/>
          </a:solidFill>
          <a:ln w="19050">
            <a:solidFill>
              <a:schemeClr val="lt1"/>
            </a:solidFill>
          </a:ln>
          <a:effectLst/>
        </c:spPr>
      </c:pivotFmt>
      <c:pivotFmt>
        <c:idx val="458"/>
        <c:spPr>
          <a:solidFill>
            <a:schemeClr val="accent1"/>
          </a:solidFill>
          <a:ln w="19050">
            <a:solidFill>
              <a:schemeClr val="lt1"/>
            </a:solidFill>
          </a:ln>
          <a:effectLst/>
        </c:spPr>
      </c:pivotFmt>
      <c:pivotFmt>
        <c:idx val="459"/>
        <c:spPr>
          <a:solidFill>
            <a:schemeClr val="accent1"/>
          </a:solidFill>
          <a:ln w="19050">
            <a:solidFill>
              <a:schemeClr val="lt1"/>
            </a:solidFill>
          </a:ln>
          <a:effectLst/>
        </c:spPr>
      </c:pivotFmt>
      <c:pivotFmt>
        <c:idx val="460"/>
        <c:spPr>
          <a:solidFill>
            <a:schemeClr val="accent1"/>
          </a:solidFill>
          <a:ln w="19050">
            <a:solidFill>
              <a:schemeClr val="lt1"/>
            </a:solidFill>
          </a:ln>
          <a:effectLst/>
        </c:spPr>
      </c:pivotFmt>
      <c:pivotFmt>
        <c:idx val="461"/>
        <c:spPr>
          <a:solidFill>
            <a:schemeClr val="accent1"/>
          </a:solidFill>
          <a:ln w="19050">
            <a:solidFill>
              <a:schemeClr val="lt1"/>
            </a:solidFill>
          </a:ln>
          <a:effectLst/>
        </c:spPr>
      </c:pivotFmt>
      <c:pivotFmt>
        <c:idx val="462"/>
        <c:spPr>
          <a:solidFill>
            <a:schemeClr val="accent1"/>
          </a:solidFill>
          <a:ln w="19050">
            <a:solidFill>
              <a:schemeClr val="lt1"/>
            </a:solidFill>
          </a:ln>
          <a:effectLst/>
        </c:spPr>
      </c:pivotFmt>
      <c:pivotFmt>
        <c:idx val="463"/>
        <c:spPr>
          <a:solidFill>
            <a:schemeClr val="accent1"/>
          </a:solidFill>
          <a:ln w="19050">
            <a:solidFill>
              <a:schemeClr val="lt1"/>
            </a:solidFill>
          </a:ln>
          <a:effectLst/>
        </c:spPr>
      </c:pivotFmt>
      <c:pivotFmt>
        <c:idx val="464"/>
        <c:spPr>
          <a:solidFill>
            <a:schemeClr val="accent1"/>
          </a:solidFill>
          <a:ln w="19050">
            <a:solidFill>
              <a:schemeClr val="lt1"/>
            </a:solidFill>
          </a:ln>
          <a:effectLst/>
        </c:spPr>
      </c:pivotFmt>
      <c:pivotFmt>
        <c:idx val="465"/>
        <c:spPr>
          <a:solidFill>
            <a:schemeClr val="accent1"/>
          </a:solidFill>
          <a:ln w="19050">
            <a:solidFill>
              <a:schemeClr val="lt1"/>
            </a:solidFill>
          </a:ln>
          <a:effectLst/>
        </c:spPr>
      </c:pivotFmt>
      <c:pivotFmt>
        <c:idx val="466"/>
        <c:spPr>
          <a:solidFill>
            <a:schemeClr val="accent1"/>
          </a:solidFill>
          <a:ln w="19050">
            <a:solidFill>
              <a:schemeClr val="lt1"/>
            </a:solidFill>
          </a:ln>
          <a:effectLst/>
        </c:spPr>
      </c:pivotFmt>
      <c:pivotFmt>
        <c:idx val="467"/>
        <c:spPr>
          <a:solidFill>
            <a:schemeClr val="accent1"/>
          </a:solidFill>
          <a:ln w="19050">
            <a:solidFill>
              <a:schemeClr val="lt1"/>
            </a:solidFill>
          </a:ln>
          <a:effectLst/>
        </c:spPr>
      </c:pivotFmt>
      <c:pivotFmt>
        <c:idx val="468"/>
        <c:spPr>
          <a:solidFill>
            <a:schemeClr val="accent1"/>
          </a:solidFill>
          <a:ln w="19050">
            <a:solidFill>
              <a:schemeClr val="lt1"/>
            </a:solidFill>
          </a:ln>
          <a:effectLst/>
        </c:spPr>
      </c:pivotFmt>
      <c:pivotFmt>
        <c:idx val="469"/>
        <c:spPr>
          <a:solidFill>
            <a:schemeClr val="accent1"/>
          </a:solidFill>
          <a:ln w="19050">
            <a:solidFill>
              <a:schemeClr val="lt1"/>
            </a:solidFill>
          </a:ln>
          <a:effectLst/>
        </c:spPr>
      </c:pivotFmt>
      <c:pivotFmt>
        <c:idx val="470"/>
        <c:spPr>
          <a:solidFill>
            <a:schemeClr val="accent1"/>
          </a:solidFill>
          <a:ln w="19050">
            <a:solidFill>
              <a:schemeClr val="lt1"/>
            </a:solidFill>
          </a:ln>
          <a:effectLst/>
        </c:spPr>
      </c:pivotFmt>
      <c:pivotFmt>
        <c:idx val="47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2"/>
        <c:spPr>
          <a:solidFill>
            <a:schemeClr val="accent1"/>
          </a:solidFill>
          <a:ln w="19050">
            <a:solidFill>
              <a:schemeClr val="lt1"/>
            </a:solidFill>
          </a:ln>
          <a:effectLst/>
        </c:spPr>
      </c:pivotFmt>
      <c:pivotFmt>
        <c:idx val="473"/>
        <c:spPr>
          <a:solidFill>
            <a:schemeClr val="accent1"/>
          </a:solidFill>
          <a:ln w="19050">
            <a:solidFill>
              <a:schemeClr val="lt1"/>
            </a:solidFill>
          </a:ln>
          <a:effectLst/>
        </c:spPr>
      </c:pivotFmt>
      <c:pivotFmt>
        <c:idx val="474"/>
        <c:spPr>
          <a:solidFill>
            <a:schemeClr val="accent1"/>
          </a:solidFill>
          <a:ln w="19050">
            <a:solidFill>
              <a:schemeClr val="lt1"/>
            </a:solidFill>
          </a:ln>
          <a:effectLst/>
        </c:spPr>
      </c:pivotFmt>
      <c:pivotFmt>
        <c:idx val="475"/>
        <c:spPr>
          <a:solidFill>
            <a:schemeClr val="accent1"/>
          </a:solidFill>
          <a:ln w="19050">
            <a:solidFill>
              <a:schemeClr val="lt1"/>
            </a:solidFill>
          </a:ln>
          <a:effectLst/>
        </c:spPr>
      </c:pivotFmt>
      <c:pivotFmt>
        <c:idx val="476"/>
        <c:spPr>
          <a:solidFill>
            <a:schemeClr val="accent1"/>
          </a:solidFill>
          <a:ln w="19050">
            <a:solidFill>
              <a:schemeClr val="lt1"/>
            </a:solidFill>
          </a:ln>
          <a:effectLst/>
        </c:spPr>
      </c:pivotFmt>
      <c:pivotFmt>
        <c:idx val="477"/>
        <c:spPr>
          <a:solidFill>
            <a:schemeClr val="accent1"/>
          </a:solidFill>
          <a:ln w="19050">
            <a:solidFill>
              <a:schemeClr val="lt1"/>
            </a:solidFill>
          </a:ln>
          <a:effectLst/>
        </c:spPr>
      </c:pivotFmt>
      <c:pivotFmt>
        <c:idx val="478"/>
        <c:spPr>
          <a:solidFill>
            <a:schemeClr val="accent1"/>
          </a:solidFill>
          <a:ln w="19050">
            <a:solidFill>
              <a:schemeClr val="lt1"/>
            </a:solidFill>
          </a:ln>
          <a:effectLst/>
        </c:spPr>
      </c:pivotFmt>
      <c:pivotFmt>
        <c:idx val="479"/>
        <c:spPr>
          <a:solidFill>
            <a:schemeClr val="accent1"/>
          </a:solidFill>
          <a:ln w="19050">
            <a:solidFill>
              <a:schemeClr val="lt1"/>
            </a:solidFill>
          </a:ln>
          <a:effectLst/>
        </c:spPr>
      </c:pivotFmt>
      <c:pivotFmt>
        <c:idx val="480"/>
        <c:spPr>
          <a:solidFill>
            <a:schemeClr val="accent1"/>
          </a:solidFill>
          <a:ln w="19050">
            <a:solidFill>
              <a:schemeClr val="lt1"/>
            </a:solidFill>
          </a:ln>
          <a:effectLst/>
        </c:spPr>
      </c:pivotFmt>
      <c:pivotFmt>
        <c:idx val="481"/>
        <c:spPr>
          <a:solidFill>
            <a:schemeClr val="accent1"/>
          </a:solidFill>
          <a:ln w="19050">
            <a:solidFill>
              <a:schemeClr val="lt1"/>
            </a:solidFill>
          </a:ln>
          <a:effectLst/>
        </c:spPr>
      </c:pivotFmt>
      <c:pivotFmt>
        <c:idx val="482"/>
        <c:spPr>
          <a:solidFill>
            <a:schemeClr val="accent1"/>
          </a:solidFill>
          <a:ln w="19050">
            <a:solidFill>
              <a:schemeClr val="lt1"/>
            </a:solidFill>
          </a:ln>
          <a:effectLst/>
        </c:spPr>
      </c:pivotFmt>
      <c:pivotFmt>
        <c:idx val="483"/>
        <c:spPr>
          <a:solidFill>
            <a:schemeClr val="accent1"/>
          </a:solidFill>
          <a:ln w="19050">
            <a:solidFill>
              <a:schemeClr val="lt1"/>
            </a:solidFill>
          </a:ln>
          <a:effectLst/>
        </c:spPr>
      </c:pivotFmt>
      <c:pivotFmt>
        <c:idx val="484"/>
        <c:spPr>
          <a:solidFill>
            <a:schemeClr val="accent1"/>
          </a:solidFill>
          <a:ln w="19050">
            <a:solidFill>
              <a:schemeClr val="lt1"/>
            </a:solidFill>
          </a:ln>
          <a:effectLst/>
        </c:spPr>
      </c:pivotFmt>
      <c:pivotFmt>
        <c:idx val="485"/>
        <c:spPr>
          <a:solidFill>
            <a:schemeClr val="accent1"/>
          </a:solidFill>
          <a:ln w="19050">
            <a:solidFill>
              <a:schemeClr val="lt1"/>
            </a:solidFill>
          </a:ln>
          <a:effectLst/>
        </c:spPr>
      </c:pivotFmt>
      <c:pivotFmt>
        <c:idx val="486"/>
        <c:spPr>
          <a:solidFill>
            <a:schemeClr val="accent1"/>
          </a:solidFill>
          <a:ln w="19050">
            <a:solidFill>
              <a:schemeClr val="lt1"/>
            </a:solidFill>
          </a:ln>
          <a:effectLst/>
        </c:spPr>
      </c:pivotFmt>
      <c:pivotFmt>
        <c:idx val="487"/>
        <c:spPr>
          <a:solidFill>
            <a:schemeClr val="accent1"/>
          </a:solidFill>
          <a:ln w="19050">
            <a:solidFill>
              <a:schemeClr val="lt1"/>
            </a:solidFill>
          </a:ln>
          <a:effectLst/>
        </c:spPr>
      </c:pivotFmt>
      <c:pivotFmt>
        <c:idx val="488"/>
        <c:spPr>
          <a:solidFill>
            <a:schemeClr val="accent1"/>
          </a:solidFill>
          <a:ln w="19050">
            <a:solidFill>
              <a:schemeClr val="lt1"/>
            </a:solidFill>
          </a:ln>
          <a:effectLst/>
        </c:spPr>
      </c:pivotFmt>
      <c:pivotFmt>
        <c:idx val="489"/>
        <c:spPr>
          <a:solidFill>
            <a:schemeClr val="accent1"/>
          </a:solidFill>
          <a:ln w="19050">
            <a:solidFill>
              <a:schemeClr val="lt1"/>
            </a:solidFill>
          </a:ln>
          <a:effectLst/>
        </c:spPr>
      </c:pivotFmt>
      <c:pivotFmt>
        <c:idx val="490"/>
        <c:spPr>
          <a:solidFill>
            <a:schemeClr val="accent1"/>
          </a:solidFill>
          <a:ln w="19050">
            <a:solidFill>
              <a:schemeClr val="lt1"/>
            </a:solidFill>
          </a:ln>
          <a:effectLst/>
        </c:spPr>
      </c:pivotFmt>
      <c:pivotFmt>
        <c:idx val="491"/>
        <c:spPr>
          <a:solidFill>
            <a:schemeClr val="accent1"/>
          </a:solidFill>
          <a:ln w="19050">
            <a:solidFill>
              <a:schemeClr val="lt1"/>
            </a:solidFill>
          </a:ln>
          <a:effectLst/>
        </c:spPr>
      </c:pivotFmt>
      <c:pivotFmt>
        <c:idx val="492"/>
        <c:spPr>
          <a:solidFill>
            <a:schemeClr val="accent1"/>
          </a:solidFill>
          <a:ln w="19050">
            <a:solidFill>
              <a:schemeClr val="lt1"/>
            </a:solidFill>
          </a:ln>
          <a:effectLst/>
        </c:spPr>
      </c:pivotFmt>
      <c:pivotFmt>
        <c:idx val="493"/>
        <c:spPr>
          <a:solidFill>
            <a:schemeClr val="accent1"/>
          </a:solidFill>
          <a:ln w="19050">
            <a:solidFill>
              <a:schemeClr val="lt1"/>
            </a:solidFill>
          </a:ln>
          <a:effectLst/>
        </c:spPr>
      </c:pivotFmt>
      <c:pivotFmt>
        <c:idx val="49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5"/>
        <c:spPr>
          <a:solidFill>
            <a:schemeClr val="accent1"/>
          </a:solidFill>
          <a:ln w="19050">
            <a:solidFill>
              <a:schemeClr val="lt1"/>
            </a:solidFill>
          </a:ln>
          <a:effectLst/>
        </c:spPr>
      </c:pivotFmt>
      <c:pivotFmt>
        <c:idx val="496"/>
        <c:spPr>
          <a:solidFill>
            <a:schemeClr val="accent1"/>
          </a:solidFill>
          <a:ln w="19050">
            <a:solidFill>
              <a:schemeClr val="lt1"/>
            </a:solidFill>
          </a:ln>
          <a:effectLst/>
        </c:spPr>
      </c:pivotFmt>
      <c:pivotFmt>
        <c:idx val="497"/>
        <c:spPr>
          <a:solidFill>
            <a:schemeClr val="accent1"/>
          </a:solidFill>
          <a:ln w="19050">
            <a:solidFill>
              <a:schemeClr val="lt1"/>
            </a:solidFill>
          </a:ln>
          <a:effectLst/>
        </c:spPr>
      </c:pivotFmt>
      <c:pivotFmt>
        <c:idx val="498"/>
        <c:spPr>
          <a:solidFill>
            <a:schemeClr val="accent1"/>
          </a:solidFill>
          <a:ln w="19050">
            <a:solidFill>
              <a:schemeClr val="lt1"/>
            </a:solidFill>
          </a:ln>
          <a:effectLst/>
        </c:spPr>
      </c:pivotFmt>
      <c:pivotFmt>
        <c:idx val="499"/>
        <c:spPr>
          <a:solidFill>
            <a:schemeClr val="accent1"/>
          </a:solidFill>
          <a:ln w="19050">
            <a:solidFill>
              <a:schemeClr val="lt1"/>
            </a:solidFill>
          </a:ln>
          <a:effectLst/>
        </c:spPr>
      </c:pivotFmt>
      <c:pivotFmt>
        <c:idx val="500"/>
        <c:spPr>
          <a:solidFill>
            <a:schemeClr val="accent1"/>
          </a:solidFill>
          <a:ln w="19050">
            <a:solidFill>
              <a:schemeClr val="lt1"/>
            </a:solidFill>
          </a:ln>
          <a:effectLst/>
        </c:spPr>
      </c:pivotFmt>
      <c:pivotFmt>
        <c:idx val="501"/>
        <c:spPr>
          <a:solidFill>
            <a:schemeClr val="accent1"/>
          </a:solidFill>
          <a:ln w="19050">
            <a:solidFill>
              <a:schemeClr val="lt1"/>
            </a:solidFill>
          </a:ln>
          <a:effectLst/>
        </c:spPr>
      </c:pivotFmt>
      <c:pivotFmt>
        <c:idx val="502"/>
        <c:spPr>
          <a:solidFill>
            <a:schemeClr val="accent1"/>
          </a:solidFill>
          <a:ln w="19050">
            <a:solidFill>
              <a:schemeClr val="lt1"/>
            </a:solidFill>
          </a:ln>
          <a:effectLst/>
        </c:spPr>
      </c:pivotFmt>
      <c:pivotFmt>
        <c:idx val="503"/>
        <c:spPr>
          <a:solidFill>
            <a:schemeClr val="accent1"/>
          </a:solidFill>
          <a:ln w="19050">
            <a:solidFill>
              <a:schemeClr val="lt1"/>
            </a:solidFill>
          </a:ln>
          <a:effectLst/>
        </c:spPr>
      </c:pivotFmt>
      <c:pivotFmt>
        <c:idx val="504"/>
        <c:spPr>
          <a:solidFill>
            <a:schemeClr val="accent1"/>
          </a:solidFill>
          <a:ln w="19050">
            <a:solidFill>
              <a:schemeClr val="lt1"/>
            </a:solidFill>
          </a:ln>
          <a:effectLst/>
        </c:spPr>
      </c:pivotFmt>
      <c:pivotFmt>
        <c:idx val="505"/>
        <c:spPr>
          <a:solidFill>
            <a:schemeClr val="accent1"/>
          </a:solidFill>
          <a:ln w="19050">
            <a:solidFill>
              <a:schemeClr val="lt1"/>
            </a:solidFill>
          </a:ln>
          <a:effectLst/>
        </c:spPr>
      </c:pivotFmt>
      <c:pivotFmt>
        <c:idx val="506"/>
        <c:spPr>
          <a:solidFill>
            <a:schemeClr val="accent1"/>
          </a:solidFill>
          <a:ln w="19050">
            <a:solidFill>
              <a:schemeClr val="lt1"/>
            </a:solidFill>
          </a:ln>
          <a:effectLst/>
        </c:spPr>
      </c:pivotFmt>
      <c:pivotFmt>
        <c:idx val="507"/>
        <c:spPr>
          <a:solidFill>
            <a:schemeClr val="accent1"/>
          </a:solidFill>
          <a:ln w="19050">
            <a:solidFill>
              <a:schemeClr val="lt1"/>
            </a:solidFill>
          </a:ln>
          <a:effectLst/>
        </c:spPr>
      </c:pivotFmt>
      <c:pivotFmt>
        <c:idx val="508"/>
        <c:spPr>
          <a:solidFill>
            <a:schemeClr val="accent1"/>
          </a:solidFill>
          <a:ln w="19050">
            <a:solidFill>
              <a:schemeClr val="lt1"/>
            </a:solidFill>
          </a:ln>
          <a:effectLst/>
        </c:spPr>
      </c:pivotFmt>
      <c:pivotFmt>
        <c:idx val="509"/>
        <c:spPr>
          <a:solidFill>
            <a:schemeClr val="accent1"/>
          </a:solidFill>
          <a:ln w="19050">
            <a:solidFill>
              <a:schemeClr val="lt1"/>
            </a:solidFill>
          </a:ln>
          <a:effectLst/>
        </c:spPr>
      </c:pivotFmt>
      <c:pivotFmt>
        <c:idx val="510"/>
        <c:spPr>
          <a:solidFill>
            <a:schemeClr val="accent1"/>
          </a:solidFill>
          <a:ln w="19050">
            <a:solidFill>
              <a:schemeClr val="lt1"/>
            </a:solidFill>
          </a:ln>
          <a:effectLst/>
        </c:spPr>
      </c:pivotFmt>
      <c:pivotFmt>
        <c:idx val="511"/>
        <c:spPr>
          <a:solidFill>
            <a:schemeClr val="accent1"/>
          </a:solidFill>
          <a:ln w="19050">
            <a:solidFill>
              <a:schemeClr val="lt1"/>
            </a:solidFill>
          </a:ln>
          <a:effectLst/>
        </c:spPr>
      </c:pivotFmt>
      <c:pivotFmt>
        <c:idx val="512"/>
        <c:spPr>
          <a:solidFill>
            <a:schemeClr val="accent1"/>
          </a:solidFill>
          <a:ln w="19050">
            <a:solidFill>
              <a:schemeClr val="lt1"/>
            </a:solidFill>
          </a:ln>
          <a:effectLst/>
        </c:spPr>
      </c:pivotFmt>
      <c:pivotFmt>
        <c:idx val="513"/>
        <c:spPr>
          <a:solidFill>
            <a:schemeClr val="accent1"/>
          </a:solidFill>
          <a:ln w="19050">
            <a:solidFill>
              <a:schemeClr val="lt1"/>
            </a:solidFill>
          </a:ln>
          <a:effectLst/>
        </c:spPr>
      </c:pivotFmt>
      <c:pivotFmt>
        <c:idx val="514"/>
        <c:spPr>
          <a:solidFill>
            <a:schemeClr val="accent1"/>
          </a:solidFill>
          <a:ln w="19050">
            <a:solidFill>
              <a:schemeClr val="lt1"/>
            </a:solidFill>
          </a:ln>
          <a:effectLst/>
        </c:spPr>
      </c:pivotFmt>
      <c:pivotFmt>
        <c:idx val="515"/>
        <c:spPr>
          <a:solidFill>
            <a:schemeClr val="accent1"/>
          </a:solidFill>
          <a:ln w="19050">
            <a:solidFill>
              <a:schemeClr val="lt1"/>
            </a:solidFill>
          </a:ln>
          <a:effectLst/>
        </c:spPr>
      </c:pivotFmt>
      <c:pivotFmt>
        <c:idx val="516"/>
        <c:spPr>
          <a:solidFill>
            <a:schemeClr val="accent1"/>
          </a:solidFill>
          <a:ln w="19050">
            <a:solidFill>
              <a:schemeClr val="lt1"/>
            </a:solidFill>
          </a:ln>
          <a:effectLst/>
        </c:spPr>
      </c:pivotFmt>
    </c:pivotFmts>
    <c:plotArea>
      <c:layout/>
      <c:pieChart>
        <c:varyColors val="1"/>
        <c:ser>
          <c:idx val="0"/>
          <c:order val="0"/>
          <c:tx>
            <c:strRef>
              <c:f>Pivot!$G$4:$G$5</c:f>
              <c:strCache>
                <c:ptCount val="1"/>
                <c:pt idx="0">
                  <c:v>AI</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0F4-4B87-9C89-8C183955AC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0F4-4B87-9C89-8C183955ACD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0F4-4B87-9C89-8C183955ACD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0F4-4B87-9C89-8C183955ACD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0F4-4B87-9C89-8C183955ACD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0F4-4B87-9C89-8C183955ACD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0F4-4B87-9C89-8C183955ACD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60F4-4B87-9C89-8C183955ACD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60F4-4B87-9C89-8C183955ACD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60F4-4B87-9C89-8C183955ACD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60F4-4B87-9C89-8C183955ACD8}"/>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60F4-4B87-9C89-8C183955ACD8}"/>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60F4-4B87-9C89-8C183955ACD8}"/>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60F4-4B87-9C89-8C183955ACD8}"/>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60F4-4B87-9C89-8C183955ACD8}"/>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60F4-4B87-9C89-8C183955ACD8}"/>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60F4-4B87-9C89-8C183955ACD8}"/>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60F4-4B87-9C89-8C183955ACD8}"/>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60F4-4B87-9C89-8C183955ACD8}"/>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60F4-4B87-9C89-8C183955ACD8}"/>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60F4-4B87-9C89-8C183955ACD8}"/>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60F4-4B87-9C89-8C183955ACD8}"/>
              </c:ext>
            </c:extLst>
          </c:dPt>
          <c:cat>
            <c:strRef>
              <c:f>Pivot!$F$6:$F$28</c:f>
              <c:strCache>
                <c:ptCount val="22"/>
                <c:pt idx="0">
                  <c:v>Argentina</c:v>
                </c:pt>
                <c:pt idx="1">
                  <c:v>Australia</c:v>
                </c:pt>
                <c:pt idx="2">
                  <c:v>Brazil</c:v>
                </c:pt>
                <c:pt idx="3">
                  <c:v>Canada</c:v>
                </c:pt>
                <c:pt idx="4">
                  <c:v>China</c:v>
                </c:pt>
                <c:pt idx="5">
                  <c:v>Egypt</c:v>
                </c:pt>
                <c:pt idx="6">
                  <c:v>France</c:v>
                </c:pt>
                <c:pt idx="7">
                  <c:v>Germany</c:v>
                </c:pt>
                <c:pt idx="8">
                  <c:v>India</c:v>
                </c:pt>
                <c:pt idx="9">
                  <c:v>Indonesia</c:v>
                </c:pt>
                <c:pt idx="10">
                  <c:v>Italy</c:v>
                </c:pt>
                <c:pt idx="11">
                  <c:v>Japan</c:v>
                </c:pt>
                <c:pt idx="12">
                  <c:v>Mexico</c:v>
                </c:pt>
                <c:pt idx="13">
                  <c:v>Netherlands</c:v>
                </c:pt>
                <c:pt idx="14">
                  <c:v>Not Mentioned</c:v>
                </c:pt>
                <c:pt idx="15">
                  <c:v>Russia</c:v>
                </c:pt>
                <c:pt idx="16">
                  <c:v>South Africa</c:v>
                </c:pt>
                <c:pt idx="17">
                  <c:v>South Korea</c:v>
                </c:pt>
                <c:pt idx="18">
                  <c:v>Spain</c:v>
                </c:pt>
                <c:pt idx="19">
                  <c:v>Turkey</c:v>
                </c:pt>
                <c:pt idx="20">
                  <c:v>UK</c:v>
                </c:pt>
                <c:pt idx="21">
                  <c:v>US</c:v>
                </c:pt>
              </c:strCache>
            </c:strRef>
          </c:cat>
          <c:val>
            <c:numRef>
              <c:f>Pivot!$G$6:$G$28</c:f>
              <c:numCache>
                <c:formatCode>General</c:formatCode>
                <c:ptCount val="22"/>
                <c:pt idx="0">
                  <c:v>18</c:v>
                </c:pt>
                <c:pt idx="1">
                  <c:v>30</c:v>
                </c:pt>
                <c:pt idx="2">
                  <c:v>26</c:v>
                </c:pt>
                <c:pt idx="3">
                  <c:v>43</c:v>
                </c:pt>
                <c:pt idx="4">
                  <c:v>35</c:v>
                </c:pt>
                <c:pt idx="5">
                  <c:v>14</c:v>
                </c:pt>
                <c:pt idx="6">
                  <c:v>41</c:v>
                </c:pt>
                <c:pt idx="7">
                  <c:v>39</c:v>
                </c:pt>
                <c:pt idx="8">
                  <c:v>64</c:v>
                </c:pt>
                <c:pt idx="9">
                  <c:v>125</c:v>
                </c:pt>
                <c:pt idx="10">
                  <c:v>4</c:v>
                </c:pt>
                <c:pt idx="11">
                  <c:v>59</c:v>
                </c:pt>
                <c:pt idx="12">
                  <c:v>50</c:v>
                </c:pt>
                <c:pt idx="13">
                  <c:v>77</c:v>
                </c:pt>
                <c:pt idx="15">
                  <c:v>45</c:v>
                </c:pt>
                <c:pt idx="16">
                  <c:v>25</c:v>
                </c:pt>
                <c:pt idx="17">
                  <c:v>52</c:v>
                </c:pt>
                <c:pt idx="18">
                  <c:v>31</c:v>
                </c:pt>
                <c:pt idx="19">
                  <c:v>38</c:v>
                </c:pt>
                <c:pt idx="20">
                  <c:v>73</c:v>
                </c:pt>
                <c:pt idx="21">
                  <c:v>48</c:v>
                </c:pt>
              </c:numCache>
            </c:numRef>
          </c:val>
          <c:extLst>
            <c:ext xmlns:c16="http://schemas.microsoft.com/office/drawing/2014/chart" uri="{C3380CC4-5D6E-409C-BE32-E72D297353CC}">
              <c16:uniqueId val="{0000002C-60F4-4B87-9C89-8C183955ACD8}"/>
            </c:ext>
          </c:extLst>
        </c:ser>
        <c:ser>
          <c:idx val="1"/>
          <c:order val="1"/>
          <c:tx>
            <c:strRef>
              <c:f>Pivot!$H$4:$H$5</c:f>
              <c:strCache>
                <c:ptCount val="1"/>
                <c:pt idx="0">
                  <c:v>Blockchain Development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E-60F4-4B87-9C89-8C183955AC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0-60F4-4B87-9C89-8C183955ACD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2-60F4-4B87-9C89-8C183955ACD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34-60F4-4B87-9C89-8C183955ACD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6-60F4-4B87-9C89-8C183955ACD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8-60F4-4B87-9C89-8C183955ACD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A-60F4-4B87-9C89-8C183955ACD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C-60F4-4B87-9C89-8C183955ACD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E-60F4-4B87-9C89-8C183955ACD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40-60F4-4B87-9C89-8C183955ACD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42-60F4-4B87-9C89-8C183955ACD8}"/>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44-60F4-4B87-9C89-8C183955ACD8}"/>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46-60F4-4B87-9C89-8C183955ACD8}"/>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48-60F4-4B87-9C89-8C183955ACD8}"/>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4A-60F4-4B87-9C89-8C183955ACD8}"/>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4C-60F4-4B87-9C89-8C183955ACD8}"/>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4E-60F4-4B87-9C89-8C183955ACD8}"/>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50-60F4-4B87-9C89-8C183955ACD8}"/>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52-60F4-4B87-9C89-8C183955ACD8}"/>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54-60F4-4B87-9C89-8C183955ACD8}"/>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56-60F4-4B87-9C89-8C183955ACD8}"/>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58-60F4-4B87-9C89-8C183955ACD8}"/>
              </c:ext>
            </c:extLst>
          </c:dPt>
          <c:cat>
            <c:strRef>
              <c:f>Pivot!$F$6:$F$28</c:f>
              <c:strCache>
                <c:ptCount val="22"/>
                <c:pt idx="0">
                  <c:v>Argentina</c:v>
                </c:pt>
                <c:pt idx="1">
                  <c:v>Australia</c:v>
                </c:pt>
                <c:pt idx="2">
                  <c:v>Brazil</c:v>
                </c:pt>
                <c:pt idx="3">
                  <c:v>Canada</c:v>
                </c:pt>
                <c:pt idx="4">
                  <c:v>China</c:v>
                </c:pt>
                <c:pt idx="5">
                  <c:v>Egypt</c:v>
                </c:pt>
                <c:pt idx="6">
                  <c:v>France</c:v>
                </c:pt>
                <c:pt idx="7">
                  <c:v>Germany</c:v>
                </c:pt>
                <c:pt idx="8">
                  <c:v>India</c:v>
                </c:pt>
                <c:pt idx="9">
                  <c:v>Indonesia</c:v>
                </c:pt>
                <c:pt idx="10">
                  <c:v>Italy</c:v>
                </c:pt>
                <c:pt idx="11">
                  <c:v>Japan</c:v>
                </c:pt>
                <c:pt idx="12">
                  <c:v>Mexico</c:v>
                </c:pt>
                <c:pt idx="13">
                  <c:v>Netherlands</c:v>
                </c:pt>
                <c:pt idx="14">
                  <c:v>Not Mentioned</c:v>
                </c:pt>
                <c:pt idx="15">
                  <c:v>Russia</c:v>
                </c:pt>
                <c:pt idx="16">
                  <c:v>South Africa</c:v>
                </c:pt>
                <c:pt idx="17">
                  <c:v>South Korea</c:v>
                </c:pt>
                <c:pt idx="18">
                  <c:v>Spain</c:v>
                </c:pt>
                <c:pt idx="19">
                  <c:v>Turkey</c:v>
                </c:pt>
                <c:pt idx="20">
                  <c:v>UK</c:v>
                </c:pt>
                <c:pt idx="21">
                  <c:v>US</c:v>
                </c:pt>
              </c:strCache>
            </c:strRef>
          </c:cat>
          <c:val>
            <c:numRef>
              <c:f>Pivot!$H$6:$H$28</c:f>
              <c:numCache>
                <c:formatCode>General</c:formatCode>
                <c:ptCount val="22"/>
                <c:pt idx="0">
                  <c:v>17</c:v>
                </c:pt>
                <c:pt idx="1">
                  <c:v>83</c:v>
                </c:pt>
                <c:pt idx="2">
                  <c:v>33</c:v>
                </c:pt>
                <c:pt idx="3">
                  <c:v>79</c:v>
                </c:pt>
                <c:pt idx="4">
                  <c:v>42</c:v>
                </c:pt>
                <c:pt idx="5">
                  <c:v>64</c:v>
                </c:pt>
                <c:pt idx="6">
                  <c:v>11</c:v>
                </c:pt>
                <c:pt idx="7">
                  <c:v>37</c:v>
                </c:pt>
                <c:pt idx="8">
                  <c:v>52</c:v>
                </c:pt>
                <c:pt idx="9">
                  <c:v>53</c:v>
                </c:pt>
                <c:pt idx="10">
                  <c:v>35</c:v>
                </c:pt>
                <c:pt idx="11">
                  <c:v>13</c:v>
                </c:pt>
                <c:pt idx="12">
                  <c:v>43</c:v>
                </c:pt>
                <c:pt idx="13">
                  <c:v>39</c:v>
                </c:pt>
                <c:pt idx="15">
                  <c:v>84</c:v>
                </c:pt>
                <c:pt idx="17">
                  <c:v>54</c:v>
                </c:pt>
                <c:pt idx="18">
                  <c:v>110</c:v>
                </c:pt>
                <c:pt idx="19">
                  <c:v>30</c:v>
                </c:pt>
                <c:pt idx="20">
                  <c:v>17</c:v>
                </c:pt>
                <c:pt idx="21">
                  <c:v>70</c:v>
                </c:pt>
              </c:numCache>
            </c:numRef>
          </c:val>
          <c:extLst>
            <c:ext xmlns:c16="http://schemas.microsoft.com/office/drawing/2014/chart" uri="{C3380CC4-5D6E-409C-BE32-E72D297353CC}">
              <c16:uniqueId val="{00000059-60F4-4B87-9C89-8C183955ACD8}"/>
            </c:ext>
          </c:extLst>
        </c:ser>
        <c:ser>
          <c:idx val="2"/>
          <c:order val="2"/>
          <c:tx>
            <c:strRef>
              <c:f>Pivot!$I$4:$I$5</c:f>
              <c:strCache>
                <c:ptCount val="1"/>
                <c:pt idx="0">
                  <c:v>Cybersecurity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5B-60F4-4B87-9C89-8C183955AC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5D-60F4-4B87-9C89-8C183955ACD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5F-60F4-4B87-9C89-8C183955ACD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61-60F4-4B87-9C89-8C183955ACD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63-60F4-4B87-9C89-8C183955ACD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65-60F4-4B87-9C89-8C183955ACD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67-60F4-4B87-9C89-8C183955ACD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69-60F4-4B87-9C89-8C183955ACD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6B-60F4-4B87-9C89-8C183955ACD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6D-60F4-4B87-9C89-8C183955ACD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6F-60F4-4B87-9C89-8C183955ACD8}"/>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71-60F4-4B87-9C89-8C183955ACD8}"/>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73-60F4-4B87-9C89-8C183955ACD8}"/>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75-60F4-4B87-9C89-8C183955ACD8}"/>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77-60F4-4B87-9C89-8C183955ACD8}"/>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79-60F4-4B87-9C89-8C183955ACD8}"/>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7B-60F4-4B87-9C89-8C183955ACD8}"/>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7D-60F4-4B87-9C89-8C183955ACD8}"/>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7F-60F4-4B87-9C89-8C183955ACD8}"/>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81-60F4-4B87-9C89-8C183955ACD8}"/>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83-60F4-4B87-9C89-8C183955ACD8}"/>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85-60F4-4B87-9C89-8C183955ACD8}"/>
              </c:ext>
            </c:extLst>
          </c:dPt>
          <c:cat>
            <c:strRef>
              <c:f>Pivot!$F$6:$F$28</c:f>
              <c:strCache>
                <c:ptCount val="22"/>
                <c:pt idx="0">
                  <c:v>Argentina</c:v>
                </c:pt>
                <c:pt idx="1">
                  <c:v>Australia</c:v>
                </c:pt>
                <c:pt idx="2">
                  <c:v>Brazil</c:v>
                </c:pt>
                <c:pt idx="3">
                  <c:v>Canada</c:v>
                </c:pt>
                <c:pt idx="4">
                  <c:v>China</c:v>
                </c:pt>
                <c:pt idx="5">
                  <c:v>Egypt</c:v>
                </c:pt>
                <c:pt idx="6">
                  <c:v>France</c:v>
                </c:pt>
                <c:pt idx="7">
                  <c:v>Germany</c:v>
                </c:pt>
                <c:pt idx="8">
                  <c:v>India</c:v>
                </c:pt>
                <c:pt idx="9">
                  <c:v>Indonesia</c:v>
                </c:pt>
                <c:pt idx="10">
                  <c:v>Italy</c:v>
                </c:pt>
                <c:pt idx="11">
                  <c:v>Japan</c:v>
                </c:pt>
                <c:pt idx="12">
                  <c:v>Mexico</c:v>
                </c:pt>
                <c:pt idx="13">
                  <c:v>Netherlands</c:v>
                </c:pt>
                <c:pt idx="14">
                  <c:v>Not Mentioned</c:v>
                </c:pt>
                <c:pt idx="15">
                  <c:v>Russia</c:v>
                </c:pt>
                <c:pt idx="16">
                  <c:v>South Africa</c:v>
                </c:pt>
                <c:pt idx="17">
                  <c:v>South Korea</c:v>
                </c:pt>
                <c:pt idx="18">
                  <c:v>Spain</c:v>
                </c:pt>
                <c:pt idx="19">
                  <c:v>Turkey</c:v>
                </c:pt>
                <c:pt idx="20">
                  <c:v>UK</c:v>
                </c:pt>
                <c:pt idx="21">
                  <c:v>US</c:v>
                </c:pt>
              </c:strCache>
            </c:strRef>
          </c:cat>
          <c:val>
            <c:numRef>
              <c:f>Pivot!$I$6:$I$28</c:f>
              <c:numCache>
                <c:formatCode>General</c:formatCode>
                <c:ptCount val="22"/>
                <c:pt idx="0">
                  <c:v>20</c:v>
                </c:pt>
                <c:pt idx="1">
                  <c:v>53</c:v>
                </c:pt>
                <c:pt idx="2">
                  <c:v>36</c:v>
                </c:pt>
                <c:pt idx="3">
                  <c:v>190</c:v>
                </c:pt>
                <c:pt idx="4">
                  <c:v>27</c:v>
                </c:pt>
                <c:pt idx="5">
                  <c:v>10</c:v>
                </c:pt>
                <c:pt idx="6">
                  <c:v>95</c:v>
                </c:pt>
                <c:pt idx="7">
                  <c:v>14</c:v>
                </c:pt>
                <c:pt idx="8">
                  <c:v>53</c:v>
                </c:pt>
                <c:pt idx="9">
                  <c:v>16</c:v>
                </c:pt>
                <c:pt idx="10">
                  <c:v>21</c:v>
                </c:pt>
                <c:pt idx="11">
                  <c:v>15</c:v>
                </c:pt>
                <c:pt idx="12">
                  <c:v>19</c:v>
                </c:pt>
                <c:pt idx="13">
                  <c:v>43</c:v>
                </c:pt>
                <c:pt idx="15">
                  <c:v>22</c:v>
                </c:pt>
                <c:pt idx="16">
                  <c:v>83</c:v>
                </c:pt>
                <c:pt idx="17">
                  <c:v>76</c:v>
                </c:pt>
                <c:pt idx="18">
                  <c:v>116</c:v>
                </c:pt>
                <c:pt idx="19">
                  <c:v>13</c:v>
                </c:pt>
                <c:pt idx="20">
                  <c:v>99</c:v>
                </c:pt>
                <c:pt idx="21">
                  <c:v>44</c:v>
                </c:pt>
              </c:numCache>
            </c:numRef>
          </c:val>
          <c:extLst>
            <c:ext xmlns:c16="http://schemas.microsoft.com/office/drawing/2014/chart" uri="{C3380CC4-5D6E-409C-BE32-E72D297353CC}">
              <c16:uniqueId val="{00000086-60F4-4B87-9C89-8C183955ACD8}"/>
            </c:ext>
          </c:extLst>
        </c:ser>
        <c:ser>
          <c:idx val="3"/>
          <c:order val="3"/>
          <c:tx>
            <c:strRef>
              <c:f>Pivot!$J$4:$J$5</c:f>
              <c:strCache>
                <c:ptCount val="1"/>
                <c:pt idx="0">
                  <c:v>Data Analysis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88-60F4-4B87-9C89-8C183955AC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8A-60F4-4B87-9C89-8C183955ACD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8C-60F4-4B87-9C89-8C183955ACD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8E-60F4-4B87-9C89-8C183955ACD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90-60F4-4B87-9C89-8C183955ACD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92-60F4-4B87-9C89-8C183955ACD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94-60F4-4B87-9C89-8C183955ACD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96-60F4-4B87-9C89-8C183955ACD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98-60F4-4B87-9C89-8C183955ACD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9A-60F4-4B87-9C89-8C183955ACD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9C-60F4-4B87-9C89-8C183955ACD8}"/>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9E-60F4-4B87-9C89-8C183955ACD8}"/>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A0-60F4-4B87-9C89-8C183955ACD8}"/>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A2-60F4-4B87-9C89-8C183955ACD8}"/>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A4-60F4-4B87-9C89-8C183955ACD8}"/>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A6-60F4-4B87-9C89-8C183955ACD8}"/>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A8-60F4-4B87-9C89-8C183955ACD8}"/>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AA-60F4-4B87-9C89-8C183955ACD8}"/>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AC-60F4-4B87-9C89-8C183955ACD8}"/>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AE-60F4-4B87-9C89-8C183955ACD8}"/>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B0-60F4-4B87-9C89-8C183955ACD8}"/>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B2-60F4-4B87-9C89-8C183955ACD8}"/>
              </c:ext>
            </c:extLst>
          </c:dPt>
          <c:cat>
            <c:strRef>
              <c:f>Pivot!$F$6:$F$28</c:f>
              <c:strCache>
                <c:ptCount val="22"/>
                <c:pt idx="0">
                  <c:v>Argentina</c:v>
                </c:pt>
                <c:pt idx="1">
                  <c:v>Australia</c:v>
                </c:pt>
                <c:pt idx="2">
                  <c:v>Brazil</c:v>
                </c:pt>
                <c:pt idx="3">
                  <c:v>Canada</c:v>
                </c:pt>
                <c:pt idx="4">
                  <c:v>China</c:v>
                </c:pt>
                <c:pt idx="5">
                  <c:v>Egypt</c:v>
                </c:pt>
                <c:pt idx="6">
                  <c:v>France</c:v>
                </c:pt>
                <c:pt idx="7">
                  <c:v>Germany</c:v>
                </c:pt>
                <c:pt idx="8">
                  <c:v>India</c:v>
                </c:pt>
                <c:pt idx="9">
                  <c:v>Indonesia</c:v>
                </c:pt>
                <c:pt idx="10">
                  <c:v>Italy</c:v>
                </c:pt>
                <c:pt idx="11">
                  <c:v>Japan</c:v>
                </c:pt>
                <c:pt idx="12">
                  <c:v>Mexico</c:v>
                </c:pt>
                <c:pt idx="13">
                  <c:v>Netherlands</c:v>
                </c:pt>
                <c:pt idx="14">
                  <c:v>Not Mentioned</c:v>
                </c:pt>
                <c:pt idx="15">
                  <c:v>Russia</c:v>
                </c:pt>
                <c:pt idx="16">
                  <c:v>South Africa</c:v>
                </c:pt>
                <c:pt idx="17">
                  <c:v>South Korea</c:v>
                </c:pt>
                <c:pt idx="18">
                  <c:v>Spain</c:v>
                </c:pt>
                <c:pt idx="19">
                  <c:v>Turkey</c:v>
                </c:pt>
                <c:pt idx="20">
                  <c:v>UK</c:v>
                </c:pt>
                <c:pt idx="21">
                  <c:v>US</c:v>
                </c:pt>
              </c:strCache>
            </c:strRef>
          </c:cat>
          <c:val>
            <c:numRef>
              <c:f>Pivot!$J$6:$J$28</c:f>
              <c:numCache>
                <c:formatCode>General</c:formatCode>
                <c:ptCount val="22"/>
                <c:pt idx="0">
                  <c:v>23</c:v>
                </c:pt>
                <c:pt idx="1">
                  <c:v>16</c:v>
                </c:pt>
                <c:pt idx="2">
                  <c:v>16</c:v>
                </c:pt>
                <c:pt idx="3">
                  <c:v>46</c:v>
                </c:pt>
                <c:pt idx="4">
                  <c:v>19</c:v>
                </c:pt>
                <c:pt idx="5">
                  <c:v>22</c:v>
                </c:pt>
                <c:pt idx="6">
                  <c:v>37</c:v>
                </c:pt>
                <c:pt idx="7">
                  <c:v>60</c:v>
                </c:pt>
                <c:pt idx="8">
                  <c:v>26</c:v>
                </c:pt>
                <c:pt idx="9">
                  <c:v>71</c:v>
                </c:pt>
                <c:pt idx="10">
                  <c:v>58</c:v>
                </c:pt>
                <c:pt idx="11">
                  <c:v>83</c:v>
                </c:pt>
                <c:pt idx="12">
                  <c:v>23</c:v>
                </c:pt>
                <c:pt idx="13">
                  <c:v>59</c:v>
                </c:pt>
                <c:pt idx="15">
                  <c:v>70</c:v>
                </c:pt>
                <c:pt idx="16">
                  <c:v>35</c:v>
                </c:pt>
                <c:pt idx="17">
                  <c:v>39</c:v>
                </c:pt>
                <c:pt idx="18">
                  <c:v>51</c:v>
                </c:pt>
                <c:pt idx="19">
                  <c:v>36</c:v>
                </c:pt>
                <c:pt idx="20">
                  <c:v>97</c:v>
                </c:pt>
              </c:numCache>
            </c:numRef>
          </c:val>
          <c:extLst>
            <c:ext xmlns:c16="http://schemas.microsoft.com/office/drawing/2014/chart" uri="{C3380CC4-5D6E-409C-BE32-E72D297353CC}">
              <c16:uniqueId val="{000000B3-60F4-4B87-9C89-8C183955ACD8}"/>
            </c:ext>
          </c:extLst>
        </c:ser>
        <c:ser>
          <c:idx val="4"/>
          <c:order val="4"/>
          <c:tx>
            <c:strRef>
              <c:f>Pivot!$K$4:$K$5</c:f>
              <c:strCache>
                <c:ptCount val="1"/>
                <c:pt idx="0">
                  <c:v>DevOps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B5-60F4-4B87-9C89-8C183955AC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B7-60F4-4B87-9C89-8C183955ACD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B9-60F4-4B87-9C89-8C183955ACD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BB-60F4-4B87-9C89-8C183955ACD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BD-60F4-4B87-9C89-8C183955ACD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BF-60F4-4B87-9C89-8C183955ACD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C1-60F4-4B87-9C89-8C183955ACD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C3-60F4-4B87-9C89-8C183955ACD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C5-60F4-4B87-9C89-8C183955ACD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C7-60F4-4B87-9C89-8C183955ACD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C9-60F4-4B87-9C89-8C183955ACD8}"/>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CB-60F4-4B87-9C89-8C183955ACD8}"/>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CD-60F4-4B87-9C89-8C183955ACD8}"/>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CF-60F4-4B87-9C89-8C183955ACD8}"/>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D1-60F4-4B87-9C89-8C183955ACD8}"/>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D3-60F4-4B87-9C89-8C183955ACD8}"/>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D5-60F4-4B87-9C89-8C183955ACD8}"/>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D7-60F4-4B87-9C89-8C183955ACD8}"/>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D9-60F4-4B87-9C89-8C183955ACD8}"/>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DB-60F4-4B87-9C89-8C183955ACD8}"/>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DD-60F4-4B87-9C89-8C183955ACD8}"/>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DF-60F4-4B87-9C89-8C183955ACD8}"/>
              </c:ext>
            </c:extLst>
          </c:dPt>
          <c:cat>
            <c:strRef>
              <c:f>Pivot!$F$6:$F$28</c:f>
              <c:strCache>
                <c:ptCount val="22"/>
                <c:pt idx="0">
                  <c:v>Argentina</c:v>
                </c:pt>
                <c:pt idx="1">
                  <c:v>Australia</c:v>
                </c:pt>
                <c:pt idx="2">
                  <c:v>Brazil</c:v>
                </c:pt>
                <c:pt idx="3">
                  <c:v>Canada</c:v>
                </c:pt>
                <c:pt idx="4">
                  <c:v>China</c:v>
                </c:pt>
                <c:pt idx="5">
                  <c:v>Egypt</c:v>
                </c:pt>
                <c:pt idx="6">
                  <c:v>France</c:v>
                </c:pt>
                <c:pt idx="7">
                  <c:v>Germany</c:v>
                </c:pt>
                <c:pt idx="8">
                  <c:v>India</c:v>
                </c:pt>
                <c:pt idx="9">
                  <c:v>Indonesia</c:v>
                </c:pt>
                <c:pt idx="10">
                  <c:v>Italy</c:v>
                </c:pt>
                <c:pt idx="11">
                  <c:v>Japan</c:v>
                </c:pt>
                <c:pt idx="12">
                  <c:v>Mexico</c:v>
                </c:pt>
                <c:pt idx="13">
                  <c:v>Netherlands</c:v>
                </c:pt>
                <c:pt idx="14">
                  <c:v>Not Mentioned</c:v>
                </c:pt>
                <c:pt idx="15">
                  <c:v>Russia</c:v>
                </c:pt>
                <c:pt idx="16">
                  <c:v>South Africa</c:v>
                </c:pt>
                <c:pt idx="17">
                  <c:v>South Korea</c:v>
                </c:pt>
                <c:pt idx="18">
                  <c:v>Spain</c:v>
                </c:pt>
                <c:pt idx="19">
                  <c:v>Turkey</c:v>
                </c:pt>
                <c:pt idx="20">
                  <c:v>UK</c:v>
                </c:pt>
                <c:pt idx="21">
                  <c:v>US</c:v>
                </c:pt>
              </c:strCache>
            </c:strRef>
          </c:cat>
          <c:val>
            <c:numRef>
              <c:f>Pivot!$K$6:$K$28</c:f>
              <c:numCache>
                <c:formatCode>General</c:formatCode>
                <c:ptCount val="22"/>
                <c:pt idx="1">
                  <c:v>32</c:v>
                </c:pt>
                <c:pt idx="2">
                  <c:v>20</c:v>
                </c:pt>
                <c:pt idx="3">
                  <c:v>38</c:v>
                </c:pt>
                <c:pt idx="4">
                  <c:v>92</c:v>
                </c:pt>
                <c:pt idx="5">
                  <c:v>71</c:v>
                </c:pt>
                <c:pt idx="6">
                  <c:v>52</c:v>
                </c:pt>
                <c:pt idx="7">
                  <c:v>70</c:v>
                </c:pt>
                <c:pt idx="8">
                  <c:v>8</c:v>
                </c:pt>
                <c:pt idx="9">
                  <c:v>15</c:v>
                </c:pt>
                <c:pt idx="10">
                  <c:v>83</c:v>
                </c:pt>
                <c:pt idx="11">
                  <c:v>34</c:v>
                </c:pt>
                <c:pt idx="12">
                  <c:v>69</c:v>
                </c:pt>
                <c:pt idx="13">
                  <c:v>56</c:v>
                </c:pt>
                <c:pt idx="15">
                  <c:v>76</c:v>
                </c:pt>
                <c:pt idx="16">
                  <c:v>44</c:v>
                </c:pt>
                <c:pt idx="17">
                  <c:v>43</c:v>
                </c:pt>
                <c:pt idx="18">
                  <c:v>56</c:v>
                </c:pt>
                <c:pt idx="19">
                  <c:v>54</c:v>
                </c:pt>
                <c:pt idx="20">
                  <c:v>173</c:v>
                </c:pt>
                <c:pt idx="21">
                  <c:v>52</c:v>
                </c:pt>
              </c:numCache>
            </c:numRef>
          </c:val>
          <c:extLst>
            <c:ext xmlns:c16="http://schemas.microsoft.com/office/drawing/2014/chart" uri="{C3380CC4-5D6E-409C-BE32-E72D297353CC}">
              <c16:uniqueId val="{000000E0-60F4-4B87-9C89-8C183955ACD8}"/>
            </c:ext>
          </c:extLst>
        </c:ser>
        <c:ser>
          <c:idx val="5"/>
          <c:order val="5"/>
          <c:tx>
            <c:strRef>
              <c:f>Pivot!$L$4:$L$5</c:f>
              <c:strCache>
                <c:ptCount val="1"/>
                <c:pt idx="0">
                  <c:v>Graphic Design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E2-60F4-4B87-9C89-8C183955AC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E4-60F4-4B87-9C89-8C183955ACD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E6-60F4-4B87-9C89-8C183955ACD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E8-60F4-4B87-9C89-8C183955ACD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EA-60F4-4B87-9C89-8C183955ACD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EC-60F4-4B87-9C89-8C183955ACD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EE-60F4-4B87-9C89-8C183955ACD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F0-60F4-4B87-9C89-8C183955ACD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F2-60F4-4B87-9C89-8C183955ACD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F4-60F4-4B87-9C89-8C183955ACD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F6-60F4-4B87-9C89-8C183955ACD8}"/>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F8-60F4-4B87-9C89-8C183955ACD8}"/>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FA-60F4-4B87-9C89-8C183955ACD8}"/>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FC-60F4-4B87-9C89-8C183955ACD8}"/>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FE-60F4-4B87-9C89-8C183955ACD8}"/>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00-60F4-4B87-9C89-8C183955ACD8}"/>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02-60F4-4B87-9C89-8C183955ACD8}"/>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04-60F4-4B87-9C89-8C183955ACD8}"/>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06-60F4-4B87-9C89-8C183955ACD8}"/>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08-60F4-4B87-9C89-8C183955ACD8}"/>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0A-60F4-4B87-9C89-8C183955ACD8}"/>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0C-60F4-4B87-9C89-8C183955ACD8}"/>
              </c:ext>
            </c:extLst>
          </c:dPt>
          <c:cat>
            <c:strRef>
              <c:f>Pivot!$F$6:$F$28</c:f>
              <c:strCache>
                <c:ptCount val="22"/>
                <c:pt idx="0">
                  <c:v>Argentina</c:v>
                </c:pt>
                <c:pt idx="1">
                  <c:v>Australia</c:v>
                </c:pt>
                <c:pt idx="2">
                  <c:v>Brazil</c:v>
                </c:pt>
                <c:pt idx="3">
                  <c:v>Canada</c:v>
                </c:pt>
                <c:pt idx="4">
                  <c:v>China</c:v>
                </c:pt>
                <c:pt idx="5">
                  <c:v>Egypt</c:v>
                </c:pt>
                <c:pt idx="6">
                  <c:v>France</c:v>
                </c:pt>
                <c:pt idx="7">
                  <c:v>Germany</c:v>
                </c:pt>
                <c:pt idx="8">
                  <c:v>India</c:v>
                </c:pt>
                <c:pt idx="9">
                  <c:v>Indonesia</c:v>
                </c:pt>
                <c:pt idx="10">
                  <c:v>Italy</c:v>
                </c:pt>
                <c:pt idx="11">
                  <c:v>Japan</c:v>
                </c:pt>
                <c:pt idx="12">
                  <c:v>Mexico</c:v>
                </c:pt>
                <c:pt idx="13">
                  <c:v>Netherlands</c:v>
                </c:pt>
                <c:pt idx="14">
                  <c:v>Not Mentioned</c:v>
                </c:pt>
                <c:pt idx="15">
                  <c:v>Russia</c:v>
                </c:pt>
                <c:pt idx="16">
                  <c:v>South Africa</c:v>
                </c:pt>
                <c:pt idx="17">
                  <c:v>South Korea</c:v>
                </c:pt>
                <c:pt idx="18">
                  <c:v>Spain</c:v>
                </c:pt>
                <c:pt idx="19">
                  <c:v>Turkey</c:v>
                </c:pt>
                <c:pt idx="20">
                  <c:v>UK</c:v>
                </c:pt>
                <c:pt idx="21">
                  <c:v>US</c:v>
                </c:pt>
              </c:strCache>
            </c:strRef>
          </c:cat>
          <c:val>
            <c:numRef>
              <c:f>Pivot!$L$6:$L$28</c:f>
              <c:numCache>
                <c:formatCode>General</c:formatCode>
                <c:ptCount val="22"/>
                <c:pt idx="0">
                  <c:v>63</c:v>
                </c:pt>
                <c:pt idx="1">
                  <c:v>114</c:v>
                </c:pt>
                <c:pt idx="2">
                  <c:v>33</c:v>
                </c:pt>
                <c:pt idx="3">
                  <c:v>76</c:v>
                </c:pt>
                <c:pt idx="4">
                  <c:v>9</c:v>
                </c:pt>
                <c:pt idx="5">
                  <c:v>79</c:v>
                </c:pt>
                <c:pt idx="6">
                  <c:v>42</c:v>
                </c:pt>
                <c:pt idx="7">
                  <c:v>62</c:v>
                </c:pt>
                <c:pt idx="8">
                  <c:v>29</c:v>
                </c:pt>
                <c:pt idx="9">
                  <c:v>52</c:v>
                </c:pt>
                <c:pt idx="10">
                  <c:v>14</c:v>
                </c:pt>
                <c:pt idx="11">
                  <c:v>37</c:v>
                </c:pt>
                <c:pt idx="12">
                  <c:v>79</c:v>
                </c:pt>
                <c:pt idx="13">
                  <c:v>27</c:v>
                </c:pt>
                <c:pt idx="14">
                  <c:v>20</c:v>
                </c:pt>
                <c:pt idx="15">
                  <c:v>65</c:v>
                </c:pt>
                <c:pt idx="16">
                  <c:v>55</c:v>
                </c:pt>
                <c:pt idx="17">
                  <c:v>78</c:v>
                </c:pt>
                <c:pt idx="18">
                  <c:v>28</c:v>
                </c:pt>
                <c:pt idx="19">
                  <c:v>83</c:v>
                </c:pt>
                <c:pt idx="20">
                  <c:v>1</c:v>
                </c:pt>
                <c:pt idx="21">
                  <c:v>69</c:v>
                </c:pt>
              </c:numCache>
            </c:numRef>
          </c:val>
          <c:extLst>
            <c:ext xmlns:c16="http://schemas.microsoft.com/office/drawing/2014/chart" uri="{C3380CC4-5D6E-409C-BE32-E72D297353CC}">
              <c16:uniqueId val="{0000010D-60F4-4B87-9C89-8C183955ACD8}"/>
            </c:ext>
          </c:extLst>
        </c:ser>
        <c:ser>
          <c:idx val="6"/>
          <c:order val="6"/>
          <c:tx>
            <c:strRef>
              <c:f>Pivot!$M$4:$M$5</c:f>
              <c:strCache>
                <c:ptCount val="1"/>
                <c:pt idx="0">
                  <c:v>Machine Learning</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10F-60F4-4B87-9C89-8C183955AC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111-60F4-4B87-9C89-8C183955ACD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113-60F4-4B87-9C89-8C183955ACD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115-60F4-4B87-9C89-8C183955ACD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117-60F4-4B87-9C89-8C183955ACD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119-60F4-4B87-9C89-8C183955ACD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1B-60F4-4B87-9C89-8C183955ACD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1D-60F4-4B87-9C89-8C183955ACD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1F-60F4-4B87-9C89-8C183955ACD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21-60F4-4B87-9C89-8C183955ACD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23-60F4-4B87-9C89-8C183955ACD8}"/>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25-60F4-4B87-9C89-8C183955ACD8}"/>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27-60F4-4B87-9C89-8C183955ACD8}"/>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29-60F4-4B87-9C89-8C183955ACD8}"/>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2B-60F4-4B87-9C89-8C183955ACD8}"/>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2D-60F4-4B87-9C89-8C183955ACD8}"/>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2F-60F4-4B87-9C89-8C183955ACD8}"/>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31-60F4-4B87-9C89-8C183955ACD8}"/>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33-60F4-4B87-9C89-8C183955ACD8}"/>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35-60F4-4B87-9C89-8C183955ACD8}"/>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37-60F4-4B87-9C89-8C183955ACD8}"/>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39-60F4-4B87-9C89-8C183955ACD8}"/>
              </c:ext>
            </c:extLst>
          </c:dPt>
          <c:cat>
            <c:strRef>
              <c:f>Pivot!$F$6:$F$28</c:f>
              <c:strCache>
                <c:ptCount val="22"/>
                <c:pt idx="0">
                  <c:v>Argentina</c:v>
                </c:pt>
                <c:pt idx="1">
                  <c:v>Australia</c:v>
                </c:pt>
                <c:pt idx="2">
                  <c:v>Brazil</c:v>
                </c:pt>
                <c:pt idx="3">
                  <c:v>Canada</c:v>
                </c:pt>
                <c:pt idx="4">
                  <c:v>China</c:v>
                </c:pt>
                <c:pt idx="5">
                  <c:v>Egypt</c:v>
                </c:pt>
                <c:pt idx="6">
                  <c:v>France</c:v>
                </c:pt>
                <c:pt idx="7">
                  <c:v>Germany</c:v>
                </c:pt>
                <c:pt idx="8">
                  <c:v>India</c:v>
                </c:pt>
                <c:pt idx="9">
                  <c:v>Indonesia</c:v>
                </c:pt>
                <c:pt idx="10">
                  <c:v>Italy</c:v>
                </c:pt>
                <c:pt idx="11">
                  <c:v>Japan</c:v>
                </c:pt>
                <c:pt idx="12">
                  <c:v>Mexico</c:v>
                </c:pt>
                <c:pt idx="13">
                  <c:v>Netherlands</c:v>
                </c:pt>
                <c:pt idx="14">
                  <c:v>Not Mentioned</c:v>
                </c:pt>
                <c:pt idx="15">
                  <c:v>Russia</c:v>
                </c:pt>
                <c:pt idx="16">
                  <c:v>South Africa</c:v>
                </c:pt>
                <c:pt idx="17">
                  <c:v>South Korea</c:v>
                </c:pt>
                <c:pt idx="18">
                  <c:v>Spain</c:v>
                </c:pt>
                <c:pt idx="19">
                  <c:v>Turkey</c:v>
                </c:pt>
                <c:pt idx="20">
                  <c:v>UK</c:v>
                </c:pt>
                <c:pt idx="21">
                  <c:v>US</c:v>
                </c:pt>
              </c:strCache>
            </c:strRef>
          </c:cat>
          <c:val>
            <c:numRef>
              <c:f>Pivot!$M$6:$M$28</c:f>
              <c:numCache>
                <c:formatCode>General</c:formatCode>
                <c:ptCount val="22"/>
                <c:pt idx="0">
                  <c:v>48</c:v>
                </c:pt>
                <c:pt idx="1">
                  <c:v>33</c:v>
                </c:pt>
                <c:pt idx="2">
                  <c:v>75</c:v>
                </c:pt>
                <c:pt idx="3">
                  <c:v>52</c:v>
                </c:pt>
                <c:pt idx="4">
                  <c:v>77</c:v>
                </c:pt>
                <c:pt idx="5">
                  <c:v>22</c:v>
                </c:pt>
                <c:pt idx="6">
                  <c:v>45</c:v>
                </c:pt>
                <c:pt idx="7">
                  <c:v>47</c:v>
                </c:pt>
                <c:pt idx="8">
                  <c:v>48</c:v>
                </c:pt>
                <c:pt idx="9">
                  <c:v>34</c:v>
                </c:pt>
                <c:pt idx="10">
                  <c:v>49</c:v>
                </c:pt>
                <c:pt idx="11">
                  <c:v>12</c:v>
                </c:pt>
                <c:pt idx="12">
                  <c:v>58</c:v>
                </c:pt>
                <c:pt idx="13">
                  <c:v>96</c:v>
                </c:pt>
                <c:pt idx="14">
                  <c:v>27</c:v>
                </c:pt>
                <c:pt idx="15">
                  <c:v>42</c:v>
                </c:pt>
                <c:pt idx="16">
                  <c:v>72</c:v>
                </c:pt>
                <c:pt idx="17">
                  <c:v>90</c:v>
                </c:pt>
                <c:pt idx="18">
                  <c:v>48</c:v>
                </c:pt>
                <c:pt idx="19">
                  <c:v>1</c:v>
                </c:pt>
                <c:pt idx="20">
                  <c:v>30</c:v>
                </c:pt>
                <c:pt idx="21">
                  <c:v>45</c:v>
                </c:pt>
              </c:numCache>
            </c:numRef>
          </c:val>
          <c:extLst>
            <c:ext xmlns:c16="http://schemas.microsoft.com/office/drawing/2014/chart" uri="{C3380CC4-5D6E-409C-BE32-E72D297353CC}">
              <c16:uniqueId val="{0000013A-60F4-4B87-9C89-8C183955ACD8}"/>
            </c:ext>
          </c:extLst>
        </c:ser>
        <c:ser>
          <c:idx val="7"/>
          <c:order val="7"/>
          <c:tx>
            <c:strRef>
              <c:f>Pivot!$N$4:$N$5</c:f>
              <c:strCache>
                <c:ptCount val="1"/>
                <c:pt idx="0">
                  <c:v>Mobile Apps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13C-60F4-4B87-9C89-8C183955AC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13E-60F4-4B87-9C89-8C183955ACD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140-60F4-4B87-9C89-8C183955ACD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142-60F4-4B87-9C89-8C183955ACD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144-60F4-4B87-9C89-8C183955ACD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146-60F4-4B87-9C89-8C183955ACD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48-60F4-4B87-9C89-8C183955ACD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4A-60F4-4B87-9C89-8C183955ACD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4C-60F4-4B87-9C89-8C183955ACD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4E-60F4-4B87-9C89-8C183955ACD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50-60F4-4B87-9C89-8C183955ACD8}"/>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52-60F4-4B87-9C89-8C183955ACD8}"/>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54-60F4-4B87-9C89-8C183955ACD8}"/>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56-60F4-4B87-9C89-8C183955ACD8}"/>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58-60F4-4B87-9C89-8C183955ACD8}"/>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5A-60F4-4B87-9C89-8C183955ACD8}"/>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5C-60F4-4B87-9C89-8C183955ACD8}"/>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5E-60F4-4B87-9C89-8C183955ACD8}"/>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60-60F4-4B87-9C89-8C183955ACD8}"/>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62-60F4-4B87-9C89-8C183955ACD8}"/>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64-60F4-4B87-9C89-8C183955ACD8}"/>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66-60F4-4B87-9C89-8C183955ACD8}"/>
              </c:ext>
            </c:extLst>
          </c:dPt>
          <c:cat>
            <c:strRef>
              <c:f>Pivot!$F$6:$F$28</c:f>
              <c:strCache>
                <c:ptCount val="22"/>
                <c:pt idx="0">
                  <c:v>Argentina</c:v>
                </c:pt>
                <c:pt idx="1">
                  <c:v>Australia</c:v>
                </c:pt>
                <c:pt idx="2">
                  <c:v>Brazil</c:v>
                </c:pt>
                <c:pt idx="3">
                  <c:v>Canada</c:v>
                </c:pt>
                <c:pt idx="4">
                  <c:v>China</c:v>
                </c:pt>
                <c:pt idx="5">
                  <c:v>Egypt</c:v>
                </c:pt>
                <c:pt idx="6">
                  <c:v>France</c:v>
                </c:pt>
                <c:pt idx="7">
                  <c:v>Germany</c:v>
                </c:pt>
                <c:pt idx="8">
                  <c:v>India</c:v>
                </c:pt>
                <c:pt idx="9">
                  <c:v>Indonesia</c:v>
                </c:pt>
                <c:pt idx="10">
                  <c:v>Italy</c:v>
                </c:pt>
                <c:pt idx="11">
                  <c:v>Japan</c:v>
                </c:pt>
                <c:pt idx="12">
                  <c:v>Mexico</c:v>
                </c:pt>
                <c:pt idx="13">
                  <c:v>Netherlands</c:v>
                </c:pt>
                <c:pt idx="14">
                  <c:v>Not Mentioned</c:v>
                </c:pt>
                <c:pt idx="15">
                  <c:v>Russia</c:v>
                </c:pt>
                <c:pt idx="16">
                  <c:v>South Africa</c:v>
                </c:pt>
                <c:pt idx="17">
                  <c:v>South Korea</c:v>
                </c:pt>
                <c:pt idx="18">
                  <c:v>Spain</c:v>
                </c:pt>
                <c:pt idx="19">
                  <c:v>Turkey</c:v>
                </c:pt>
                <c:pt idx="20">
                  <c:v>UK</c:v>
                </c:pt>
                <c:pt idx="21">
                  <c:v>US</c:v>
                </c:pt>
              </c:strCache>
            </c:strRef>
          </c:cat>
          <c:val>
            <c:numRef>
              <c:f>Pivot!$N$6:$N$28</c:f>
              <c:numCache>
                <c:formatCode>General</c:formatCode>
                <c:ptCount val="22"/>
                <c:pt idx="0">
                  <c:v>94</c:v>
                </c:pt>
                <c:pt idx="1">
                  <c:v>48</c:v>
                </c:pt>
                <c:pt idx="2">
                  <c:v>54</c:v>
                </c:pt>
                <c:pt idx="3">
                  <c:v>31</c:v>
                </c:pt>
                <c:pt idx="4">
                  <c:v>29</c:v>
                </c:pt>
                <c:pt idx="5">
                  <c:v>43</c:v>
                </c:pt>
                <c:pt idx="6">
                  <c:v>38</c:v>
                </c:pt>
                <c:pt idx="7">
                  <c:v>83</c:v>
                </c:pt>
                <c:pt idx="8">
                  <c:v>97</c:v>
                </c:pt>
                <c:pt idx="9">
                  <c:v>79</c:v>
                </c:pt>
                <c:pt idx="10">
                  <c:v>76</c:v>
                </c:pt>
                <c:pt idx="11">
                  <c:v>16</c:v>
                </c:pt>
                <c:pt idx="12">
                  <c:v>57</c:v>
                </c:pt>
                <c:pt idx="13">
                  <c:v>63</c:v>
                </c:pt>
                <c:pt idx="15">
                  <c:v>49</c:v>
                </c:pt>
                <c:pt idx="16">
                  <c:v>84</c:v>
                </c:pt>
                <c:pt idx="17">
                  <c:v>70</c:v>
                </c:pt>
                <c:pt idx="18">
                  <c:v>33</c:v>
                </c:pt>
                <c:pt idx="19">
                  <c:v>41</c:v>
                </c:pt>
                <c:pt idx="20">
                  <c:v>48</c:v>
                </c:pt>
                <c:pt idx="21">
                  <c:v>67</c:v>
                </c:pt>
              </c:numCache>
            </c:numRef>
          </c:val>
          <c:extLst>
            <c:ext xmlns:c16="http://schemas.microsoft.com/office/drawing/2014/chart" uri="{C3380CC4-5D6E-409C-BE32-E72D297353CC}">
              <c16:uniqueId val="{00000167-60F4-4B87-9C89-8C183955ACD8}"/>
            </c:ext>
          </c:extLst>
        </c:ser>
        <c:ser>
          <c:idx val="8"/>
          <c:order val="8"/>
          <c:tx>
            <c:strRef>
              <c:f>Pivot!$O$4:$O$5</c:f>
              <c:strCache>
                <c:ptCount val="1"/>
                <c:pt idx="0">
                  <c:v>Not Mentioned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169-60F4-4B87-9C89-8C183955AC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16B-60F4-4B87-9C89-8C183955ACD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16D-60F4-4B87-9C89-8C183955ACD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16F-60F4-4B87-9C89-8C183955ACD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171-60F4-4B87-9C89-8C183955ACD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173-60F4-4B87-9C89-8C183955ACD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75-60F4-4B87-9C89-8C183955ACD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77-60F4-4B87-9C89-8C183955ACD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79-60F4-4B87-9C89-8C183955ACD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7B-60F4-4B87-9C89-8C183955ACD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7D-60F4-4B87-9C89-8C183955ACD8}"/>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7F-60F4-4B87-9C89-8C183955ACD8}"/>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81-60F4-4B87-9C89-8C183955ACD8}"/>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83-60F4-4B87-9C89-8C183955ACD8}"/>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85-60F4-4B87-9C89-8C183955ACD8}"/>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87-60F4-4B87-9C89-8C183955ACD8}"/>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89-60F4-4B87-9C89-8C183955ACD8}"/>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8B-60F4-4B87-9C89-8C183955ACD8}"/>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8D-60F4-4B87-9C89-8C183955ACD8}"/>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8F-60F4-4B87-9C89-8C183955ACD8}"/>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91-60F4-4B87-9C89-8C183955ACD8}"/>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93-60F4-4B87-9C89-8C183955ACD8}"/>
              </c:ext>
            </c:extLst>
          </c:dPt>
          <c:cat>
            <c:strRef>
              <c:f>Pivot!$F$6:$F$28</c:f>
              <c:strCache>
                <c:ptCount val="22"/>
                <c:pt idx="0">
                  <c:v>Argentina</c:v>
                </c:pt>
                <c:pt idx="1">
                  <c:v>Australia</c:v>
                </c:pt>
                <c:pt idx="2">
                  <c:v>Brazil</c:v>
                </c:pt>
                <c:pt idx="3">
                  <c:v>Canada</c:v>
                </c:pt>
                <c:pt idx="4">
                  <c:v>China</c:v>
                </c:pt>
                <c:pt idx="5">
                  <c:v>Egypt</c:v>
                </c:pt>
                <c:pt idx="6">
                  <c:v>France</c:v>
                </c:pt>
                <c:pt idx="7">
                  <c:v>Germany</c:v>
                </c:pt>
                <c:pt idx="8">
                  <c:v>India</c:v>
                </c:pt>
                <c:pt idx="9">
                  <c:v>Indonesia</c:v>
                </c:pt>
                <c:pt idx="10">
                  <c:v>Italy</c:v>
                </c:pt>
                <c:pt idx="11">
                  <c:v>Japan</c:v>
                </c:pt>
                <c:pt idx="12">
                  <c:v>Mexico</c:v>
                </c:pt>
                <c:pt idx="13">
                  <c:v>Netherlands</c:v>
                </c:pt>
                <c:pt idx="14">
                  <c:v>Not Mentioned</c:v>
                </c:pt>
                <c:pt idx="15">
                  <c:v>Russia</c:v>
                </c:pt>
                <c:pt idx="16">
                  <c:v>South Africa</c:v>
                </c:pt>
                <c:pt idx="17">
                  <c:v>South Korea</c:v>
                </c:pt>
                <c:pt idx="18">
                  <c:v>Spain</c:v>
                </c:pt>
                <c:pt idx="19">
                  <c:v>Turkey</c:v>
                </c:pt>
                <c:pt idx="20">
                  <c:v>UK</c:v>
                </c:pt>
                <c:pt idx="21">
                  <c:v>US</c:v>
                </c:pt>
              </c:strCache>
            </c:strRef>
          </c:cat>
          <c:val>
            <c:numRef>
              <c:f>Pivot!$O$6:$O$28</c:f>
              <c:numCache>
                <c:formatCode>General</c:formatCode>
                <c:ptCount val="22"/>
                <c:pt idx="7">
                  <c:v>27</c:v>
                </c:pt>
                <c:pt idx="11">
                  <c:v>0</c:v>
                </c:pt>
                <c:pt idx="17">
                  <c:v>28</c:v>
                </c:pt>
              </c:numCache>
            </c:numRef>
          </c:val>
          <c:extLst>
            <c:ext xmlns:c16="http://schemas.microsoft.com/office/drawing/2014/chart" uri="{C3380CC4-5D6E-409C-BE32-E72D297353CC}">
              <c16:uniqueId val="{00000194-60F4-4B87-9C89-8C183955ACD8}"/>
            </c:ext>
          </c:extLst>
        </c:ser>
        <c:ser>
          <c:idx val="9"/>
          <c:order val="9"/>
          <c:tx>
            <c:strRef>
              <c:f>Pivot!$P$4:$P$5</c:f>
              <c:strCache>
                <c:ptCount val="1"/>
                <c:pt idx="0">
                  <c:v>UI/UX Design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196-60F4-4B87-9C89-8C183955AC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198-60F4-4B87-9C89-8C183955ACD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19A-60F4-4B87-9C89-8C183955ACD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19C-60F4-4B87-9C89-8C183955ACD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19E-60F4-4B87-9C89-8C183955ACD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1A0-60F4-4B87-9C89-8C183955ACD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A2-60F4-4B87-9C89-8C183955ACD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A4-60F4-4B87-9C89-8C183955ACD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A6-60F4-4B87-9C89-8C183955ACD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A8-60F4-4B87-9C89-8C183955ACD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AA-60F4-4B87-9C89-8C183955ACD8}"/>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AC-60F4-4B87-9C89-8C183955ACD8}"/>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AE-60F4-4B87-9C89-8C183955ACD8}"/>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B0-60F4-4B87-9C89-8C183955ACD8}"/>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B2-60F4-4B87-9C89-8C183955ACD8}"/>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B4-60F4-4B87-9C89-8C183955ACD8}"/>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B6-60F4-4B87-9C89-8C183955ACD8}"/>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B8-60F4-4B87-9C89-8C183955ACD8}"/>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BA-60F4-4B87-9C89-8C183955ACD8}"/>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BC-60F4-4B87-9C89-8C183955ACD8}"/>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BE-60F4-4B87-9C89-8C183955ACD8}"/>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C0-60F4-4B87-9C89-8C183955ACD8}"/>
              </c:ext>
            </c:extLst>
          </c:dPt>
          <c:cat>
            <c:strRef>
              <c:f>Pivot!$F$6:$F$28</c:f>
              <c:strCache>
                <c:ptCount val="22"/>
                <c:pt idx="0">
                  <c:v>Argentina</c:v>
                </c:pt>
                <c:pt idx="1">
                  <c:v>Australia</c:v>
                </c:pt>
                <c:pt idx="2">
                  <c:v>Brazil</c:v>
                </c:pt>
                <c:pt idx="3">
                  <c:v>Canada</c:v>
                </c:pt>
                <c:pt idx="4">
                  <c:v>China</c:v>
                </c:pt>
                <c:pt idx="5">
                  <c:v>Egypt</c:v>
                </c:pt>
                <c:pt idx="6">
                  <c:v>France</c:v>
                </c:pt>
                <c:pt idx="7">
                  <c:v>Germany</c:v>
                </c:pt>
                <c:pt idx="8">
                  <c:v>India</c:v>
                </c:pt>
                <c:pt idx="9">
                  <c:v>Indonesia</c:v>
                </c:pt>
                <c:pt idx="10">
                  <c:v>Italy</c:v>
                </c:pt>
                <c:pt idx="11">
                  <c:v>Japan</c:v>
                </c:pt>
                <c:pt idx="12">
                  <c:v>Mexico</c:v>
                </c:pt>
                <c:pt idx="13">
                  <c:v>Netherlands</c:v>
                </c:pt>
                <c:pt idx="14">
                  <c:v>Not Mentioned</c:v>
                </c:pt>
                <c:pt idx="15">
                  <c:v>Russia</c:v>
                </c:pt>
                <c:pt idx="16">
                  <c:v>South Africa</c:v>
                </c:pt>
                <c:pt idx="17">
                  <c:v>South Korea</c:v>
                </c:pt>
                <c:pt idx="18">
                  <c:v>Spain</c:v>
                </c:pt>
                <c:pt idx="19">
                  <c:v>Turkey</c:v>
                </c:pt>
                <c:pt idx="20">
                  <c:v>UK</c:v>
                </c:pt>
                <c:pt idx="21">
                  <c:v>US</c:v>
                </c:pt>
              </c:strCache>
            </c:strRef>
          </c:cat>
          <c:val>
            <c:numRef>
              <c:f>Pivot!$P$6:$P$28</c:f>
              <c:numCache>
                <c:formatCode>General</c:formatCode>
                <c:ptCount val="22"/>
                <c:pt idx="0">
                  <c:v>46</c:v>
                </c:pt>
                <c:pt idx="1">
                  <c:v>20</c:v>
                </c:pt>
                <c:pt idx="2">
                  <c:v>30</c:v>
                </c:pt>
                <c:pt idx="3">
                  <c:v>61</c:v>
                </c:pt>
                <c:pt idx="4">
                  <c:v>128</c:v>
                </c:pt>
                <c:pt idx="5">
                  <c:v>16</c:v>
                </c:pt>
                <c:pt idx="6">
                  <c:v>86</c:v>
                </c:pt>
                <c:pt idx="7">
                  <c:v>79</c:v>
                </c:pt>
                <c:pt idx="8">
                  <c:v>14</c:v>
                </c:pt>
                <c:pt idx="9">
                  <c:v>56</c:v>
                </c:pt>
                <c:pt idx="10">
                  <c:v>28</c:v>
                </c:pt>
                <c:pt idx="11">
                  <c:v>0</c:v>
                </c:pt>
                <c:pt idx="12">
                  <c:v>96</c:v>
                </c:pt>
                <c:pt idx="13">
                  <c:v>14</c:v>
                </c:pt>
                <c:pt idx="14">
                  <c:v>1</c:v>
                </c:pt>
                <c:pt idx="15">
                  <c:v>36</c:v>
                </c:pt>
                <c:pt idx="16">
                  <c:v>58</c:v>
                </c:pt>
                <c:pt idx="17">
                  <c:v>112</c:v>
                </c:pt>
                <c:pt idx="18">
                  <c:v>3</c:v>
                </c:pt>
                <c:pt idx="19">
                  <c:v>26</c:v>
                </c:pt>
                <c:pt idx="20">
                  <c:v>70</c:v>
                </c:pt>
                <c:pt idx="21">
                  <c:v>150</c:v>
                </c:pt>
              </c:numCache>
            </c:numRef>
          </c:val>
          <c:extLst>
            <c:ext xmlns:c16="http://schemas.microsoft.com/office/drawing/2014/chart" uri="{C3380CC4-5D6E-409C-BE32-E72D297353CC}">
              <c16:uniqueId val="{000001C1-60F4-4B87-9C89-8C183955ACD8}"/>
            </c:ext>
          </c:extLst>
        </c:ser>
        <c:ser>
          <c:idx val="10"/>
          <c:order val="10"/>
          <c:tx>
            <c:strRef>
              <c:f>Pivot!$Q$4:$Q$5</c:f>
              <c:strCache>
                <c:ptCount val="1"/>
                <c:pt idx="0">
                  <c:v>Web Development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1C3-60F4-4B87-9C89-8C183955AC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1C5-60F4-4B87-9C89-8C183955ACD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1C7-60F4-4B87-9C89-8C183955ACD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1C9-60F4-4B87-9C89-8C183955ACD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1CB-60F4-4B87-9C89-8C183955ACD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1CD-60F4-4B87-9C89-8C183955ACD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CF-60F4-4B87-9C89-8C183955ACD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D1-60F4-4B87-9C89-8C183955ACD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D3-60F4-4B87-9C89-8C183955ACD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D5-60F4-4B87-9C89-8C183955ACD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D7-60F4-4B87-9C89-8C183955ACD8}"/>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D9-60F4-4B87-9C89-8C183955ACD8}"/>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DB-60F4-4B87-9C89-8C183955ACD8}"/>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DD-60F4-4B87-9C89-8C183955ACD8}"/>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DF-60F4-4B87-9C89-8C183955ACD8}"/>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E1-60F4-4B87-9C89-8C183955ACD8}"/>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E3-60F4-4B87-9C89-8C183955ACD8}"/>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E5-60F4-4B87-9C89-8C183955ACD8}"/>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E7-60F4-4B87-9C89-8C183955ACD8}"/>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E9-60F4-4B87-9C89-8C183955ACD8}"/>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EB-60F4-4B87-9C89-8C183955ACD8}"/>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ED-60F4-4B87-9C89-8C183955ACD8}"/>
              </c:ext>
            </c:extLst>
          </c:dPt>
          <c:cat>
            <c:strRef>
              <c:f>Pivot!$F$6:$F$28</c:f>
              <c:strCache>
                <c:ptCount val="22"/>
                <c:pt idx="0">
                  <c:v>Argentina</c:v>
                </c:pt>
                <c:pt idx="1">
                  <c:v>Australia</c:v>
                </c:pt>
                <c:pt idx="2">
                  <c:v>Brazil</c:v>
                </c:pt>
                <c:pt idx="3">
                  <c:v>Canada</c:v>
                </c:pt>
                <c:pt idx="4">
                  <c:v>China</c:v>
                </c:pt>
                <c:pt idx="5">
                  <c:v>Egypt</c:v>
                </c:pt>
                <c:pt idx="6">
                  <c:v>France</c:v>
                </c:pt>
                <c:pt idx="7">
                  <c:v>Germany</c:v>
                </c:pt>
                <c:pt idx="8">
                  <c:v>India</c:v>
                </c:pt>
                <c:pt idx="9">
                  <c:v>Indonesia</c:v>
                </c:pt>
                <c:pt idx="10">
                  <c:v>Italy</c:v>
                </c:pt>
                <c:pt idx="11">
                  <c:v>Japan</c:v>
                </c:pt>
                <c:pt idx="12">
                  <c:v>Mexico</c:v>
                </c:pt>
                <c:pt idx="13">
                  <c:v>Netherlands</c:v>
                </c:pt>
                <c:pt idx="14">
                  <c:v>Not Mentioned</c:v>
                </c:pt>
                <c:pt idx="15">
                  <c:v>Russia</c:v>
                </c:pt>
                <c:pt idx="16">
                  <c:v>South Africa</c:v>
                </c:pt>
                <c:pt idx="17">
                  <c:v>South Korea</c:v>
                </c:pt>
                <c:pt idx="18">
                  <c:v>Spain</c:v>
                </c:pt>
                <c:pt idx="19">
                  <c:v>Turkey</c:v>
                </c:pt>
                <c:pt idx="20">
                  <c:v>UK</c:v>
                </c:pt>
                <c:pt idx="21">
                  <c:v>US</c:v>
                </c:pt>
              </c:strCache>
            </c:strRef>
          </c:cat>
          <c:val>
            <c:numRef>
              <c:f>Pivot!$Q$6:$Q$28</c:f>
              <c:numCache>
                <c:formatCode>General</c:formatCode>
                <c:ptCount val="22"/>
                <c:pt idx="0">
                  <c:v>51</c:v>
                </c:pt>
                <c:pt idx="1">
                  <c:v>143</c:v>
                </c:pt>
                <c:pt idx="2">
                  <c:v>29</c:v>
                </c:pt>
                <c:pt idx="3">
                  <c:v>97</c:v>
                </c:pt>
                <c:pt idx="5">
                  <c:v>53</c:v>
                </c:pt>
                <c:pt idx="6">
                  <c:v>39</c:v>
                </c:pt>
                <c:pt idx="7">
                  <c:v>35</c:v>
                </c:pt>
                <c:pt idx="8">
                  <c:v>23</c:v>
                </c:pt>
                <c:pt idx="9">
                  <c:v>64</c:v>
                </c:pt>
                <c:pt idx="10">
                  <c:v>71</c:v>
                </c:pt>
                <c:pt idx="11">
                  <c:v>64</c:v>
                </c:pt>
                <c:pt idx="12">
                  <c:v>72</c:v>
                </c:pt>
                <c:pt idx="13">
                  <c:v>72</c:v>
                </c:pt>
                <c:pt idx="15">
                  <c:v>42</c:v>
                </c:pt>
                <c:pt idx="16">
                  <c:v>29</c:v>
                </c:pt>
                <c:pt idx="17">
                  <c:v>120</c:v>
                </c:pt>
                <c:pt idx="18">
                  <c:v>32</c:v>
                </c:pt>
                <c:pt idx="19">
                  <c:v>128</c:v>
                </c:pt>
                <c:pt idx="20">
                  <c:v>7</c:v>
                </c:pt>
                <c:pt idx="21">
                  <c:v>47</c:v>
                </c:pt>
              </c:numCache>
            </c:numRef>
          </c:val>
          <c:extLst>
            <c:ext xmlns:c16="http://schemas.microsoft.com/office/drawing/2014/chart" uri="{C3380CC4-5D6E-409C-BE32-E72D297353CC}">
              <c16:uniqueId val="{000001EE-60F4-4B87-9C89-8C183955ACD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 Report.xlsx]Pivot!PivotTable4</c:name>
    <c:fmtId val="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Pivot!$I$32:$I$33</c:f>
              <c:strCache>
                <c:ptCount val="1"/>
                <c:pt idx="0">
                  <c:v>Entry level</c:v>
                </c:pt>
              </c:strCache>
            </c:strRef>
          </c:tx>
          <c:spPr>
            <a:ln w="28575" cap="rnd">
              <a:solidFill>
                <a:schemeClr val="accent1"/>
              </a:solidFill>
              <a:round/>
            </a:ln>
            <a:effectLst/>
          </c:spPr>
          <c:marker>
            <c:symbol val="none"/>
          </c:marker>
          <c:cat>
            <c:strRef>
              <c:f>Pivot!$H$34:$H$36</c:f>
              <c:strCache>
                <c:ptCount val="2"/>
                <c:pt idx="0">
                  <c:v>Male</c:v>
                </c:pt>
                <c:pt idx="1">
                  <c:v>Female</c:v>
                </c:pt>
              </c:strCache>
            </c:strRef>
          </c:cat>
          <c:val>
            <c:numRef>
              <c:f>Pivot!$I$34:$I$36</c:f>
              <c:numCache>
                <c:formatCode>General</c:formatCode>
                <c:ptCount val="2"/>
                <c:pt idx="0">
                  <c:v>209</c:v>
                </c:pt>
                <c:pt idx="1">
                  <c:v>182</c:v>
                </c:pt>
              </c:numCache>
            </c:numRef>
          </c:val>
          <c:smooth val="0"/>
          <c:extLst>
            <c:ext xmlns:c16="http://schemas.microsoft.com/office/drawing/2014/chart" uri="{C3380CC4-5D6E-409C-BE32-E72D297353CC}">
              <c16:uniqueId val="{00000000-4F0A-48B8-AE6A-008956282DD0}"/>
            </c:ext>
          </c:extLst>
        </c:ser>
        <c:ser>
          <c:idx val="1"/>
          <c:order val="1"/>
          <c:tx>
            <c:strRef>
              <c:f>Pivot!$J$32:$J$33</c:f>
              <c:strCache>
                <c:ptCount val="1"/>
                <c:pt idx="0">
                  <c:v>Well Experienced</c:v>
                </c:pt>
              </c:strCache>
            </c:strRef>
          </c:tx>
          <c:spPr>
            <a:ln w="28575" cap="rnd">
              <a:solidFill>
                <a:schemeClr val="accent2"/>
              </a:solidFill>
              <a:round/>
            </a:ln>
            <a:effectLst/>
          </c:spPr>
          <c:marker>
            <c:symbol val="none"/>
          </c:marker>
          <c:cat>
            <c:strRef>
              <c:f>Pivot!$H$34:$H$36</c:f>
              <c:strCache>
                <c:ptCount val="2"/>
                <c:pt idx="0">
                  <c:v>Male</c:v>
                </c:pt>
                <c:pt idx="1">
                  <c:v>Female</c:v>
                </c:pt>
              </c:strCache>
            </c:strRef>
          </c:cat>
          <c:val>
            <c:numRef>
              <c:f>Pivot!$J$34:$J$36</c:f>
              <c:numCache>
                <c:formatCode>General</c:formatCode>
                <c:ptCount val="2"/>
                <c:pt idx="0">
                  <c:v>301</c:v>
                </c:pt>
                <c:pt idx="1">
                  <c:v>308</c:v>
                </c:pt>
              </c:numCache>
            </c:numRef>
          </c:val>
          <c:smooth val="0"/>
          <c:extLst>
            <c:ext xmlns:c16="http://schemas.microsoft.com/office/drawing/2014/chart" uri="{C3380CC4-5D6E-409C-BE32-E72D297353CC}">
              <c16:uniqueId val="{00000001-4F0A-48B8-AE6A-008956282DD0}"/>
            </c:ext>
          </c:extLst>
        </c:ser>
        <c:dLbls>
          <c:showLegendKey val="0"/>
          <c:showVal val="0"/>
          <c:showCatName val="0"/>
          <c:showSerName val="0"/>
          <c:showPercent val="0"/>
          <c:showBubbleSize val="0"/>
        </c:dLbls>
        <c:smooth val="0"/>
        <c:axId val="333568688"/>
        <c:axId val="333562928"/>
      </c:lineChart>
      <c:catAx>
        <c:axId val="333568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562928"/>
        <c:crosses val="autoZero"/>
        <c:auto val="1"/>
        <c:lblAlgn val="ctr"/>
        <c:lblOffset val="100"/>
        <c:noMultiLvlLbl val="0"/>
      </c:catAx>
      <c:valAx>
        <c:axId val="333562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568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20</xdr:col>
      <xdr:colOff>15240</xdr:colOff>
      <xdr:row>1</xdr:row>
      <xdr:rowOff>30480</xdr:rowOff>
    </xdr:from>
    <xdr:to>
      <xdr:col>24</xdr:col>
      <xdr:colOff>251460</xdr:colOff>
      <xdr:row>18</xdr:row>
      <xdr:rowOff>83820</xdr:rowOff>
    </xdr:to>
    <xdr:sp macro="" textlink="">
      <xdr:nvSpPr>
        <xdr:cNvPr id="2" name="Rectangle 1">
          <a:extLst>
            <a:ext uri="{FF2B5EF4-FFF2-40B4-BE49-F238E27FC236}">
              <a16:creationId xmlns:a16="http://schemas.microsoft.com/office/drawing/2014/main" id="{D9CFDD1B-E55E-5DAA-B1AA-48624E787D00}"/>
            </a:ext>
          </a:extLst>
        </xdr:cNvPr>
        <xdr:cNvSpPr/>
      </xdr:nvSpPr>
      <xdr:spPr>
        <a:xfrm>
          <a:off x="11864340" y="579120"/>
          <a:ext cx="2087880" cy="31623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285750" lvl="0" indent="-285750" algn="l">
            <a:buFont typeface="Arial" panose="020B0604020202020204" pitchFamily="34" charset="0"/>
            <a:buChar char="•"/>
          </a:pPr>
          <a:r>
            <a:rPr lang="en-IN" sz="1400" b="1"/>
            <a:t>There is no duplicates found</a:t>
          </a:r>
          <a:r>
            <a:rPr lang="en-IN" sz="1100"/>
            <a:t>.</a:t>
          </a:r>
        </a:p>
        <a:p>
          <a:pPr marL="285750" indent="-285750" algn="l">
            <a:buFont typeface="Arial" panose="020B0604020202020204" pitchFamily="34" charset="0"/>
            <a:buChar char="•"/>
          </a:pPr>
          <a:r>
            <a:rPr lang="en-IN" sz="1400" b="1"/>
            <a:t>Many</a:t>
          </a:r>
          <a:r>
            <a:rPr lang="en-IN" sz="1400" b="1" baseline="0"/>
            <a:t> missing values and inconsistent data found.</a:t>
          </a:r>
        </a:p>
        <a:p>
          <a:pPr marL="285750" indent="-285750" algn="l">
            <a:buFont typeface="Arial" panose="020B0604020202020204" pitchFamily="34" charset="0"/>
            <a:buChar char="•"/>
          </a:pPr>
          <a:r>
            <a:rPr lang="en-IN" sz="1400" b="1" baseline="0"/>
            <a:t>I have entered Not mentioned/not given for null values.</a:t>
          </a:r>
        </a:p>
        <a:p>
          <a:pPr marL="285750" indent="-285750" algn="l">
            <a:buFont typeface="Arial" panose="020B0604020202020204" pitchFamily="34" charset="0"/>
            <a:buChar char="•"/>
          </a:pPr>
          <a:r>
            <a:rPr lang="en-IN" sz="1400" b="1" baseline="0"/>
            <a:t>In gender colum,the inconsistent data- Male/Female is clearly mentioned using Find&amp;Replace.</a:t>
          </a:r>
        </a:p>
        <a:p>
          <a:pPr marL="285750" indent="-285750" algn="l">
            <a:buFont typeface="Arial" panose="020B0604020202020204" pitchFamily="34" charset="0"/>
            <a:buChar char="•"/>
          </a:pPr>
          <a:endParaRPr lang="en-IN" sz="1400" b="1" baseline="0"/>
        </a:p>
        <a:p>
          <a:pPr marL="285750" indent="-285750" algn="l">
            <a:buFont typeface="Arial" panose="020B0604020202020204" pitchFamily="34" charset="0"/>
            <a:buChar char="•"/>
          </a:pPr>
          <a:endParaRPr lang="en-IN" sz="1400" b="1" baseline="0"/>
        </a:p>
        <a:p>
          <a:pPr algn="l"/>
          <a:endParaRPr lang="en-IN" sz="14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17</xdr:col>
      <xdr:colOff>441960</xdr:colOff>
      <xdr:row>3</xdr:row>
      <xdr:rowOff>83820</xdr:rowOff>
    </xdr:from>
    <xdr:to>
      <xdr:col>21</xdr:col>
      <xdr:colOff>121920</xdr:colOff>
      <xdr:row>7</xdr:row>
      <xdr:rowOff>83820</xdr:rowOff>
    </xdr:to>
    <xdr:sp macro="" textlink="">
      <xdr:nvSpPr>
        <xdr:cNvPr id="2" name="Rectangle 1">
          <a:extLst>
            <a:ext uri="{FF2B5EF4-FFF2-40B4-BE49-F238E27FC236}">
              <a16:creationId xmlns:a16="http://schemas.microsoft.com/office/drawing/2014/main" id="{23BBCA13-ED63-0CFC-9801-887651D88AF4}"/>
            </a:ext>
          </a:extLst>
        </xdr:cNvPr>
        <xdr:cNvSpPr/>
      </xdr:nvSpPr>
      <xdr:spPr>
        <a:xfrm>
          <a:off x="10805160" y="632460"/>
          <a:ext cx="2118360" cy="73152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a:t>Data cleaned</a:t>
          </a:r>
          <a:r>
            <a:rPr lang="en-IN" sz="1400" b="1" baseline="0"/>
            <a:t> using power query.</a:t>
          </a:r>
        </a:p>
        <a:p>
          <a:pPr algn="l"/>
          <a:endParaRPr lang="en-IN" sz="14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99060</xdr:colOff>
      <xdr:row>5</xdr:row>
      <xdr:rowOff>167640</xdr:rowOff>
    </xdr:from>
    <xdr:to>
      <xdr:col>1</xdr:col>
      <xdr:colOff>579120</xdr:colOff>
      <xdr:row>8</xdr:row>
      <xdr:rowOff>15240</xdr:rowOff>
    </xdr:to>
    <xdr:sp macro="" textlink="">
      <xdr:nvSpPr>
        <xdr:cNvPr id="2" name="Arrow: Right 1">
          <a:extLst>
            <a:ext uri="{FF2B5EF4-FFF2-40B4-BE49-F238E27FC236}">
              <a16:creationId xmlns:a16="http://schemas.microsoft.com/office/drawing/2014/main" id="{353F52AA-2F8C-B26C-C73C-27BC6A88F818}"/>
            </a:ext>
          </a:extLst>
        </xdr:cNvPr>
        <xdr:cNvSpPr/>
      </xdr:nvSpPr>
      <xdr:spPr>
        <a:xfrm>
          <a:off x="1082040" y="1127760"/>
          <a:ext cx="480060" cy="39624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8</xdr:row>
      <xdr:rowOff>0</xdr:rowOff>
    </xdr:from>
    <xdr:to>
      <xdr:col>7</xdr:col>
      <xdr:colOff>304800</xdr:colOff>
      <xdr:row>23</xdr:row>
      <xdr:rowOff>0</xdr:rowOff>
    </xdr:to>
    <xdr:graphicFrame macro="">
      <xdr:nvGraphicFramePr>
        <xdr:cNvPr id="2" name="Chart 1">
          <a:extLst>
            <a:ext uri="{FF2B5EF4-FFF2-40B4-BE49-F238E27FC236}">
              <a16:creationId xmlns:a16="http://schemas.microsoft.com/office/drawing/2014/main" id="{A203A907-BD7C-427A-97CC-62D40DF403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24</xdr:row>
      <xdr:rowOff>0</xdr:rowOff>
    </xdr:from>
    <xdr:to>
      <xdr:col>7</xdr:col>
      <xdr:colOff>304800</xdr:colOff>
      <xdr:row>39</xdr:row>
      <xdr:rowOff>0</xdr:rowOff>
    </xdr:to>
    <xdr:graphicFrame macro="">
      <xdr:nvGraphicFramePr>
        <xdr:cNvPr id="3" name="Chart 2">
          <a:extLst>
            <a:ext uri="{FF2B5EF4-FFF2-40B4-BE49-F238E27FC236}">
              <a16:creationId xmlns:a16="http://schemas.microsoft.com/office/drawing/2014/main" id="{4E86A785-6CA7-4649-9BF2-AFA1983133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8</xdr:row>
      <xdr:rowOff>0</xdr:rowOff>
    </xdr:from>
    <xdr:to>
      <xdr:col>15</xdr:col>
      <xdr:colOff>304800</xdr:colOff>
      <xdr:row>23</xdr:row>
      <xdr:rowOff>0</xdr:rowOff>
    </xdr:to>
    <xdr:graphicFrame macro="">
      <xdr:nvGraphicFramePr>
        <xdr:cNvPr id="4" name="Chart 3">
          <a:extLst>
            <a:ext uri="{FF2B5EF4-FFF2-40B4-BE49-F238E27FC236}">
              <a16:creationId xmlns:a16="http://schemas.microsoft.com/office/drawing/2014/main" id="{4A13FBD2-784D-478A-935C-A085A82D4A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7620</xdr:colOff>
      <xdr:row>24</xdr:row>
      <xdr:rowOff>7620</xdr:rowOff>
    </xdr:from>
    <xdr:to>
      <xdr:col>15</xdr:col>
      <xdr:colOff>312420</xdr:colOff>
      <xdr:row>39</xdr:row>
      <xdr:rowOff>7620</xdr:rowOff>
    </xdr:to>
    <xdr:graphicFrame macro="">
      <xdr:nvGraphicFramePr>
        <xdr:cNvPr id="5" name="Chart 4">
          <a:extLst>
            <a:ext uri="{FF2B5EF4-FFF2-40B4-BE49-F238E27FC236}">
              <a16:creationId xmlns:a16="http://schemas.microsoft.com/office/drawing/2014/main" id="{0BEC89AD-94F7-4140-97DC-FAD62F7AC9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411480</xdr:colOff>
      <xdr:row>8</xdr:row>
      <xdr:rowOff>45720</xdr:rowOff>
    </xdr:from>
    <xdr:to>
      <xdr:col>18</xdr:col>
      <xdr:colOff>411480</xdr:colOff>
      <xdr:row>23</xdr:row>
      <xdr:rowOff>15240</xdr:rowOff>
    </xdr:to>
    <mc:AlternateContent xmlns:mc="http://schemas.openxmlformats.org/markup-compatibility/2006" xmlns:a14="http://schemas.microsoft.com/office/drawing/2010/main">
      <mc:Choice Requires="a14">
        <xdr:graphicFrame macro="">
          <xdr:nvGraphicFramePr>
            <xdr:cNvPr id="6" name="Country">
              <a:extLst>
                <a:ext uri="{FF2B5EF4-FFF2-40B4-BE49-F238E27FC236}">
                  <a16:creationId xmlns:a16="http://schemas.microsoft.com/office/drawing/2014/main" id="{6E2A62EA-B91D-C0DC-EBFF-09DAF9D5488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555480" y="45720"/>
              <a:ext cx="1828800" cy="2712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411480</xdr:colOff>
      <xdr:row>24</xdr:row>
      <xdr:rowOff>0</xdr:rowOff>
    </xdr:from>
    <xdr:to>
      <xdr:col>18</xdr:col>
      <xdr:colOff>411480</xdr:colOff>
      <xdr:row>39</xdr:row>
      <xdr:rowOff>15240</xdr:rowOff>
    </xdr:to>
    <mc:AlternateContent xmlns:mc="http://schemas.openxmlformats.org/markup-compatibility/2006" xmlns:a14="http://schemas.microsoft.com/office/drawing/2010/main">
      <mc:Choice Requires="a14">
        <xdr:graphicFrame macro="">
          <xdr:nvGraphicFramePr>
            <xdr:cNvPr id="7" name="Name">
              <a:extLst>
                <a:ext uri="{FF2B5EF4-FFF2-40B4-BE49-F238E27FC236}">
                  <a16:creationId xmlns:a16="http://schemas.microsoft.com/office/drawing/2014/main" id="{7C8CF37A-4151-216D-5355-355F58489499}"/>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9555480" y="2926080"/>
              <a:ext cx="1828800" cy="2758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18</xdr:col>
      <xdr:colOff>441960</xdr:colOff>
      <xdr:row>4</xdr:row>
      <xdr:rowOff>15240</xdr:rowOff>
    </xdr:to>
    <xdr:sp macro="" textlink="">
      <xdr:nvSpPr>
        <xdr:cNvPr id="8" name="Rectangle 7">
          <a:extLst>
            <a:ext uri="{FF2B5EF4-FFF2-40B4-BE49-F238E27FC236}">
              <a16:creationId xmlns:a16="http://schemas.microsoft.com/office/drawing/2014/main" id="{E0C70FF5-F3E1-159B-A938-AAEDDF104172}"/>
            </a:ext>
          </a:extLst>
        </xdr:cNvPr>
        <xdr:cNvSpPr/>
      </xdr:nvSpPr>
      <xdr:spPr>
        <a:xfrm>
          <a:off x="0" y="0"/>
          <a:ext cx="11414760" cy="746760"/>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IN" sz="2800" b="1">
              <a:solidFill>
                <a:schemeClr val="tx1"/>
              </a:solidFill>
            </a:rPr>
            <a:t>GLOBAL FREELANCER</a:t>
          </a:r>
        </a:p>
      </xdr:txBody>
    </xdr:sp>
    <xdr:clientData/>
  </xdr:twoCellAnchor>
  <xdr:twoCellAnchor>
    <xdr:from>
      <xdr:col>0</xdr:col>
      <xdr:colOff>45720</xdr:colOff>
      <xdr:row>4</xdr:row>
      <xdr:rowOff>53340</xdr:rowOff>
    </xdr:from>
    <xdr:to>
      <xdr:col>2</xdr:col>
      <xdr:colOff>472440</xdr:colOff>
      <xdr:row>7</xdr:row>
      <xdr:rowOff>137160</xdr:rowOff>
    </xdr:to>
    <xdr:sp macro="" textlink="">
      <xdr:nvSpPr>
        <xdr:cNvPr id="9" name="Arrow: Pentagon 8">
          <a:extLst>
            <a:ext uri="{FF2B5EF4-FFF2-40B4-BE49-F238E27FC236}">
              <a16:creationId xmlns:a16="http://schemas.microsoft.com/office/drawing/2014/main" id="{C9B4347D-AD1E-63A1-613C-A426D182602C}"/>
            </a:ext>
          </a:extLst>
        </xdr:cNvPr>
        <xdr:cNvSpPr/>
      </xdr:nvSpPr>
      <xdr:spPr>
        <a:xfrm>
          <a:off x="45720" y="784860"/>
          <a:ext cx="1645920" cy="632460"/>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Highest no of freelancer in gender: Male</a:t>
          </a:r>
        </a:p>
      </xdr:txBody>
    </xdr:sp>
    <xdr:clientData/>
  </xdr:twoCellAnchor>
  <xdr:twoCellAnchor>
    <xdr:from>
      <xdr:col>3</xdr:col>
      <xdr:colOff>0</xdr:colOff>
      <xdr:row>4</xdr:row>
      <xdr:rowOff>53340</xdr:rowOff>
    </xdr:from>
    <xdr:to>
      <xdr:col>5</xdr:col>
      <xdr:colOff>426720</xdr:colOff>
      <xdr:row>7</xdr:row>
      <xdr:rowOff>106680</xdr:rowOff>
    </xdr:to>
    <xdr:sp macro="" textlink="">
      <xdr:nvSpPr>
        <xdr:cNvPr id="10" name="Arrow: Pentagon 9">
          <a:extLst>
            <a:ext uri="{FF2B5EF4-FFF2-40B4-BE49-F238E27FC236}">
              <a16:creationId xmlns:a16="http://schemas.microsoft.com/office/drawing/2014/main" id="{EEF836D2-CB28-49F4-A70C-80A729660315}"/>
            </a:ext>
          </a:extLst>
        </xdr:cNvPr>
        <xdr:cNvSpPr/>
      </xdr:nvSpPr>
      <xdr:spPr>
        <a:xfrm>
          <a:off x="1828800" y="784860"/>
          <a:ext cx="1645920" cy="601980"/>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Well Experienced:Female</a:t>
          </a:r>
        </a:p>
      </xdr:txBody>
    </xdr:sp>
    <xdr:clientData/>
  </xdr:twoCellAnchor>
  <xdr:twoCellAnchor>
    <xdr:from>
      <xdr:col>6</xdr:col>
      <xdr:colOff>0</xdr:colOff>
      <xdr:row>4</xdr:row>
      <xdr:rowOff>60960</xdr:rowOff>
    </xdr:from>
    <xdr:to>
      <xdr:col>8</xdr:col>
      <xdr:colOff>426720</xdr:colOff>
      <xdr:row>7</xdr:row>
      <xdr:rowOff>106680</xdr:rowOff>
    </xdr:to>
    <xdr:sp macro="" textlink="">
      <xdr:nvSpPr>
        <xdr:cNvPr id="11" name="Arrow: Pentagon 10">
          <a:extLst>
            <a:ext uri="{FF2B5EF4-FFF2-40B4-BE49-F238E27FC236}">
              <a16:creationId xmlns:a16="http://schemas.microsoft.com/office/drawing/2014/main" id="{E0E51F81-EDE2-40BD-B103-78D16F708F26}"/>
            </a:ext>
          </a:extLst>
        </xdr:cNvPr>
        <xdr:cNvSpPr/>
      </xdr:nvSpPr>
      <xdr:spPr>
        <a:xfrm>
          <a:off x="3657600" y="792480"/>
          <a:ext cx="1645920" cy="594360"/>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Highest Primary Skill:Devops</a:t>
          </a:r>
        </a:p>
      </xdr:txBody>
    </xdr:sp>
    <xdr:clientData/>
  </xdr:twoCellAnchor>
  <xdr:twoCellAnchor>
    <xdr:from>
      <xdr:col>9</xdr:col>
      <xdr:colOff>0</xdr:colOff>
      <xdr:row>4</xdr:row>
      <xdr:rowOff>68580</xdr:rowOff>
    </xdr:from>
    <xdr:to>
      <xdr:col>11</xdr:col>
      <xdr:colOff>426720</xdr:colOff>
      <xdr:row>7</xdr:row>
      <xdr:rowOff>106680</xdr:rowOff>
    </xdr:to>
    <xdr:sp macro="" textlink="">
      <xdr:nvSpPr>
        <xdr:cNvPr id="12" name="Arrow: Pentagon 11">
          <a:extLst>
            <a:ext uri="{FF2B5EF4-FFF2-40B4-BE49-F238E27FC236}">
              <a16:creationId xmlns:a16="http://schemas.microsoft.com/office/drawing/2014/main" id="{2D527633-2917-4F57-843D-F3F6A57F08A4}"/>
            </a:ext>
          </a:extLst>
        </xdr:cNvPr>
        <xdr:cNvSpPr/>
      </xdr:nvSpPr>
      <xdr:spPr>
        <a:xfrm>
          <a:off x="5486400" y="800100"/>
          <a:ext cx="1645920" cy="586740"/>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aseline="0"/>
            <a:t>High experienced country:South Korea</a:t>
          </a:r>
          <a:endParaRPr lang="en-IN"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thick Madhu" refreshedDate="46149.900153125003" createdVersion="8" refreshedVersion="8" minRefreshableVersion="3" recordCount="1000" xr:uid="{FC1EBCEA-9BD3-437B-9955-50BAE2FABFB3}">
  <cacheSource type="worksheet">
    <worksheetSource name="global_freelancer_raw"/>
  </cacheSource>
  <cacheFields count="17">
    <cacheField name="Freelancer ID" numFmtId="0">
      <sharedItems/>
    </cacheField>
    <cacheField name="Name" numFmtId="0">
      <sharedItems count="992">
        <s v="Ms. Nicole Kidd"/>
        <s v="Vanessa Garcia"/>
        <s v="Juan Nelson"/>
        <s v="Amanda Spencer"/>
        <s v="Lynn Curtis DDS"/>
        <s v="Lisa Johnson"/>
        <s v="Eric Myers"/>
        <s v="Ricky Graham"/>
        <s v="Sean Martin"/>
        <s v="Matthew Lloyd"/>
        <s v="Gavin Randall"/>
        <s v="Michelle Curtis"/>
        <s v="Alice Schneider"/>
        <s v="Phillip Shelton"/>
        <s v="Edward Ferguson"/>
        <s v="Wyatt Stout"/>
        <s v="Laura Johnson"/>
        <s v="Scott Burns"/>
        <s v="Tyler Aguirre"/>
        <s v="Matthew Lawson"/>
        <s v="James Cherry"/>
        <s v="Samuel Sanford"/>
        <s v="Cesar Greene"/>
        <s v="Melanie Carter"/>
        <s v="Jennifer Martin"/>
        <s v="Anna Mccann"/>
        <s v="Marissa Bass"/>
        <s v="Alexis Day"/>
        <s v="Megan Jones"/>
        <s v="Lori Smith"/>
        <s v="Eric Carpenter"/>
        <s v="Timothy Daniels"/>
        <s v="Robert Nelson"/>
        <s v="Michael Anderson"/>
        <s v="Jessica Snyder"/>
        <s v="Emily Daniels"/>
        <s v="Jamie Ramirez"/>
        <s v="Amy Harrison"/>
        <s v="Melinda White"/>
        <s v="James Hernandez"/>
        <s v="Angelica Rogers"/>
        <s v="Savannah Williams"/>
        <s v="Kaitlyn Schmidt"/>
        <s v="Jason Singh"/>
        <s v="Michelle Ramirez"/>
        <s v="James Brown"/>
        <s v="Mrs. Samantha Simmons"/>
        <s v="Chase Mason"/>
        <s v="Dominique Ward"/>
        <s v="Lance Griffin"/>
        <s v="Julie Burgess"/>
        <s v="Don Scott"/>
        <s v="Kyle Atkinson"/>
        <s v="Jimmy Hogan"/>
        <s v="Jennifer Mcintyre"/>
        <s v="Larry Simpson"/>
        <s v="Laura Price"/>
        <s v="Mark Wright"/>
        <s v="Samantha Mcdaniel"/>
        <s v="Barbara Foster"/>
        <s v="Courtney Tran"/>
        <s v="Eddie Todd"/>
        <s v="Christine Johnson"/>
        <s v="Leah Phelps"/>
        <s v="Rebekah Williams"/>
        <s v="Crystal Wilson"/>
        <s v="Ashley Cordova"/>
        <s v="Vicki Kelly"/>
        <s v="Corey Warren"/>
        <s v="Gina Thompson"/>
        <s v="Yvonne Berg"/>
        <s v="Thomas Miller"/>
        <s v="Nicholas Burton"/>
        <s v="Jorge Riley"/>
        <s v="Melvin Harris"/>
        <s v="Jeremy Meyer"/>
        <s v="Timothy Lee"/>
        <s v="Diana Bautista"/>
        <s v="Leslie Rodriguez"/>
        <s v="Noah Wiggins"/>
        <s v="Bridget Williams"/>
        <s v="Veronica Baker"/>
        <s v="Andrew Avila"/>
        <s v="Michael Roberson"/>
        <s v="Austin Jenkins"/>
        <s v="Brenda Green"/>
        <s v="Samuel Pierce"/>
        <s v="Briana Smith"/>
        <s v="Ronald Barrett"/>
        <s v="Matthew Smith"/>
        <s v="Logan Huang"/>
        <s v="Miranda Hutchinson"/>
        <s v="Paul Richardson"/>
        <s v="Jose Jones"/>
        <s v="Denise Smith"/>
        <s v="Shelby Mcmahon"/>
        <s v="Bethany Wright"/>
        <s v="David Ortiz"/>
        <s v="Andrew Lynch"/>
        <s v="Kristopher Meyers"/>
        <s v="Thomas Roth"/>
        <s v="Vicki Brown"/>
        <s v="Stacy Sutton"/>
        <s v="Kimberly Holland"/>
        <s v="Travis Richardson"/>
        <s v="Jasmin Ho"/>
        <s v="Mark Paul"/>
        <s v="Jennifer Lewis"/>
        <s v="Elizabeth Lester"/>
        <s v="Kimberly Griffin"/>
        <s v="Tyler Warner"/>
        <s v="Jane Cox"/>
        <s v="Leah Williams"/>
        <s v="Kevin Wong"/>
        <s v="Robert Andrews"/>
        <s v="Jessica Torres"/>
        <s v="Teresa Kim"/>
        <s v="Jon Morgan"/>
        <s v="Gloria Chaney"/>
        <s v="Jesse Campbell"/>
        <s v="Allison Tucker MD"/>
        <s v="Candice Petersen"/>
        <s v="Christopher Nichols"/>
        <s v="Debra Garcia"/>
        <s v="Andrew Fuentes"/>
        <s v="Jason Carter"/>
        <s v="Austin Romero"/>
        <s v="Clayton Burns"/>
        <s v="Jonathan Clark"/>
        <s v="Alexander Griffin"/>
        <s v="Shelly Whitehead"/>
        <s v="Kaitlyn Davis"/>
        <s v="Christopher Jones"/>
        <s v="Cindy Jacobs"/>
        <s v="Penny Day"/>
        <s v="Thomas Ingram"/>
        <s v="Donna Hansen"/>
        <s v="Donna Bailey"/>
        <s v="Joshua Armstrong"/>
        <s v="Jonathan Garza"/>
        <s v="Charles Jones"/>
        <s v="Lindsey Miles"/>
        <s v="Eduardo Reed"/>
        <s v="Lee Fowler"/>
        <s v="Steven Jones Jr."/>
        <s v="Ashley Chen"/>
        <s v="Erica Davis"/>
        <s v="Wayne Gonzales"/>
        <s v="Gary Ballard"/>
        <s v="Maria Mcguire"/>
        <s v="Matthew Richards"/>
        <s v="Patrick Malone"/>
        <s v="Cindy Martin"/>
        <s v="Anne Edwards"/>
        <s v="Mitchell Martin"/>
        <s v="Mitchell Patrick"/>
        <s v="Rebecca Lyons"/>
        <s v="Christian Lopez"/>
        <s v="Nathan Blair"/>
        <s v="Patricia Lopez"/>
        <s v="Michelle Wu"/>
        <s v="Donald Mitchell"/>
        <s v="Sean Gordon"/>
        <s v="Gregory Clarke"/>
        <s v="Steven Whitney"/>
        <s v="Robin Acosta"/>
        <s v="John Smith"/>
        <s v="Susan Baker"/>
        <s v="Anthony Larsen"/>
        <s v="Nicholas Carpenter"/>
        <s v="Debra Salazar"/>
        <s v="William Smith"/>
        <s v="Caroline Gross"/>
        <s v="Jeremy Sawyer"/>
        <s v="Eduardo Burns"/>
        <s v="Amanda Jones"/>
        <s v="Frederick Ware"/>
        <s v="Michael Black"/>
        <s v="Patricia Sanders"/>
        <s v="Marc Joseph"/>
        <s v="Vanessa White"/>
        <s v="Jennifer Garcia"/>
        <s v="Michael Zavala"/>
        <s v="Kimberly Williams"/>
        <s v="Elizabeth Jenkins"/>
        <s v="Brandon Ford"/>
        <s v="Justin House"/>
        <s v="Henry Mullen"/>
        <s v="Jesse Cochran"/>
        <s v="Melissa Rich"/>
        <s v="Patrick Dunlap"/>
        <s v="Troy Carson"/>
        <s v="Jennifer Cherry"/>
        <s v="Brandi Tucker"/>
        <s v="Zachary Burke"/>
        <s v="Thomas Jones"/>
        <s v="Brian Dunn"/>
        <s v="Shirley Strickland"/>
        <s v="Nicole Meyers"/>
        <s v="Jill Stephens"/>
        <s v="Heidi Miranda"/>
        <s v="Jesus Martinez"/>
        <s v="Adam Payne"/>
        <s v="Walter Williams"/>
        <s v="Shannon Farmer"/>
        <s v="Peter Reyes"/>
        <s v="Kristen Knight"/>
        <s v="William Moore Jr."/>
        <s v="Jennifer Rowe"/>
        <s v="Mikayla Henry"/>
        <s v="Jacob Kerr"/>
        <s v="Ryan Johnson"/>
        <s v="Michael Ruiz"/>
        <s v="Monica Roberts"/>
        <s v="Danny Brown"/>
        <s v="Karen Larsen"/>
        <s v="Robert Evans"/>
        <s v="Sean Poole"/>
        <s v="Richard Quinn"/>
        <s v="Jennifer Gonzalez"/>
        <s v="James Skinner"/>
        <s v="Michelle Hill"/>
        <s v="Jacqueline Williams"/>
        <s v="Darrell Johnson"/>
        <s v="Ryan Crawford"/>
        <s v="Chelsea Barber"/>
        <s v="Elaine Martinez"/>
        <s v="Joseph Kent"/>
        <s v="Megan Welch"/>
        <s v="Stephen Ramirez"/>
        <s v="Chloe Gray"/>
        <s v="Michael Williams Jr."/>
        <s v="Matthew Martin"/>
        <s v="Julia Murphy"/>
        <s v="Anna Evans"/>
        <s v="Brenda Fleming"/>
        <s v="Daniel Harrington"/>
        <s v="Daniel Barnett"/>
        <s v="Mark Cummings"/>
        <s v="Christopher Guerra"/>
        <s v="Sarah Ho"/>
        <s v="Veronica Thomas"/>
        <s v="Mitchell Watson"/>
        <s v="Monica Murphy"/>
        <s v="Kristen Williams"/>
        <s v="Nicole Wright"/>
        <s v="Andrew Ruiz"/>
        <s v="Zachary Jackson"/>
        <s v="Stephanie Carter"/>
        <s v="Amy Olson"/>
        <s v="Fred Stark"/>
        <s v="Jacob Gill"/>
        <s v="Anthony Nichols"/>
        <s v="William Knapp"/>
        <s v="Elizabeth Walker"/>
        <s v="Brenda Reeves"/>
        <s v="Carrie Little"/>
        <s v="Steven Jackson"/>
        <s v="Mark Perry"/>
        <s v="Cameron Spencer"/>
        <s v="Jennifer Holmes"/>
        <s v="Jacob Joseph"/>
        <s v="Jeffery Tucker"/>
        <s v="Jacqueline Drake"/>
        <s v="Brian Bautista"/>
        <s v="Dakota Wells"/>
        <s v="Julie White"/>
        <s v="Barbara Keith"/>
        <s v="Heather Camacho"/>
        <s v="Melanie Harris"/>
        <s v="Jacqueline Peterson"/>
        <s v="Nancy Long"/>
        <s v="Mr. Juan Mitchell"/>
        <s v="William Gaines"/>
        <s v="Haley Yates"/>
        <s v="Richard Mcguire"/>
        <s v="Stephanie Fisher"/>
        <s v="Anthony Goodwin DDS"/>
        <s v="Meagan Walters"/>
        <s v="David Powell"/>
        <s v="Kelly Jones"/>
        <s v="Dr. Michael Aguilar"/>
        <s v="Alex Novak"/>
        <s v="Ann Contreras"/>
        <s v="Mary Reed"/>
        <s v="Lauren Ross"/>
        <s v="Candice Wise"/>
        <s v="Joyce Humphrey"/>
        <s v="James Carr"/>
        <s v="Joseph Mendoza"/>
        <s v="Cathy Baldwin"/>
        <s v="Christine Hart"/>
        <s v="Mike Stanley"/>
        <s v="Jeffrey Edwards"/>
        <s v="Amy Lee"/>
        <s v="Mark Thompson"/>
        <s v="Alex Wilson"/>
        <s v="Nancy Mendez"/>
        <s v="Beth Crane"/>
        <s v="Miguel Rogers"/>
        <s v="Thomas Robles"/>
        <s v="Joel Brown III"/>
        <s v="Olivia Schultz"/>
        <s v="Clayton Pena"/>
        <s v="Ashley Salazar"/>
        <s v="Robert Lucas"/>
        <s v="David Cox"/>
        <s v="Christian Campbell"/>
        <s v="Mrs. Angela Ward"/>
        <s v="Lucas Chen"/>
        <s v="Ruben Nelson"/>
        <s v="Brenda Briggs"/>
        <s v="Ronald Smith"/>
        <s v="Dakota Giles"/>
        <s v="Angela Castillo"/>
        <s v="Allen Lee"/>
        <s v="Michael Rogers"/>
        <s v="Danielle Costa"/>
        <s v="William Nunez"/>
        <s v="Christopher Riggs"/>
        <s v="Kathryn Myers"/>
        <s v="Robert Walls"/>
        <s v="Justin Johnson"/>
        <s v="Paula Stevens"/>
        <s v="Jennifer Allen"/>
        <s v="Mark Hudson"/>
        <s v="Jessica Smith"/>
        <s v="Mike Dean"/>
        <s v="Jose Wilson"/>
        <s v="Tammy Hill"/>
        <s v="Nathaniel Flores"/>
        <s v="Edwin Carter"/>
        <s v="Patricia Miller"/>
        <s v="Rebecca Schneider"/>
        <s v="John Greene"/>
        <s v="Brittany Mcdowell"/>
        <s v="Lori Miller"/>
        <s v="Joseph Robinson"/>
        <s v="Aaron Pruitt"/>
        <s v="Victoria Miller"/>
        <s v="Clarence Vega"/>
        <s v="Deborah Day"/>
        <s v="Nicole Rocha"/>
        <s v="Elijah Green"/>
        <s v="Emily Johnson"/>
        <s v="Richard Velasquez Jr."/>
        <s v="Kurt Wilson"/>
        <s v="Jeremiah Rodriguez"/>
        <s v="Lauren Lang"/>
        <s v="Matthew Phillips"/>
        <s v="Michael Andersen"/>
        <s v="Amanda Mayo"/>
        <s v="Jessica Vance"/>
        <s v="Alexa Gallegos"/>
        <s v="Charles Pratt"/>
        <s v="Brian Baker"/>
        <s v="Christina Norman"/>
        <s v="Laura Kelly"/>
        <s v="John Webb"/>
        <s v="Christopher Burton"/>
        <s v="Bradley Aguilar"/>
        <s v="Arthur Vasquez"/>
        <s v="Angela Castro"/>
        <s v="Summer Yoder"/>
        <s v="Jackie Allen"/>
        <s v="Brandon Williams"/>
        <s v="Manuel Torres"/>
        <s v="Scott Keller"/>
        <s v="Deborah Brown"/>
        <s v="Jennifer Lara"/>
        <s v="Jason Scott"/>
        <s v="Gregory Garrison"/>
        <s v="Chelsea Anderson"/>
        <s v="Gerald Johnson"/>
        <s v="Kevin Ellis"/>
        <s v="Mitchell Keller"/>
        <s v="Mary Brown"/>
        <s v="Ronald Walls"/>
        <s v="Anthony Avila"/>
        <s v="Douglas Goodwin"/>
        <s v="James Mills"/>
        <s v="Nicole Marks"/>
        <s v="Phyllis Dawson"/>
        <s v="Renee Arnold"/>
        <s v="Eric Robinson"/>
        <s v="Paul Brown"/>
        <s v="Sarah Proctor"/>
        <s v="Matthew Hicks"/>
        <s v="Christopher Black"/>
        <s v="Joanne Reyes"/>
        <s v="Isaac Gray"/>
        <s v="Joshua Roberts"/>
        <s v="Elizabeth Estrada"/>
        <s v="Lori Malone"/>
        <s v="Anthony Huynh MD"/>
        <s v="Mindy York"/>
        <s v="Ms. Christine Cherry"/>
        <s v="Daniel Foster"/>
        <s v="Mr. David Valencia"/>
        <s v="Ethan Adams"/>
        <s v="Brett Moore"/>
        <s v="Phillip Griffin"/>
        <s v="Stacie Wall"/>
        <s v="Jacob Austin"/>
        <s v="Sabrina Davidson"/>
        <s v="Dustin Douglas"/>
        <s v="Steven Norris"/>
        <s v="Mindy Sullivan"/>
        <s v="Elizabeth Stone"/>
        <s v="Diane Flores"/>
        <s v="Jessica Erickson"/>
        <s v="Sara Moses"/>
        <s v="Allison Henderson"/>
        <s v="Susan Dixon"/>
        <s v="David Morrison"/>
        <s v="James Jacobs"/>
        <s v="Kathleen Quinn"/>
        <s v="Natalie Frank MD"/>
        <s v="Michael Reed"/>
        <s v="Sheila Smith"/>
        <s v="Morgan Ford"/>
        <s v="Linda Schultz"/>
        <s v="Regina Daniel"/>
        <s v="Allison Perkins"/>
        <s v="Bradley Weaver"/>
        <s v="Sarah Hall"/>
        <s v="Diana Walton"/>
        <s v="Donna Davis"/>
        <s v="Christopher Mcclain"/>
        <s v="Dr. Paul Williamson"/>
        <s v="Barbara Brown"/>
        <s v="Kimberly Allen"/>
        <s v="Elizabeth Edwards"/>
        <s v="Anthony Downs"/>
        <s v="Jack Ortega"/>
        <s v="Marvin Moore"/>
        <s v="Tony French"/>
        <s v="Stacy Hudson"/>
        <s v="Scott Washington"/>
        <s v="Timothy Wright"/>
        <s v="Joseph Gonzalez"/>
        <s v="Andrea Perez"/>
        <s v="Angel Collins"/>
        <s v="Daniel Terry"/>
        <s v="Steven Whitaker"/>
        <s v="Denise Neal"/>
        <s v="Amanda Jacobs"/>
        <s v="Karen Mercer"/>
        <s v="Lindsay Hudson"/>
        <s v="Stephanie Armstrong"/>
        <s v="Dr. Jessica Campbell"/>
        <s v="Curtis Maxwell"/>
        <s v="Adam Kelly PhD"/>
        <s v="Julie Becker"/>
        <s v="James Moore"/>
        <s v="Danielle Barrera"/>
        <s v="David Sanchez"/>
        <s v="Tiffany Bowman"/>
        <s v="Jesus Quinn"/>
        <s v="Mr. Danny Morris DDS"/>
        <s v="Nicole York"/>
        <s v="John Mathis"/>
        <s v="Julie Barnett"/>
        <s v="Jasmine Harris"/>
        <s v="Mary Henry"/>
        <s v="Judith Riggs"/>
        <s v="Justin Ruiz"/>
        <s v="Jennifer Sullivan"/>
        <s v="Jesse Moran"/>
        <s v="Monica Smith"/>
        <s v="Ian May"/>
        <s v="Kayla Meyers"/>
        <s v="John Bray"/>
        <s v="James Smith"/>
        <s v="Mark Duncan"/>
        <s v="Matthew Gay"/>
        <s v="Cheryl Freeman"/>
        <s v="Patrick Welch"/>
        <s v="Craig Levine"/>
        <s v="Richard Harvey"/>
        <s v="Bonnie Sherman"/>
        <s v="Keith Trujillo"/>
        <s v="Corey Combs"/>
        <s v="Antonio King"/>
        <s v="Jennifer Rogers"/>
        <s v="Jeffrey Cooper"/>
        <s v="Allison Williams"/>
        <s v="Raymond Sherman"/>
        <s v="Jennifer Nelson"/>
        <s v="Jennifer Carter"/>
        <s v="Todd Williams"/>
        <s v="Emily Horton"/>
        <s v="Lance Lester"/>
        <s v="Kevin Flores"/>
        <s v="Aaron Stewart PhD"/>
        <s v="Robin Moore"/>
        <s v="Suzanne Ingram"/>
        <s v="Jacob Mclaughlin"/>
        <s v="Michael Nunez"/>
        <s v="Isabel Brown"/>
        <s v="Michael Stein"/>
        <s v="Robert Stone"/>
        <s v="Dillon Henry"/>
        <s v="James Todd"/>
        <s v="Clifford Moore MD"/>
        <s v="John Rios"/>
        <s v="Anthony Gaines"/>
        <s v="Kristi Brown DVM"/>
        <s v="Ashley Odonnell"/>
        <s v="Ronald Elliott"/>
        <s v="Lorraine Lowery"/>
        <s v="Victoria Chapman"/>
        <s v="Heather Davis"/>
        <s v="Diana Chase"/>
        <s v="Danielle Adkins"/>
        <s v="Kenneth Arias"/>
        <s v="Victoria Owen"/>
        <s v="Christina King"/>
        <s v="Samantha King"/>
        <s v="Scott Compton"/>
        <s v="Monica West"/>
        <s v="Theresa Stewart"/>
        <s v="Steven Kim"/>
        <s v="Kristi Knight"/>
        <s v="Jason Bryant"/>
        <s v="Maureen Keith"/>
        <s v="Shawn Hogan"/>
        <s v="William Davis"/>
        <s v="Stacy Bailey"/>
        <s v="Thomas Dixon"/>
        <s v="Maria Hall"/>
        <s v="Tony Lee"/>
        <s v="Catherine Mccoy MD"/>
        <s v="Maria Benitez"/>
        <s v="Joshua Chambers"/>
        <s v="Janice Daniels"/>
        <s v="Carla Wood"/>
        <s v="Kenneth Vasquez"/>
        <s v="Kevin Smith"/>
        <s v="Thomas Kim"/>
        <s v="Sean Park"/>
        <s v="Judith Poole"/>
        <s v="Melanie Baird"/>
        <s v="Erika Mitchell"/>
        <s v="Ricky Martinez"/>
        <s v="John Christian"/>
        <s v="Nancy Smith"/>
        <s v="Cassandra Stephens"/>
        <s v="Miss Janet Donovan MD"/>
        <s v="Kristina Williams"/>
        <s v="Wayne Barnes"/>
        <s v="James Hinton"/>
        <s v="David Spence"/>
        <s v="Tyler Cooper"/>
        <s v="Sean Martinez"/>
        <s v="Janet Barron"/>
        <s v="Rodney Wilson"/>
        <s v="Kimberly Fitzgerald"/>
        <s v="Nicole Davis"/>
        <s v="Elizabeth Hayes"/>
        <s v="Kathy Faulkner"/>
        <s v="John Gonzales"/>
        <s v="Shannon Luna"/>
        <s v="Stephanie Burton"/>
        <s v="Kevin Gonzales"/>
        <s v="Dawn Hardy"/>
        <s v="Margaret Perkins"/>
        <s v="Amanda Vargas"/>
        <s v="Tonya Gonzalez"/>
        <s v="Elizabeth Bowman"/>
        <s v="Ariana Pittman"/>
        <s v="Antonio Johnson"/>
        <s v="Justin Lang"/>
        <s v="Kelli Ramirez"/>
        <s v="Deborah Torres"/>
        <s v="Joseph Horn"/>
        <s v="Christopher Robinson"/>
        <s v="Sandra Mccormick"/>
        <s v="Michael Holland"/>
        <s v="Kenneth Stevenson"/>
        <s v="Timothy Bennett"/>
        <s v="Gregory Randall"/>
        <s v="Charles Martinez"/>
        <s v="James Hall"/>
        <s v="Michael Garcia"/>
        <s v="Michele Duran"/>
        <s v="Jessica Gray"/>
        <s v="Keith Shaffer"/>
        <s v="Jessica Decker"/>
        <s v="Brianna Pittman"/>
        <s v="Kimberly Hunter"/>
        <s v="Daniel Martin"/>
        <s v="Rachel Smith"/>
        <s v="Michael Miller"/>
        <s v="Willie Clark"/>
        <s v="Jeremy Hernandez"/>
        <s v="Tina Shelton"/>
        <s v="Dr. Pamela Larson"/>
        <s v="Ryan Ewing"/>
        <s v="Mark Cochran"/>
        <s v="Martha Carson"/>
        <s v="Heather Jackson"/>
        <s v="Megan Young"/>
        <s v="Thomas Davis"/>
        <s v="Thomas Mooney"/>
        <s v="Susan Smith"/>
        <s v="Brianna Orr"/>
        <s v="Dustin Smith"/>
        <s v="Sarah White"/>
        <s v="Michael Davis"/>
        <s v="Jennifer Phillips"/>
        <s v="Dana Sanders"/>
        <s v="Daniel Quinn"/>
        <s v="Matthew Steele"/>
        <s v="Michele Taylor"/>
        <s v="Ashley Hammond"/>
        <s v="Nicole Taylor"/>
        <s v="Casey Bush"/>
        <s v="Samuel Patterson"/>
        <s v="Craig Dennis"/>
        <s v="Heidi Dixon"/>
        <s v="David Bishop"/>
        <s v="Laura Butler"/>
        <s v="Denise Erickson"/>
        <s v="Nicole Austin"/>
        <s v="Summer Williams"/>
        <s v="Angela Blackwell"/>
        <s v="Thomas Wall"/>
        <s v="Sarah Anderson"/>
        <s v="Christian Lane"/>
        <s v="Todd Casey"/>
        <s v="David Martinez"/>
        <s v="Donald Salas"/>
        <s v="Emma Hicks"/>
        <s v="Alison Clark"/>
        <s v="Andrew Barnes"/>
        <s v="Gina Snyder"/>
        <s v="David Watson"/>
        <s v="John Davis"/>
        <s v="Joseph Thomas"/>
        <s v="Dean Finley"/>
        <s v="Ashley Kemp"/>
        <s v="Kenneth Evans"/>
        <s v="Brandon Newman"/>
        <s v="Katie Hensley"/>
        <s v="Joel Randolph"/>
        <s v="Andrew Scott"/>
        <s v="Zachary Ochoa"/>
        <s v="John Arroyo"/>
        <s v="Matthew Fernandez"/>
        <s v="Benjamin Stark"/>
        <s v="Tammy Greer"/>
        <s v="Cynthia Mckinney"/>
        <s v="Wendy Rice"/>
        <s v="Randy Bender"/>
        <s v="Richard Dominguez"/>
        <s v="Melissa Maldonado"/>
        <s v="Leah Harris"/>
        <s v="Lynn French"/>
        <s v="Angela Johnson"/>
        <s v="Sarah Edwards"/>
        <s v="Roy Collins"/>
        <s v="Samantha Porter"/>
        <s v="Juan Elliott"/>
        <s v="Elizabeth Phillips"/>
        <s v="Laura Evans"/>
        <s v="Amanda Mitchell"/>
        <s v="Sandra Williams"/>
        <s v="Eric Johnson"/>
        <s v="Javier Hobbs"/>
        <s v="Jacob Jones"/>
        <s v="Zachary Murphy"/>
        <s v="Joshua Owens"/>
        <s v="Dawn Mitchell"/>
        <s v="Regina Dunn"/>
        <s v="Ernest Cole"/>
        <s v="Hannah Sanders"/>
        <s v="Ellen Bowman"/>
        <s v="Nancy Moore"/>
        <s v="Joseph Wood"/>
        <s v="Michael Harrell"/>
        <s v="Connie Mcclain"/>
        <s v="Matthew Baldwin"/>
        <s v="Danielle Nelson"/>
        <s v="Steven Moore"/>
        <s v="Megan Hudson"/>
        <s v="Tracy White"/>
        <s v="Natalie Diaz"/>
        <s v="Karen Scott"/>
        <s v="Jon Jones"/>
        <s v="Jason Phillips"/>
        <s v="Eric Walsh"/>
        <s v="Carol Schneider"/>
        <s v="Juan Hines"/>
        <s v="Martha Sweeney"/>
        <s v="Jason Weaver"/>
        <s v="Benjamin Stevens"/>
        <s v="Daniel Lopez"/>
        <s v="John Simpson"/>
        <s v="Katrina Schultz"/>
        <s v="Danielle Bell"/>
        <s v="Jason Brady"/>
        <s v="Megan Bright"/>
        <s v="David Griffin"/>
        <s v="Michael Clark"/>
        <s v="Rebecca Barker"/>
        <s v="Angela Smith"/>
        <s v="Christina Wright"/>
        <s v="Todd Turner"/>
        <s v="Elizabeth Green"/>
        <s v="Alex Smith"/>
        <s v="Shane Hale"/>
        <s v="Kathy Grimes"/>
        <s v="David Cherry"/>
        <s v="Rachel Rogers"/>
        <s v="Travis Braun"/>
        <s v="Shawna Palmer"/>
        <s v="Bradley Gaines"/>
        <s v="April Ford"/>
        <s v="James Gonzalez"/>
        <s v="John Castillo"/>
        <s v="Ian Hayes"/>
        <s v="Christine Castro"/>
        <s v="Jessica Chaney"/>
        <s v="John Gray"/>
        <s v="Shane Booker"/>
        <s v="Kyle Hall"/>
        <s v="Ronald Munoz"/>
        <s v="Christopher Long"/>
        <s v="Sandra Ali"/>
        <s v="Jessica Garza"/>
        <s v="Gregory Waters"/>
        <s v="Misty Adams"/>
        <s v="Megan Brown"/>
        <s v="Gregory Brown"/>
        <s v="Scott Alexander MD"/>
        <s v="Eric Nguyen"/>
        <s v="Wendy Boyer"/>
        <s v="Mark Clark"/>
        <s v="Carl Kline"/>
        <s v="Linda Williams"/>
        <s v="Jason Edwards"/>
        <s v="Madison Mcintosh"/>
        <s v="Desiree Winters"/>
        <s v="Ryan Taylor"/>
        <s v="Patricia Scott"/>
        <s v="Erin Jimenez"/>
        <s v="Anthony Krause"/>
        <s v="Diane Dean"/>
        <s v="Stuart Mckinney"/>
        <s v="Kellie Le"/>
        <s v="Lauren Henry"/>
        <s v="Brandon Fox"/>
        <s v="Richard Smith"/>
        <s v="John White"/>
        <s v="Gilbert Mcintyre"/>
        <s v="Christopher Sparks"/>
        <s v="Aaron Hicks"/>
        <s v="Jose Patterson"/>
        <s v="Bryan Long"/>
        <s v="Tammy Gomez"/>
        <s v="Diana Raymond"/>
        <s v="Jessica Armstrong"/>
        <s v="Amanda Martin"/>
        <s v="Anne Hamilton"/>
        <s v="Heather Curtis"/>
        <s v="Tiffany Moses"/>
        <s v="Jacqueline Moon"/>
        <s v="James Campbell"/>
        <s v="Melissa Vasquez"/>
        <s v="Katherine Carlson"/>
        <s v="Adam Clay"/>
        <s v="Amy Combs"/>
        <s v="Anthony Case"/>
        <s v="Kimberly Brown"/>
        <s v="Joshua Holloway"/>
        <s v="Cynthia Walton"/>
        <s v="Shawn Delgado"/>
        <s v="Jeremy Smith"/>
        <s v="Marc Ortiz"/>
        <s v="Michelle Gregory"/>
        <s v="Melanie Gay"/>
        <s v="Brittany Lambert"/>
        <s v="Mary Hernandez"/>
        <s v="Jonathan Jones"/>
        <s v="Gina Williams"/>
        <s v="Kelly Lawson"/>
        <s v="Keith Smith"/>
        <s v="Christopher Hunter"/>
        <s v="Dwayne Parks"/>
        <s v="Mary Hall"/>
        <s v="Jake Gilmore"/>
        <s v="Mark Lopez"/>
        <s v="Dana Rice"/>
        <s v="Beth Young"/>
        <s v="Ryan Powell"/>
        <s v="Amanda Fowler"/>
        <s v="Lindsay Rivera"/>
        <s v="Mark Ward"/>
        <s v="Amanda Smith"/>
        <s v="Emily Brown"/>
        <s v="Dwayne Cardenas"/>
        <s v="Dr. Rhonda Hernandez"/>
        <s v="Melody Barker"/>
        <s v="Russell Carpenter"/>
        <s v="Richard Hill"/>
        <s v="Lindsay Potts"/>
        <s v="Michelle Campbell"/>
        <s v="Alan Williams"/>
        <s v="Robin Hinton"/>
        <s v="Brian Holland"/>
        <s v="Adam Stone"/>
        <s v="Curtis Lambert"/>
        <s v="Alexandra Sims"/>
        <s v="Brenda Spencer"/>
        <s v="Joshua Bush"/>
        <s v="Erin Martin"/>
        <s v="Alexander Hogan"/>
        <s v="William Harris"/>
        <s v="Michael Mcmahon"/>
        <s v="Michael Watson"/>
        <s v="Lori Perez"/>
        <s v="Lindsay Le"/>
        <s v="Scott Long"/>
        <s v="Diana Ferguson"/>
        <s v="Joseph Miller"/>
        <s v="Julia Reid"/>
        <s v="Samantha Matthews"/>
        <s v="Brian Bailey"/>
        <s v="Toni Hinton"/>
        <s v="Robin Ortiz"/>
        <s v="Adam Griffith"/>
        <s v="Daniel Roberson"/>
        <s v="Dale Haynes"/>
        <s v="Emily Scott"/>
        <s v="David Brown"/>
        <s v="Stephanie Guzman"/>
        <s v="Maxwell Johnson"/>
        <s v="Reginald Stephens"/>
        <s v="Justin Jones"/>
        <s v="Kristine Garcia"/>
        <s v="John Nguyen"/>
        <s v="Anna Fleming"/>
        <s v="Linda Williamson"/>
        <s v="Roy Wilson"/>
        <s v="Jennifer Pierce"/>
        <s v="Jason Johnson"/>
        <s v="Jasmine Lane"/>
        <s v="Evan Soto"/>
        <s v="Kevin Serrano"/>
        <s v="Nathaniel Benson"/>
        <s v="Deanna Miles"/>
        <s v="Beverly Roy"/>
        <s v="Heather Saunders"/>
        <s v="Nicholas Guerrero"/>
        <s v="Christopher Johnson"/>
        <s v="Steven Flowers"/>
        <s v="Marvin Woods III"/>
        <s v="Michelle Cook"/>
        <s v="Logan Zamora"/>
        <s v="Casey Roberts"/>
        <s v="Jerry Price"/>
        <s v="Kelly Ellis"/>
        <s v="Caleb Guerra"/>
        <s v="Samantha Norman"/>
        <s v="Sarah Clarke"/>
        <s v="Aaron Blair"/>
        <s v="Courtney Burton"/>
        <s v="Gerald Taylor"/>
        <s v="Mary Ward"/>
        <s v="Mrs. Lisa Beard DVM"/>
        <s v="Larry Wallace"/>
        <s v="Jeremiah Thompson"/>
        <s v="Mrs. Jessica Williams DVM"/>
        <s v="Martin Moreno"/>
        <s v="Yolanda Proctor"/>
        <s v="Allen Turner"/>
        <s v="Beth Huff"/>
        <s v="John Mckinney"/>
        <s v="Lindsey Wang"/>
        <s v="Margaret Schwartz"/>
        <s v="Kyle Ray"/>
        <s v="Isaac Hebert"/>
        <s v="Michele Jones"/>
        <s v="Austin Allen"/>
        <s v="Haley Castro"/>
        <s v="David Armstrong"/>
        <s v="Wendy Mitchell"/>
        <s v="Anthony Hernandez"/>
        <s v="Erica Johnson"/>
        <s v="Randall Barrett"/>
        <s v="Nathan Huff"/>
        <s v="Robin Walsh"/>
        <s v="Yvonne Robinson"/>
        <s v="Kathleen Hendrix"/>
        <s v="Jennifer Baker"/>
        <s v="Kim Martinez"/>
        <s v="Andrew Little"/>
        <s v="Kelly Shelton"/>
        <s v="Steven Duncan"/>
        <s v="Kristen Haney"/>
        <s v="Kathy Reese"/>
        <s v="Steven Murphy"/>
        <s v="William Hartman"/>
        <s v="Sonya Haley"/>
        <s v="Patricia Richardson"/>
        <s v="Carolyn Lopez"/>
        <s v="Kyle Burns"/>
        <s v="Margaret Garcia"/>
        <s v="Brittany Barker"/>
        <s v="Paul Campbell"/>
        <s v="Amy Morrow"/>
        <s v="Amy Fitzgerald"/>
        <s v="Anita Becker"/>
        <s v="Mrs. Amy Brooks"/>
        <s v="Lori Marshall"/>
        <s v="Jennifer Miller"/>
        <s v="Thomas Young"/>
        <s v="Zachary Larsen"/>
        <s v="Valerie Gutierrez"/>
        <s v="Daniel Parker"/>
        <s v="Nicole Bennett"/>
        <s v="Lauren Lowery"/>
        <s v="Alexander Woodward"/>
        <s v="Anthony Walter"/>
        <s v="Valerie Finley"/>
        <s v="Deborah Kelley"/>
        <s v="Kristina Miller"/>
        <s v="Anne Hampton"/>
        <s v="Sandra Henry"/>
        <s v="Tony Hester"/>
        <s v="Nathan Davis"/>
        <s v="Erica Jackson"/>
        <s v="Nancy Glover"/>
        <s v="Richard Sanchez"/>
        <s v="Savannah Reid"/>
        <s v="Robert Salazar"/>
        <s v="Hector Greer"/>
        <s v="Thomas Jackson"/>
        <s v="Tina Clark"/>
        <s v="Heather Brown"/>
        <s v="John Weaver"/>
        <s v="Bradley Harris"/>
        <s v="Cassandra Macdonald"/>
        <s v="Matthew White"/>
        <s v="Miss Kimberly Marshall"/>
        <s v="Laura Thompson"/>
        <s v="Nathan Soto"/>
        <s v="Rhonda Hines"/>
        <s v="Gabrielle Bowman"/>
        <s v="Julian Edwards"/>
        <s v="Nicholas Scott"/>
        <s v="Daniel Green"/>
        <s v="Catherine Johnston"/>
        <s v="Brenda Koch"/>
        <s v="Mr. Robert Meza"/>
        <s v="Latoya Brown"/>
        <s v="David Osborne III"/>
        <s v="David Hooper"/>
        <s v="Sarah Miller"/>
        <s v="Lisa Werner MD"/>
        <s v="Eric Jimenez"/>
        <s v="Jay Bush"/>
        <s v="Johnny Rice"/>
        <s v="Matthew Strong"/>
        <s v="Mark Chandler"/>
        <s v="Crystal Brown"/>
        <s v="Timothy Barton"/>
        <s v="Lisa Hickman"/>
        <s v="Alan Mendoza"/>
        <s v="Jason Sanders"/>
        <s v="Charles Dean"/>
        <s v="Blake Newton"/>
        <s v="David Gonzalez"/>
        <s v="Cindy Williams"/>
        <s v="Laura Wong DDS"/>
        <s v="Robert Moran"/>
        <s v="Bradley Wu"/>
        <s v="Daniel Thomas"/>
        <s v="Michelle Peterson"/>
        <s v="Seth Thomas"/>
        <s v="Evan Ramos"/>
        <s v="Michelle Solis"/>
        <s v="Charlotte Taylor"/>
        <s v="Sandra Preston"/>
        <s v="Jim Weiss"/>
        <s v="Jennifer Hinton"/>
        <s v="Albert Wilcox"/>
        <s v="Cheryl Norris"/>
        <s v="Kathy Watkins"/>
        <s v="John Obrien"/>
        <s v="Dawn Green"/>
      </sharedItems>
    </cacheField>
    <cacheField name="Gender" numFmtId="0">
      <sharedItems count="2">
        <s v="Female"/>
        <s v="Male"/>
      </sharedItems>
    </cacheField>
    <cacheField name="Age" numFmtId="0">
      <sharedItems containsMixedTypes="1" containsNumber="1" containsInteger="1" minValue="20" maxValue="60" count="42">
        <n v="52"/>
        <n v="53"/>
        <n v="38"/>
        <n v="59"/>
        <n v="43"/>
        <n v="26"/>
        <n v="40"/>
        <n v="55"/>
        <n v="57"/>
        <n v="50"/>
        <n v="42"/>
        <n v="39"/>
        <n v="56"/>
        <s v="Not given"/>
        <n v="51"/>
        <n v="54"/>
        <n v="22"/>
        <n v="34"/>
        <n v="36"/>
        <n v="47"/>
        <n v="41"/>
        <n v="46"/>
        <n v="29"/>
        <n v="60"/>
        <n v="21"/>
        <n v="35"/>
        <n v="25"/>
        <n v="23"/>
        <n v="31"/>
        <n v="58"/>
        <n v="45"/>
        <n v="33"/>
        <n v="32"/>
        <n v="37"/>
        <n v="49"/>
        <n v="27"/>
        <n v="48"/>
        <n v="30"/>
        <n v="20"/>
        <n v="24"/>
        <n v="44"/>
        <n v="28"/>
      </sharedItems>
    </cacheField>
    <cacheField name="Country" numFmtId="0">
      <sharedItems count="22">
        <s v="Italy"/>
        <s v="Australia"/>
        <s v="Germany"/>
        <s v="Netherlands"/>
        <s v="Indonesia"/>
        <s v="US"/>
        <s v="Turkey"/>
        <s v="UK"/>
        <s v="Argentina"/>
        <s v="Not Mentioned"/>
        <s v="Japan"/>
        <s v="India"/>
        <s v="Brazil"/>
        <s v="South Korea"/>
        <s v="Russia"/>
        <s v="Canada"/>
        <s v="France"/>
        <s v="Egypt"/>
        <s v="South Africa"/>
        <s v="China"/>
        <s v="Mexico"/>
        <s v="Spain"/>
      </sharedItems>
    </cacheField>
    <cacheField name="Language" numFmtId="0">
      <sharedItems count="16">
        <s v="Italian"/>
        <s v="English"/>
        <s v="Germany"/>
        <s v="Dutch"/>
        <s v="Indonesian"/>
        <s v="Turkish"/>
        <s v="Spanish"/>
        <s v="Japanese"/>
        <s v="Hindi"/>
        <s v="Portuguese"/>
        <s v="Korean"/>
        <s v="Russian"/>
        <s v="French"/>
        <s v="Arabic"/>
        <s v="Afrikaans"/>
        <s v="Mandarin"/>
      </sharedItems>
    </cacheField>
    <cacheField name="Primary_skill" numFmtId="0">
      <sharedItems count="11">
        <s v="Blockchain Development"/>
        <s v="Mobile Apps"/>
        <s v="Graphic Design"/>
        <s v="Web Development"/>
        <s v="Not Mentioned"/>
        <s v="AI"/>
        <s v="Data Analysis"/>
        <s v="UI/UX Design"/>
        <s v="Cybersecurity"/>
        <s v="DevOps"/>
        <s v="Machine Learning"/>
      </sharedItems>
    </cacheField>
    <cacheField name="Years_of_Experience" numFmtId="0">
      <sharedItems containsMixedTypes="1" containsNumber="1" containsInteger="1" minValue="0" maxValue="41"/>
    </cacheField>
    <cacheField name="Hourly_rate (USD)" numFmtId="0">
      <sharedItems/>
    </cacheField>
    <cacheField name="Rating" numFmtId="0">
      <sharedItems containsMixedTypes="1" containsNumber="1" minValue="0" maxValue="5"/>
    </cacheField>
    <cacheField name="Is_active" numFmtId="0">
      <sharedItems/>
    </cacheField>
    <cacheField name="Client Satisfaction" numFmtId="0">
      <sharedItems containsMixedTypes="1" containsNumber="1" minValue="0.6" maxValue="100" count="82">
        <s v="Not Mentioned"/>
        <n v="0.84"/>
        <n v="0.71"/>
        <n v="0.9"/>
        <n v="0.83"/>
        <n v="0.94"/>
        <n v="0.76"/>
        <n v="0.77"/>
        <n v="0.86"/>
        <n v="0.93"/>
        <n v="0.7"/>
        <n v="0.69"/>
        <n v="0.6"/>
        <n v="0.87"/>
        <n v="0.75"/>
        <n v="0.68"/>
        <n v="0.65"/>
        <n v="1"/>
        <n v="92"/>
        <n v="0.89"/>
        <n v="0.62"/>
        <n v="82"/>
        <n v="0.81"/>
        <n v="0.63"/>
        <n v="0.67"/>
        <n v="0.8"/>
        <n v="0.74"/>
        <n v="0.85"/>
        <n v="0.79"/>
        <n v="0.72"/>
        <n v="64"/>
        <n v="88"/>
        <n v="0.96"/>
        <n v="96"/>
        <n v="81"/>
        <n v="0.61"/>
        <n v="0.97"/>
        <n v="0.64"/>
        <n v="0.73"/>
        <n v="0.88"/>
        <n v="72"/>
        <n v="0.92"/>
        <n v="0.82"/>
        <n v="93"/>
        <n v="83"/>
        <n v="78"/>
        <n v="0.95"/>
        <n v="80"/>
        <n v="87"/>
        <n v="0.66"/>
        <n v="0.78"/>
        <n v="68"/>
        <n v="0.91"/>
        <n v="97"/>
        <n v="60"/>
        <n v="70"/>
        <n v="0.99"/>
        <n v="76"/>
        <n v="86"/>
        <n v="95"/>
        <n v="74"/>
        <n v="100"/>
        <n v="73"/>
        <n v="67"/>
        <n v="77"/>
        <n v="0.98"/>
        <n v="71"/>
        <n v="85"/>
        <n v="91"/>
        <n v="94"/>
        <n v="84"/>
        <n v="90"/>
        <n v="62"/>
        <n v="65"/>
        <n v="75"/>
        <n v="63"/>
        <n v="61"/>
        <n v="66"/>
        <n v="99"/>
        <n v="79"/>
        <n v="69"/>
        <n v="89"/>
      </sharedItems>
    </cacheField>
    <cacheField name="Notes" numFmtId="0">
      <sharedItems count="4">
        <s v="Reviewed"/>
        <s v="Urgent"/>
        <s v="Pending"/>
        <s v="Follow-up"/>
      </sharedItems>
    </cacheField>
    <cacheField name="Status" numFmtId="0">
      <sharedItems/>
    </cacheField>
    <cacheField name="No of projects " numFmtId="0">
      <sharedItems containsSemiMixedTypes="0" containsString="0" containsNumber="1" containsInteger="1" minValue="1" maxValue="20"/>
    </cacheField>
    <cacheField name="IF Condition" numFmtId="0">
      <sharedItems count="2">
        <s v="Well Experienced"/>
        <s v="Entry level"/>
      </sharedItems>
    </cacheField>
    <cacheField name="Duration Months" numFmtId="0">
      <sharedItems containsSemiMixedTypes="0" containsString="0" containsNumber="1" containsInteger="1" minValue="1" maxValue="20" count="20">
        <n v="6"/>
        <n v="7"/>
        <n v="16"/>
        <n v="1"/>
        <n v="3"/>
        <n v="10"/>
        <n v="4"/>
        <n v="5"/>
        <n v="15"/>
        <n v="12"/>
        <n v="2"/>
        <n v="9"/>
        <n v="8"/>
        <n v="11"/>
        <n v="13"/>
        <n v="14"/>
        <n v="17"/>
        <n v="19"/>
        <n v="20"/>
        <n v="18"/>
      </sharedItems>
    </cacheField>
  </cacheFields>
  <extLst>
    <ext xmlns:x14="http://schemas.microsoft.com/office/spreadsheetml/2009/9/main" uri="{725AE2AE-9491-48be-B2B4-4EB974FC3084}">
      <x14:pivotCacheDefinition pivotCacheId="2704573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FL250001"/>
    <x v="0"/>
    <x v="0"/>
    <x v="0"/>
    <x v="0"/>
    <x v="0"/>
    <x v="0"/>
    <n v="11"/>
    <s v="100"/>
    <s v="Not Mentioned"/>
    <s v="0"/>
    <x v="0"/>
    <x v="0"/>
    <s v="On Hold"/>
    <n v="13"/>
    <x v="0"/>
    <x v="0"/>
  </r>
  <r>
    <s v="FL250002"/>
    <x v="1"/>
    <x v="0"/>
    <x v="0"/>
    <x v="1"/>
    <x v="1"/>
    <x v="1"/>
    <n v="34"/>
    <s v="USD 100"/>
    <n v="3.3"/>
    <s v="1"/>
    <x v="1"/>
    <x v="0"/>
    <s v="Completed"/>
    <n v="10"/>
    <x v="0"/>
    <x v="1"/>
  </r>
  <r>
    <s v="FL250003"/>
    <x v="2"/>
    <x v="1"/>
    <x v="1"/>
    <x v="2"/>
    <x v="2"/>
    <x v="2"/>
    <n v="31"/>
    <s v="50"/>
    <n v="0"/>
    <s v="N"/>
    <x v="2"/>
    <x v="0"/>
    <s v="Active"/>
    <n v="16"/>
    <x v="0"/>
    <x v="2"/>
  </r>
  <r>
    <s v="FL250004"/>
    <x v="3"/>
    <x v="0"/>
    <x v="2"/>
    <x v="1"/>
    <x v="1"/>
    <x v="3"/>
    <n v="4"/>
    <s v="$40"/>
    <n v="1.5"/>
    <s v="N"/>
    <x v="3"/>
    <x v="0"/>
    <s v="Completed"/>
    <n v="5"/>
    <x v="1"/>
    <x v="3"/>
  </r>
  <r>
    <s v="FL250005"/>
    <x v="4"/>
    <x v="0"/>
    <x v="1"/>
    <x v="2"/>
    <x v="2"/>
    <x v="4"/>
    <n v="27"/>
    <s v="30"/>
    <n v="4.8"/>
    <s v="0"/>
    <x v="4"/>
    <x v="0"/>
    <s v="On Hold"/>
    <n v="13"/>
    <x v="0"/>
    <x v="4"/>
  </r>
  <r>
    <s v="FL250006"/>
    <x v="5"/>
    <x v="0"/>
    <x v="3"/>
    <x v="3"/>
    <x v="3"/>
    <x v="5"/>
    <n v="14"/>
    <s v="$30"/>
    <n v="2.4"/>
    <s v="FALSE"/>
    <x v="0"/>
    <x v="1"/>
    <s v="Active"/>
    <n v="8"/>
    <x v="0"/>
    <x v="4"/>
  </r>
  <r>
    <s v="FL250007"/>
    <x v="6"/>
    <x v="1"/>
    <x v="0"/>
    <x v="4"/>
    <x v="4"/>
    <x v="6"/>
    <n v="10"/>
    <s v="USD 75"/>
    <n v="3.1"/>
    <s v="0"/>
    <x v="5"/>
    <x v="0"/>
    <s v="On Hold"/>
    <n v="10"/>
    <x v="0"/>
    <x v="4"/>
  </r>
  <r>
    <s v="FL250008"/>
    <x v="7"/>
    <x v="1"/>
    <x v="4"/>
    <x v="0"/>
    <x v="0"/>
    <x v="0"/>
    <n v="14"/>
    <s v="USD 40"/>
    <n v="4.5999999999999996"/>
    <s v="FALSE"/>
    <x v="5"/>
    <x v="1"/>
    <s v="On Hold"/>
    <n v="7"/>
    <x v="0"/>
    <x v="5"/>
  </r>
  <r>
    <s v="FL250009"/>
    <x v="8"/>
    <x v="1"/>
    <x v="5"/>
    <x v="5"/>
    <x v="1"/>
    <x v="0"/>
    <n v="4"/>
    <s v="Not given"/>
    <n v="4"/>
    <s v="TRUE"/>
    <x v="6"/>
    <x v="0"/>
    <s v="Inactive"/>
    <n v="2"/>
    <x v="1"/>
    <x v="6"/>
  </r>
  <r>
    <s v="FL250010"/>
    <x v="9"/>
    <x v="1"/>
    <x v="0"/>
    <x v="6"/>
    <x v="5"/>
    <x v="5"/>
    <n v="22"/>
    <s v="$50"/>
    <s v="Not Mentioned"/>
    <s v="1"/>
    <x v="0"/>
    <x v="2"/>
    <s v="Active"/>
    <n v="16"/>
    <x v="0"/>
    <x v="7"/>
  </r>
  <r>
    <s v="FL250011"/>
    <x v="10"/>
    <x v="1"/>
    <x v="6"/>
    <x v="7"/>
    <x v="1"/>
    <x v="6"/>
    <n v="17"/>
    <s v="40"/>
    <n v="3.6"/>
    <s v="yes"/>
    <x v="7"/>
    <x v="3"/>
    <s v="Inactive"/>
    <n v="20"/>
    <x v="0"/>
    <x v="7"/>
  </r>
  <r>
    <s v="FL250012"/>
    <x v="11"/>
    <x v="0"/>
    <x v="7"/>
    <x v="8"/>
    <x v="6"/>
    <x v="7"/>
    <n v="15"/>
    <s v="Not given"/>
    <s v="Not Mentioned"/>
    <s v="Y"/>
    <x v="8"/>
    <x v="1"/>
    <s v="Active"/>
    <n v="13"/>
    <x v="0"/>
    <x v="6"/>
  </r>
  <r>
    <s v="FL250013"/>
    <x v="12"/>
    <x v="0"/>
    <x v="8"/>
    <x v="7"/>
    <x v="1"/>
    <x v="8"/>
    <n v="18"/>
    <s v="Not given"/>
    <n v="2"/>
    <s v="0"/>
    <x v="8"/>
    <x v="0"/>
    <s v="On Hold"/>
    <n v="16"/>
    <x v="0"/>
    <x v="8"/>
  </r>
  <r>
    <s v="FL250014"/>
    <x v="13"/>
    <x v="1"/>
    <x v="2"/>
    <x v="9"/>
    <x v="6"/>
    <x v="2"/>
    <n v="20"/>
    <s v="USD 75"/>
    <n v="2.9"/>
    <s v="1"/>
    <x v="9"/>
    <x v="2"/>
    <s v="On Hold"/>
    <n v="17"/>
    <x v="0"/>
    <x v="9"/>
  </r>
  <r>
    <s v="FL250015"/>
    <x v="14"/>
    <x v="1"/>
    <x v="9"/>
    <x v="2"/>
    <x v="2"/>
    <x v="6"/>
    <n v="22"/>
    <s v="75"/>
    <n v="3.7"/>
    <s v="1"/>
    <x v="10"/>
    <x v="3"/>
    <s v="Completed"/>
    <n v="14"/>
    <x v="0"/>
    <x v="0"/>
  </r>
  <r>
    <s v="FL250016"/>
    <x v="15"/>
    <x v="1"/>
    <x v="10"/>
    <x v="10"/>
    <x v="7"/>
    <x v="4"/>
    <n v="0"/>
    <s v="$30"/>
    <n v="1.2"/>
    <s v="0"/>
    <x v="11"/>
    <x v="1"/>
    <s v="Active"/>
    <n v="5"/>
    <x v="1"/>
    <x v="10"/>
  </r>
  <r>
    <s v="FL250017"/>
    <x v="16"/>
    <x v="0"/>
    <x v="11"/>
    <x v="1"/>
    <x v="1"/>
    <x v="9"/>
    <n v="13"/>
    <s v="$30"/>
    <n v="2.5"/>
    <s v="FALSE"/>
    <x v="12"/>
    <x v="3"/>
    <s v="Inactive"/>
    <n v="7"/>
    <x v="0"/>
    <x v="3"/>
  </r>
  <r>
    <s v="FL250018"/>
    <x v="17"/>
    <x v="1"/>
    <x v="12"/>
    <x v="11"/>
    <x v="8"/>
    <x v="0"/>
    <s v="Not Mentioned"/>
    <s v="Not given"/>
    <s v="Not Mentioned"/>
    <s v="Not Mentioned"/>
    <x v="13"/>
    <x v="2"/>
    <s v="Completed"/>
    <n v="1"/>
    <x v="1"/>
    <x v="10"/>
  </r>
  <r>
    <s v="FL250019"/>
    <x v="18"/>
    <x v="1"/>
    <x v="12"/>
    <x v="5"/>
    <x v="1"/>
    <x v="7"/>
    <n v="31"/>
    <s v="USD 50"/>
    <n v="1.1000000000000001"/>
    <s v="N"/>
    <x v="14"/>
    <x v="1"/>
    <s v="Completed"/>
    <n v="13"/>
    <x v="0"/>
    <x v="4"/>
  </r>
  <r>
    <s v="FL250020"/>
    <x v="19"/>
    <x v="1"/>
    <x v="8"/>
    <x v="0"/>
    <x v="0"/>
    <x v="3"/>
    <n v="3"/>
    <s v="USD 100"/>
    <n v="1.8"/>
    <s v="yes"/>
    <x v="15"/>
    <x v="3"/>
    <s v="Completed"/>
    <n v="1"/>
    <x v="1"/>
    <x v="3"/>
  </r>
  <r>
    <s v="FL250021"/>
    <x v="20"/>
    <x v="1"/>
    <x v="13"/>
    <x v="4"/>
    <x v="4"/>
    <x v="5"/>
    <n v="9"/>
    <s v="50"/>
    <n v="1.8"/>
    <s v="FALSE"/>
    <x v="16"/>
    <x v="0"/>
    <s v="Inactive"/>
    <n v="15"/>
    <x v="0"/>
    <x v="0"/>
  </r>
  <r>
    <s v="FL250022"/>
    <x v="21"/>
    <x v="1"/>
    <x v="14"/>
    <x v="10"/>
    <x v="7"/>
    <x v="9"/>
    <s v="Not Mentioned"/>
    <s v="Not given"/>
    <n v="2.4"/>
    <s v="N"/>
    <x v="11"/>
    <x v="1"/>
    <s v="Completed"/>
    <n v="3"/>
    <x v="1"/>
    <x v="7"/>
  </r>
  <r>
    <s v="FL250023"/>
    <x v="22"/>
    <x v="1"/>
    <x v="14"/>
    <x v="12"/>
    <x v="9"/>
    <x v="8"/>
    <n v="21"/>
    <s v="USD 30"/>
    <n v="4.7"/>
    <s v="N"/>
    <x v="0"/>
    <x v="3"/>
    <s v="Inactive"/>
    <n v="14"/>
    <x v="0"/>
    <x v="10"/>
  </r>
  <r>
    <s v="FL250024"/>
    <x v="23"/>
    <x v="0"/>
    <x v="14"/>
    <x v="13"/>
    <x v="10"/>
    <x v="10"/>
    <n v="15"/>
    <s v="$50"/>
    <n v="1.3"/>
    <s v="1"/>
    <x v="17"/>
    <x v="2"/>
    <s v="Completed"/>
    <n v="9"/>
    <x v="0"/>
    <x v="4"/>
  </r>
  <r>
    <s v="FL250025"/>
    <x v="24"/>
    <x v="0"/>
    <x v="15"/>
    <x v="4"/>
    <x v="4"/>
    <x v="10"/>
    <n v="13"/>
    <s v="75"/>
    <n v="2.9"/>
    <s v="Not Mentioned"/>
    <x v="18"/>
    <x v="2"/>
    <s v="Inactive"/>
    <n v="15"/>
    <x v="0"/>
    <x v="4"/>
  </r>
  <r>
    <s v="FL250026"/>
    <x v="25"/>
    <x v="0"/>
    <x v="16"/>
    <x v="13"/>
    <x v="10"/>
    <x v="9"/>
    <n v="0"/>
    <s v="USD 30"/>
    <n v="1.2"/>
    <s v="1"/>
    <x v="10"/>
    <x v="1"/>
    <s v="On Hold"/>
    <n v="5"/>
    <x v="1"/>
    <x v="10"/>
  </r>
  <r>
    <s v="FL250027"/>
    <x v="26"/>
    <x v="0"/>
    <x v="17"/>
    <x v="10"/>
    <x v="7"/>
    <x v="0"/>
    <n v="8"/>
    <s v="$20"/>
    <n v="0"/>
    <s v="TRUE"/>
    <x v="19"/>
    <x v="3"/>
    <s v="On Hold"/>
    <n v="6"/>
    <x v="0"/>
    <x v="3"/>
  </r>
  <r>
    <s v="FL250028"/>
    <x v="27"/>
    <x v="0"/>
    <x v="18"/>
    <x v="14"/>
    <x v="11"/>
    <x v="2"/>
    <n v="11"/>
    <s v="Not given"/>
    <n v="1.8"/>
    <s v="Y"/>
    <x v="8"/>
    <x v="1"/>
    <s v="On Hold"/>
    <n v="12"/>
    <x v="0"/>
    <x v="6"/>
  </r>
  <r>
    <s v="FL250029"/>
    <x v="28"/>
    <x v="0"/>
    <x v="19"/>
    <x v="15"/>
    <x v="1"/>
    <x v="5"/>
    <n v="22"/>
    <s v="30"/>
    <n v="1.3"/>
    <s v="0"/>
    <x v="20"/>
    <x v="1"/>
    <s v="On Hold"/>
    <n v="14"/>
    <x v="0"/>
    <x v="10"/>
  </r>
  <r>
    <s v="FL250030"/>
    <x v="29"/>
    <x v="0"/>
    <x v="20"/>
    <x v="3"/>
    <x v="3"/>
    <x v="6"/>
    <n v="14"/>
    <s v="USD 75"/>
    <n v="1.2"/>
    <s v="0"/>
    <x v="0"/>
    <x v="3"/>
    <s v="On Hold"/>
    <n v="6"/>
    <x v="0"/>
    <x v="7"/>
  </r>
  <r>
    <s v="FL250031"/>
    <x v="30"/>
    <x v="1"/>
    <x v="16"/>
    <x v="3"/>
    <x v="3"/>
    <x v="9"/>
    <n v="4"/>
    <s v="Not given"/>
    <n v="1"/>
    <s v="yes"/>
    <x v="0"/>
    <x v="3"/>
    <s v="Completed"/>
    <n v="3"/>
    <x v="1"/>
    <x v="3"/>
  </r>
  <r>
    <s v="FL250032"/>
    <x v="31"/>
    <x v="1"/>
    <x v="2"/>
    <x v="16"/>
    <x v="12"/>
    <x v="10"/>
    <n v="19"/>
    <s v="USD 100"/>
    <n v="4.2"/>
    <s v="N"/>
    <x v="15"/>
    <x v="0"/>
    <s v="Completed"/>
    <n v="10"/>
    <x v="0"/>
    <x v="5"/>
  </r>
  <r>
    <s v="FL250033"/>
    <x v="32"/>
    <x v="1"/>
    <x v="21"/>
    <x v="17"/>
    <x v="13"/>
    <x v="5"/>
    <n v="9"/>
    <s v="20"/>
    <n v="1.4"/>
    <s v="TRUE"/>
    <x v="6"/>
    <x v="3"/>
    <s v="Completed"/>
    <n v="13"/>
    <x v="0"/>
    <x v="0"/>
  </r>
  <r>
    <s v="FL250034"/>
    <x v="33"/>
    <x v="1"/>
    <x v="13"/>
    <x v="13"/>
    <x v="10"/>
    <x v="5"/>
    <n v="9"/>
    <s v="40"/>
    <n v="2.4"/>
    <s v="yes"/>
    <x v="21"/>
    <x v="2"/>
    <s v="Inactive"/>
    <n v="15"/>
    <x v="0"/>
    <x v="4"/>
  </r>
  <r>
    <s v="FL250035"/>
    <x v="34"/>
    <x v="0"/>
    <x v="15"/>
    <x v="5"/>
    <x v="1"/>
    <x v="3"/>
    <n v="32"/>
    <s v="75"/>
    <n v="1"/>
    <s v="yes"/>
    <x v="22"/>
    <x v="1"/>
    <s v="Inactive"/>
    <n v="18"/>
    <x v="0"/>
    <x v="5"/>
  </r>
  <r>
    <s v="FL250036"/>
    <x v="35"/>
    <x v="0"/>
    <x v="0"/>
    <x v="13"/>
    <x v="10"/>
    <x v="4"/>
    <n v="28"/>
    <s v="$20"/>
    <s v="Not Mentioned"/>
    <s v="0"/>
    <x v="0"/>
    <x v="1"/>
    <s v="Inactive"/>
    <n v="18"/>
    <x v="0"/>
    <x v="10"/>
  </r>
  <r>
    <s v="FL250037"/>
    <x v="36"/>
    <x v="0"/>
    <x v="10"/>
    <x v="10"/>
    <x v="7"/>
    <x v="1"/>
    <n v="6"/>
    <s v="40"/>
    <s v="Not Mentioned"/>
    <s v="0"/>
    <x v="23"/>
    <x v="2"/>
    <s v="Inactive"/>
    <n v="15"/>
    <x v="0"/>
    <x v="0"/>
  </r>
  <r>
    <s v="FL250038"/>
    <x v="37"/>
    <x v="0"/>
    <x v="22"/>
    <x v="3"/>
    <x v="3"/>
    <x v="2"/>
    <n v="10"/>
    <s v="40"/>
    <n v="2.2000000000000002"/>
    <s v="N"/>
    <x v="24"/>
    <x v="3"/>
    <s v="On Hold"/>
    <n v="10"/>
    <x v="0"/>
    <x v="11"/>
  </r>
  <r>
    <s v="FL250039"/>
    <x v="38"/>
    <x v="0"/>
    <x v="10"/>
    <x v="18"/>
    <x v="14"/>
    <x v="1"/>
    <n v="23"/>
    <s v="50"/>
    <n v="3.2"/>
    <s v="yes"/>
    <x v="0"/>
    <x v="2"/>
    <s v="On Hold"/>
    <n v="13"/>
    <x v="0"/>
    <x v="4"/>
  </r>
  <r>
    <s v="FL250040"/>
    <x v="39"/>
    <x v="1"/>
    <x v="23"/>
    <x v="10"/>
    <x v="7"/>
    <x v="3"/>
    <n v="13"/>
    <s v="$20"/>
    <n v="3.6"/>
    <s v="0"/>
    <x v="25"/>
    <x v="2"/>
    <s v="On Hold"/>
    <n v="9"/>
    <x v="0"/>
    <x v="4"/>
  </r>
  <r>
    <s v="FL250041"/>
    <x v="40"/>
    <x v="0"/>
    <x v="3"/>
    <x v="7"/>
    <x v="1"/>
    <x v="5"/>
    <n v="3"/>
    <s v="USD 50"/>
    <n v="0"/>
    <s v="no"/>
    <x v="0"/>
    <x v="0"/>
    <s v="Active"/>
    <n v="3"/>
    <x v="1"/>
    <x v="3"/>
  </r>
  <r>
    <s v="FL250042"/>
    <x v="41"/>
    <x v="0"/>
    <x v="24"/>
    <x v="15"/>
    <x v="1"/>
    <x v="3"/>
    <n v="0"/>
    <s v="30"/>
    <n v="2.7"/>
    <s v="1"/>
    <x v="1"/>
    <x v="2"/>
    <s v="Completed"/>
    <n v="5"/>
    <x v="1"/>
    <x v="3"/>
  </r>
  <r>
    <s v="FL250043"/>
    <x v="42"/>
    <x v="0"/>
    <x v="25"/>
    <x v="2"/>
    <x v="2"/>
    <x v="9"/>
    <n v="10"/>
    <s v="$50"/>
    <n v="0"/>
    <s v="no"/>
    <x v="0"/>
    <x v="1"/>
    <s v="Inactive"/>
    <n v="7"/>
    <x v="0"/>
    <x v="0"/>
  </r>
  <r>
    <s v="FL250044"/>
    <x v="43"/>
    <x v="1"/>
    <x v="20"/>
    <x v="7"/>
    <x v="1"/>
    <x v="6"/>
    <s v="Not Mentioned"/>
    <s v="20"/>
    <n v="2.8"/>
    <s v="TRUE"/>
    <x v="23"/>
    <x v="2"/>
    <s v="Inactive"/>
    <n v="1"/>
    <x v="1"/>
    <x v="3"/>
  </r>
  <r>
    <s v="FL250045"/>
    <x v="44"/>
    <x v="0"/>
    <x v="14"/>
    <x v="3"/>
    <x v="3"/>
    <x v="10"/>
    <n v="23"/>
    <s v="20"/>
    <n v="2.5"/>
    <s v="FALSE"/>
    <x v="25"/>
    <x v="1"/>
    <s v="On Hold"/>
    <n v="17"/>
    <x v="0"/>
    <x v="8"/>
  </r>
  <r>
    <s v="FL250046"/>
    <x v="45"/>
    <x v="1"/>
    <x v="20"/>
    <x v="18"/>
    <x v="14"/>
    <x v="3"/>
    <n v="9"/>
    <s v="$75"/>
    <n v="4.9000000000000004"/>
    <s v="1"/>
    <x v="26"/>
    <x v="1"/>
    <s v="Inactive"/>
    <n v="13"/>
    <x v="0"/>
    <x v="12"/>
  </r>
  <r>
    <s v="FL250047"/>
    <x v="46"/>
    <x v="0"/>
    <x v="19"/>
    <x v="17"/>
    <x v="13"/>
    <x v="9"/>
    <n v="15"/>
    <s v="USD 30"/>
    <n v="4.5"/>
    <s v="1"/>
    <x v="27"/>
    <x v="1"/>
    <s v="Inactive"/>
    <n v="12"/>
    <x v="0"/>
    <x v="6"/>
  </r>
  <r>
    <s v="FL250048"/>
    <x v="47"/>
    <x v="1"/>
    <x v="26"/>
    <x v="19"/>
    <x v="15"/>
    <x v="2"/>
    <n v="4"/>
    <s v="50"/>
    <n v="2.7"/>
    <s v="N"/>
    <x v="7"/>
    <x v="3"/>
    <s v="Completed"/>
    <n v="4"/>
    <x v="1"/>
    <x v="4"/>
  </r>
  <r>
    <s v="FL250049"/>
    <x v="48"/>
    <x v="0"/>
    <x v="26"/>
    <x v="20"/>
    <x v="6"/>
    <x v="1"/>
    <n v="7"/>
    <s v="20"/>
    <n v="1.9"/>
    <s v="0"/>
    <x v="0"/>
    <x v="0"/>
    <s v="On Hold"/>
    <n v="12"/>
    <x v="0"/>
    <x v="5"/>
  </r>
  <r>
    <s v="FL250050"/>
    <x v="49"/>
    <x v="1"/>
    <x v="22"/>
    <x v="9"/>
    <x v="3"/>
    <x v="7"/>
    <n v="1"/>
    <s v="20"/>
    <n v="1.4"/>
    <s v="1"/>
    <x v="23"/>
    <x v="1"/>
    <s v="Completed"/>
    <n v="2"/>
    <x v="1"/>
    <x v="3"/>
  </r>
  <r>
    <s v="FL250051"/>
    <x v="50"/>
    <x v="0"/>
    <x v="27"/>
    <x v="8"/>
    <x v="6"/>
    <x v="8"/>
    <n v="0"/>
    <s v="75"/>
    <n v="1.9"/>
    <s v="TRUE"/>
    <x v="28"/>
    <x v="1"/>
    <s v="Active"/>
    <n v="2"/>
    <x v="1"/>
    <x v="7"/>
  </r>
  <r>
    <s v="FL250052"/>
    <x v="51"/>
    <x v="1"/>
    <x v="28"/>
    <x v="16"/>
    <x v="12"/>
    <x v="6"/>
    <n v="8"/>
    <s v="50"/>
    <n v="3.4"/>
    <s v="0"/>
    <x v="0"/>
    <x v="3"/>
    <s v="Active"/>
    <n v="11"/>
    <x v="0"/>
    <x v="4"/>
  </r>
  <r>
    <s v="FL250053"/>
    <x v="52"/>
    <x v="1"/>
    <x v="14"/>
    <x v="2"/>
    <x v="2"/>
    <x v="10"/>
    <n v="33"/>
    <s v="75"/>
    <n v="3.3"/>
    <s v="Not Mentioned"/>
    <x v="15"/>
    <x v="1"/>
    <s v="Active"/>
    <n v="17"/>
    <x v="0"/>
    <x v="12"/>
  </r>
  <r>
    <s v="FL250054"/>
    <x v="53"/>
    <x v="1"/>
    <x v="13"/>
    <x v="21"/>
    <x v="6"/>
    <x v="7"/>
    <n v="1"/>
    <s v="30"/>
    <n v="0"/>
    <s v="0"/>
    <x v="15"/>
    <x v="2"/>
    <s v="On Hold"/>
    <n v="1"/>
    <x v="1"/>
    <x v="10"/>
  </r>
  <r>
    <s v="FL250055"/>
    <x v="54"/>
    <x v="0"/>
    <x v="22"/>
    <x v="6"/>
    <x v="5"/>
    <x v="8"/>
    <n v="11"/>
    <s v="100"/>
    <n v="2.2999999999999998"/>
    <s v="TRUE"/>
    <x v="29"/>
    <x v="2"/>
    <s v="Inactive"/>
    <n v="7"/>
    <x v="0"/>
    <x v="1"/>
  </r>
  <r>
    <s v="FL250056"/>
    <x v="55"/>
    <x v="1"/>
    <x v="9"/>
    <x v="7"/>
    <x v="1"/>
    <x v="5"/>
    <n v="15"/>
    <s v="Not given"/>
    <n v="2"/>
    <s v="yes"/>
    <x v="16"/>
    <x v="0"/>
    <s v="On Hold"/>
    <n v="7"/>
    <x v="0"/>
    <x v="1"/>
  </r>
  <r>
    <s v="FL250057"/>
    <x v="56"/>
    <x v="0"/>
    <x v="5"/>
    <x v="7"/>
    <x v="1"/>
    <x v="9"/>
    <n v="8"/>
    <s v="50"/>
    <n v="1.3"/>
    <s v="FALSE"/>
    <x v="6"/>
    <x v="1"/>
    <s v="On Hold"/>
    <n v="7"/>
    <x v="0"/>
    <x v="7"/>
  </r>
  <r>
    <s v="FL250058"/>
    <x v="57"/>
    <x v="1"/>
    <x v="2"/>
    <x v="15"/>
    <x v="1"/>
    <x v="5"/>
    <n v="17"/>
    <s v="USD 40"/>
    <n v="4"/>
    <s v="TRUE"/>
    <x v="3"/>
    <x v="3"/>
    <s v="Inactive"/>
    <n v="16"/>
    <x v="0"/>
    <x v="13"/>
  </r>
  <r>
    <s v="FL250059"/>
    <x v="58"/>
    <x v="0"/>
    <x v="27"/>
    <x v="11"/>
    <x v="8"/>
    <x v="1"/>
    <s v="Not Mentioned"/>
    <s v="75"/>
    <n v="3.6"/>
    <s v="1"/>
    <x v="16"/>
    <x v="2"/>
    <s v="Completed"/>
    <n v="2"/>
    <x v="1"/>
    <x v="6"/>
  </r>
  <r>
    <s v="FL250060"/>
    <x v="59"/>
    <x v="0"/>
    <x v="14"/>
    <x v="18"/>
    <x v="14"/>
    <x v="9"/>
    <n v="28"/>
    <s v="40"/>
    <n v="3.9"/>
    <s v="0"/>
    <x v="23"/>
    <x v="3"/>
    <s v="Active"/>
    <n v="13"/>
    <x v="0"/>
    <x v="0"/>
  </r>
  <r>
    <s v="FL250061"/>
    <x v="60"/>
    <x v="0"/>
    <x v="14"/>
    <x v="4"/>
    <x v="4"/>
    <x v="5"/>
    <n v="33"/>
    <s v="$75"/>
    <n v="0"/>
    <s v="TRUE"/>
    <x v="0"/>
    <x v="3"/>
    <s v="Completed"/>
    <n v="14"/>
    <x v="0"/>
    <x v="12"/>
  </r>
  <r>
    <s v="FL250062"/>
    <x v="61"/>
    <x v="1"/>
    <x v="19"/>
    <x v="2"/>
    <x v="2"/>
    <x v="5"/>
    <n v="18"/>
    <s v="75"/>
    <n v="0"/>
    <s v="0"/>
    <x v="0"/>
    <x v="2"/>
    <s v="Active"/>
    <n v="11"/>
    <x v="0"/>
    <x v="12"/>
  </r>
  <r>
    <s v="FL250063"/>
    <x v="62"/>
    <x v="0"/>
    <x v="17"/>
    <x v="14"/>
    <x v="11"/>
    <x v="7"/>
    <n v="16"/>
    <s v="$20"/>
    <n v="2.2999999999999998"/>
    <s v="yes"/>
    <x v="9"/>
    <x v="3"/>
    <s v="On Hold"/>
    <n v="15"/>
    <x v="0"/>
    <x v="7"/>
  </r>
  <r>
    <s v="FL250064"/>
    <x v="63"/>
    <x v="0"/>
    <x v="29"/>
    <x v="4"/>
    <x v="4"/>
    <x v="6"/>
    <n v="35"/>
    <s v="USD 50"/>
    <n v="4.7"/>
    <s v="no"/>
    <x v="10"/>
    <x v="2"/>
    <s v="Active"/>
    <n v="17"/>
    <x v="0"/>
    <x v="14"/>
  </r>
  <r>
    <s v="FL250065"/>
    <x v="64"/>
    <x v="0"/>
    <x v="9"/>
    <x v="14"/>
    <x v="11"/>
    <x v="5"/>
    <n v="14"/>
    <s v="Not given"/>
    <n v="3.5"/>
    <s v="Y"/>
    <x v="4"/>
    <x v="3"/>
    <s v="On Hold"/>
    <n v="13"/>
    <x v="0"/>
    <x v="12"/>
  </r>
  <r>
    <s v="FL250066"/>
    <x v="65"/>
    <x v="0"/>
    <x v="17"/>
    <x v="21"/>
    <x v="6"/>
    <x v="3"/>
    <n v="12"/>
    <s v="40"/>
    <n v="2.4"/>
    <s v="1"/>
    <x v="30"/>
    <x v="2"/>
    <s v="Completed"/>
    <n v="14"/>
    <x v="0"/>
    <x v="9"/>
  </r>
  <r>
    <s v="FL250067"/>
    <x v="66"/>
    <x v="0"/>
    <x v="30"/>
    <x v="12"/>
    <x v="9"/>
    <x v="5"/>
    <n v="11"/>
    <s v="USD 75"/>
    <n v="4"/>
    <s v="N"/>
    <x v="17"/>
    <x v="1"/>
    <s v="On Hold"/>
    <n v="9"/>
    <x v="0"/>
    <x v="10"/>
  </r>
  <r>
    <s v="FL250068"/>
    <x v="67"/>
    <x v="0"/>
    <x v="7"/>
    <x v="12"/>
    <x v="9"/>
    <x v="3"/>
    <n v="0"/>
    <s v="$40"/>
    <n v="0"/>
    <s v="TRUE"/>
    <x v="0"/>
    <x v="0"/>
    <s v="Completed"/>
    <n v="5"/>
    <x v="1"/>
    <x v="7"/>
  </r>
  <r>
    <s v="FL250069"/>
    <x v="68"/>
    <x v="1"/>
    <x v="13"/>
    <x v="8"/>
    <x v="6"/>
    <x v="7"/>
    <n v="6"/>
    <s v="100"/>
    <n v="1.5"/>
    <s v="FALSE"/>
    <x v="0"/>
    <x v="2"/>
    <s v="Inactive"/>
    <n v="8"/>
    <x v="0"/>
    <x v="10"/>
  </r>
  <r>
    <s v="FL250070"/>
    <x v="69"/>
    <x v="0"/>
    <x v="23"/>
    <x v="19"/>
    <x v="15"/>
    <x v="7"/>
    <n v="38"/>
    <s v="$20"/>
    <n v="2"/>
    <s v="no"/>
    <x v="2"/>
    <x v="2"/>
    <s v="Inactive"/>
    <n v="19"/>
    <x v="0"/>
    <x v="1"/>
  </r>
  <r>
    <s v="FL250071"/>
    <x v="70"/>
    <x v="0"/>
    <x v="31"/>
    <x v="18"/>
    <x v="14"/>
    <x v="1"/>
    <n v="11"/>
    <s v="Not given"/>
    <s v="Not Mentioned"/>
    <s v="yes"/>
    <x v="1"/>
    <x v="0"/>
    <s v="Inactive"/>
    <n v="6"/>
    <x v="0"/>
    <x v="4"/>
  </r>
  <r>
    <s v="FL250072"/>
    <x v="71"/>
    <x v="1"/>
    <x v="23"/>
    <x v="0"/>
    <x v="0"/>
    <x v="9"/>
    <n v="13"/>
    <s v="USD 50"/>
    <n v="1"/>
    <s v="FALSE"/>
    <x v="0"/>
    <x v="2"/>
    <s v="On Hold"/>
    <n v="15"/>
    <x v="0"/>
    <x v="3"/>
  </r>
  <r>
    <s v="FL250073"/>
    <x v="72"/>
    <x v="1"/>
    <x v="6"/>
    <x v="5"/>
    <x v="1"/>
    <x v="3"/>
    <n v="9"/>
    <s v="$100"/>
    <n v="4.5"/>
    <s v="yes"/>
    <x v="11"/>
    <x v="2"/>
    <s v="Inactive"/>
    <n v="11"/>
    <x v="0"/>
    <x v="5"/>
  </r>
  <r>
    <s v="FL250074"/>
    <x v="73"/>
    <x v="1"/>
    <x v="3"/>
    <x v="1"/>
    <x v="1"/>
    <x v="0"/>
    <n v="4"/>
    <s v="Not given"/>
    <n v="1.9"/>
    <s v="FALSE"/>
    <x v="31"/>
    <x v="3"/>
    <s v="Active"/>
    <n v="5"/>
    <x v="1"/>
    <x v="3"/>
  </r>
  <r>
    <s v="FL250075"/>
    <x v="74"/>
    <x v="1"/>
    <x v="18"/>
    <x v="9"/>
    <x v="0"/>
    <x v="10"/>
    <n v="14"/>
    <s v="$100"/>
    <n v="3.7"/>
    <s v="0"/>
    <x v="0"/>
    <x v="0"/>
    <s v="Completed"/>
    <n v="9"/>
    <x v="0"/>
    <x v="7"/>
  </r>
  <r>
    <s v="FL250076"/>
    <x v="75"/>
    <x v="1"/>
    <x v="32"/>
    <x v="11"/>
    <x v="8"/>
    <x v="6"/>
    <s v="Not Mentioned"/>
    <s v="30"/>
    <n v="1.9"/>
    <s v="TRUE"/>
    <x v="32"/>
    <x v="1"/>
    <s v="Completed"/>
    <n v="2"/>
    <x v="1"/>
    <x v="10"/>
  </r>
  <r>
    <s v="FL250077"/>
    <x v="76"/>
    <x v="1"/>
    <x v="3"/>
    <x v="1"/>
    <x v="1"/>
    <x v="5"/>
    <n v="9"/>
    <s v="USD 75"/>
    <n v="4"/>
    <s v="1"/>
    <x v="33"/>
    <x v="2"/>
    <s v="Active"/>
    <n v="14"/>
    <x v="0"/>
    <x v="7"/>
  </r>
  <r>
    <s v="FL250078"/>
    <x v="77"/>
    <x v="0"/>
    <x v="15"/>
    <x v="21"/>
    <x v="6"/>
    <x v="9"/>
    <n v="32"/>
    <s v="USD 40"/>
    <n v="1.8"/>
    <s v="N"/>
    <x v="0"/>
    <x v="0"/>
    <s v="On Hold"/>
    <n v="10"/>
    <x v="0"/>
    <x v="1"/>
  </r>
  <r>
    <s v="FL250079"/>
    <x v="78"/>
    <x v="0"/>
    <x v="33"/>
    <x v="15"/>
    <x v="1"/>
    <x v="2"/>
    <n v="9"/>
    <s v="Not given"/>
    <n v="0"/>
    <s v="1"/>
    <x v="19"/>
    <x v="3"/>
    <s v="On Hold"/>
    <n v="14"/>
    <x v="0"/>
    <x v="0"/>
  </r>
  <r>
    <s v="FL250080"/>
    <x v="79"/>
    <x v="1"/>
    <x v="15"/>
    <x v="11"/>
    <x v="8"/>
    <x v="10"/>
    <n v="21"/>
    <s v="$100"/>
    <n v="4.5999999999999996"/>
    <s v="FALSE"/>
    <x v="0"/>
    <x v="1"/>
    <s v="Completed"/>
    <n v="20"/>
    <x v="0"/>
    <x v="4"/>
  </r>
  <r>
    <s v="FL250081"/>
    <x v="80"/>
    <x v="0"/>
    <x v="31"/>
    <x v="8"/>
    <x v="6"/>
    <x v="7"/>
    <n v="12"/>
    <s v="100"/>
    <n v="3.6"/>
    <s v="0"/>
    <x v="23"/>
    <x v="0"/>
    <s v="Inactive"/>
    <n v="10"/>
    <x v="0"/>
    <x v="10"/>
  </r>
  <r>
    <s v="FL250082"/>
    <x v="81"/>
    <x v="0"/>
    <x v="26"/>
    <x v="17"/>
    <x v="13"/>
    <x v="3"/>
    <n v="7"/>
    <s v="USD 40"/>
    <n v="4.4000000000000004"/>
    <s v="Not Mentioned"/>
    <x v="34"/>
    <x v="1"/>
    <s v="On Hold"/>
    <n v="11"/>
    <x v="0"/>
    <x v="12"/>
  </r>
  <r>
    <s v="FL250083"/>
    <x v="82"/>
    <x v="1"/>
    <x v="13"/>
    <x v="19"/>
    <x v="15"/>
    <x v="9"/>
    <n v="3"/>
    <s v="40"/>
    <n v="4.5999999999999996"/>
    <s v="N"/>
    <x v="26"/>
    <x v="1"/>
    <s v="On Hold"/>
    <n v="1"/>
    <x v="1"/>
    <x v="3"/>
  </r>
  <r>
    <s v="FL250084"/>
    <x v="83"/>
    <x v="1"/>
    <x v="25"/>
    <x v="13"/>
    <x v="10"/>
    <x v="3"/>
    <n v="5"/>
    <s v="$75"/>
    <n v="3.2"/>
    <s v="FALSE"/>
    <x v="29"/>
    <x v="1"/>
    <s v="Active"/>
    <n v="2"/>
    <x v="1"/>
    <x v="3"/>
  </r>
  <r>
    <s v="FL250085"/>
    <x v="84"/>
    <x v="1"/>
    <x v="3"/>
    <x v="13"/>
    <x v="10"/>
    <x v="5"/>
    <n v="30"/>
    <s v="$40"/>
    <n v="0"/>
    <s v="TRUE"/>
    <x v="0"/>
    <x v="2"/>
    <s v="Active"/>
    <n v="13"/>
    <x v="0"/>
    <x v="14"/>
  </r>
  <r>
    <s v="FL250086"/>
    <x v="85"/>
    <x v="0"/>
    <x v="24"/>
    <x v="19"/>
    <x v="15"/>
    <x v="9"/>
    <n v="2"/>
    <s v="100"/>
    <n v="2.6"/>
    <s v="Y"/>
    <x v="27"/>
    <x v="2"/>
    <s v="Inactive"/>
    <n v="5"/>
    <x v="1"/>
    <x v="4"/>
  </r>
  <r>
    <s v="FL250087"/>
    <x v="86"/>
    <x v="1"/>
    <x v="26"/>
    <x v="5"/>
    <x v="1"/>
    <x v="1"/>
    <n v="2"/>
    <s v="$75"/>
    <n v="3.7"/>
    <s v="N"/>
    <x v="0"/>
    <x v="3"/>
    <s v="On Hold"/>
    <n v="1"/>
    <x v="1"/>
    <x v="3"/>
  </r>
  <r>
    <s v="FL250088"/>
    <x v="87"/>
    <x v="0"/>
    <x v="2"/>
    <x v="20"/>
    <x v="6"/>
    <x v="3"/>
    <n v="19"/>
    <s v="75"/>
    <n v="2.2999999999999998"/>
    <s v="FALSE"/>
    <x v="35"/>
    <x v="3"/>
    <s v="On Hold"/>
    <n v="20"/>
    <x v="0"/>
    <x v="11"/>
  </r>
  <r>
    <s v="FL250089"/>
    <x v="88"/>
    <x v="1"/>
    <x v="8"/>
    <x v="14"/>
    <x v="11"/>
    <x v="5"/>
    <n v="16"/>
    <s v="100"/>
    <n v="3.1"/>
    <s v="FALSE"/>
    <x v="0"/>
    <x v="0"/>
    <s v="Active"/>
    <n v="18"/>
    <x v="0"/>
    <x v="6"/>
  </r>
  <r>
    <s v="FL250090"/>
    <x v="89"/>
    <x v="1"/>
    <x v="32"/>
    <x v="11"/>
    <x v="8"/>
    <x v="1"/>
    <n v="10"/>
    <s v="$20"/>
    <n v="2.4"/>
    <s v="0"/>
    <x v="8"/>
    <x v="3"/>
    <s v="On Hold"/>
    <n v="9"/>
    <x v="0"/>
    <x v="4"/>
  </r>
  <r>
    <s v="FL250091"/>
    <x v="90"/>
    <x v="1"/>
    <x v="24"/>
    <x v="0"/>
    <x v="0"/>
    <x v="9"/>
    <n v="2"/>
    <s v="USD 100"/>
    <n v="1.6"/>
    <s v="yes"/>
    <x v="36"/>
    <x v="1"/>
    <s v="Completed"/>
    <n v="4"/>
    <x v="1"/>
    <x v="10"/>
  </r>
  <r>
    <s v="FL250092"/>
    <x v="91"/>
    <x v="0"/>
    <x v="8"/>
    <x v="15"/>
    <x v="1"/>
    <x v="8"/>
    <n v="18"/>
    <s v="50"/>
    <n v="2.4"/>
    <s v="1"/>
    <x v="23"/>
    <x v="1"/>
    <s v="Active"/>
    <n v="11"/>
    <x v="0"/>
    <x v="11"/>
  </r>
  <r>
    <s v="FL250093"/>
    <x v="92"/>
    <x v="1"/>
    <x v="1"/>
    <x v="19"/>
    <x v="15"/>
    <x v="7"/>
    <n v="21"/>
    <s v="USD 100"/>
    <s v="Not Mentioned"/>
    <s v="Y"/>
    <x v="36"/>
    <x v="2"/>
    <s v="Inactive"/>
    <n v="20"/>
    <x v="0"/>
    <x v="5"/>
  </r>
  <r>
    <s v="FL250094"/>
    <x v="93"/>
    <x v="1"/>
    <x v="25"/>
    <x v="14"/>
    <x v="11"/>
    <x v="0"/>
    <n v="3"/>
    <s v="USD 30"/>
    <n v="3.8"/>
    <s v="yes"/>
    <x v="22"/>
    <x v="1"/>
    <s v="Active"/>
    <n v="3"/>
    <x v="1"/>
    <x v="10"/>
  </r>
  <r>
    <s v="FL250095"/>
    <x v="94"/>
    <x v="0"/>
    <x v="15"/>
    <x v="19"/>
    <x v="15"/>
    <x v="10"/>
    <n v="17"/>
    <s v="20"/>
    <n v="1.7"/>
    <s v="0"/>
    <x v="11"/>
    <x v="0"/>
    <s v="On Hold"/>
    <n v="17"/>
    <x v="0"/>
    <x v="8"/>
  </r>
  <r>
    <s v="FL250096"/>
    <x v="95"/>
    <x v="0"/>
    <x v="18"/>
    <x v="0"/>
    <x v="0"/>
    <x v="7"/>
    <n v="0"/>
    <s v="20"/>
    <n v="1.3"/>
    <s v="Y"/>
    <x v="37"/>
    <x v="1"/>
    <s v="Inactive"/>
    <n v="2"/>
    <x v="1"/>
    <x v="10"/>
  </r>
  <r>
    <s v="FL250097"/>
    <x v="96"/>
    <x v="0"/>
    <x v="34"/>
    <x v="21"/>
    <x v="6"/>
    <x v="8"/>
    <n v="25"/>
    <s v="50"/>
    <n v="5"/>
    <s v="N"/>
    <x v="7"/>
    <x v="1"/>
    <s v="Active"/>
    <n v="14"/>
    <x v="0"/>
    <x v="12"/>
  </r>
  <r>
    <s v="FL250098"/>
    <x v="97"/>
    <x v="1"/>
    <x v="33"/>
    <x v="5"/>
    <x v="1"/>
    <x v="0"/>
    <n v="17"/>
    <s v="20"/>
    <n v="3.3"/>
    <s v="0"/>
    <x v="33"/>
    <x v="0"/>
    <s v="Completed"/>
    <n v="20"/>
    <x v="0"/>
    <x v="13"/>
  </r>
  <r>
    <s v="FL250099"/>
    <x v="98"/>
    <x v="1"/>
    <x v="13"/>
    <x v="5"/>
    <x v="1"/>
    <x v="7"/>
    <n v="5"/>
    <s v="$20"/>
    <n v="1.1000000000000001"/>
    <s v="no"/>
    <x v="26"/>
    <x v="3"/>
    <s v="Completed"/>
    <n v="2"/>
    <x v="1"/>
    <x v="3"/>
  </r>
  <r>
    <s v="FL250100"/>
    <x v="99"/>
    <x v="1"/>
    <x v="32"/>
    <x v="17"/>
    <x v="13"/>
    <x v="7"/>
    <n v="10"/>
    <s v="50"/>
    <n v="1.2"/>
    <s v="FALSE"/>
    <x v="19"/>
    <x v="3"/>
    <s v="Active"/>
    <n v="8"/>
    <x v="0"/>
    <x v="9"/>
  </r>
  <r>
    <s v="FL250101"/>
    <x v="100"/>
    <x v="1"/>
    <x v="25"/>
    <x v="11"/>
    <x v="8"/>
    <x v="1"/>
    <n v="0"/>
    <s v="Not given"/>
    <n v="2"/>
    <s v="1"/>
    <x v="37"/>
    <x v="0"/>
    <s v="Completed"/>
    <n v="4"/>
    <x v="1"/>
    <x v="3"/>
  </r>
  <r>
    <s v="FL250102"/>
    <x v="101"/>
    <x v="0"/>
    <x v="14"/>
    <x v="14"/>
    <x v="11"/>
    <x v="2"/>
    <n v="2"/>
    <s v="$30"/>
    <n v="4.5"/>
    <s v="0"/>
    <x v="30"/>
    <x v="2"/>
    <s v="Completed"/>
    <n v="5"/>
    <x v="1"/>
    <x v="3"/>
  </r>
  <r>
    <s v="FL250103"/>
    <x v="102"/>
    <x v="0"/>
    <x v="9"/>
    <x v="14"/>
    <x v="11"/>
    <x v="9"/>
    <n v="30"/>
    <s v="100"/>
    <n v="3"/>
    <s v="1"/>
    <x v="38"/>
    <x v="1"/>
    <s v="Completed"/>
    <n v="13"/>
    <x v="0"/>
    <x v="0"/>
  </r>
  <r>
    <s v="FL250104"/>
    <x v="103"/>
    <x v="0"/>
    <x v="24"/>
    <x v="6"/>
    <x v="5"/>
    <x v="0"/>
    <n v="2"/>
    <s v="$50"/>
    <n v="4.9000000000000004"/>
    <s v="yes"/>
    <x v="15"/>
    <x v="0"/>
    <s v="Inactive"/>
    <n v="2"/>
    <x v="1"/>
    <x v="4"/>
  </r>
  <r>
    <s v="FL250105"/>
    <x v="104"/>
    <x v="1"/>
    <x v="26"/>
    <x v="5"/>
    <x v="1"/>
    <x v="2"/>
    <n v="3"/>
    <s v="$30"/>
    <s v="Not Mentioned"/>
    <s v="no"/>
    <x v="39"/>
    <x v="1"/>
    <s v="Completed"/>
    <n v="2"/>
    <x v="1"/>
    <x v="6"/>
  </r>
  <r>
    <s v="FL250106"/>
    <x v="105"/>
    <x v="0"/>
    <x v="8"/>
    <x v="16"/>
    <x v="12"/>
    <x v="9"/>
    <n v="21"/>
    <s v="$40"/>
    <n v="2.5"/>
    <s v="0"/>
    <x v="7"/>
    <x v="2"/>
    <s v="Completed"/>
    <n v="13"/>
    <x v="0"/>
    <x v="5"/>
  </r>
  <r>
    <s v="FL250107"/>
    <x v="106"/>
    <x v="1"/>
    <x v="29"/>
    <x v="14"/>
    <x v="11"/>
    <x v="0"/>
    <n v="3"/>
    <s v="Not given"/>
    <n v="0"/>
    <s v="1"/>
    <x v="0"/>
    <x v="1"/>
    <s v="Completed"/>
    <n v="3"/>
    <x v="1"/>
    <x v="6"/>
  </r>
  <r>
    <s v="FL250108"/>
    <x v="107"/>
    <x v="0"/>
    <x v="30"/>
    <x v="4"/>
    <x v="4"/>
    <x v="1"/>
    <n v="19"/>
    <s v="40"/>
    <s v="Not Mentioned"/>
    <s v="1"/>
    <x v="29"/>
    <x v="0"/>
    <s v="Inactive"/>
    <n v="12"/>
    <x v="0"/>
    <x v="0"/>
  </r>
  <r>
    <s v="FL250109"/>
    <x v="108"/>
    <x v="0"/>
    <x v="27"/>
    <x v="5"/>
    <x v="1"/>
    <x v="3"/>
    <n v="0"/>
    <s v="20"/>
    <n v="4.7"/>
    <s v="Y"/>
    <x v="12"/>
    <x v="1"/>
    <s v="Active"/>
    <n v="2"/>
    <x v="1"/>
    <x v="3"/>
  </r>
  <r>
    <s v="FL250110"/>
    <x v="109"/>
    <x v="0"/>
    <x v="21"/>
    <x v="5"/>
    <x v="1"/>
    <x v="5"/>
    <n v="9"/>
    <s v="$30"/>
    <n v="3.5"/>
    <s v="Not Mentioned"/>
    <x v="40"/>
    <x v="3"/>
    <s v="On Hold"/>
    <n v="15"/>
    <x v="0"/>
    <x v="11"/>
  </r>
  <r>
    <s v="FL250111"/>
    <x v="110"/>
    <x v="1"/>
    <x v="35"/>
    <x v="8"/>
    <x v="6"/>
    <x v="7"/>
    <n v="5"/>
    <s v="30"/>
    <s v="Not Mentioned"/>
    <s v="N"/>
    <x v="41"/>
    <x v="2"/>
    <s v="Completed"/>
    <n v="3"/>
    <x v="1"/>
    <x v="4"/>
  </r>
  <r>
    <s v="FL250112"/>
    <x v="111"/>
    <x v="0"/>
    <x v="32"/>
    <x v="5"/>
    <x v="1"/>
    <x v="10"/>
    <n v="6"/>
    <s v="USD 50"/>
    <n v="3.4"/>
    <s v="1"/>
    <x v="0"/>
    <x v="2"/>
    <s v="Active"/>
    <n v="11"/>
    <x v="0"/>
    <x v="6"/>
  </r>
  <r>
    <s v="FL250113"/>
    <x v="112"/>
    <x v="0"/>
    <x v="36"/>
    <x v="8"/>
    <x v="6"/>
    <x v="10"/>
    <n v="6"/>
    <s v="USD 75"/>
    <n v="2.5"/>
    <s v="Not Mentioned"/>
    <x v="41"/>
    <x v="2"/>
    <s v="Completed"/>
    <n v="13"/>
    <x v="0"/>
    <x v="3"/>
  </r>
  <r>
    <s v="FL250114"/>
    <x v="113"/>
    <x v="1"/>
    <x v="37"/>
    <x v="6"/>
    <x v="5"/>
    <x v="1"/>
    <n v="3"/>
    <s v="$30"/>
    <n v="1.1000000000000001"/>
    <s v="TRUE"/>
    <x v="0"/>
    <x v="0"/>
    <s v="Inactive"/>
    <n v="2"/>
    <x v="1"/>
    <x v="3"/>
  </r>
  <r>
    <s v="FL250115"/>
    <x v="114"/>
    <x v="1"/>
    <x v="3"/>
    <x v="6"/>
    <x v="5"/>
    <x v="5"/>
    <n v="13"/>
    <s v="USD 20"/>
    <n v="4.8"/>
    <s v="Not Mentioned"/>
    <x v="0"/>
    <x v="2"/>
    <s v="Active"/>
    <n v="7"/>
    <x v="0"/>
    <x v="5"/>
  </r>
  <r>
    <s v="FL250116"/>
    <x v="115"/>
    <x v="0"/>
    <x v="32"/>
    <x v="20"/>
    <x v="6"/>
    <x v="5"/>
    <n v="5"/>
    <s v="$30"/>
    <s v="Not Mentioned"/>
    <s v="0"/>
    <x v="8"/>
    <x v="3"/>
    <s v="Inactive"/>
    <n v="3"/>
    <x v="1"/>
    <x v="3"/>
  </r>
  <r>
    <s v="FL250117"/>
    <x v="116"/>
    <x v="0"/>
    <x v="8"/>
    <x v="17"/>
    <x v="13"/>
    <x v="7"/>
    <n v="4"/>
    <s v="USD 40"/>
    <n v="3.4"/>
    <s v="1"/>
    <x v="15"/>
    <x v="0"/>
    <s v="Completed"/>
    <n v="1"/>
    <x v="1"/>
    <x v="6"/>
  </r>
  <r>
    <s v="FL250118"/>
    <x v="117"/>
    <x v="1"/>
    <x v="35"/>
    <x v="1"/>
    <x v="1"/>
    <x v="10"/>
    <n v="7"/>
    <s v="USD 20"/>
    <n v="3.2"/>
    <s v="1"/>
    <x v="20"/>
    <x v="3"/>
    <s v="Completed"/>
    <n v="9"/>
    <x v="0"/>
    <x v="4"/>
  </r>
  <r>
    <s v="FL250119"/>
    <x v="118"/>
    <x v="0"/>
    <x v="31"/>
    <x v="9"/>
    <x v="4"/>
    <x v="10"/>
    <n v="13"/>
    <s v="20"/>
    <n v="3.2"/>
    <s v="FALSE"/>
    <x v="0"/>
    <x v="1"/>
    <s v="Inactive"/>
    <n v="8"/>
    <x v="0"/>
    <x v="11"/>
  </r>
  <r>
    <s v="FL250120"/>
    <x v="119"/>
    <x v="1"/>
    <x v="22"/>
    <x v="13"/>
    <x v="10"/>
    <x v="6"/>
    <n v="4"/>
    <s v="30"/>
    <n v="0"/>
    <s v="Y"/>
    <x v="42"/>
    <x v="1"/>
    <s v="On Hold"/>
    <n v="5"/>
    <x v="1"/>
    <x v="4"/>
  </r>
  <r>
    <s v="FL250121"/>
    <x v="120"/>
    <x v="0"/>
    <x v="18"/>
    <x v="4"/>
    <x v="4"/>
    <x v="7"/>
    <n v="13"/>
    <s v="75"/>
    <s v="Not Mentioned"/>
    <s v="1"/>
    <x v="0"/>
    <x v="1"/>
    <s v="Inactive"/>
    <n v="14"/>
    <x v="0"/>
    <x v="6"/>
  </r>
  <r>
    <s v="FL250122"/>
    <x v="121"/>
    <x v="0"/>
    <x v="19"/>
    <x v="0"/>
    <x v="0"/>
    <x v="9"/>
    <n v="5"/>
    <s v="$40"/>
    <n v="3.7"/>
    <s v="FALSE"/>
    <x v="43"/>
    <x v="1"/>
    <s v="Completed"/>
    <n v="3"/>
    <x v="1"/>
    <x v="3"/>
  </r>
  <r>
    <s v="FL250123"/>
    <x v="122"/>
    <x v="1"/>
    <x v="36"/>
    <x v="15"/>
    <x v="1"/>
    <x v="10"/>
    <n v="15"/>
    <s v="USD 50"/>
    <n v="1"/>
    <s v="Y"/>
    <x v="37"/>
    <x v="3"/>
    <s v="Inactive"/>
    <n v="14"/>
    <x v="0"/>
    <x v="7"/>
  </r>
  <r>
    <s v="FL250124"/>
    <x v="123"/>
    <x v="0"/>
    <x v="35"/>
    <x v="19"/>
    <x v="15"/>
    <x v="7"/>
    <n v="8"/>
    <s v="$50"/>
    <n v="0"/>
    <s v="Not Mentioned"/>
    <x v="0"/>
    <x v="0"/>
    <s v="On Hold"/>
    <n v="14"/>
    <x v="0"/>
    <x v="0"/>
  </r>
  <r>
    <s v="FL250125"/>
    <x v="124"/>
    <x v="1"/>
    <x v="17"/>
    <x v="1"/>
    <x v="1"/>
    <x v="3"/>
    <n v="10"/>
    <s v="Not given"/>
    <n v="1.7"/>
    <s v="N"/>
    <x v="32"/>
    <x v="0"/>
    <s v="Inactive"/>
    <n v="7"/>
    <x v="0"/>
    <x v="11"/>
  </r>
  <r>
    <s v="FL250126"/>
    <x v="125"/>
    <x v="1"/>
    <x v="34"/>
    <x v="13"/>
    <x v="10"/>
    <x v="6"/>
    <n v="19"/>
    <s v="Not given"/>
    <n v="5"/>
    <s v="Y"/>
    <x v="4"/>
    <x v="2"/>
    <s v="On Hold"/>
    <n v="11"/>
    <x v="0"/>
    <x v="7"/>
  </r>
  <r>
    <s v="FL250127"/>
    <x v="126"/>
    <x v="1"/>
    <x v="37"/>
    <x v="12"/>
    <x v="9"/>
    <x v="1"/>
    <n v="10"/>
    <s v="$100"/>
    <n v="1.7"/>
    <s v="yes"/>
    <x v="37"/>
    <x v="3"/>
    <s v="On Hold"/>
    <n v="14"/>
    <x v="0"/>
    <x v="11"/>
  </r>
  <r>
    <s v="FL250128"/>
    <x v="127"/>
    <x v="1"/>
    <x v="28"/>
    <x v="17"/>
    <x v="13"/>
    <x v="2"/>
    <n v="8"/>
    <s v="40"/>
    <n v="4.4000000000000004"/>
    <s v="0"/>
    <x v="10"/>
    <x v="1"/>
    <s v="Inactive"/>
    <n v="15"/>
    <x v="0"/>
    <x v="7"/>
  </r>
  <r>
    <s v="FL250129"/>
    <x v="128"/>
    <x v="1"/>
    <x v="29"/>
    <x v="19"/>
    <x v="15"/>
    <x v="10"/>
    <n v="9"/>
    <s v="20"/>
    <n v="0"/>
    <s v="N"/>
    <x v="16"/>
    <x v="3"/>
    <s v="Inactive"/>
    <n v="15"/>
    <x v="0"/>
    <x v="1"/>
  </r>
  <r>
    <s v="FL250130"/>
    <x v="129"/>
    <x v="1"/>
    <x v="19"/>
    <x v="16"/>
    <x v="12"/>
    <x v="10"/>
    <n v="13"/>
    <s v="40"/>
    <n v="3.4"/>
    <s v="Not Mentioned"/>
    <x v="24"/>
    <x v="2"/>
    <s v="Active"/>
    <n v="7"/>
    <x v="0"/>
    <x v="4"/>
  </r>
  <r>
    <s v="FL250131"/>
    <x v="130"/>
    <x v="0"/>
    <x v="30"/>
    <x v="7"/>
    <x v="1"/>
    <x v="8"/>
    <n v="14"/>
    <s v="USD 100"/>
    <n v="1.1000000000000001"/>
    <s v="no"/>
    <x v="43"/>
    <x v="2"/>
    <s v="Completed"/>
    <n v="12"/>
    <x v="0"/>
    <x v="9"/>
  </r>
  <r>
    <s v="FL250132"/>
    <x v="131"/>
    <x v="0"/>
    <x v="8"/>
    <x v="16"/>
    <x v="12"/>
    <x v="10"/>
    <n v="0"/>
    <s v="50"/>
    <n v="1.6"/>
    <s v="N"/>
    <x v="12"/>
    <x v="3"/>
    <s v="On Hold"/>
    <n v="3"/>
    <x v="1"/>
    <x v="10"/>
  </r>
  <r>
    <s v="FL250133"/>
    <x v="132"/>
    <x v="1"/>
    <x v="9"/>
    <x v="11"/>
    <x v="8"/>
    <x v="3"/>
    <n v="22"/>
    <s v="100"/>
    <n v="4.0999999999999996"/>
    <s v="N"/>
    <x v="20"/>
    <x v="3"/>
    <s v="Active"/>
    <n v="17"/>
    <x v="0"/>
    <x v="0"/>
  </r>
  <r>
    <s v="FL250134"/>
    <x v="133"/>
    <x v="0"/>
    <x v="13"/>
    <x v="12"/>
    <x v="9"/>
    <x v="10"/>
    <n v="4"/>
    <s v="Not given"/>
    <n v="2.5"/>
    <s v="Not Mentioned"/>
    <x v="10"/>
    <x v="3"/>
    <s v="Inactive"/>
    <n v="2"/>
    <x v="1"/>
    <x v="3"/>
  </r>
  <r>
    <s v="FL250135"/>
    <x v="134"/>
    <x v="0"/>
    <x v="30"/>
    <x v="4"/>
    <x v="4"/>
    <x v="0"/>
    <n v="22"/>
    <s v="$100"/>
    <n v="4"/>
    <s v="Y"/>
    <x v="14"/>
    <x v="0"/>
    <s v="Completed"/>
    <n v="16"/>
    <x v="0"/>
    <x v="6"/>
  </r>
  <r>
    <s v="FL250136"/>
    <x v="135"/>
    <x v="1"/>
    <x v="23"/>
    <x v="18"/>
    <x v="14"/>
    <x v="8"/>
    <n v="39"/>
    <s v="75"/>
    <n v="1.4"/>
    <s v="no"/>
    <x v="10"/>
    <x v="1"/>
    <s v="Active"/>
    <n v="10"/>
    <x v="0"/>
    <x v="4"/>
  </r>
  <r>
    <s v="FL250137"/>
    <x v="136"/>
    <x v="0"/>
    <x v="4"/>
    <x v="7"/>
    <x v="1"/>
    <x v="8"/>
    <n v="5"/>
    <s v="USD 50"/>
    <s v="Not Mentioned"/>
    <s v="1"/>
    <x v="1"/>
    <x v="3"/>
    <s v="On Hold"/>
    <n v="1"/>
    <x v="1"/>
    <x v="4"/>
  </r>
  <r>
    <s v="FL250138"/>
    <x v="137"/>
    <x v="0"/>
    <x v="11"/>
    <x v="16"/>
    <x v="12"/>
    <x v="8"/>
    <n v="5"/>
    <s v="USD 40"/>
    <n v="1.2"/>
    <s v="0"/>
    <x v="44"/>
    <x v="3"/>
    <s v="Active"/>
    <n v="4"/>
    <x v="1"/>
    <x v="3"/>
  </r>
  <r>
    <s v="FL250139"/>
    <x v="138"/>
    <x v="1"/>
    <x v="5"/>
    <x v="20"/>
    <x v="6"/>
    <x v="7"/>
    <n v="5"/>
    <s v="50"/>
    <n v="0"/>
    <s v="N"/>
    <x v="0"/>
    <x v="3"/>
    <s v="On Hold"/>
    <n v="3"/>
    <x v="1"/>
    <x v="3"/>
  </r>
  <r>
    <s v="FL250140"/>
    <x v="139"/>
    <x v="1"/>
    <x v="28"/>
    <x v="2"/>
    <x v="2"/>
    <x v="8"/>
    <n v="11"/>
    <s v="50"/>
    <n v="3.1"/>
    <s v="FALSE"/>
    <x v="39"/>
    <x v="2"/>
    <s v="Inactive"/>
    <n v="14"/>
    <x v="0"/>
    <x v="4"/>
  </r>
  <r>
    <s v="FL250141"/>
    <x v="140"/>
    <x v="1"/>
    <x v="0"/>
    <x v="16"/>
    <x v="12"/>
    <x v="7"/>
    <n v="15"/>
    <s v="50"/>
    <n v="0"/>
    <s v="yes"/>
    <x v="22"/>
    <x v="2"/>
    <s v="Completed"/>
    <n v="10"/>
    <x v="0"/>
    <x v="9"/>
  </r>
  <r>
    <s v="FL250142"/>
    <x v="141"/>
    <x v="0"/>
    <x v="17"/>
    <x v="11"/>
    <x v="8"/>
    <x v="6"/>
    <n v="5"/>
    <s v="USD 20"/>
    <n v="2.2000000000000002"/>
    <s v="Y"/>
    <x v="25"/>
    <x v="0"/>
    <s v="Completed"/>
    <n v="3"/>
    <x v="1"/>
    <x v="4"/>
  </r>
  <r>
    <s v="FL250143"/>
    <x v="142"/>
    <x v="1"/>
    <x v="30"/>
    <x v="7"/>
    <x v="1"/>
    <x v="3"/>
    <n v="7"/>
    <s v="75"/>
    <n v="3"/>
    <s v="1"/>
    <x v="24"/>
    <x v="1"/>
    <s v="Completed"/>
    <n v="7"/>
    <x v="0"/>
    <x v="12"/>
  </r>
  <r>
    <s v="FL250144"/>
    <x v="143"/>
    <x v="1"/>
    <x v="21"/>
    <x v="7"/>
    <x v="1"/>
    <x v="8"/>
    <n v="9"/>
    <s v="$20"/>
    <n v="0"/>
    <s v="N"/>
    <x v="42"/>
    <x v="0"/>
    <s v="Inactive"/>
    <n v="14"/>
    <x v="0"/>
    <x v="0"/>
  </r>
  <r>
    <s v="FL250145"/>
    <x v="144"/>
    <x v="1"/>
    <x v="12"/>
    <x v="16"/>
    <x v="12"/>
    <x v="7"/>
    <n v="21"/>
    <s v="USD 100"/>
    <n v="0"/>
    <s v="TRUE"/>
    <x v="45"/>
    <x v="1"/>
    <s v="On Hold"/>
    <n v="18"/>
    <x v="0"/>
    <x v="14"/>
  </r>
  <r>
    <s v="FL250146"/>
    <x v="145"/>
    <x v="0"/>
    <x v="3"/>
    <x v="2"/>
    <x v="2"/>
    <x v="5"/>
    <n v="7"/>
    <s v="$40"/>
    <n v="1.4"/>
    <s v="FALSE"/>
    <x v="22"/>
    <x v="2"/>
    <s v="Inactive"/>
    <n v="9"/>
    <x v="0"/>
    <x v="13"/>
  </r>
  <r>
    <s v="FL250147"/>
    <x v="146"/>
    <x v="0"/>
    <x v="15"/>
    <x v="17"/>
    <x v="13"/>
    <x v="0"/>
    <n v="4"/>
    <s v="Not given"/>
    <n v="1.4"/>
    <s v="TRUE"/>
    <x v="26"/>
    <x v="2"/>
    <s v="Completed"/>
    <n v="5"/>
    <x v="1"/>
    <x v="3"/>
  </r>
  <r>
    <s v="FL250148"/>
    <x v="147"/>
    <x v="1"/>
    <x v="18"/>
    <x v="2"/>
    <x v="2"/>
    <x v="7"/>
    <n v="7"/>
    <s v="30"/>
    <n v="0"/>
    <s v="N"/>
    <x v="39"/>
    <x v="2"/>
    <s v="Inactive"/>
    <n v="7"/>
    <x v="0"/>
    <x v="10"/>
  </r>
  <r>
    <s v="FL250149"/>
    <x v="148"/>
    <x v="1"/>
    <x v="26"/>
    <x v="20"/>
    <x v="6"/>
    <x v="6"/>
    <n v="0"/>
    <s v="40"/>
    <n v="0"/>
    <s v="0"/>
    <x v="3"/>
    <x v="0"/>
    <s v="Inactive"/>
    <n v="1"/>
    <x v="1"/>
    <x v="10"/>
  </r>
  <r>
    <s v="FL250150"/>
    <x v="149"/>
    <x v="0"/>
    <x v="33"/>
    <x v="14"/>
    <x v="11"/>
    <x v="6"/>
    <n v="15"/>
    <s v="$40"/>
    <n v="2.9"/>
    <s v="FALSE"/>
    <x v="0"/>
    <x v="3"/>
    <s v="Inactive"/>
    <n v="6"/>
    <x v="0"/>
    <x v="12"/>
  </r>
  <r>
    <s v="FL250151"/>
    <x v="150"/>
    <x v="1"/>
    <x v="13"/>
    <x v="6"/>
    <x v="5"/>
    <x v="6"/>
    <n v="10"/>
    <s v="USD 40"/>
    <n v="0"/>
    <s v="Not Mentioned"/>
    <x v="0"/>
    <x v="3"/>
    <s v="On Hold"/>
    <n v="6"/>
    <x v="0"/>
    <x v="10"/>
  </r>
  <r>
    <s v="FL250152"/>
    <x v="151"/>
    <x v="1"/>
    <x v="22"/>
    <x v="21"/>
    <x v="6"/>
    <x v="6"/>
    <n v="11"/>
    <s v="20"/>
    <n v="2.7"/>
    <s v="no"/>
    <x v="9"/>
    <x v="2"/>
    <s v="Active"/>
    <n v="13"/>
    <x v="0"/>
    <x v="1"/>
  </r>
  <r>
    <s v="FL250153"/>
    <x v="152"/>
    <x v="0"/>
    <x v="7"/>
    <x v="8"/>
    <x v="6"/>
    <x v="1"/>
    <n v="12"/>
    <s v="100"/>
    <n v="1.8"/>
    <s v="1"/>
    <x v="0"/>
    <x v="3"/>
    <s v="Active"/>
    <n v="11"/>
    <x v="0"/>
    <x v="4"/>
  </r>
  <r>
    <s v="FL250154"/>
    <x v="153"/>
    <x v="0"/>
    <x v="2"/>
    <x v="10"/>
    <x v="7"/>
    <x v="9"/>
    <n v="20"/>
    <s v="$75"/>
    <n v="1.1000000000000001"/>
    <s v="no"/>
    <x v="2"/>
    <x v="3"/>
    <s v="Inactive"/>
    <n v="19"/>
    <x v="0"/>
    <x v="1"/>
  </r>
  <r>
    <s v="FL250155"/>
    <x v="154"/>
    <x v="1"/>
    <x v="19"/>
    <x v="13"/>
    <x v="10"/>
    <x v="9"/>
    <n v="29"/>
    <s v="$40"/>
    <n v="4.3"/>
    <s v="1"/>
    <x v="46"/>
    <x v="0"/>
    <s v="Active"/>
    <n v="11"/>
    <x v="0"/>
    <x v="12"/>
  </r>
  <r>
    <s v="FL250156"/>
    <x v="155"/>
    <x v="1"/>
    <x v="23"/>
    <x v="12"/>
    <x v="9"/>
    <x v="3"/>
    <n v="15"/>
    <s v="100"/>
    <n v="1.5"/>
    <s v="0"/>
    <x v="47"/>
    <x v="1"/>
    <s v="Active"/>
    <n v="8"/>
    <x v="0"/>
    <x v="15"/>
  </r>
  <r>
    <s v="FL250157"/>
    <x v="156"/>
    <x v="0"/>
    <x v="4"/>
    <x v="0"/>
    <x v="0"/>
    <x v="6"/>
    <n v="9"/>
    <s v="$20"/>
    <n v="2.2000000000000002"/>
    <s v="N"/>
    <x v="0"/>
    <x v="2"/>
    <s v="Inactive"/>
    <n v="12"/>
    <x v="0"/>
    <x v="7"/>
  </r>
  <r>
    <s v="FL250158"/>
    <x v="157"/>
    <x v="1"/>
    <x v="12"/>
    <x v="18"/>
    <x v="14"/>
    <x v="6"/>
    <s v="Not Mentioned"/>
    <s v="100"/>
    <n v="3.2"/>
    <s v="0"/>
    <x v="20"/>
    <x v="2"/>
    <s v="Inactive"/>
    <n v="4"/>
    <x v="1"/>
    <x v="3"/>
  </r>
  <r>
    <s v="FL250159"/>
    <x v="158"/>
    <x v="1"/>
    <x v="10"/>
    <x v="14"/>
    <x v="11"/>
    <x v="9"/>
    <n v="2"/>
    <s v="$50"/>
    <n v="1.9"/>
    <s v="FALSE"/>
    <x v="46"/>
    <x v="0"/>
    <s v="Completed"/>
    <n v="2"/>
    <x v="1"/>
    <x v="4"/>
  </r>
  <r>
    <s v="FL250160"/>
    <x v="159"/>
    <x v="0"/>
    <x v="38"/>
    <x v="21"/>
    <x v="6"/>
    <x v="2"/>
    <n v="0"/>
    <s v="40"/>
    <n v="2.5"/>
    <s v="0"/>
    <x v="28"/>
    <x v="0"/>
    <s v="Active"/>
    <n v="4"/>
    <x v="1"/>
    <x v="10"/>
  </r>
  <r>
    <s v="FL250161"/>
    <x v="160"/>
    <x v="0"/>
    <x v="19"/>
    <x v="4"/>
    <x v="4"/>
    <x v="7"/>
    <n v="12"/>
    <s v="40"/>
    <n v="4.5"/>
    <s v="no"/>
    <x v="20"/>
    <x v="3"/>
    <s v="On Hold"/>
    <n v="15"/>
    <x v="0"/>
    <x v="5"/>
  </r>
  <r>
    <s v="FL250162"/>
    <x v="161"/>
    <x v="1"/>
    <x v="13"/>
    <x v="8"/>
    <x v="6"/>
    <x v="6"/>
    <n v="12"/>
    <s v="$30"/>
    <n v="4.0999999999999996"/>
    <s v="no"/>
    <x v="15"/>
    <x v="2"/>
    <s v="Inactive"/>
    <n v="15"/>
    <x v="0"/>
    <x v="13"/>
  </r>
  <r>
    <s v="FL250163"/>
    <x v="162"/>
    <x v="1"/>
    <x v="12"/>
    <x v="4"/>
    <x v="4"/>
    <x v="9"/>
    <n v="15"/>
    <s v="USD 75"/>
    <n v="0"/>
    <s v="no"/>
    <x v="0"/>
    <x v="1"/>
    <s v="Completed"/>
    <n v="9"/>
    <x v="0"/>
    <x v="11"/>
  </r>
  <r>
    <s v="FL250164"/>
    <x v="163"/>
    <x v="1"/>
    <x v="3"/>
    <x v="7"/>
    <x v="1"/>
    <x v="9"/>
    <n v="29"/>
    <s v="USD 75"/>
    <s v="Not Mentioned"/>
    <s v="0"/>
    <x v="25"/>
    <x v="0"/>
    <s v="On Hold"/>
    <n v="19"/>
    <x v="0"/>
    <x v="1"/>
  </r>
  <r>
    <s v="FL250165"/>
    <x v="164"/>
    <x v="1"/>
    <x v="12"/>
    <x v="10"/>
    <x v="7"/>
    <x v="8"/>
    <n v="15"/>
    <s v="40"/>
    <n v="3.7"/>
    <s v="Not Mentioned"/>
    <x v="41"/>
    <x v="1"/>
    <s v="Active"/>
    <n v="14"/>
    <x v="0"/>
    <x v="11"/>
  </r>
  <r>
    <s v="FL250166"/>
    <x v="165"/>
    <x v="0"/>
    <x v="28"/>
    <x v="18"/>
    <x v="14"/>
    <x v="3"/>
    <s v="Not Mentioned"/>
    <s v="USD 75"/>
    <n v="1.3"/>
    <s v="1"/>
    <x v="16"/>
    <x v="1"/>
    <s v="Completed"/>
    <n v="1"/>
    <x v="1"/>
    <x v="3"/>
  </r>
  <r>
    <s v="FL250167"/>
    <x v="166"/>
    <x v="1"/>
    <x v="23"/>
    <x v="13"/>
    <x v="10"/>
    <x v="1"/>
    <n v="33"/>
    <s v="40"/>
    <n v="3.6"/>
    <s v="1"/>
    <x v="13"/>
    <x v="2"/>
    <s v="Inactive"/>
    <n v="13"/>
    <x v="0"/>
    <x v="5"/>
  </r>
  <r>
    <s v="FL250168"/>
    <x v="167"/>
    <x v="0"/>
    <x v="28"/>
    <x v="15"/>
    <x v="1"/>
    <x v="3"/>
    <n v="10"/>
    <s v="75"/>
    <n v="0"/>
    <s v="no"/>
    <x v="10"/>
    <x v="2"/>
    <s v="On Hold"/>
    <n v="11"/>
    <x v="0"/>
    <x v="11"/>
  </r>
  <r>
    <s v="FL250169"/>
    <x v="168"/>
    <x v="1"/>
    <x v="23"/>
    <x v="8"/>
    <x v="6"/>
    <x v="8"/>
    <n v="20"/>
    <s v="40"/>
    <n v="1.4"/>
    <s v="no"/>
    <x v="48"/>
    <x v="0"/>
    <s v="Inactive"/>
    <n v="18"/>
    <x v="0"/>
    <x v="16"/>
  </r>
  <r>
    <s v="FL250170"/>
    <x v="169"/>
    <x v="1"/>
    <x v="21"/>
    <x v="16"/>
    <x v="12"/>
    <x v="9"/>
    <n v="23"/>
    <s v="20"/>
    <n v="2.9"/>
    <s v="N"/>
    <x v="29"/>
    <x v="2"/>
    <s v="Active"/>
    <n v="19"/>
    <x v="0"/>
    <x v="7"/>
  </r>
  <r>
    <s v="FL250171"/>
    <x v="170"/>
    <x v="0"/>
    <x v="13"/>
    <x v="3"/>
    <x v="3"/>
    <x v="0"/>
    <s v="Not Mentioned"/>
    <s v="40"/>
    <n v="2.8"/>
    <s v="N"/>
    <x v="25"/>
    <x v="2"/>
    <s v="On Hold"/>
    <n v="4"/>
    <x v="1"/>
    <x v="3"/>
  </r>
  <r>
    <s v="FL250172"/>
    <x v="171"/>
    <x v="1"/>
    <x v="17"/>
    <x v="10"/>
    <x v="7"/>
    <x v="7"/>
    <n v="0"/>
    <s v="20"/>
    <n v="1.7"/>
    <s v="0"/>
    <x v="49"/>
    <x v="2"/>
    <s v="Active"/>
    <n v="1"/>
    <x v="1"/>
    <x v="4"/>
  </r>
  <r>
    <s v="FL250173"/>
    <x v="172"/>
    <x v="0"/>
    <x v="10"/>
    <x v="3"/>
    <x v="3"/>
    <x v="2"/>
    <n v="7"/>
    <s v="USD 40"/>
    <n v="0"/>
    <s v="1"/>
    <x v="0"/>
    <x v="1"/>
    <s v="Active"/>
    <n v="14"/>
    <x v="0"/>
    <x v="7"/>
  </r>
  <r>
    <s v="FL250174"/>
    <x v="173"/>
    <x v="1"/>
    <x v="28"/>
    <x v="7"/>
    <x v="1"/>
    <x v="6"/>
    <n v="4"/>
    <s v="USD 75"/>
    <n v="1.1000000000000001"/>
    <s v="TRUE"/>
    <x v="37"/>
    <x v="0"/>
    <s v="Completed"/>
    <n v="4"/>
    <x v="1"/>
    <x v="10"/>
  </r>
  <r>
    <s v="FL250175"/>
    <x v="174"/>
    <x v="1"/>
    <x v="22"/>
    <x v="12"/>
    <x v="9"/>
    <x v="7"/>
    <n v="9"/>
    <s v="20"/>
    <s v="Not Mentioned"/>
    <s v="Not Mentioned"/>
    <x v="15"/>
    <x v="3"/>
    <s v="Inactive"/>
    <n v="11"/>
    <x v="0"/>
    <x v="7"/>
  </r>
  <r>
    <s v="FL250176"/>
    <x v="175"/>
    <x v="0"/>
    <x v="8"/>
    <x v="1"/>
    <x v="1"/>
    <x v="2"/>
    <n v="17"/>
    <s v="20"/>
    <n v="3.6"/>
    <s v="0"/>
    <x v="23"/>
    <x v="1"/>
    <s v="On Hold"/>
    <n v="10"/>
    <x v="0"/>
    <x v="6"/>
  </r>
  <r>
    <s v="FL250177"/>
    <x v="176"/>
    <x v="1"/>
    <x v="19"/>
    <x v="11"/>
    <x v="8"/>
    <x v="9"/>
    <n v="8"/>
    <s v="20"/>
    <n v="4.5"/>
    <s v="1"/>
    <x v="29"/>
    <x v="2"/>
    <s v="Active"/>
    <n v="12"/>
    <x v="0"/>
    <x v="5"/>
  </r>
  <r>
    <s v="FL250178"/>
    <x v="177"/>
    <x v="1"/>
    <x v="19"/>
    <x v="18"/>
    <x v="14"/>
    <x v="5"/>
    <n v="14"/>
    <s v="$30"/>
    <n v="0"/>
    <s v="TRUE"/>
    <x v="8"/>
    <x v="1"/>
    <s v="Active"/>
    <n v="14"/>
    <x v="0"/>
    <x v="4"/>
  </r>
  <r>
    <s v="FL250179"/>
    <x v="178"/>
    <x v="0"/>
    <x v="30"/>
    <x v="16"/>
    <x v="12"/>
    <x v="2"/>
    <n v="21"/>
    <s v="USD 30"/>
    <n v="1.5"/>
    <s v="1"/>
    <x v="38"/>
    <x v="2"/>
    <s v="On Hold"/>
    <n v="15"/>
    <x v="0"/>
    <x v="16"/>
  </r>
  <r>
    <s v="FL250180"/>
    <x v="179"/>
    <x v="1"/>
    <x v="39"/>
    <x v="6"/>
    <x v="5"/>
    <x v="10"/>
    <n v="1"/>
    <s v="$30"/>
    <n v="3.7"/>
    <s v="no"/>
    <x v="46"/>
    <x v="2"/>
    <s v="Active"/>
    <n v="3"/>
    <x v="1"/>
    <x v="3"/>
  </r>
  <r>
    <s v="FL250181"/>
    <x v="180"/>
    <x v="0"/>
    <x v="28"/>
    <x v="8"/>
    <x v="6"/>
    <x v="1"/>
    <n v="12"/>
    <s v="20"/>
    <n v="2.2999999999999998"/>
    <s v="FALSE"/>
    <x v="3"/>
    <x v="1"/>
    <s v="Completed"/>
    <n v="11"/>
    <x v="0"/>
    <x v="0"/>
  </r>
  <r>
    <s v="FL250182"/>
    <x v="181"/>
    <x v="0"/>
    <x v="38"/>
    <x v="20"/>
    <x v="6"/>
    <x v="2"/>
    <n v="2"/>
    <s v="$20"/>
    <n v="2.8"/>
    <s v="0"/>
    <x v="50"/>
    <x v="0"/>
    <s v="Completed"/>
    <n v="5"/>
    <x v="1"/>
    <x v="3"/>
  </r>
  <r>
    <s v="FL250183"/>
    <x v="182"/>
    <x v="1"/>
    <x v="2"/>
    <x v="10"/>
    <x v="7"/>
    <x v="3"/>
    <n v="3"/>
    <s v="30"/>
    <n v="3.5"/>
    <s v="no"/>
    <x v="36"/>
    <x v="2"/>
    <s v="Completed"/>
    <n v="3"/>
    <x v="1"/>
    <x v="3"/>
  </r>
  <r>
    <s v="FL250184"/>
    <x v="183"/>
    <x v="0"/>
    <x v="31"/>
    <x v="2"/>
    <x v="2"/>
    <x v="7"/>
    <n v="11"/>
    <s v="Not given"/>
    <n v="0"/>
    <s v="yes"/>
    <x v="16"/>
    <x v="0"/>
    <s v="Completed"/>
    <n v="12"/>
    <x v="0"/>
    <x v="1"/>
  </r>
  <r>
    <s v="FL250185"/>
    <x v="184"/>
    <x v="0"/>
    <x v="28"/>
    <x v="1"/>
    <x v="1"/>
    <x v="3"/>
    <n v="4"/>
    <s v="40"/>
    <n v="3.2"/>
    <s v="1"/>
    <x v="50"/>
    <x v="3"/>
    <s v="Active"/>
    <n v="4"/>
    <x v="1"/>
    <x v="3"/>
  </r>
  <r>
    <s v="FL250186"/>
    <x v="185"/>
    <x v="1"/>
    <x v="20"/>
    <x v="21"/>
    <x v="6"/>
    <x v="10"/>
    <n v="21"/>
    <s v="50"/>
    <n v="3.3"/>
    <s v="Y"/>
    <x v="16"/>
    <x v="2"/>
    <s v="On Hold"/>
    <n v="20"/>
    <x v="0"/>
    <x v="6"/>
  </r>
  <r>
    <s v="FL250187"/>
    <x v="186"/>
    <x v="1"/>
    <x v="15"/>
    <x v="6"/>
    <x v="5"/>
    <x v="3"/>
    <n v="0"/>
    <s v="$20"/>
    <n v="4.9000000000000004"/>
    <s v="Not Mentioned"/>
    <x v="0"/>
    <x v="0"/>
    <s v="On Hold"/>
    <n v="2"/>
    <x v="1"/>
    <x v="6"/>
  </r>
  <r>
    <s v="FL250188"/>
    <x v="187"/>
    <x v="1"/>
    <x v="9"/>
    <x v="20"/>
    <x v="6"/>
    <x v="6"/>
    <n v="6"/>
    <s v="30"/>
    <n v="2.2000000000000002"/>
    <s v="1"/>
    <x v="46"/>
    <x v="0"/>
    <s v="On Hold"/>
    <n v="13"/>
    <x v="0"/>
    <x v="10"/>
  </r>
  <r>
    <s v="FL250189"/>
    <x v="188"/>
    <x v="1"/>
    <x v="36"/>
    <x v="12"/>
    <x v="9"/>
    <x v="10"/>
    <n v="18"/>
    <s v="USD 40"/>
    <s v="Not Mentioned"/>
    <s v="1"/>
    <x v="39"/>
    <x v="3"/>
    <s v="On Hold"/>
    <n v="14"/>
    <x v="0"/>
    <x v="10"/>
  </r>
  <r>
    <s v="FL250190"/>
    <x v="189"/>
    <x v="0"/>
    <x v="34"/>
    <x v="20"/>
    <x v="6"/>
    <x v="2"/>
    <s v="Not Mentioned"/>
    <s v="Not given"/>
    <n v="1.8"/>
    <s v="0"/>
    <x v="0"/>
    <x v="0"/>
    <s v="Inactive"/>
    <n v="5"/>
    <x v="1"/>
    <x v="7"/>
  </r>
  <r>
    <s v="FL250191"/>
    <x v="190"/>
    <x v="1"/>
    <x v="24"/>
    <x v="13"/>
    <x v="10"/>
    <x v="2"/>
    <n v="1"/>
    <s v="75"/>
    <n v="4.5999999999999996"/>
    <s v="0"/>
    <x v="41"/>
    <x v="0"/>
    <s v="On Hold"/>
    <n v="2"/>
    <x v="1"/>
    <x v="3"/>
  </r>
  <r>
    <s v="FL250192"/>
    <x v="191"/>
    <x v="1"/>
    <x v="29"/>
    <x v="1"/>
    <x v="1"/>
    <x v="2"/>
    <n v="20"/>
    <s v="75"/>
    <n v="2.8"/>
    <s v="no"/>
    <x v="14"/>
    <x v="3"/>
    <s v="Inactive"/>
    <n v="13"/>
    <x v="0"/>
    <x v="3"/>
  </r>
  <r>
    <s v="FL250193"/>
    <x v="89"/>
    <x v="1"/>
    <x v="20"/>
    <x v="0"/>
    <x v="0"/>
    <x v="9"/>
    <s v="Not Mentioned"/>
    <s v="$30"/>
    <n v="1.4"/>
    <s v="FALSE"/>
    <x v="26"/>
    <x v="2"/>
    <s v="Inactive"/>
    <n v="2"/>
    <x v="1"/>
    <x v="6"/>
  </r>
  <r>
    <s v="FL250194"/>
    <x v="192"/>
    <x v="0"/>
    <x v="29"/>
    <x v="14"/>
    <x v="11"/>
    <x v="0"/>
    <n v="25"/>
    <s v="$30"/>
    <n v="4.2"/>
    <s v="Y"/>
    <x v="2"/>
    <x v="0"/>
    <s v="Completed"/>
    <n v="11"/>
    <x v="0"/>
    <x v="14"/>
  </r>
  <r>
    <s v="FL250195"/>
    <x v="193"/>
    <x v="0"/>
    <x v="9"/>
    <x v="18"/>
    <x v="14"/>
    <x v="2"/>
    <n v="20"/>
    <s v="USD 40"/>
    <n v="3.6"/>
    <s v="1"/>
    <x v="19"/>
    <x v="0"/>
    <s v="Inactive"/>
    <n v="17"/>
    <x v="0"/>
    <x v="10"/>
  </r>
  <r>
    <s v="FL250196"/>
    <x v="194"/>
    <x v="1"/>
    <x v="0"/>
    <x v="4"/>
    <x v="4"/>
    <x v="3"/>
    <n v="33"/>
    <s v="$100"/>
    <n v="1.6"/>
    <s v="Not Mentioned"/>
    <x v="49"/>
    <x v="0"/>
    <s v="Active"/>
    <n v="14"/>
    <x v="0"/>
    <x v="16"/>
  </r>
  <r>
    <s v="FL250197"/>
    <x v="195"/>
    <x v="1"/>
    <x v="17"/>
    <x v="3"/>
    <x v="3"/>
    <x v="6"/>
    <n v="6"/>
    <s v="$100"/>
    <n v="2"/>
    <s v="no"/>
    <x v="0"/>
    <x v="1"/>
    <s v="Inactive"/>
    <n v="13"/>
    <x v="0"/>
    <x v="3"/>
  </r>
  <r>
    <s v="FL250198"/>
    <x v="196"/>
    <x v="1"/>
    <x v="32"/>
    <x v="16"/>
    <x v="12"/>
    <x v="10"/>
    <n v="11"/>
    <s v="40"/>
    <n v="4.3"/>
    <s v="TRUE"/>
    <x v="8"/>
    <x v="3"/>
    <s v="Completed"/>
    <n v="9"/>
    <x v="0"/>
    <x v="10"/>
  </r>
  <r>
    <s v="FL250199"/>
    <x v="197"/>
    <x v="0"/>
    <x v="9"/>
    <x v="11"/>
    <x v="8"/>
    <x v="2"/>
    <n v="28"/>
    <s v="$100"/>
    <n v="4.9000000000000004"/>
    <s v="Y"/>
    <x v="8"/>
    <x v="1"/>
    <s v="Inactive"/>
    <n v="12"/>
    <x v="0"/>
    <x v="4"/>
  </r>
  <r>
    <s v="FL250200"/>
    <x v="198"/>
    <x v="0"/>
    <x v="11"/>
    <x v="8"/>
    <x v="6"/>
    <x v="6"/>
    <n v="11"/>
    <s v="100"/>
    <n v="3.5"/>
    <s v="Y"/>
    <x v="42"/>
    <x v="3"/>
    <s v="Active"/>
    <n v="12"/>
    <x v="0"/>
    <x v="10"/>
  </r>
  <r>
    <s v="FL250201"/>
    <x v="199"/>
    <x v="0"/>
    <x v="26"/>
    <x v="21"/>
    <x v="6"/>
    <x v="5"/>
    <n v="2"/>
    <s v="100"/>
    <n v="2.5"/>
    <s v="no"/>
    <x v="48"/>
    <x v="2"/>
    <s v="Active"/>
    <n v="1"/>
    <x v="1"/>
    <x v="3"/>
  </r>
  <r>
    <s v="FL250202"/>
    <x v="200"/>
    <x v="0"/>
    <x v="7"/>
    <x v="19"/>
    <x v="15"/>
    <x v="10"/>
    <n v="7"/>
    <s v="100"/>
    <n v="1.7"/>
    <s v="1"/>
    <x v="25"/>
    <x v="2"/>
    <s v="Active"/>
    <n v="14"/>
    <x v="0"/>
    <x v="6"/>
  </r>
  <r>
    <s v="FL250203"/>
    <x v="201"/>
    <x v="1"/>
    <x v="10"/>
    <x v="0"/>
    <x v="0"/>
    <x v="9"/>
    <n v="10"/>
    <s v="USD 100"/>
    <n v="4.5999999999999996"/>
    <s v="Y"/>
    <x v="2"/>
    <x v="0"/>
    <s v="Completed"/>
    <n v="15"/>
    <x v="0"/>
    <x v="5"/>
  </r>
  <r>
    <s v="FL250204"/>
    <x v="202"/>
    <x v="1"/>
    <x v="4"/>
    <x v="14"/>
    <x v="11"/>
    <x v="1"/>
    <n v="6"/>
    <s v="50"/>
    <s v="Not Mentioned"/>
    <s v="N"/>
    <x v="7"/>
    <x v="3"/>
    <s v="Completed"/>
    <n v="6"/>
    <x v="0"/>
    <x v="11"/>
  </r>
  <r>
    <s v="FL250205"/>
    <x v="203"/>
    <x v="1"/>
    <x v="15"/>
    <x v="0"/>
    <x v="0"/>
    <x v="9"/>
    <n v="29"/>
    <s v="$30"/>
    <n v="1.7"/>
    <s v="0"/>
    <x v="51"/>
    <x v="2"/>
    <s v="On Hold"/>
    <n v="19"/>
    <x v="0"/>
    <x v="10"/>
  </r>
  <r>
    <s v="FL250206"/>
    <x v="204"/>
    <x v="0"/>
    <x v="24"/>
    <x v="17"/>
    <x v="13"/>
    <x v="2"/>
    <n v="0"/>
    <s v="20"/>
    <n v="1.8"/>
    <s v="N"/>
    <x v="52"/>
    <x v="3"/>
    <s v="Completed"/>
    <n v="4"/>
    <x v="1"/>
    <x v="3"/>
  </r>
  <r>
    <s v="FL250207"/>
    <x v="205"/>
    <x v="1"/>
    <x v="21"/>
    <x v="15"/>
    <x v="1"/>
    <x v="7"/>
    <n v="5"/>
    <s v="20"/>
    <n v="2.2000000000000002"/>
    <s v="FALSE"/>
    <x v="14"/>
    <x v="2"/>
    <s v="Active"/>
    <n v="1"/>
    <x v="1"/>
    <x v="7"/>
  </r>
  <r>
    <s v="FL250208"/>
    <x v="206"/>
    <x v="0"/>
    <x v="37"/>
    <x v="21"/>
    <x v="6"/>
    <x v="0"/>
    <n v="11"/>
    <s v="40"/>
    <n v="1"/>
    <s v="N"/>
    <x v="3"/>
    <x v="1"/>
    <s v="Active"/>
    <n v="11"/>
    <x v="0"/>
    <x v="3"/>
  </r>
  <r>
    <s v="FL250209"/>
    <x v="207"/>
    <x v="1"/>
    <x v="18"/>
    <x v="19"/>
    <x v="15"/>
    <x v="10"/>
    <n v="11"/>
    <s v="$75"/>
    <n v="3.2"/>
    <s v="0"/>
    <x v="43"/>
    <x v="2"/>
    <s v="Completed"/>
    <n v="10"/>
    <x v="0"/>
    <x v="4"/>
  </r>
  <r>
    <s v="FL250210"/>
    <x v="208"/>
    <x v="0"/>
    <x v="19"/>
    <x v="2"/>
    <x v="2"/>
    <x v="6"/>
    <n v="15"/>
    <s v="40"/>
    <n v="2.1"/>
    <s v="yes"/>
    <x v="5"/>
    <x v="1"/>
    <s v="Inactive"/>
    <n v="8"/>
    <x v="0"/>
    <x v="5"/>
  </r>
  <r>
    <s v="FL250211"/>
    <x v="209"/>
    <x v="0"/>
    <x v="4"/>
    <x v="15"/>
    <x v="1"/>
    <x v="1"/>
    <n v="1"/>
    <s v="USD 50"/>
    <n v="4.5999999999999996"/>
    <s v="TRUE"/>
    <x v="30"/>
    <x v="2"/>
    <s v="Completed"/>
    <n v="4"/>
    <x v="1"/>
    <x v="10"/>
  </r>
  <r>
    <s v="FL250212"/>
    <x v="210"/>
    <x v="1"/>
    <x v="8"/>
    <x v="13"/>
    <x v="10"/>
    <x v="8"/>
    <n v="8"/>
    <s v="$20"/>
    <n v="0"/>
    <s v="yes"/>
    <x v="1"/>
    <x v="0"/>
    <s v="Completed"/>
    <n v="8"/>
    <x v="0"/>
    <x v="7"/>
  </r>
  <r>
    <s v="FL250213"/>
    <x v="211"/>
    <x v="1"/>
    <x v="0"/>
    <x v="0"/>
    <x v="0"/>
    <x v="10"/>
    <n v="30"/>
    <s v="$20"/>
    <n v="2.8"/>
    <s v="no"/>
    <x v="13"/>
    <x v="1"/>
    <s v="Active"/>
    <n v="12"/>
    <x v="0"/>
    <x v="7"/>
  </r>
  <r>
    <s v="FL250214"/>
    <x v="212"/>
    <x v="1"/>
    <x v="13"/>
    <x v="2"/>
    <x v="2"/>
    <x v="0"/>
    <n v="8"/>
    <s v="$40"/>
    <n v="0"/>
    <s v="N"/>
    <x v="37"/>
    <x v="2"/>
    <s v="On Hold"/>
    <n v="14"/>
    <x v="0"/>
    <x v="6"/>
  </r>
  <r>
    <s v="FL250215"/>
    <x v="213"/>
    <x v="0"/>
    <x v="16"/>
    <x v="4"/>
    <x v="4"/>
    <x v="10"/>
    <n v="0"/>
    <s v="100"/>
    <n v="2.7"/>
    <s v="TRUE"/>
    <x v="37"/>
    <x v="0"/>
    <s v="Active"/>
    <n v="1"/>
    <x v="1"/>
    <x v="3"/>
  </r>
  <r>
    <s v="FL250216"/>
    <x v="214"/>
    <x v="1"/>
    <x v="13"/>
    <x v="11"/>
    <x v="8"/>
    <x v="10"/>
    <n v="12"/>
    <s v="$20"/>
    <n v="0"/>
    <s v="TRUE"/>
    <x v="25"/>
    <x v="1"/>
    <s v="On Hold"/>
    <n v="8"/>
    <x v="0"/>
    <x v="14"/>
  </r>
  <r>
    <s v="FL250217"/>
    <x v="215"/>
    <x v="0"/>
    <x v="29"/>
    <x v="21"/>
    <x v="6"/>
    <x v="1"/>
    <n v="4"/>
    <s v="$50"/>
    <n v="3.1"/>
    <s v="0"/>
    <x v="3"/>
    <x v="0"/>
    <s v="Active"/>
    <n v="2"/>
    <x v="1"/>
    <x v="3"/>
  </r>
  <r>
    <s v="FL250218"/>
    <x v="216"/>
    <x v="1"/>
    <x v="11"/>
    <x v="13"/>
    <x v="10"/>
    <x v="3"/>
    <n v="14"/>
    <s v="USD 100"/>
    <n v="0"/>
    <s v="Y"/>
    <x v="41"/>
    <x v="3"/>
    <s v="Completed"/>
    <n v="7"/>
    <x v="0"/>
    <x v="11"/>
  </r>
  <r>
    <s v="FL250219"/>
    <x v="217"/>
    <x v="1"/>
    <x v="32"/>
    <x v="4"/>
    <x v="4"/>
    <x v="2"/>
    <n v="14"/>
    <s v="Not given"/>
    <s v="Not Mentioned"/>
    <s v="0"/>
    <x v="32"/>
    <x v="3"/>
    <s v="Active"/>
    <n v="14"/>
    <x v="0"/>
    <x v="4"/>
  </r>
  <r>
    <s v="FL250220"/>
    <x v="218"/>
    <x v="1"/>
    <x v="33"/>
    <x v="15"/>
    <x v="1"/>
    <x v="7"/>
    <n v="2"/>
    <s v="$30"/>
    <n v="2.2999999999999998"/>
    <s v="yes"/>
    <x v="0"/>
    <x v="1"/>
    <s v="Active"/>
    <n v="4"/>
    <x v="1"/>
    <x v="6"/>
  </r>
  <r>
    <s v="FL250221"/>
    <x v="219"/>
    <x v="0"/>
    <x v="24"/>
    <x v="19"/>
    <x v="15"/>
    <x v="8"/>
    <n v="2"/>
    <s v="100"/>
    <n v="2.4"/>
    <s v="Y"/>
    <x v="0"/>
    <x v="2"/>
    <s v="Active"/>
    <n v="3"/>
    <x v="1"/>
    <x v="3"/>
  </r>
  <r>
    <s v="FL250222"/>
    <x v="220"/>
    <x v="1"/>
    <x v="20"/>
    <x v="13"/>
    <x v="10"/>
    <x v="10"/>
    <n v="4"/>
    <s v="75"/>
    <n v="2.6"/>
    <s v="Not Mentioned"/>
    <x v="27"/>
    <x v="1"/>
    <s v="Completed"/>
    <n v="4"/>
    <x v="1"/>
    <x v="3"/>
  </r>
  <r>
    <s v="FL250223"/>
    <x v="221"/>
    <x v="0"/>
    <x v="24"/>
    <x v="15"/>
    <x v="1"/>
    <x v="5"/>
    <n v="0"/>
    <s v="USD 40"/>
    <n v="1.1000000000000001"/>
    <s v="0"/>
    <x v="28"/>
    <x v="0"/>
    <s v="Completed"/>
    <n v="5"/>
    <x v="1"/>
    <x v="10"/>
  </r>
  <r>
    <s v="FL250224"/>
    <x v="222"/>
    <x v="0"/>
    <x v="29"/>
    <x v="19"/>
    <x v="15"/>
    <x v="10"/>
    <n v="9"/>
    <s v="30"/>
    <n v="0"/>
    <s v="1"/>
    <x v="16"/>
    <x v="2"/>
    <s v="Completed"/>
    <n v="15"/>
    <x v="0"/>
    <x v="0"/>
  </r>
  <r>
    <s v="FL250225"/>
    <x v="223"/>
    <x v="1"/>
    <x v="23"/>
    <x v="15"/>
    <x v="1"/>
    <x v="10"/>
    <n v="3"/>
    <s v="40"/>
    <n v="4.7"/>
    <s v="FALSE"/>
    <x v="23"/>
    <x v="3"/>
    <s v="Completed"/>
    <n v="1"/>
    <x v="1"/>
    <x v="7"/>
  </r>
  <r>
    <s v="FL250226"/>
    <x v="224"/>
    <x v="1"/>
    <x v="35"/>
    <x v="18"/>
    <x v="14"/>
    <x v="3"/>
    <n v="2"/>
    <s v="$40"/>
    <n v="1.2"/>
    <s v="FALSE"/>
    <x v="0"/>
    <x v="2"/>
    <s v="On Hold"/>
    <n v="1"/>
    <x v="1"/>
    <x v="3"/>
  </r>
  <r>
    <s v="FL250227"/>
    <x v="225"/>
    <x v="0"/>
    <x v="22"/>
    <x v="2"/>
    <x v="2"/>
    <x v="10"/>
    <n v="10"/>
    <s v="USD 40"/>
    <n v="1.2"/>
    <s v="FALSE"/>
    <x v="50"/>
    <x v="3"/>
    <s v="On Hold"/>
    <n v="7"/>
    <x v="0"/>
    <x v="0"/>
  </r>
  <r>
    <s v="FL250228"/>
    <x v="226"/>
    <x v="0"/>
    <x v="15"/>
    <x v="15"/>
    <x v="1"/>
    <x v="2"/>
    <n v="33"/>
    <s v="$75"/>
    <n v="0"/>
    <s v="1"/>
    <x v="20"/>
    <x v="2"/>
    <s v="Inactive"/>
    <n v="18"/>
    <x v="0"/>
    <x v="11"/>
  </r>
  <r>
    <s v="FL250229"/>
    <x v="227"/>
    <x v="1"/>
    <x v="0"/>
    <x v="20"/>
    <x v="6"/>
    <x v="10"/>
    <n v="12"/>
    <s v="40"/>
    <n v="1.2"/>
    <s v="0"/>
    <x v="6"/>
    <x v="2"/>
    <s v="Completed"/>
    <n v="14"/>
    <x v="0"/>
    <x v="4"/>
  </r>
  <r>
    <s v="FL250230"/>
    <x v="228"/>
    <x v="0"/>
    <x v="7"/>
    <x v="4"/>
    <x v="4"/>
    <x v="0"/>
    <n v="18"/>
    <s v="100"/>
    <n v="2.9"/>
    <s v="0"/>
    <x v="53"/>
    <x v="2"/>
    <s v="On Hold"/>
    <n v="12"/>
    <x v="0"/>
    <x v="11"/>
  </r>
  <r>
    <s v="FL250231"/>
    <x v="229"/>
    <x v="1"/>
    <x v="33"/>
    <x v="12"/>
    <x v="9"/>
    <x v="0"/>
    <n v="4"/>
    <s v="Not given"/>
    <s v="Not Mentioned"/>
    <s v="N"/>
    <x v="0"/>
    <x v="0"/>
    <s v="Active"/>
    <n v="3"/>
    <x v="1"/>
    <x v="10"/>
  </r>
  <r>
    <s v="FL250232"/>
    <x v="230"/>
    <x v="0"/>
    <x v="17"/>
    <x v="17"/>
    <x v="13"/>
    <x v="6"/>
    <n v="11"/>
    <s v="$50"/>
    <n v="3.9"/>
    <s v="1"/>
    <x v="42"/>
    <x v="0"/>
    <s v="Completed"/>
    <n v="13"/>
    <x v="0"/>
    <x v="10"/>
  </r>
  <r>
    <s v="FL250233"/>
    <x v="231"/>
    <x v="1"/>
    <x v="38"/>
    <x v="16"/>
    <x v="12"/>
    <x v="6"/>
    <n v="1"/>
    <s v="50"/>
    <n v="3.1"/>
    <s v="Not Mentioned"/>
    <x v="2"/>
    <x v="1"/>
    <s v="Inactive"/>
    <n v="4"/>
    <x v="1"/>
    <x v="4"/>
  </r>
  <r>
    <s v="FL250234"/>
    <x v="232"/>
    <x v="1"/>
    <x v="16"/>
    <x v="20"/>
    <x v="6"/>
    <x v="7"/>
    <n v="2"/>
    <s v="Not given"/>
    <n v="0"/>
    <s v="1"/>
    <x v="0"/>
    <x v="1"/>
    <s v="Inactive"/>
    <n v="5"/>
    <x v="1"/>
    <x v="3"/>
  </r>
  <r>
    <s v="FL250235"/>
    <x v="233"/>
    <x v="0"/>
    <x v="27"/>
    <x v="13"/>
    <x v="10"/>
    <x v="2"/>
    <n v="2"/>
    <s v="50"/>
    <n v="3.2"/>
    <s v="TRUE"/>
    <x v="0"/>
    <x v="3"/>
    <s v="Inactive"/>
    <n v="2"/>
    <x v="1"/>
    <x v="3"/>
  </r>
  <r>
    <s v="FL250236"/>
    <x v="234"/>
    <x v="0"/>
    <x v="1"/>
    <x v="13"/>
    <x v="10"/>
    <x v="0"/>
    <n v="34"/>
    <s v="30"/>
    <s v="Not Mentioned"/>
    <s v="Y"/>
    <x v="0"/>
    <x v="0"/>
    <s v="Active"/>
    <n v="14"/>
    <x v="0"/>
    <x v="11"/>
  </r>
  <r>
    <s v="FL250237"/>
    <x v="235"/>
    <x v="0"/>
    <x v="12"/>
    <x v="13"/>
    <x v="10"/>
    <x v="2"/>
    <n v="27"/>
    <s v="100"/>
    <n v="4.7"/>
    <s v="TRUE"/>
    <x v="11"/>
    <x v="3"/>
    <s v="On Hold"/>
    <n v="19"/>
    <x v="0"/>
    <x v="1"/>
  </r>
  <r>
    <s v="FL250238"/>
    <x v="236"/>
    <x v="1"/>
    <x v="35"/>
    <x v="15"/>
    <x v="1"/>
    <x v="5"/>
    <n v="4"/>
    <s v="75"/>
    <n v="5"/>
    <s v="0"/>
    <x v="39"/>
    <x v="1"/>
    <s v="Active"/>
    <n v="5"/>
    <x v="1"/>
    <x v="3"/>
  </r>
  <r>
    <s v="FL250239"/>
    <x v="237"/>
    <x v="1"/>
    <x v="17"/>
    <x v="0"/>
    <x v="0"/>
    <x v="1"/>
    <n v="11"/>
    <s v="USD 40"/>
    <s v="Not Mentioned"/>
    <s v="FALSE"/>
    <x v="24"/>
    <x v="3"/>
    <s v="Completed"/>
    <n v="13"/>
    <x v="0"/>
    <x v="11"/>
  </r>
  <r>
    <s v="FL250240"/>
    <x v="238"/>
    <x v="1"/>
    <x v="22"/>
    <x v="5"/>
    <x v="1"/>
    <x v="3"/>
    <n v="4"/>
    <s v="USD 50"/>
    <n v="4"/>
    <s v="0"/>
    <x v="0"/>
    <x v="1"/>
    <s v="Inactive"/>
    <n v="3"/>
    <x v="1"/>
    <x v="10"/>
  </r>
  <r>
    <s v="FL250241"/>
    <x v="239"/>
    <x v="1"/>
    <x v="17"/>
    <x v="11"/>
    <x v="8"/>
    <x v="5"/>
    <n v="11"/>
    <s v="Not given"/>
    <n v="1.2"/>
    <s v="1"/>
    <x v="0"/>
    <x v="0"/>
    <s v="Active"/>
    <n v="11"/>
    <x v="0"/>
    <x v="6"/>
  </r>
  <r>
    <s v="FL250242"/>
    <x v="240"/>
    <x v="0"/>
    <x v="32"/>
    <x v="20"/>
    <x v="6"/>
    <x v="5"/>
    <n v="1"/>
    <s v="100"/>
    <n v="4.7"/>
    <s v="0"/>
    <x v="24"/>
    <x v="2"/>
    <s v="Active"/>
    <n v="5"/>
    <x v="1"/>
    <x v="3"/>
  </r>
  <r>
    <s v="FL250243"/>
    <x v="241"/>
    <x v="0"/>
    <x v="24"/>
    <x v="18"/>
    <x v="14"/>
    <x v="10"/>
    <n v="2"/>
    <s v="20"/>
    <n v="2.4"/>
    <s v="Not Mentioned"/>
    <x v="8"/>
    <x v="0"/>
    <s v="On Hold"/>
    <n v="4"/>
    <x v="1"/>
    <x v="10"/>
  </r>
  <r>
    <s v="FL250244"/>
    <x v="242"/>
    <x v="1"/>
    <x v="38"/>
    <x v="20"/>
    <x v="6"/>
    <x v="2"/>
    <n v="2"/>
    <s v="Not given"/>
    <n v="1.1000000000000001"/>
    <s v="FALSE"/>
    <x v="11"/>
    <x v="3"/>
    <s v="On Hold"/>
    <n v="3"/>
    <x v="1"/>
    <x v="3"/>
  </r>
  <r>
    <s v="FL250245"/>
    <x v="243"/>
    <x v="0"/>
    <x v="25"/>
    <x v="5"/>
    <x v="1"/>
    <x v="1"/>
    <n v="10"/>
    <s v="50"/>
    <n v="1.4"/>
    <s v="TRUE"/>
    <x v="27"/>
    <x v="3"/>
    <s v="Inactive"/>
    <n v="8"/>
    <x v="0"/>
    <x v="6"/>
  </r>
  <r>
    <s v="FL250246"/>
    <x v="244"/>
    <x v="0"/>
    <x v="19"/>
    <x v="5"/>
    <x v="1"/>
    <x v="7"/>
    <n v="18"/>
    <s v="40"/>
    <n v="3.4"/>
    <s v="0"/>
    <x v="54"/>
    <x v="0"/>
    <s v="Active"/>
    <n v="11"/>
    <x v="0"/>
    <x v="5"/>
  </r>
  <r>
    <s v="FL250247"/>
    <x v="245"/>
    <x v="0"/>
    <x v="20"/>
    <x v="6"/>
    <x v="5"/>
    <x v="0"/>
    <n v="4"/>
    <s v="40"/>
    <n v="2.7"/>
    <s v="1"/>
    <x v="55"/>
    <x v="0"/>
    <s v="Active"/>
    <n v="2"/>
    <x v="1"/>
    <x v="10"/>
  </r>
  <r>
    <s v="FL250248"/>
    <x v="246"/>
    <x v="1"/>
    <x v="29"/>
    <x v="8"/>
    <x v="6"/>
    <x v="3"/>
    <n v="23"/>
    <s v="Not given"/>
    <n v="4.9000000000000004"/>
    <s v="FALSE"/>
    <x v="0"/>
    <x v="1"/>
    <s v="On Hold"/>
    <n v="19"/>
    <x v="0"/>
    <x v="7"/>
  </r>
  <r>
    <s v="FL250249"/>
    <x v="247"/>
    <x v="1"/>
    <x v="17"/>
    <x v="19"/>
    <x v="15"/>
    <x v="6"/>
    <n v="6"/>
    <s v="75"/>
    <n v="1.9"/>
    <s v="1"/>
    <x v="22"/>
    <x v="3"/>
    <s v="Active"/>
    <n v="9"/>
    <x v="0"/>
    <x v="0"/>
  </r>
  <r>
    <s v="FL250250"/>
    <x v="248"/>
    <x v="0"/>
    <x v="9"/>
    <x v="11"/>
    <x v="8"/>
    <x v="1"/>
    <n v="5"/>
    <s v="100"/>
    <s v="Not Mentioned"/>
    <s v="1"/>
    <x v="0"/>
    <x v="3"/>
    <s v="Active"/>
    <n v="4"/>
    <x v="1"/>
    <x v="3"/>
  </r>
  <r>
    <s v="FL250251"/>
    <x v="249"/>
    <x v="0"/>
    <x v="10"/>
    <x v="20"/>
    <x v="6"/>
    <x v="9"/>
    <n v="19"/>
    <s v="USD 75"/>
    <n v="4.5999999999999996"/>
    <s v="0"/>
    <x v="50"/>
    <x v="0"/>
    <s v="Active"/>
    <n v="18"/>
    <x v="0"/>
    <x v="14"/>
  </r>
  <r>
    <s v="FL250252"/>
    <x v="250"/>
    <x v="1"/>
    <x v="4"/>
    <x v="2"/>
    <x v="2"/>
    <x v="7"/>
    <n v="6"/>
    <s v="50"/>
    <n v="0"/>
    <s v="0"/>
    <x v="34"/>
    <x v="2"/>
    <s v="On Hold"/>
    <n v="8"/>
    <x v="0"/>
    <x v="14"/>
  </r>
  <r>
    <s v="FL250253"/>
    <x v="251"/>
    <x v="1"/>
    <x v="17"/>
    <x v="2"/>
    <x v="2"/>
    <x v="6"/>
    <n v="8"/>
    <s v="75"/>
    <n v="1.8"/>
    <s v="1"/>
    <x v="2"/>
    <x v="3"/>
    <s v="Inactive"/>
    <n v="8"/>
    <x v="0"/>
    <x v="11"/>
  </r>
  <r>
    <s v="FL250254"/>
    <x v="252"/>
    <x v="1"/>
    <x v="39"/>
    <x v="21"/>
    <x v="6"/>
    <x v="1"/>
    <n v="3"/>
    <s v="75"/>
    <n v="2"/>
    <s v="FALSE"/>
    <x v="0"/>
    <x v="2"/>
    <s v="Completed"/>
    <n v="2"/>
    <x v="1"/>
    <x v="3"/>
  </r>
  <r>
    <s v="FL250255"/>
    <x v="253"/>
    <x v="1"/>
    <x v="36"/>
    <x v="18"/>
    <x v="14"/>
    <x v="7"/>
    <n v="8"/>
    <s v="30"/>
    <n v="5"/>
    <s v="1"/>
    <x v="56"/>
    <x v="0"/>
    <s v="Inactive"/>
    <n v="6"/>
    <x v="0"/>
    <x v="11"/>
  </r>
  <r>
    <s v="FL250256"/>
    <x v="254"/>
    <x v="0"/>
    <x v="11"/>
    <x v="13"/>
    <x v="10"/>
    <x v="6"/>
    <n v="12"/>
    <s v="$20"/>
    <n v="3.2"/>
    <s v="TRUE"/>
    <x v="49"/>
    <x v="0"/>
    <s v="Completed"/>
    <n v="15"/>
    <x v="0"/>
    <x v="0"/>
  </r>
  <r>
    <s v="FL250257"/>
    <x v="255"/>
    <x v="0"/>
    <x v="8"/>
    <x v="1"/>
    <x v="1"/>
    <x v="0"/>
    <n v="30"/>
    <s v="$30"/>
    <n v="2.4"/>
    <s v="Not Mentioned"/>
    <x v="25"/>
    <x v="1"/>
    <s v="Active"/>
    <n v="13"/>
    <x v="0"/>
    <x v="12"/>
  </r>
  <r>
    <s v="FL250258"/>
    <x v="256"/>
    <x v="0"/>
    <x v="40"/>
    <x v="15"/>
    <x v="1"/>
    <x v="3"/>
    <n v="21"/>
    <s v="100"/>
    <n v="2.9"/>
    <s v="0"/>
    <x v="4"/>
    <x v="3"/>
    <s v="Inactive"/>
    <n v="17"/>
    <x v="0"/>
    <x v="3"/>
  </r>
  <r>
    <s v="FL250259"/>
    <x v="257"/>
    <x v="1"/>
    <x v="33"/>
    <x v="12"/>
    <x v="9"/>
    <x v="7"/>
    <n v="17"/>
    <s v="USD 20"/>
    <n v="0"/>
    <s v="yes"/>
    <x v="48"/>
    <x v="2"/>
    <s v="Completed"/>
    <n v="16"/>
    <x v="0"/>
    <x v="1"/>
  </r>
  <r>
    <s v="FL250260"/>
    <x v="258"/>
    <x v="1"/>
    <x v="9"/>
    <x v="6"/>
    <x v="5"/>
    <x v="6"/>
    <n v="9"/>
    <s v="30"/>
    <n v="3"/>
    <s v="0"/>
    <x v="57"/>
    <x v="1"/>
    <s v="On Hold"/>
    <n v="15"/>
    <x v="0"/>
    <x v="4"/>
  </r>
  <r>
    <s v="FL250261"/>
    <x v="259"/>
    <x v="1"/>
    <x v="9"/>
    <x v="21"/>
    <x v="6"/>
    <x v="7"/>
    <n v="2"/>
    <s v="50"/>
    <n v="1.6"/>
    <s v="no"/>
    <x v="19"/>
    <x v="3"/>
    <s v="On Hold"/>
    <n v="3"/>
    <x v="1"/>
    <x v="3"/>
  </r>
  <r>
    <s v="FL250262"/>
    <x v="260"/>
    <x v="0"/>
    <x v="41"/>
    <x v="16"/>
    <x v="12"/>
    <x v="2"/>
    <n v="1"/>
    <s v="20"/>
    <n v="3.6"/>
    <s v="yes"/>
    <x v="5"/>
    <x v="1"/>
    <s v="Inactive"/>
    <n v="3"/>
    <x v="1"/>
    <x v="3"/>
  </r>
  <r>
    <s v="FL250263"/>
    <x v="261"/>
    <x v="1"/>
    <x v="36"/>
    <x v="0"/>
    <x v="0"/>
    <x v="3"/>
    <n v="23"/>
    <s v="Not given"/>
    <n v="2.1"/>
    <s v="0"/>
    <x v="15"/>
    <x v="0"/>
    <s v="Inactive"/>
    <n v="14"/>
    <x v="0"/>
    <x v="1"/>
  </r>
  <r>
    <s v="FL250264"/>
    <x v="262"/>
    <x v="1"/>
    <x v="10"/>
    <x v="2"/>
    <x v="2"/>
    <x v="9"/>
    <n v="8"/>
    <s v="30"/>
    <n v="3.6"/>
    <s v="1"/>
    <x v="32"/>
    <x v="3"/>
    <s v="Active"/>
    <n v="9"/>
    <x v="0"/>
    <x v="1"/>
  </r>
  <r>
    <s v="FL250265"/>
    <x v="263"/>
    <x v="0"/>
    <x v="33"/>
    <x v="15"/>
    <x v="1"/>
    <x v="6"/>
    <n v="6"/>
    <s v="$20"/>
    <n v="2.7"/>
    <s v="TRUE"/>
    <x v="52"/>
    <x v="1"/>
    <s v="Inactive"/>
    <n v="6"/>
    <x v="0"/>
    <x v="6"/>
  </r>
  <r>
    <s v="FL250266"/>
    <x v="264"/>
    <x v="1"/>
    <x v="24"/>
    <x v="11"/>
    <x v="8"/>
    <x v="0"/>
    <n v="1"/>
    <s v="100"/>
    <n v="2.1"/>
    <s v="1"/>
    <x v="41"/>
    <x v="1"/>
    <s v="Active"/>
    <n v="5"/>
    <x v="1"/>
    <x v="6"/>
  </r>
  <r>
    <s v="FL250267"/>
    <x v="265"/>
    <x v="1"/>
    <x v="9"/>
    <x v="13"/>
    <x v="10"/>
    <x v="3"/>
    <n v="19"/>
    <s v="$40"/>
    <n v="4.9000000000000004"/>
    <s v="Not Mentioned"/>
    <x v="42"/>
    <x v="2"/>
    <s v="Active"/>
    <n v="15"/>
    <x v="0"/>
    <x v="8"/>
  </r>
  <r>
    <s v="FL250268"/>
    <x v="266"/>
    <x v="0"/>
    <x v="16"/>
    <x v="8"/>
    <x v="6"/>
    <x v="5"/>
    <n v="2"/>
    <s v="30"/>
    <n v="2.1"/>
    <s v="Not Mentioned"/>
    <x v="0"/>
    <x v="1"/>
    <s v="On Hold"/>
    <n v="2"/>
    <x v="1"/>
    <x v="10"/>
  </r>
  <r>
    <s v="FL250269"/>
    <x v="267"/>
    <x v="0"/>
    <x v="11"/>
    <x v="10"/>
    <x v="7"/>
    <x v="3"/>
    <n v="21"/>
    <s v="100"/>
    <n v="0"/>
    <s v="no"/>
    <x v="52"/>
    <x v="3"/>
    <s v="On Hold"/>
    <n v="17"/>
    <x v="0"/>
    <x v="14"/>
  </r>
  <r>
    <s v="FL250270"/>
    <x v="268"/>
    <x v="0"/>
    <x v="26"/>
    <x v="10"/>
    <x v="7"/>
    <x v="10"/>
    <n v="3"/>
    <s v="$50"/>
    <n v="2.8"/>
    <s v="yes"/>
    <x v="58"/>
    <x v="3"/>
    <s v="Completed"/>
    <n v="3"/>
    <x v="1"/>
    <x v="10"/>
  </r>
  <r>
    <s v="FL250271"/>
    <x v="269"/>
    <x v="0"/>
    <x v="19"/>
    <x v="18"/>
    <x v="14"/>
    <x v="1"/>
    <n v="14"/>
    <s v="Not given"/>
    <s v="Not Mentioned"/>
    <s v="FALSE"/>
    <x v="11"/>
    <x v="2"/>
    <s v="On Hold"/>
    <n v="12"/>
    <x v="0"/>
    <x v="14"/>
  </r>
  <r>
    <s v="FL250272"/>
    <x v="270"/>
    <x v="0"/>
    <x v="25"/>
    <x v="18"/>
    <x v="14"/>
    <x v="7"/>
    <n v="10"/>
    <s v="USD 100"/>
    <n v="4.7"/>
    <s v="TRUE"/>
    <x v="1"/>
    <x v="3"/>
    <s v="On Hold"/>
    <n v="7"/>
    <x v="0"/>
    <x v="14"/>
  </r>
  <r>
    <s v="FL250273"/>
    <x v="271"/>
    <x v="0"/>
    <x v="13"/>
    <x v="7"/>
    <x v="1"/>
    <x v="8"/>
    <n v="5"/>
    <s v="100"/>
    <n v="1.3"/>
    <s v="0"/>
    <x v="12"/>
    <x v="0"/>
    <s v="Inactive"/>
    <n v="5"/>
    <x v="1"/>
    <x v="10"/>
  </r>
  <r>
    <s v="FL250274"/>
    <x v="272"/>
    <x v="1"/>
    <x v="25"/>
    <x v="3"/>
    <x v="3"/>
    <x v="0"/>
    <n v="6"/>
    <s v="USD 75"/>
    <n v="1.6"/>
    <s v="1"/>
    <x v="36"/>
    <x v="3"/>
    <s v="On Hold"/>
    <n v="13"/>
    <x v="0"/>
    <x v="0"/>
  </r>
  <r>
    <s v="FL250275"/>
    <x v="273"/>
    <x v="1"/>
    <x v="3"/>
    <x v="16"/>
    <x v="12"/>
    <x v="3"/>
    <n v="21"/>
    <s v="100"/>
    <n v="0"/>
    <s v="Not Mentioned"/>
    <x v="10"/>
    <x v="3"/>
    <s v="Completed"/>
    <n v="17"/>
    <x v="0"/>
    <x v="1"/>
  </r>
  <r>
    <s v="FL250276"/>
    <x v="274"/>
    <x v="0"/>
    <x v="5"/>
    <x v="19"/>
    <x v="15"/>
    <x v="7"/>
    <n v="4"/>
    <s v="USD 100"/>
    <n v="3.6"/>
    <s v="no"/>
    <x v="22"/>
    <x v="1"/>
    <s v="Inactive"/>
    <n v="5"/>
    <x v="1"/>
    <x v="10"/>
  </r>
  <r>
    <s v="FL250277"/>
    <x v="275"/>
    <x v="1"/>
    <x v="40"/>
    <x v="14"/>
    <x v="11"/>
    <x v="10"/>
    <n v="18"/>
    <s v="20"/>
    <n v="4.7"/>
    <s v="1"/>
    <x v="39"/>
    <x v="1"/>
    <s v="Completed"/>
    <n v="15"/>
    <x v="0"/>
    <x v="5"/>
  </r>
  <r>
    <s v="FL250278"/>
    <x v="276"/>
    <x v="0"/>
    <x v="28"/>
    <x v="18"/>
    <x v="14"/>
    <x v="7"/>
    <n v="12"/>
    <s v="$40"/>
    <s v="Not Mentioned"/>
    <s v="1"/>
    <x v="17"/>
    <x v="3"/>
    <s v="On Hold"/>
    <n v="15"/>
    <x v="0"/>
    <x v="14"/>
  </r>
  <r>
    <s v="FL250279"/>
    <x v="277"/>
    <x v="1"/>
    <x v="23"/>
    <x v="6"/>
    <x v="5"/>
    <x v="6"/>
    <n v="6"/>
    <s v="Not given"/>
    <n v="3.2"/>
    <s v="0"/>
    <x v="59"/>
    <x v="2"/>
    <s v="Completed"/>
    <n v="10"/>
    <x v="0"/>
    <x v="7"/>
  </r>
  <r>
    <s v="FL250280"/>
    <x v="278"/>
    <x v="0"/>
    <x v="27"/>
    <x v="7"/>
    <x v="1"/>
    <x v="0"/>
    <n v="4"/>
    <s v="USD 20"/>
    <s v="Not Mentioned"/>
    <s v="0"/>
    <x v="2"/>
    <x v="1"/>
    <s v="Inactive"/>
    <n v="3"/>
    <x v="1"/>
    <x v="7"/>
  </r>
  <r>
    <s v="FL250281"/>
    <x v="279"/>
    <x v="1"/>
    <x v="10"/>
    <x v="4"/>
    <x v="4"/>
    <x v="7"/>
    <n v="13"/>
    <s v="$20"/>
    <n v="4.7"/>
    <s v="N"/>
    <x v="27"/>
    <x v="2"/>
    <s v="Active"/>
    <n v="9"/>
    <x v="0"/>
    <x v="4"/>
  </r>
  <r>
    <s v="FL250282"/>
    <x v="280"/>
    <x v="0"/>
    <x v="36"/>
    <x v="11"/>
    <x v="8"/>
    <x v="1"/>
    <n v="6"/>
    <s v="30"/>
    <s v="Not Mentioned"/>
    <s v="N"/>
    <x v="32"/>
    <x v="3"/>
    <s v="Completed"/>
    <n v="11"/>
    <x v="0"/>
    <x v="1"/>
  </r>
  <r>
    <s v="FL250283"/>
    <x v="281"/>
    <x v="1"/>
    <x v="10"/>
    <x v="3"/>
    <x v="3"/>
    <x v="2"/>
    <n v="10"/>
    <s v="USD 20"/>
    <n v="2.4"/>
    <s v="Y"/>
    <x v="41"/>
    <x v="3"/>
    <s v="Completed"/>
    <n v="11"/>
    <x v="0"/>
    <x v="0"/>
  </r>
  <r>
    <s v="FL250284"/>
    <x v="282"/>
    <x v="1"/>
    <x v="0"/>
    <x v="13"/>
    <x v="10"/>
    <x v="8"/>
    <n v="20"/>
    <s v="50"/>
    <s v="Not Mentioned"/>
    <s v="FALSE"/>
    <x v="28"/>
    <x v="0"/>
    <s v="Inactive"/>
    <n v="14"/>
    <x v="0"/>
    <x v="5"/>
  </r>
  <r>
    <s v="FL250285"/>
    <x v="283"/>
    <x v="0"/>
    <x v="7"/>
    <x v="10"/>
    <x v="7"/>
    <x v="3"/>
    <n v="20"/>
    <s v="75"/>
    <n v="2.9"/>
    <s v="FALSE"/>
    <x v="0"/>
    <x v="1"/>
    <s v="Inactive"/>
    <n v="12"/>
    <x v="0"/>
    <x v="13"/>
  </r>
  <r>
    <s v="FL250286"/>
    <x v="284"/>
    <x v="0"/>
    <x v="29"/>
    <x v="18"/>
    <x v="14"/>
    <x v="8"/>
    <n v="11"/>
    <s v="50"/>
    <n v="0"/>
    <s v="0"/>
    <x v="0"/>
    <x v="3"/>
    <s v="Completed"/>
    <n v="8"/>
    <x v="0"/>
    <x v="7"/>
  </r>
  <r>
    <s v="FL250287"/>
    <x v="285"/>
    <x v="0"/>
    <x v="21"/>
    <x v="13"/>
    <x v="10"/>
    <x v="10"/>
    <n v="12"/>
    <s v="20"/>
    <n v="0"/>
    <s v="FALSE"/>
    <x v="19"/>
    <x v="0"/>
    <s v="On Hold"/>
    <n v="10"/>
    <x v="0"/>
    <x v="6"/>
  </r>
  <r>
    <s v="FL250288"/>
    <x v="286"/>
    <x v="0"/>
    <x v="30"/>
    <x v="21"/>
    <x v="6"/>
    <x v="10"/>
    <n v="1"/>
    <s v="100"/>
    <n v="1.5"/>
    <s v="1"/>
    <x v="17"/>
    <x v="1"/>
    <s v="Completed"/>
    <n v="4"/>
    <x v="1"/>
    <x v="6"/>
  </r>
  <r>
    <s v="FL250289"/>
    <x v="287"/>
    <x v="0"/>
    <x v="12"/>
    <x v="11"/>
    <x v="8"/>
    <x v="10"/>
    <n v="2"/>
    <s v="30"/>
    <n v="1.9"/>
    <s v="1"/>
    <x v="22"/>
    <x v="3"/>
    <s v="Inactive"/>
    <n v="1"/>
    <x v="1"/>
    <x v="3"/>
  </r>
  <r>
    <s v="FL250290"/>
    <x v="288"/>
    <x v="1"/>
    <x v="40"/>
    <x v="7"/>
    <x v="1"/>
    <x v="0"/>
    <n v="13"/>
    <s v="100"/>
    <n v="3.1"/>
    <s v="Y"/>
    <x v="59"/>
    <x v="3"/>
    <s v="Active"/>
    <n v="10"/>
    <x v="0"/>
    <x v="4"/>
  </r>
  <r>
    <s v="FL250291"/>
    <x v="289"/>
    <x v="1"/>
    <x v="21"/>
    <x v="4"/>
    <x v="4"/>
    <x v="7"/>
    <n v="0"/>
    <s v="Not given"/>
    <n v="1.8"/>
    <s v="N"/>
    <x v="39"/>
    <x v="1"/>
    <s v="Active"/>
    <n v="3"/>
    <x v="1"/>
    <x v="10"/>
  </r>
  <r>
    <s v="FL250292"/>
    <x v="290"/>
    <x v="0"/>
    <x v="35"/>
    <x v="10"/>
    <x v="7"/>
    <x v="3"/>
    <n v="7"/>
    <s v="30"/>
    <n v="2.4"/>
    <s v="yes"/>
    <x v="49"/>
    <x v="1"/>
    <s v="On Hold"/>
    <n v="12"/>
    <x v="0"/>
    <x v="12"/>
  </r>
  <r>
    <s v="FL250293"/>
    <x v="291"/>
    <x v="0"/>
    <x v="34"/>
    <x v="11"/>
    <x v="8"/>
    <x v="0"/>
    <n v="13"/>
    <s v="100"/>
    <n v="4.2"/>
    <s v="1"/>
    <x v="1"/>
    <x v="1"/>
    <s v="Completed"/>
    <n v="7"/>
    <x v="0"/>
    <x v="6"/>
  </r>
  <r>
    <s v="FL250294"/>
    <x v="292"/>
    <x v="1"/>
    <x v="1"/>
    <x v="20"/>
    <x v="6"/>
    <x v="3"/>
    <n v="21"/>
    <s v="$50"/>
    <n v="1.4"/>
    <s v="N"/>
    <x v="0"/>
    <x v="3"/>
    <s v="Active"/>
    <n v="20"/>
    <x v="0"/>
    <x v="1"/>
  </r>
  <r>
    <s v="FL250295"/>
    <x v="293"/>
    <x v="1"/>
    <x v="12"/>
    <x v="1"/>
    <x v="1"/>
    <x v="3"/>
    <n v="19"/>
    <s v="40"/>
    <n v="1.2"/>
    <s v="Y"/>
    <x v="42"/>
    <x v="3"/>
    <s v="Completed"/>
    <n v="11"/>
    <x v="0"/>
    <x v="4"/>
  </r>
  <r>
    <s v="FL250296"/>
    <x v="294"/>
    <x v="0"/>
    <x v="12"/>
    <x v="7"/>
    <x v="1"/>
    <x v="9"/>
    <n v="34"/>
    <s v="Not given"/>
    <n v="2.1"/>
    <s v="yes"/>
    <x v="1"/>
    <x v="0"/>
    <s v="Inactive"/>
    <n v="17"/>
    <x v="0"/>
    <x v="13"/>
  </r>
  <r>
    <s v="FL250297"/>
    <x v="295"/>
    <x v="1"/>
    <x v="2"/>
    <x v="18"/>
    <x v="14"/>
    <x v="6"/>
    <n v="3"/>
    <s v="100"/>
    <n v="1.4"/>
    <s v="FALSE"/>
    <x v="38"/>
    <x v="2"/>
    <s v="Active"/>
    <n v="3"/>
    <x v="1"/>
    <x v="7"/>
  </r>
  <r>
    <s v="FL250298"/>
    <x v="296"/>
    <x v="1"/>
    <x v="38"/>
    <x v="13"/>
    <x v="10"/>
    <x v="1"/>
    <n v="0"/>
    <s v="30"/>
    <n v="3.8"/>
    <s v="Not Mentioned"/>
    <x v="9"/>
    <x v="1"/>
    <s v="On Hold"/>
    <n v="5"/>
    <x v="1"/>
    <x v="10"/>
  </r>
  <r>
    <s v="FL250299"/>
    <x v="297"/>
    <x v="0"/>
    <x v="2"/>
    <x v="15"/>
    <x v="1"/>
    <x v="10"/>
    <n v="20"/>
    <s v="50"/>
    <n v="0"/>
    <s v="Not Mentioned"/>
    <x v="37"/>
    <x v="3"/>
    <s v="Inactive"/>
    <n v="10"/>
    <x v="0"/>
    <x v="10"/>
  </r>
  <r>
    <s v="FL250300"/>
    <x v="298"/>
    <x v="0"/>
    <x v="13"/>
    <x v="3"/>
    <x v="3"/>
    <x v="1"/>
    <n v="6"/>
    <s v="40"/>
    <n v="3.5"/>
    <s v="0"/>
    <x v="6"/>
    <x v="3"/>
    <s v="On Hold"/>
    <n v="15"/>
    <x v="0"/>
    <x v="0"/>
  </r>
  <r>
    <s v="FL250301"/>
    <x v="299"/>
    <x v="1"/>
    <x v="21"/>
    <x v="11"/>
    <x v="8"/>
    <x v="10"/>
    <n v="13"/>
    <s v="$100"/>
    <n v="0"/>
    <s v="Y"/>
    <x v="36"/>
    <x v="1"/>
    <s v="Inactive"/>
    <n v="9"/>
    <x v="0"/>
    <x v="9"/>
  </r>
  <r>
    <s v="FL250302"/>
    <x v="300"/>
    <x v="1"/>
    <x v="18"/>
    <x v="18"/>
    <x v="14"/>
    <x v="6"/>
    <n v="9"/>
    <s v="75"/>
    <n v="2.2000000000000002"/>
    <s v="0"/>
    <x v="46"/>
    <x v="2"/>
    <s v="Active"/>
    <n v="11"/>
    <x v="0"/>
    <x v="3"/>
  </r>
  <r>
    <s v="FL250303"/>
    <x v="301"/>
    <x v="1"/>
    <x v="31"/>
    <x v="14"/>
    <x v="11"/>
    <x v="3"/>
    <n v="2"/>
    <s v="75"/>
    <n v="2.5"/>
    <s v="FALSE"/>
    <x v="16"/>
    <x v="1"/>
    <s v="On Hold"/>
    <n v="4"/>
    <x v="1"/>
    <x v="3"/>
  </r>
  <r>
    <s v="FL250304"/>
    <x v="302"/>
    <x v="0"/>
    <x v="33"/>
    <x v="15"/>
    <x v="1"/>
    <x v="2"/>
    <n v="0"/>
    <s v="USD 50"/>
    <n v="4.7"/>
    <s v="0"/>
    <x v="7"/>
    <x v="2"/>
    <s v="On Hold"/>
    <n v="3"/>
    <x v="1"/>
    <x v="10"/>
  </r>
  <r>
    <s v="FL250305"/>
    <x v="303"/>
    <x v="1"/>
    <x v="38"/>
    <x v="17"/>
    <x v="13"/>
    <x v="6"/>
    <n v="0"/>
    <s v="20"/>
    <n v="3.9"/>
    <s v="FALSE"/>
    <x v="0"/>
    <x v="3"/>
    <s v="Inactive"/>
    <n v="1"/>
    <x v="1"/>
    <x v="3"/>
  </r>
  <r>
    <s v="FL250306"/>
    <x v="304"/>
    <x v="0"/>
    <x v="36"/>
    <x v="19"/>
    <x v="15"/>
    <x v="6"/>
    <n v="2"/>
    <s v="75"/>
    <n v="1.6"/>
    <s v="N"/>
    <x v="24"/>
    <x v="2"/>
    <s v="On Hold"/>
    <n v="5"/>
    <x v="1"/>
    <x v="10"/>
  </r>
  <r>
    <s v="FL250307"/>
    <x v="305"/>
    <x v="1"/>
    <x v="35"/>
    <x v="16"/>
    <x v="12"/>
    <x v="8"/>
    <n v="2"/>
    <s v="$50"/>
    <s v="Not Mentioned"/>
    <s v="0"/>
    <x v="1"/>
    <x v="0"/>
    <s v="Inactive"/>
    <n v="2"/>
    <x v="1"/>
    <x v="4"/>
  </r>
  <r>
    <s v="FL250308"/>
    <x v="306"/>
    <x v="1"/>
    <x v="17"/>
    <x v="13"/>
    <x v="10"/>
    <x v="1"/>
    <n v="1"/>
    <s v="30"/>
    <n v="3.6"/>
    <s v="1"/>
    <x v="13"/>
    <x v="3"/>
    <s v="Inactive"/>
    <n v="2"/>
    <x v="1"/>
    <x v="10"/>
  </r>
  <r>
    <s v="FL250309"/>
    <x v="307"/>
    <x v="1"/>
    <x v="7"/>
    <x v="12"/>
    <x v="9"/>
    <x v="10"/>
    <n v="14"/>
    <s v="USD 30"/>
    <n v="1.2"/>
    <s v="yes"/>
    <x v="52"/>
    <x v="0"/>
    <s v="Inactive"/>
    <n v="7"/>
    <x v="0"/>
    <x v="0"/>
  </r>
  <r>
    <s v="FL250310"/>
    <x v="308"/>
    <x v="0"/>
    <x v="40"/>
    <x v="18"/>
    <x v="14"/>
    <x v="10"/>
    <n v="14"/>
    <s v="USD 75"/>
    <n v="3"/>
    <s v="0"/>
    <x v="50"/>
    <x v="1"/>
    <s v="Inactive"/>
    <n v="13"/>
    <x v="0"/>
    <x v="0"/>
  </r>
  <r>
    <s v="FL250311"/>
    <x v="309"/>
    <x v="1"/>
    <x v="28"/>
    <x v="3"/>
    <x v="3"/>
    <x v="7"/>
    <n v="2"/>
    <s v="50"/>
    <n v="3.9"/>
    <s v="0"/>
    <x v="0"/>
    <x v="1"/>
    <s v="Active"/>
    <n v="4"/>
    <x v="1"/>
    <x v="3"/>
  </r>
  <r>
    <s v="FL250312"/>
    <x v="310"/>
    <x v="1"/>
    <x v="17"/>
    <x v="1"/>
    <x v="1"/>
    <x v="9"/>
    <n v="1"/>
    <s v="40"/>
    <n v="1.7"/>
    <s v="Not Mentioned"/>
    <x v="60"/>
    <x v="1"/>
    <s v="Inactive"/>
    <n v="4"/>
    <x v="1"/>
    <x v="6"/>
  </r>
  <r>
    <s v="FL250313"/>
    <x v="311"/>
    <x v="0"/>
    <x v="19"/>
    <x v="12"/>
    <x v="9"/>
    <x v="9"/>
    <n v="13"/>
    <s v="20"/>
    <n v="4.5"/>
    <s v="Not Mentioned"/>
    <x v="52"/>
    <x v="2"/>
    <s v="Completed"/>
    <n v="7"/>
    <x v="0"/>
    <x v="0"/>
  </r>
  <r>
    <s v="FL250314"/>
    <x v="312"/>
    <x v="1"/>
    <x v="9"/>
    <x v="5"/>
    <x v="1"/>
    <x v="2"/>
    <n v="23"/>
    <s v="$40"/>
    <n v="3.6"/>
    <s v="TRUE"/>
    <x v="2"/>
    <x v="3"/>
    <s v="On Hold"/>
    <n v="12"/>
    <x v="0"/>
    <x v="11"/>
  </r>
  <r>
    <s v="FL250315"/>
    <x v="313"/>
    <x v="1"/>
    <x v="11"/>
    <x v="2"/>
    <x v="2"/>
    <x v="8"/>
    <s v="Not Mentioned"/>
    <s v="USD 75"/>
    <n v="3.6"/>
    <s v="Y"/>
    <x v="13"/>
    <x v="1"/>
    <s v="Completed"/>
    <n v="5"/>
    <x v="1"/>
    <x v="3"/>
  </r>
  <r>
    <s v="FL250316"/>
    <x v="314"/>
    <x v="0"/>
    <x v="5"/>
    <x v="8"/>
    <x v="6"/>
    <x v="0"/>
    <n v="3"/>
    <s v="USD 100"/>
    <n v="2.8"/>
    <s v="1"/>
    <x v="35"/>
    <x v="1"/>
    <s v="Active"/>
    <n v="1"/>
    <x v="1"/>
    <x v="3"/>
  </r>
  <r>
    <s v="FL250317"/>
    <x v="315"/>
    <x v="1"/>
    <x v="13"/>
    <x v="3"/>
    <x v="3"/>
    <x v="9"/>
    <n v="0"/>
    <s v="$100"/>
    <n v="5"/>
    <s v="N"/>
    <x v="0"/>
    <x v="3"/>
    <s v="Completed"/>
    <n v="1"/>
    <x v="1"/>
    <x v="6"/>
  </r>
  <r>
    <s v="FL250318"/>
    <x v="316"/>
    <x v="1"/>
    <x v="32"/>
    <x v="2"/>
    <x v="2"/>
    <x v="2"/>
    <n v="0"/>
    <s v="100"/>
    <n v="1.4"/>
    <s v="1"/>
    <x v="22"/>
    <x v="1"/>
    <s v="On Hold"/>
    <n v="2"/>
    <x v="1"/>
    <x v="3"/>
  </r>
  <r>
    <s v="FL250319"/>
    <x v="317"/>
    <x v="0"/>
    <x v="7"/>
    <x v="14"/>
    <x v="11"/>
    <x v="6"/>
    <n v="17"/>
    <s v="30"/>
    <s v="Not Mentioned"/>
    <s v="Not Mentioned"/>
    <x v="0"/>
    <x v="0"/>
    <s v="Completed"/>
    <n v="18"/>
    <x v="0"/>
    <x v="14"/>
  </r>
  <r>
    <s v="FL250320"/>
    <x v="318"/>
    <x v="1"/>
    <x v="32"/>
    <x v="8"/>
    <x v="6"/>
    <x v="10"/>
    <n v="9"/>
    <s v="USD 40"/>
    <n v="4.5999999999999996"/>
    <s v="1"/>
    <x v="1"/>
    <x v="3"/>
    <s v="Active"/>
    <n v="9"/>
    <x v="0"/>
    <x v="10"/>
  </r>
  <r>
    <s v="FL250321"/>
    <x v="319"/>
    <x v="1"/>
    <x v="37"/>
    <x v="13"/>
    <x v="10"/>
    <x v="0"/>
    <n v="4"/>
    <s v="$20"/>
    <n v="3.3"/>
    <s v="no"/>
    <x v="0"/>
    <x v="3"/>
    <s v="Inactive"/>
    <n v="4"/>
    <x v="1"/>
    <x v="6"/>
  </r>
  <r>
    <s v="FL250322"/>
    <x v="320"/>
    <x v="0"/>
    <x v="33"/>
    <x v="15"/>
    <x v="1"/>
    <x v="8"/>
    <n v="0"/>
    <s v="$40"/>
    <n v="3.7"/>
    <s v="1"/>
    <x v="0"/>
    <x v="3"/>
    <s v="Completed"/>
    <n v="3"/>
    <x v="1"/>
    <x v="7"/>
  </r>
  <r>
    <s v="FL250323"/>
    <x v="321"/>
    <x v="1"/>
    <x v="0"/>
    <x v="12"/>
    <x v="9"/>
    <x v="2"/>
    <n v="33"/>
    <s v="Not given"/>
    <n v="0"/>
    <s v="1"/>
    <x v="12"/>
    <x v="0"/>
    <s v="Active"/>
    <n v="13"/>
    <x v="0"/>
    <x v="1"/>
  </r>
  <r>
    <s v="FL250324"/>
    <x v="322"/>
    <x v="1"/>
    <x v="36"/>
    <x v="11"/>
    <x v="8"/>
    <x v="8"/>
    <n v="18"/>
    <s v="50"/>
    <n v="0"/>
    <s v="Y"/>
    <x v="37"/>
    <x v="3"/>
    <s v="Active"/>
    <n v="11"/>
    <x v="0"/>
    <x v="2"/>
  </r>
  <r>
    <s v="FL250325"/>
    <x v="323"/>
    <x v="0"/>
    <x v="41"/>
    <x v="10"/>
    <x v="7"/>
    <x v="1"/>
    <n v="9"/>
    <s v="40"/>
    <s v="Not Mentioned"/>
    <s v="1"/>
    <x v="37"/>
    <x v="0"/>
    <s v="On Hold"/>
    <n v="14"/>
    <x v="0"/>
    <x v="9"/>
  </r>
  <r>
    <s v="FL250326"/>
    <x v="324"/>
    <x v="0"/>
    <x v="29"/>
    <x v="21"/>
    <x v="6"/>
    <x v="6"/>
    <n v="40"/>
    <s v="75"/>
    <n v="3.4"/>
    <s v="1"/>
    <x v="17"/>
    <x v="3"/>
    <s v="On Hold"/>
    <n v="11"/>
    <x v="0"/>
    <x v="9"/>
  </r>
  <r>
    <s v="FL250327"/>
    <x v="325"/>
    <x v="1"/>
    <x v="37"/>
    <x v="8"/>
    <x v="6"/>
    <x v="3"/>
    <n v="1"/>
    <s v="40"/>
    <n v="1.6"/>
    <s v="TRUE"/>
    <x v="61"/>
    <x v="2"/>
    <s v="Completed"/>
    <n v="4"/>
    <x v="1"/>
    <x v="3"/>
  </r>
  <r>
    <s v="FL250328"/>
    <x v="326"/>
    <x v="0"/>
    <x v="19"/>
    <x v="19"/>
    <x v="15"/>
    <x v="1"/>
    <n v="5"/>
    <s v="20"/>
    <n v="1.9"/>
    <s v="0"/>
    <x v="0"/>
    <x v="1"/>
    <s v="Inactive"/>
    <n v="5"/>
    <x v="1"/>
    <x v="3"/>
  </r>
  <r>
    <s v="FL250329"/>
    <x v="327"/>
    <x v="1"/>
    <x v="40"/>
    <x v="8"/>
    <x v="6"/>
    <x v="5"/>
    <n v="4"/>
    <s v="$50"/>
    <n v="0"/>
    <s v="TRUE"/>
    <x v="4"/>
    <x v="2"/>
    <s v="Active"/>
    <n v="5"/>
    <x v="1"/>
    <x v="3"/>
  </r>
  <r>
    <s v="FL250330"/>
    <x v="328"/>
    <x v="1"/>
    <x v="12"/>
    <x v="0"/>
    <x v="0"/>
    <x v="10"/>
    <n v="13"/>
    <s v="USD 40"/>
    <s v="Not Mentioned"/>
    <s v="1"/>
    <x v="13"/>
    <x v="1"/>
    <s v="Completed"/>
    <n v="9"/>
    <x v="0"/>
    <x v="5"/>
  </r>
  <r>
    <s v="FL250331"/>
    <x v="329"/>
    <x v="0"/>
    <x v="1"/>
    <x v="5"/>
    <x v="1"/>
    <x v="1"/>
    <n v="33"/>
    <s v="$100"/>
    <s v="Not Mentioned"/>
    <s v="no"/>
    <x v="14"/>
    <x v="0"/>
    <s v="Active"/>
    <n v="12"/>
    <x v="0"/>
    <x v="3"/>
  </r>
  <r>
    <s v="FL250332"/>
    <x v="330"/>
    <x v="1"/>
    <x v="3"/>
    <x v="7"/>
    <x v="1"/>
    <x v="1"/>
    <n v="22"/>
    <s v="40"/>
    <n v="1.1000000000000001"/>
    <s v="yes"/>
    <x v="35"/>
    <x v="2"/>
    <s v="Active"/>
    <n v="10"/>
    <x v="0"/>
    <x v="17"/>
  </r>
  <r>
    <s v="FL250333"/>
    <x v="331"/>
    <x v="1"/>
    <x v="23"/>
    <x v="5"/>
    <x v="1"/>
    <x v="9"/>
    <n v="34"/>
    <s v="Not given"/>
    <n v="2.5"/>
    <s v="FALSE"/>
    <x v="9"/>
    <x v="3"/>
    <s v="Inactive"/>
    <n v="20"/>
    <x v="0"/>
    <x v="11"/>
  </r>
  <r>
    <s v="FL250334"/>
    <x v="332"/>
    <x v="0"/>
    <x v="31"/>
    <x v="2"/>
    <x v="2"/>
    <x v="1"/>
    <n v="8"/>
    <s v="USD 30"/>
    <n v="3.6"/>
    <s v="1"/>
    <x v="0"/>
    <x v="1"/>
    <s v="Inactive"/>
    <n v="8"/>
    <x v="0"/>
    <x v="4"/>
  </r>
  <r>
    <s v="FL250335"/>
    <x v="333"/>
    <x v="0"/>
    <x v="24"/>
    <x v="8"/>
    <x v="6"/>
    <x v="3"/>
    <n v="1"/>
    <s v="USD 20"/>
    <s v="Not Mentioned"/>
    <s v="FALSE"/>
    <x v="56"/>
    <x v="1"/>
    <s v="Completed"/>
    <n v="4"/>
    <x v="1"/>
    <x v="10"/>
  </r>
  <r>
    <s v="FL250336"/>
    <x v="334"/>
    <x v="1"/>
    <x v="15"/>
    <x v="7"/>
    <x v="1"/>
    <x v="7"/>
    <n v="20"/>
    <s v="50"/>
    <n v="4.4000000000000004"/>
    <s v="0"/>
    <x v="62"/>
    <x v="2"/>
    <s v="Inactive"/>
    <n v="20"/>
    <x v="0"/>
    <x v="9"/>
  </r>
  <r>
    <s v="FL250337"/>
    <x v="335"/>
    <x v="0"/>
    <x v="31"/>
    <x v="5"/>
    <x v="1"/>
    <x v="2"/>
    <n v="11"/>
    <s v="75"/>
    <n v="2.1"/>
    <s v="0"/>
    <x v="32"/>
    <x v="0"/>
    <s v="Inactive"/>
    <n v="7"/>
    <x v="0"/>
    <x v="7"/>
  </r>
  <r>
    <s v="FL250338"/>
    <x v="336"/>
    <x v="0"/>
    <x v="8"/>
    <x v="6"/>
    <x v="5"/>
    <x v="6"/>
    <n v="2"/>
    <s v="40"/>
    <n v="0"/>
    <s v="FALSE"/>
    <x v="12"/>
    <x v="2"/>
    <s v="Completed"/>
    <n v="5"/>
    <x v="1"/>
    <x v="10"/>
  </r>
  <r>
    <s v="FL250339"/>
    <x v="337"/>
    <x v="1"/>
    <x v="18"/>
    <x v="13"/>
    <x v="10"/>
    <x v="2"/>
    <n v="6"/>
    <s v="20"/>
    <n v="1"/>
    <s v="Y"/>
    <x v="37"/>
    <x v="0"/>
    <s v="Inactive"/>
    <n v="15"/>
    <x v="0"/>
    <x v="0"/>
  </r>
  <r>
    <s v="FL250340"/>
    <x v="338"/>
    <x v="1"/>
    <x v="9"/>
    <x v="2"/>
    <x v="2"/>
    <x v="0"/>
    <n v="20"/>
    <s v="USD 30"/>
    <n v="0"/>
    <s v="0"/>
    <x v="0"/>
    <x v="0"/>
    <s v="On Hold"/>
    <n v="18"/>
    <x v="0"/>
    <x v="1"/>
  </r>
  <r>
    <s v="FL250341"/>
    <x v="339"/>
    <x v="0"/>
    <x v="33"/>
    <x v="15"/>
    <x v="1"/>
    <x v="9"/>
    <s v="Not Mentioned"/>
    <s v="USD 20"/>
    <n v="4.9000000000000004"/>
    <s v="N"/>
    <x v="0"/>
    <x v="1"/>
    <s v="Active"/>
    <n v="5"/>
    <x v="1"/>
    <x v="4"/>
  </r>
  <r>
    <s v="FL250342"/>
    <x v="340"/>
    <x v="1"/>
    <x v="1"/>
    <x v="0"/>
    <x v="0"/>
    <x v="5"/>
    <n v="4"/>
    <s v="30"/>
    <n v="4.7"/>
    <s v="no"/>
    <x v="56"/>
    <x v="2"/>
    <s v="Active"/>
    <n v="2"/>
    <x v="1"/>
    <x v="3"/>
  </r>
  <r>
    <s v="FL250343"/>
    <x v="341"/>
    <x v="0"/>
    <x v="16"/>
    <x v="0"/>
    <x v="0"/>
    <x v="0"/>
    <n v="3"/>
    <s v="USD 40"/>
    <n v="2.1"/>
    <s v="0"/>
    <x v="0"/>
    <x v="2"/>
    <s v="Active"/>
    <n v="4"/>
    <x v="1"/>
    <x v="3"/>
  </r>
  <r>
    <s v="FL250344"/>
    <x v="342"/>
    <x v="0"/>
    <x v="7"/>
    <x v="3"/>
    <x v="3"/>
    <x v="1"/>
    <n v="33"/>
    <s v="40"/>
    <n v="1.5"/>
    <s v="Y"/>
    <x v="2"/>
    <x v="0"/>
    <s v="Active"/>
    <n v="10"/>
    <x v="0"/>
    <x v="13"/>
  </r>
  <r>
    <s v="FL250345"/>
    <x v="343"/>
    <x v="1"/>
    <x v="16"/>
    <x v="1"/>
    <x v="1"/>
    <x v="8"/>
    <n v="1"/>
    <s v="Not given"/>
    <n v="2.6"/>
    <s v="0"/>
    <x v="29"/>
    <x v="2"/>
    <s v="Completed"/>
    <n v="5"/>
    <x v="1"/>
    <x v="3"/>
  </r>
  <r>
    <s v="FL250346"/>
    <x v="344"/>
    <x v="0"/>
    <x v="30"/>
    <x v="6"/>
    <x v="5"/>
    <x v="3"/>
    <n v="23"/>
    <s v="USD 50"/>
    <n v="0"/>
    <s v="0"/>
    <x v="49"/>
    <x v="3"/>
    <s v="Active"/>
    <n v="10"/>
    <x v="0"/>
    <x v="0"/>
  </r>
  <r>
    <s v="FL250347"/>
    <x v="345"/>
    <x v="1"/>
    <x v="18"/>
    <x v="16"/>
    <x v="12"/>
    <x v="6"/>
    <n v="13"/>
    <s v="40"/>
    <s v="Not Mentioned"/>
    <s v="N"/>
    <x v="50"/>
    <x v="3"/>
    <s v="Active"/>
    <n v="15"/>
    <x v="0"/>
    <x v="5"/>
  </r>
  <r>
    <s v="FL250348"/>
    <x v="346"/>
    <x v="1"/>
    <x v="27"/>
    <x v="1"/>
    <x v="1"/>
    <x v="9"/>
    <n v="1"/>
    <s v="USD 20"/>
    <n v="4"/>
    <s v="Y"/>
    <x v="61"/>
    <x v="2"/>
    <s v="Active"/>
    <n v="1"/>
    <x v="1"/>
    <x v="4"/>
  </r>
  <r>
    <s v="FL250349"/>
    <x v="347"/>
    <x v="1"/>
    <x v="7"/>
    <x v="0"/>
    <x v="0"/>
    <x v="9"/>
    <n v="15"/>
    <s v="40"/>
    <n v="4.5"/>
    <s v="Not Mentioned"/>
    <x v="0"/>
    <x v="2"/>
    <s v="Active"/>
    <n v="9"/>
    <x v="0"/>
    <x v="5"/>
  </r>
  <r>
    <s v="FL250350"/>
    <x v="348"/>
    <x v="0"/>
    <x v="9"/>
    <x v="12"/>
    <x v="9"/>
    <x v="1"/>
    <n v="18"/>
    <s v="75"/>
    <n v="3.8"/>
    <s v="0"/>
    <x v="63"/>
    <x v="0"/>
    <s v="On Hold"/>
    <n v="14"/>
    <x v="0"/>
    <x v="0"/>
  </r>
  <r>
    <s v="FL250351"/>
    <x v="349"/>
    <x v="1"/>
    <x v="36"/>
    <x v="5"/>
    <x v="1"/>
    <x v="10"/>
    <n v="21"/>
    <s v="50"/>
    <n v="4"/>
    <s v="0"/>
    <x v="50"/>
    <x v="3"/>
    <s v="Active"/>
    <n v="20"/>
    <x v="0"/>
    <x v="1"/>
  </r>
  <r>
    <s v="FL250352"/>
    <x v="350"/>
    <x v="1"/>
    <x v="27"/>
    <x v="3"/>
    <x v="3"/>
    <x v="9"/>
    <n v="1"/>
    <s v="$40"/>
    <n v="4.9000000000000004"/>
    <s v="yes"/>
    <x v="50"/>
    <x v="3"/>
    <s v="On Hold"/>
    <n v="3"/>
    <x v="1"/>
    <x v="4"/>
  </r>
  <r>
    <s v="FL250353"/>
    <x v="351"/>
    <x v="0"/>
    <x v="34"/>
    <x v="15"/>
    <x v="1"/>
    <x v="3"/>
    <n v="25"/>
    <s v="$30"/>
    <n v="3.4"/>
    <s v="0"/>
    <x v="14"/>
    <x v="1"/>
    <s v="Completed"/>
    <n v="15"/>
    <x v="0"/>
    <x v="5"/>
  </r>
  <r>
    <s v="FL250354"/>
    <x v="352"/>
    <x v="0"/>
    <x v="19"/>
    <x v="0"/>
    <x v="0"/>
    <x v="8"/>
    <n v="12"/>
    <s v="50"/>
    <n v="2.1"/>
    <s v="TRUE"/>
    <x v="24"/>
    <x v="0"/>
    <s v="Inactive"/>
    <n v="14"/>
    <x v="0"/>
    <x v="5"/>
  </r>
  <r>
    <s v="FL250355"/>
    <x v="353"/>
    <x v="0"/>
    <x v="12"/>
    <x v="10"/>
    <x v="7"/>
    <x v="2"/>
    <n v="32"/>
    <s v="USD 40"/>
    <n v="0"/>
    <s v="1"/>
    <x v="8"/>
    <x v="1"/>
    <s v="Active"/>
    <n v="15"/>
    <x v="0"/>
    <x v="7"/>
  </r>
  <r>
    <s v="FL250356"/>
    <x v="354"/>
    <x v="1"/>
    <x v="29"/>
    <x v="8"/>
    <x v="6"/>
    <x v="7"/>
    <s v="Not Mentioned"/>
    <s v="100"/>
    <n v="4.5"/>
    <s v="no"/>
    <x v="64"/>
    <x v="3"/>
    <s v="Inactive"/>
    <n v="3"/>
    <x v="1"/>
    <x v="3"/>
  </r>
  <r>
    <s v="FL250357"/>
    <x v="355"/>
    <x v="1"/>
    <x v="32"/>
    <x v="13"/>
    <x v="10"/>
    <x v="7"/>
    <n v="10"/>
    <s v="$30"/>
    <n v="3.8"/>
    <s v="0"/>
    <x v="35"/>
    <x v="0"/>
    <s v="Inactive"/>
    <n v="11"/>
    <x v="0"/>
    <x v="7"/>
  </r>
  <r>
    <s v="FL250358"/>
    <x v="356"/>
    <x v="0"/>
    <x v="0"/>
    <x v="11"/>
    <x v="8"/>
    <x v="7"/>
    <n v="0"/>
    <s v="Not given"/>
    <n v="4.3"/>
    <s v="0"/>
    <x v="3"/>
    <x v="2"/>
    <s v="Completed"/>
    <n v="1"/>
    <x v="1"/>
    <x v="3"/>
  </r>
  <r>
    <s v="FL250359"/>
    <x v="357"/>
    <x v="0"/>
    <x v="16"/>
    <x v="19"/>
    <x v="15"/>
    <x v="6"/>
    <n v="1"/>
    <s v="50"/>
    <n v="0"/>
    <s v="Not Mentioned"/>
    <x v="65"/>
    <x v="0"/>
    <s v="Inactive"/>
    <n v="4"/>
    <x v="1"/>
    <x v="7"/>
  </r>
  <r>
    <s v="FL250360"/>
    <x v="358"/>
    <x v="1"/>
    <x v="38"/>
    <x v="11"/>
    <x v="8"/>
    <x v="8"/>
    <n v="2"/>
    <s v="30"/>
    <s v="Not Mentioned"/>
    <s v="1"/>
    <x v="56"/>
    <x v="2"/>
    <s v="On Hold"/>
    <n v="3"/>
    <x v="1"/>
    <x v="10"/>
  </r>
  <r>
    <s v="FL250361"/>
    <x v="359"/>
    <x v="1"/>
    <x v="12"/>
    <x v="3"/>
    <x v="3"/>
    <x v="6"/>
    <n v="9"/>
    <s v="USD 40"/>
    <n v="2.6"/>
    <s v="0"/>
    <x v="35"/>
    <x v="2"/>
    <s v="Inactive"/>
    <n v="10"/>
    <x v="0"/>
    <x v="7"/>
  </r>
  <r>
    <s v="FL250362"/>
    <x v="360"/>
    <x v="1"/>
    <x v="20"/>
    <x v="10"/>
    <x v="7"/>
    <x v="6"/>
    <n v="22"/>
    <s v="USD 50"/>
    <n v="1.6"/>
    <s v="1"/>
    <x v="35"/>
    <x v="0"/>
    <s v="Inactive"/>
    <n v="10"/>
    <x v="0"/>
    <x v="5"/>
  </r>
  <r>
    <s v="FL250363"/>
    <x v="361"/>
    <x v="1"/>
    <x v="26"/>
    <x v="8"/>
    <x v="6"/>
    <x v="0"/>
    <n v="5"/>
    <s v="$30"/>
    <n v="2.2999999999999998"/>
    <s v="0"/>
    <x v="52"/>
    <x v="2"/>
    <s v="Inactive"/>
    <n v="2"/>
    <x v="1"/>
    <x v="3"/>
  </r>
  <r>
    <s v="FL250364"/>
    <x v="362"/>
    <x v="0"/>
    <x v="40"/>
    <x v="15"/>
    <x v="1"/>
    <x v="8"/>
    <n v="6"/>
    <s v="75"/>
    <n v="4.5999999999999996"/>
    <s v="Y"/>
    <x v="40"/>
    <x v="1"/>
    <s v="Active"/>
    <n v="13"/>
    <x v="0"/>
    <x v="3"/>
  </r>
  <r>
    <s v="FL250365"/>
    <x v="363"/>
    <x v="0"/>
    <x v="21"/>
    <x v="1"/>
    <x v="1"/>
    <x v="3"/>
    <n v="26"/>
    <s v="$100"/>
    <n v="2.1"/>
    <s v="Not Mentioned"/>
    <x v="0"/>
    <x v="3"/>
    <s v="Active"/>
    <n v="15"/>
    <x v="0"/>
    <x v="10"/>
  </r>
  <r>
    <s v="FL250366"/>
    <x v="364"/>
    <x v="0"/>
    <x v="6"/>
    <x v="13"/>
    <x v="10"/>
    <x v="0"/>
    <s v="Not Mentioned"/>
    <s v="40"/>
    <n v="1.5"/>
    <s v="FALSE"/>
    <x v="32"/>
    <x v="2"/>
    <s v="On Hold"/>
    <n v="4"/>
    <x v="1"/>
    <x v="4"/>
  </r>
  <r>
    <s v="FL250367"/>
    <x v="365"/>
    <x v="1"/>
    <x v="13"/>
    <x v="19"/>
    <x v="15"/>
    <x v="5"/>
    <n v="9"/>
    <s v="USD 40"/>
    <n v="1.7"/>
    <s v="1"/>
    <x v="40"/>
    <x v="1"/>
    <s v="On Hold"/>
    <n v="9"/>
    <x v="0"/>
    <x v="9"/>
  </r>
  <r>
    <s v="FL250368"/>
    <x v="366"/>
    <x v="1"/>
    <x v="28"/>
    <x v="10"/>
    <x v="7"/>
    <x v="6"/>
    <n v="11"/>
    <s v="Not given"/>
    <n v="3.3"/>
    <s v="0"/>
    <x v="0"/>
    <x v="2"/>
    <s v="Active"/>
    <n v="15"/>
    <x v="0"/>
    <x v="5"/>
  </r>
  <r>
    <s v="FL250369"/>
    <x v="367"/>
    <x v="1"/>
    <x v="31"/>
    <x v="13"/>
    <x v="10"/>
    <x v="10"/>
    <s v="Not Mentioned"/>
    <s v="$40"/>
    <n v="4.3"/>
    <s v="1"/>
    <x v="23"/>
    <x v="3"/>
    <s v="On Hold"/>
    <n v="2"/>
    <x v="1"/>
    <x v="6"/>
  </r>
  <r>
    <s v="FL250370"/>
    <x v="368"/>
    <x v="0"/>
    <x v="28"/>
    <x v="12"/>
    <x v="9"/>
    <x v="10"/>
    <n v="3"/>
    <s v="$20"/>
    <s v="Not Mentioned"/>
    <s v="N"/>
    <x v="0"/>
    <x v="1"/>
    <s v="Active"/>
    <n v="1"/>
    <x v="1"/>
    <x v="10"/>
  </r>
  <r>
    <s v="FL250371"/>
    <x v="369"/>
    <x v="0"/>
    <x v="34"/>
    <x v="0"/>
    <x v="0"/>
    <x v="6"/>
    <n v="15"/>
    <s v="USD 75"/>
    <n v="2.6"/>
    <s v="N"/>
    <x v="4"/>
    <x v="3"/>
    <s v="Completed"/>
    <n v="13"/>
    <x v="0"/>
    <x v="11"/>
  </r>
  <r>
    <s v="FL250372"/>
    <x v="370"/>
    <x v="1"/>
    <x v="25"/>
    <x v="20"/>
    <x v="6"/>
    <x v="2"/>
    <n v="12"/>
    <s v="USD 20"/>
    <n v="4.0999999999999996"/>
    <s v="Not Mentioned"/>
    <x v="5"/>
    <x v="3"/>
    <s v="Inactive"/>
    <n v="8"/>
    <x v="0"/>
    <x v="7"/>
  </r>
  <r>
    <s v="FL250373"/>
    <x v="371"/>
    <x v="1"/>
    <x v="30"/>
    <x v="11"/>
    <x v="8"/>
    <x v="6"/>
    <n v="19"/>
    <s v="$40"/>
    <n v="2.2000000000000002"/>
    <s v="1"/>
    <x v="50"/>
    <x v="1"/>
    <s v="Inactive"/>
    <n v="10"/>
    <x v="0"/>
    <x v="15"/>
  </r>
  <r>
    <s v="FL250374"/>
    <x v="372"/>
    <x v="0"/>
    <x v="11"/>
    <x v="3"/>
    <x v="3"/>
    <x v="6"/>
    <n v="13"/>
    <s v="30"/>
    <n v="1.1000000000000001"/>
    <s v="1"/>
    <x v="0"/>
    <x v="1"/>
    <s v="On Hold"/>
    <n v="8"/>
    <x v="0"/>
    <x v="6"/>
  </r>
  <r>
    <s v="FL250375"/>
    <x v="373"/>
    <x v="1"/>
    <x v="13"/>
    <x v="8"/>
    <x v="6"/>
    <x v="0"/>
    <s v="Not Mentioned"/>
    <s v="$50"/>
    <n v="2.1"/>
    <s v="1"/>
    <x v="42"/>
    <x v="1"/>
    <s v="Active"/>
    <n v="1"/>
    <x v="1"/>
    <x v="3"/>
  </r>
  <r>
    <s v="FL250376"/>
    <x v="374"/>
    <x v="1"/>
    <x v="39"/>
    <x v="2"/>
    <x v="2"/>
    <x v="8"/>
    <n v="3"/>
    <s v="$30"/>
    <n v="2.2999999999999998"/>
    <s v="FALSE"/>
    <x v="49"/>
    <x v="0"/>
    <s v="Active"/>
    <n v="4"/>
    <x v="1"/>
    <x v="7"/>
  </r>
  <r>
    <s v="FL250377"/>
    <x v="375"/>
    <x v="1"/>
    <x v="9"/>
    <x v="1"/>
    <x v="1"/>
    <x v="2"/>
    <n v="26"/>
    <s v="Not given"/>
    <n v="3.6"/>
    <s v="1"/>
    <x v="21"/>
    <x v="1"/>
    <s v="On Hold"/>
    <n v="11"/>
    <x v="0"/>
    <x v="11"/>
  </r>
  <r>
    <s v="FL250378"/>
    <x v="376"/>
    <x v="0"/>
    <x v="27"/>
    <x v="2"/>
    <x v="2"/>
    <x v="10"/>
    <n v="4"/>
    <s v="USD 20"/>
    <n v="4.7"/>
    <s v="TRUE"/>
    <x v="1"/>
    <x v="1"/>
    <s v="Active"/>
    <n v="4"/>
    <x v="1"/>
    <x v="6"/>
  </r>
  <r>
    <s v="FL250379"/>
    <x v="377"/>
    <x v="1"/>
    <x v="35"/>
    <x v="15"/>
    <x v="1"/>
    <x v="8"/>
    <n v="8"/>
    <s v="20"/>
    <n v="4.8"/>
    <s v="N"/>
    <x v="22"/>
    <x v="1"/>
    <s v="Completed"/>
    <n v="6"/>
    <x v="0"/>
    <x v="12"/>
  </r>
  <r>
    <s v="FL250380"/>
    <x v="378"/>
    <x v="1"/>
    <x v="29"/>
    <x v="18"/>
    <x v="14"/>
    <x v="5"/>
    <n v="10"/>
    <s v="75"/>
    <n v="4.2"/>
    <s v="N"/>
    <x v="66"/>
    <x v="1"/>
    <s v="Inactive"/>
    <n v="7"/>
    <x v="0"/>
    <x v="7"/>
  </r>
  <r>
    <s v="FL250381"/>
    <x v="379"/>
    <x v="1"/>
    <x v="33"/>
    <x v="0"/>
    <x v="0"/>
    <x v="10"/>
    <n v="5"/>
    <s v="Not given"/>
    <n v="4.8"/>
    <s v="1"/>
    <x v="35"/>
    <x v="2"/>
    <s v="On Hold"/>
    <n v="2"/>
    <x v="1"/>
    <x v="3"/>
  </r>
  <r>
    <s v="FL250382"/>
    <x v="380"/>
    <x v="1"/>
    <x v="11"/>
    <x v="21"/>
    <x v="6"/>
    <x v="0"/>
    <n v="18"/>
    <s v="75"/>
    <n v="4"/>
    <s v="1"/>
    <x v="49"/>
    <x v="0"/>
    <s v="On Hold"/>
    <n v="10"/>
    <x v="0"/>
    <x v="12"/>
  </r>
  <r>
    <s v="FL250383"/>
    <x v="381"/>
    <x v="0"/>
    <x v="21"/>
    <x v="17"/>
    <x v="13"/>
    <x v="6"/>
    <n v="10"/>
    <s v="$20"/>
    <n v="2.5"/>
    <s v="TRUE"/>
    <x v="36"/>
    <x v="3"/>
    <s v="Active"/>
    <n v="13"/>
    <x v="0"/>
    <x v="10"/>
  </r>
  <r>
    <s v="FL250384"/>
    <x v="382"/>
    <x v="0"/>
    <x v="13"/>
    <x v="7"/>
    <x v="1"/>
    <x v="7"/>
    <n v="0"/>
    <s v="USD 20"/>
    <n v="4.8"/>
    <s v="0"/>
    <x v="26"/>
    <x v="1"/>
    <s v="On Hold"/>
    <n v="2"/>
    <x v="1"/>
    <x v="3"/>
  </r>
  <r>
    <s v="FL250385"/>
    <x v="383"/>
    <x v="0"/>
    <x v="11"/>
    <x v="20"/>
    <x v="6"/>
    <x v="0"/>
    <n v="21"/>
    <s v="30"/>
    <n v="4.7"/>
    <s v="FALSE"/>
    <x v="35"/>
    <x v="2"/>
    <s v="Completed"/>
    <n v="15"/>
    <x v="0"/>
    <x v="0"/>
  </r>
  <r>
    <s v="FL250386"/>
    <x v="384"/>
    <x v="1"/>
    <x v="3"/>
    <x v="17"/>
    <x v="13"/>
    <x v="0"/>
    <n v="25"/>
    <s v="20"/>
    <n v="4"/>
    <s v="0"/>
    <x v="3"/>
    <x v="2"/>
    <s v="Active"/>
    <n v="15"/>
    <x v="0"/>
    <x v="11"/>
  </r>
  <r>
    <s v="FL250387"/>
    <x v="385"/>
    <x v="1"/>
    <x v="24"/>
    <x v="3"/>
    <x v="3"/>
    <x v="9"/>
    <n v="0"/>
    <s v="$40"/>
    <n v="4.0999999999999996"/>
    <s v="Y"/>
    <x v="36"/>
    <x v="2"/>
    <s v="Active"/>
    <n v="4"/>
    <x v="1"/>
    <x v="3"/>
  </r>
  <r>
    <s v="FL250388"/>
    <x v="386"/>
    <x v="0"/>
    <x v="27"/>
    <x v="15"/>
    <x v="1"/>
    <x v="9"/>
    <n v="5"/>
    <s v="100"/>
    <n v="3.2"/>
    <s v="1"/>
    <x v="0"/>
    <x v="3"/>
    <s v="Active"/>
    <n v="5"/>
    <x v="1"/>
    <x v="7"/>
  </r>
  <r>
    <s v="FL250389"/>
    <x v="387"/>
    <x v="1"/>
    <x v="35"/>
    <x v="17"/>
    <x v="13"/>
    <x v="3"/>
    <n v="1"/>
    <s v="20"/>
    <n v="4.3"/>
    <s v="N"/>
    <x v="6"/>
    <x v="1"/>
    <s v="Active"/>
    <n v="4"/>
    <x v="1"/>
    <x v="4"/>
  </r>
  <r>
    <s v="FL250390"/>
    <x v="388"/>
    <x v="1"/>
    <x v="35"/>
    <x v="19"/>
    <x v="15"/>
    <x v="8"/>
    <n v="4"/>
    <s v="40"/>
    <n v="4.4000000000000004"/>
    <s v="0"/>
    <x v="41"/>
    <x v="0"/>
    <s v="Completed"/>
    <n v="4"/>
    <x v="1"/>
    <x v="6"/>
  </r>
  <r>
    <s v="FL250391"/>
    <x v="389"/>
    <x v="0"/>
    <x v="36"/>
    <x v="18"/>
    <x v="14"/>
    <x v="6"/>
    <n v="21"/>
    <s v="40"/>
    <n v="2.2999999999999998"/>
    <s v="0"/>
    <x v="0"/>
    <x v="0"/>
    <s v="Active"/>
    <n v="14"/>
    <x v="0"/>
    <x v="5"/>
  </r>
  <r>
    <s v="FL250392"/>
    <x v="390"/>
    <x v="1"/>
    <x v="24"/>
    <x v="18"/>
    <x v="14"/>
    <x v="5"/>
    <n v="1"/>
    <s v="$20"/>
    <n v="2.4"/>
    <s v="1"/>
    <x v="49"/>
    <x v="2"/>
    <s v="On Hold"/>
    <n v="4"/>
    <x v="1"/>
    <x v="6"/>
  </r>
  <r>
    <s v="FL250393"/>
    <x v="391"/>
    <x v="1"/>
    <x v="33"/>
    <x v="0"/>
    <x v="0"/>
    <x v="9"/>
    <s v="Not Mentioned"/>
    <s v="50"/>
    <n v="4.5999999999999996"/>
    <s v="0"/>
    <x v="4"/>
    <x v="3"/>
    <s v="Completed"/>
    <n v="1"/>
    <x v="1"/>
    <x v="3"/>
  </r>
  <r>
    <s v="FL250394"/>
    <x v="392"/>
    <x v="0"/>
    <x v="28"/>
    <x v="2"/>
    <x v="2"/>
    <x v="7"/>
    <n v="10"/>
    <s v="50"/>
    <n v="0"/>
    <s v="no"/>
    <x v="0"/>
    <x v="3"/>
    <s v="Inactive"/>
    <n v="10"/>
    <x v="0"/>
    <x v="6"/>
  </r>
  <r>
    <s v="FL250395"/>
    <x v="393"/>
    <x v="0"/>
    <x v="20"/>
    <x v="17"/>
    <x v="13"/>
    <x v="0"/>
    <n v="21"/>
    <s v="Not given"/>
    <n v="0"/>
    <s v="Y"/>
    <x v="0"/>
    <x v="3"/>
    <s v="Inactive"/>
    <n v="10"/>
    <x v="0"/>
    <x v="11"/>
  </r>
  <r>
    <s v="FL250396"/>
    <x v="394"/>
    <x v="1"/>
    <x v="28"/>
    <x v="14"/>
    <x v="11"/>
    <x v="8"/>
    <n v="0"/>
    <s v="$20"/>
    <n v="4.2"/>
    <s v="Y"/>
    <x v="21"/>
    <x v="0"/>
    <s v="On Hold"/>
    <n v="5"/>
    <x v="1"/>
    <x v="3"/>
  </r>
  <r>
    <s v="FL250397"/>
    <x v="395"/>
    <x v="0"/>
    <x v="29"/>
    <x v="8"/>
    <x v="6"/>
    <x v="6"/>
    <n v="0"/>
    <s v="50"/>
    <n v="2.2999999999999998"/>
    <s v="0"/>
    <x v="7"/>
    <x v="2"/>
    <s v="On Hold"/>
    <n v="5"/>
    <x v="1"/>
    <x v="10"/>
  </r>
  <r>
    <s v="FL250398"/>
    <x v="396"/>
    <x v="0"/>
    <x v="30"/>
    <x v="3"/>
    <x v="3"/>
    <x v="6"/>
    <n v="17"/>
    <s v="$50"/>
    <n v="4.7"/>
    <s v="1"/>
    <x v="38"/>
    <x v="1"/>
    <s v="Completed"/>
    <n v="15"/>
    <x v="0"/>
    <x v="13"/>
  </r>
  <r>
    <s v="FL250399"/>
    <x v="397"/>
    <x v="1"/>
    <x v="14"/>
    <x v="13"/>
    <x v="10"/>
    <x v="8"/>
    <n v="5"/>
    <s v="Not given"/>
    <n v="3"/>
    <s v="1"/>
    <x v="39"/>
    <x v="0"/>
    <s v="Inactive"/>
    <n v="2"/>
    <x v="1"/>
    <x v="6"/>
  </r>
  <r>
    <s v="FL250400"/>
    <x v="398"/>
    <x v="1"/>
    <x v="15"/>
    <x v="5"/>
    <x v="1"/>
    <x v="7"/>
    <n v="3"/>
    <s v="USD 30"/>
    <n v="2.4"/>
    <s v="0"/>
    <x v="22"/>
    <x v="2"/>
    <s v="Inactive"/>
    <n v="2"/>
    <x v="1"/>
    <x v="4"/>
  </r>
  <r>
    <s v="FL250401"/>
    <x v="399"/>
    <x v="1"/>
    <x v="16"/>
    <x v="14"/>
    <x v="11"/>
    <x v="6"/>
    <n v="1"/>
    <s v="20"/>
    <n v="1.7"/>
    <s v="N"/>
    <x v="50"/>
    <x v="2"/>
    <s v="Inactive"/>
    <n v="1"/>
    <x v="1"/>
    <x v="10"/>
  </r>
  <r>
    <s v="FL250402"/>
    <x v="400"/>
    <x v="1"/>
    <x v="18"/>
    <x v="6"/>
    <x v="5"/>
    <x v="8"/>
    <n v="2"/>
    <s v="75"/>
    <n v="0"/>
    <s v="FALSE"/>
    <x v="41"/>
    <x v="1"/>
    <s v="Inactive"/>
    <n v="5"/>
    <x v="1"/>
    <x v="3"/>
  </r>
  <r>
    <s v="FL250403"/>
    <x v="401"/>
    <x v="1"/>
    <x v="9"/>
    <x v="2"/>
    <x v="2"/>
    <x v="9"/>
    <n v="32"/>
    <s v="$30"/>
    <s v="Not Mentioned"/>
    <s v="0"/>
    <x v="37"/>
    <x v="1"/>
    <s v="Inactive"/>
    <n v="12"/>
    <x v="0"/>
    <x v="8"/>
  </r>
  <r>
    <s v="FL250404"/>
    <x v="402"/>
    <x v="0"/>
    <x v="20"/>
    <x v="1"/>
    <x v="1"/>
    <x v="0"/>
    <n v="14"/>
    <s v="30"/>
    <n v="0"/>
    <s v="Y"/>
    <x v="50"/>
    <x v="1"/>
    <s v="Active"/>
    <n v="7"/>
    <x v="0"/>
    <x v="5"/>
  </r>
  <r>
    <s v="FL250405"/>
    <x v="403"/>
    <x v="1"/>
    <x v="13"/>
    <x v="18"/>
    <x v="14"/>
    <x v="3"/>
    <n v="10"/>
    <s v="20"/>
    <n v="1.8"/>
    <s v="yes"/>
    <x v="67"/>
    <x v="3"/>
    <s v="On Hold"/>
    <n v="6"/>
    <x v="0"/>
    <x v="6"/>
  </r>
  <r>
    <s v="FL250406"/>
    <x v="404"/>
    <x v="0"/>
    <x v="14"/>
    <x v="3"/>
    <x v="3"/>
    <x v="8"/>
    <n v="27"/>
    <s v="$50"/>
    <n v="0"/>
    <s v="no"/>
    <x v="50"/>
    <x v="1"/>
    <s v="Active"/>
    <n v="14"/>
    <x v="0"/>
    <x v="13"/>
  </r>
  <r>
    <s v="FL250407"/>
    <x v="405"/>
    <x v="1"/>
    <x v="24"/>
    <x v="16"/>
    <x v="12"/>
    <x v="5"/>
    <n v="2"/>
    <s v="$30"/>
    <n v="3.8"/>
    <s v="1"/>
    <x v="65"/>
    <x v="2"/>
    <s v="Inactive"/>
    <n v="2"/>
    <x v="1"/>
    <x v="3"/>
  </r>
  <r>
    <s v="FL250408"/>
    <x v="406"/>
    <x v="1"/>
    <x v="14"/>
    <x v="10"/>
    <x v="7"/>
    <x v="5"/>
    <n v="33"/>
    <s v="USD 40"/>
    <n v="0"/>
    <s v="Y"/>
    <x v="23"/>
    <x v="1"/>
    <s v="Completed"/>
    <n v="16"/>
    <x v="0"/>
    <x v="15"/>
  </r>
  <r>
    <s v="FL250409"/>
    <x v="407"/>
    <x v="0"/>
    <x v="33"/>
    <x v="4"/>
    <x v="4"/>
    <x v="2"/>
    <n v="11"/>
    <s v="USD 40"/>
    <n v="3.6"/>
    <s v="N"/>
    <x v="38"/>
    <x v="2"/>
    <s v="Completed"/>
    <n v="14"/>
    <x v="0"/>
    <x v="1"/>
  </r>
  <r>
    <s v="FL250410"/>
    <x v="408"/>
    <x v="0"/>
    <x v="38"/>
    <x v="21"/>
    <x v="6"/>
    <x v="2"/>
    <n v="2"/>
    <s v="30"/>
    <n v="0"/>
    <s v="0"/>
    <x v="5"/>
    <x v="0"/>
    <s v="Inactive"/>
    <n v="2"/>
    <x v="1"/>
    <x v="6"/>
  </r>
  <r>
    <s v="FL250411"/>
    <x v="409"/>
    <x v="0"/>
    <x v="9"/>
    <x v="1"/>
    <x v="1"/>
    <x v="3"/>
    <n v="31"/>
    <s v="$50"/>
    <n v="4.0999999999999996"/>
    <s v="Not Mentioned"/>
    <x v="22"/>
    <x v="3"/>
    <s v="Inactive"/>
    <n v="11"/>
    <x v="0"/>
    <x v="4"/>
  </r>
  <r>
    <s v="FL250412"/>
    <x v="410"/>
    <x v="0"/>
    <x v="29"/>
    <x v="6"/>
    <x v="5"/>
    <x v="2"/>
    <n v="17"/>
    <s v="$50"/>
    <n v="2.6"/>
    <s v="1"/>
    <x v="35"/>
    <x v="0"/>
    <s v="Completed"/>
    <n v="20"/>
    <x v="0"/>
    <x v="3"/>
  </r>
  <r>
    <s v="FL250413"/>
    <x v="411"/>
    <x v="0"/>
    <x v="6"/>
    <x v="12"/>
    <x v="9"/>
    <x v="7"/>
    <n v="2"/>
    <s v="$100"/>
    <n v="0"/>
    <s v="0"/>
    <x v="0"/>
    <x v="0"/>
    <s v="Active"/>
    <n v="3"/>
    <x v="1"/>
    <x v="7"/>
  </r>
  <r>
    <s v="FL250414"/>
    <x v="412"/>
    <x v="0"/>
    <x v="5"/>
    <x v="17"/>
    <x v="13"/>
    <x v="3"/>
    <n v="2"/>
    <s v="20"/>
    <n v="1.3"/>
    <s v="no"/>
    <x v="4"/>
    <x v="2"/>
    <s v="Active"/>
    <n v="1"/>
    <x v="1"/>
    <x v="7"/>
  </r>
  <r>
    <s v="FL250415"/>
    <x v="413"/>
    <x v="0"/>
    <x v="40"/>
    <x v="13"/>
    <x v="10"/>
    <x v="8"/>
    <n v="22"/>
    <s v="30"/>
    <n v="4.0999999999999996"/>
    <s v="Y"/>
    <x v="0"/>
    <x v="0"/>
    <s v="Inactive"/>
    <n v="15"/>
    <x v="0"/>
    <x v="7"/>
  </r>
  <r>
    <s v="FL250416"/>
    <x v="414"/>
    <x v="1"/>
    <x v="10"/>
    <x v="20"/>
    <x v="6"/>
    <x v="10"/>
    <n v="8"/>
    <s v="$50"/>
    <n v="2.4"/>
    <s v="no"/>
    <x v="15"/>
    <x v="2"/>
    <s v="Active"/>
    <n v="7"/>
    <x v="0"/>
    <x v="13"/>
  </r>
  <r>
    <s v="FL250417"/>
    <x v="125"/>
    <x v="1"/>
    <x v="2"/>
    <x v="20"/>
    <x v="6"/>
    <x v="6"/>
    <n v="9"/>
    <s v="$50"/>
    <n v="0"/>
    <s v="0"/>
    <x v="26"/>
    <x v="1"/>
    <s v="Completed"/>
    <n v="9"/>
    <x v="0"/>
    <x v="11"/>
  </r>
  <r>
    <s v="FL250418"/>
    <x v="415"/>
    <x v="1"/>
    <x v="14"/>
    <x v="17"/>
    <x v="13"/>
    <x v="3"/>
    <n v="32"/>
    <s v="100"/>
    <n v="4.4000000000000004"/>
    <s v="FALSE"/>
    <x v="68"/>
    <x v="1"/>
    <s v="Active"/>
    <n v="14"/>
    <x v="0"/>
    <x v="8"/>
  </r>
  <r>
    <s v="FL250419"/>
    <x v="416"/>
    <x v="0"/>
    <x v="18"/>
    <x v="16"/>
    <x v="12"/>
    <x v="5"/>
    <n v="8"/>
    <s v="USD 100"/>
    <n v="2.2000000000000002"/>
    <s v="1"/>
    <x v="36"/>
    <x v="2"/>
    <s v="Inactive"/>
    <n v="10"/>
    <x v="0"/>
    <x v="7"/>
  </r>
  <r>
    <s v="FL250420"/>
    <x v="417"/>
    <x v="0"/>
    <x v="33"/>
    <x v="1"/>
    <x v="1"/>
    <x v="1"/>
    <n v="10"/>
    <s v="30"/>
    <n v="0"/>
    <s v="0"/>
    <x v="32"/>
    <x v="1"/>
    <s v="Completed"/>
    <n v="15"/>
    <x v="0"/>
    <x v="9"/>
  </r>
  <r>
    <s v="FL250421"/>
    <x v="418"/>
    <x v="1"/>
    <x v="28"/>
    <x v="18"/>
    <x v="14"/>
    <x v="9"/>
    <n v="0"/>
    <s v="50"/>
    <n v="1.1000000000000001"/>
    <s v="Y"/>
    <x v="38"/>
    <x v="3"/>
    <s v="Active"/>
    <n v="2"/>
    <x v="1"/>
    <x v="3"/>
  </r>
  <r>
    <s v="FL250422"/>
    <x v="419"/>
    <x v="0"/>
    <x v="19"/>
    <x v="11"/>
    <x v="8"/>
    <x v="8"/>
    <n v="22"/>
    <s v="Not given"/>
    <n v="1.4"/>
    <s v="yes"/>
    <x v="29"/>
    <x v="0"/>
    <s v="On Hold"/>
    <n v="19"/>
    <x v="0"/>
    <x v="10"/>
  </r>
  <r>
    <s v="FL250423"/>
    <x v="420"/>
    <x v="0"/>
    <x v="23"/>
    <x v="20"/>
    <x v="6"/>
    <x v="7"/>
    <n v="34"/>
    <s v="$100"/>
    <n v="0"/>
    <s v="TRUE"/>
    <x v="26"/>
    <x v="3"/>
    <s v="Completed"/>
    <n v="19"/>
    <x v="0"/>
    <x v="15"/>
  </r>
  <r>
    <s v="FL250424"/>
    <x v="421"/>
    <x v="0"/>
    <x v="36"/>
    <x v="8"/>
    <x v="6"/>
    <x v="1"/>
    <n v="5"/>
    <s v="30"/>
    <n v="1.5"/>
    <s v="N"/>
    <x v="0"/>
    <x v="0"/>
    <s v="Completed"/>
    <n v="4"/>
    <x v="1"/>
    <x v="10"/>
  </r>
  <r>
    <s v="FL250425"/>
    <x v="422"/>
    <x v="0"/>
    <x v="39"/>
    <x v="11"/>
    <x v="8"/>
    <x v="5"/>
    <n v="3"/>
    <s v="20"/>
    <n v="0"/>
    <s v="1"/>
    <x v="0"/>
    <x v="1"/>
    <s v="On Hold"/>
    <n v="2"/>
    <x v="1"/>
    <x v="3"/>
  </r>
  <r>
    <s v="FL250426"/>
    <x v="423"/>
    <x v="0"/>
    <x v="25"/>
    <x v="3"/>
    <x v="3"/>
    <x v="10"/>
    <n v="10"/>
    <s v="75"/>
    <n v="0"/>
    <s v="Not Mentioned"/>
    <x v="26"/>
    <x v="3"/>
    <s v="On Hold"/>
    <n v="8"/>
    <x v="0"/>
    <x v="11"/>
  </r>
  <r>
    <s v="FL250427"/>
    <x v="424"/>
    <x v="1"/>
    <x v="25"/>
    <x v="5"/>
    <x v="1"/>
    <x v="9"/>
    <s v="Not Mentioned"/>
    <s v="100"/>
    <n v="3.5"/>
    <s v="Y"/>
    <x v="2"/>
    <x v="1"/>
    <s v="Completed"/>
    <n v="2"/>
    <x v="1"/>
    <x v="3"/>
  </r>
  <r>
    <s v="FL250428"/>
    <x v="425"/>
    <x v="0"/>
    <x v="22"/>
    <x v="3"/>
    <x v="3"/>
    <x v="7"/>
    <n v="6"/>
    <s v="Not given"/>
    <n v="4.8"/>
    <s v="N"/>
    <x v="4"/>
    <x v="0"/>
    <s v="On Hold"/>
    <n v="14"/>
    <x v="0"/>
    <x v="10"/>
  </r>
  <r>
    <s v="FL250429"/>
    <x v="426"/>
    <x v="0"/>
    <x v="18"/>
    <x v="0"/>
    <x v="0"/>
    <x v="10"/>
    <n v="1"/>
    <s v="$75"/>
    <s v="Not Mentioned"/>
    <s v="Not Mentioned"/>
    <x v="23"/>
    <x v="2"/>
    <s v="Inactive"/>
    <n v="4"/>
    <x v="1"/>
    <x v="10"/>
  </r>
  <r>
    <s v="FL250430"/>
    <x v="427"/>
    <x v="0"/>
    <x v="40"/>
    <x v="15"/>
    <x v="1"/>
    <x v="5"/>
    <n v="0"/>
    <s v="Not given"/>
    <n v="4.8"/>
    <s v="Not Mentioned"/>
    <x v="1"/>
    <x v="2"/>
    <s v="Inactive"/>
    <n v="4"/>
    <x v="1"/>
    <x v="3"/>
  </r>
  <r>
    <s v="FL250431"/>
    <x v="428"/>
    <x v="1"/>
    <x v="40"/>
    <x v="18"/>
    <x v="14"/>
    <x v="3"/>
    <s v="Not Mentioned"/>
    <s v="Not given"/>
    <n v="1.4"/>
    <s v="0"/>
    <x v="9"/>
    <x v="3"/>
    <s v="Inactive"/>
    <n v="3"/>
    <x v="1"/>
    <x v="3"/>
  </r>
  <r>
    <s v="FL250432"/>
    <x v="429"/>
    <x v="1"/>
    <x v="6"/>
    <x v="11"/>
    <x v="8"/>
    <x v="5"/>
    <n v="13"/>
    <s v="USD 100"/>
    <n v="1.1000000000000001"/>
    <s v="1"/>
    <x v="0"/>
    <x v="1"/>
    <s v="Completed"/>
    <n v="13"/>
    <x v="0"/>
    <x v="11"/>
  </r>
  <r>
    <s v="FL250433"/>
    <x v="430"/>
    <x v="0"/>
    <x v="1"/>
    <x v="3"/>
    <x v="3"/>
    <x v="10"/>
    <n v="13"/>
    <s v="$50"/>
    <n v="3.3"/>
    <s v="Y"/>
    <x v="9"/>
    <x v="1"/>
    <s v="On Hold"/>
    <n v="10"/>
    <x v="0"/>
    <x v="5"/>
  </r>
  <r>
    <s v="FL250434"/>
    <x v="431"/>
    <x v="0"/>
    <x v="25"/>
    <x v="2"/>
    <x v="2"/>
    <x v="0"/>
    <n v="0"/>
    <s v="USD 30"/>
    <n v="4.5999999999999996"/>
    <s v="Not Mentioned"/>
    <x v="36"/>
    <x v="3"/>
    <s v="On Hold"/>
    <n v="1"/>
    <x v="1"/>
    <x v="3"/>
  </r>
  <r>
    <s v="FL250435"/>
    <x v="432"/>
    <x v="0"/>
    <x v="35"/>
    <x v="8"/>
    <x v="6"/>
    <x v="10"/>
    <n v="7"/>
    <s v="USD 75"/>
    <n v="2.8"/>
    <s v="1"/>
    <x v="41"/>
    <x v="2"/>
    <s v="Active"/>
    <n v="7"/>
    <x v="0"/>
    <x v="6"/>
  </r>
  <r>
    <s v="FL250436"/>
    <x v="433"/>
    <x v="1"/>
    <x v="17"/>
    <x v="1"/>
    <x v="1"/>
    <x v="9"/>
    <n v="6"/>
    <s v="50"/>
    <n v="5"/>
    <s v="Y"/>
    <x v="41"/>
    <x v="0"/>
    <s v="Active"/>
    <n v="8"/>
    <x v="0"/>
    <x v="4"/>
  </r>
  <r>
    <s v="FL250437"/>
    <x v="434"/>
    <x v="1"/>
    <x v="39"/>
    <x v="11"/>
    <x v="8"/>
    <x v="8"/>
    <n v="2"/>
    <s v="75"/>
    <n v="4.7"/>
    <s v="no"/>
    <x v="15"/>
    <x v="3"/>
    <s v="On Hold"/>
    <n v="1"/>
    <x v="1"/>
    <x v="10"/>
  </r>
  <r>
    <s v="FL250438"/>
    <x v="435"/>
    <x v="1"/>
    <x v="8"/>
    <x v="5"/>
    <x v="1"/>
    <x v="7"/>
    <n v="13"/>
    <s v="100"/>
    <n v="3.5"/>
    <s v="no"/>
    <x v="46"/>
    <x v="0"/>
    <s v="On Hold"/>
    <n v="13"/>
    <x v="0"/>
    <x v="4"/>
  </r>
  <r>
    <s v="FL250439"/>
    <x v="436"/>
    <x v="1"/>
    <x v="41"/>
    <x v="13"/>
    <x v="10"/>
    <x v="7"/>
    <n v="7"/>
    <s v="$100"/>
    <n v="4.3"/>
    <s v="FALSE"/>
    <x v="6"/>
    <x v="2"/>
    <s v="On Hold"/>
    <n v="7"/>
    <x v="0"/>
    <x v="9"/>
  </r>
  <r>
    <s v="FL250440"/>
    <x v="437"/>
    <x v="0"/>
    <x v="5"/>
    <x v="0"/>
    <x v="0"/>
    <x v="9"/>
    <n v="7"/>
    <s v="USD 100"/>
    <n v="3.3"/>
    <s v="yes"/>
    <x v="49"/>
    <x v="1"/>
    <s v="Completed"/>
    <n v="14"/>
    <x v="0"/>
    <x v="11"/>
  </r>
  <r>
    <s v="FL250441"/>
    <x v="438"/>
    <x v="1"/>
    <x v="17"/>
    <x v="8"/>
    <x v="6"/>
    <x v="1"/>
    <n v="15"/>
    <s v="75"/>
    <s v="Not Mentioned"/>
    <s v="0"/>
    <x v="38"/>
    <x v="2"/>
    <s v="On Hold"/>
    <n v="14"/>
    <x v="0"/>
    <x v="12"/>
  </r>
  <r>
    <s v="FL250442"/>
    <x v="439"/>
    <x v="1"/>
    <x v="4"/>
    <x v="10"/>
    <x v="7"/>
    <x v="5"/>
    <s v="Not Mentioned"/>
    <s v="USD 20"/>
    <n v="2.8"/>
    <s v="Not Mentioned"/>
    <x v="56"/>
    <x v="3"/>
    <s v="Active"/>
    <n v="4"/>
    <x v="1"/>
    <x v="3"/>
  </r>
  <r>
    <s v="FL250443"/>
    <x v="440"/>
    <x v="1"/>
    <x v="28"/>
    <x v="19"/>
    <x v="15"/>
    <x v="2"/>
    <n v="5"/>
    <s v="Not given"/>
    <n v="2.7"/>
    <s v="1"/>
    <x v="69"/>
    <x v="1"/>
    <s v="Completed"/>
    <n v="4"/>
    <x v="1"/>
    <x v="3"/>
  </r>
  <r>
    <s v="FL250444"/>
    <x v="441"/>
    <x v="0"/>
    <x v="17"/>
    <x v="19"/>
    <x v="15"/>
    <x v="0"/>
    <s v="Not Mentioned"/>
    <s v="$50"/>
    <n v="0"/>
    <s v="FALSE"/>
    <x v="70"/>
    <x v="3"/>
    <s v="On Hold"/>
    <n v="5"/>
    <x v="1"/>
    <x v="3"/>
  </r>
  <r>
    <s v="FL250445"/>
    <x v="442"/>
    <x v="0"/>
    <x v="32"/>
    <x v="14"/>
    <x v="11"/>
    <x v="8"/>
    <n v="10"/>
    <s v="$20"/>
    <s v="Not Mentioned"/>
    <s v="Y"/>
    <x v="41"/>
    <x v="3"/>
    <s v="Active"/>
    <n v="12"/>
    <x v="0"/>
    <x v="6"/>
  </r>
  <r>
    <s v="FL250446"/>
    <x v="443"/>
    <x v="1"/>
    <x v="39"/>
    <x v="17"/>
    <x v="13"/>
    <x v="9"/>
    <n v="6"/>
    <s v="$75"/>
    <n v="4.3"/>
    <s v="yes"/>
    <x v="0"/>
    <x v="2"/>
    <s v="Completed"/>
    <n v="14"/>
    <x v="0"/>
    <x v="6"/>
  </r>
  <r>
    <s v="FL250447"/>
    <x v="444"/>
    <x v="1"/>
    <x v="25"/>
    <x v="7"/>
    <x v="1"/>
    <x v="5"/>
    <n v="8"/>
    <s v="USD 50"/>
    <s v="Not Mentioned"/>
    <s v="no"/>
    <x v="71"/>
    <x v="3"/>
    <s v="On Hold"/>
    <n v="6"/>
    <x v="0"/>
    <x v="7"/>
  </r>
  <r>
    <s v="FL250448"/>
    <x v="445"/>
    <x v="0"/>
    <x v="16"/>
    <x v="1"/>
    <x v="1"/>
    <x v="1"/>
    <n v="4"/>
    <s v="20"/>
    <s v="Not Mentioned"/>
    <s v="0"/>
    <x v="38"/>
    <x v="2"/>
    <s v="On Hold"/>
    <n v="1"/>
    <x v="1"/>
    <x v="3"/>
  </r>
  <r>
    <s v="FL250449"/>
    <x v="446"/>
    <x v="0"/>
    <x v="7"/>
    <x v="17"/>
    <x v="13"/>
    <x v="5"/>
    <n v="3"/>
    <s v="100"/>
    <s v="Not Mentioned"/>
    <s v="1"/>
    <x v="38"/>
    <x v="1"/>
    <s v="On Hold"/>
    <n v="1"/>
    <x v="1"/>
    <x v="10"/>
  </r>
  <r>
    <s v="FL250450"/>
    <x v="447"/>
    <x v="0"/>
    <x v="15"/>
    <x v="8"/>
    <x v="6"/>
    <x v="10"/>
    <s v="Not Mentioned"/>
    <s v="30"/>
    <n v="2.9"/>
    <s v="TRUE"/>
    <x v="50"/>
    <x v="2"/>
    <s v="Completed"/>
    <n v="3"/>
    <x v="1"/>
    <x v="4"/>
  </r>
  <r>
    <s v="FL250451"/>
    <x v="448"/>
    <x v="0"/>
    <x v="18"/>
    <x v="3"/>
    <x v="3"/>
    <x v="8"/>
    <n v="11"/>
    <s v="$30"/>
    <n v="0"/>
    <s v="TRUE"/>
    <x v="23"/>
    <x v="1"/>
    <s v="Active"/>
    <n v="9"/>
    <x v="0"/>
    <x v="15"/>
  </r>
  <r>
    <s v="FL250452"/>
    <x v="449"/>
    <x v="0"/>
    <x v="18"/>
    <x v="3"/>
    <x v="3"/>
    <x v="5"/>
    <n v="17"/>
    <s v="50"/>
    <n v="1.3"/>
    <s v="Not Mentioned"/>
    <x v="37"/>
    <x v="2"/>
    <s v="Active"/>
    <n v="18"/>
    <x v="0"/>
    <x v="1"/>
  </r>
  <r>
    <s v="FL250453"/>
    <x v="450"/>
    <x v="0"/>
    <x v="26"/>
    <x v="8"/>
    <x v="6"/>
    <x v="3"/>
    <n v="1"/>
    <s v="75"/>
    <n v="0"/>
    <s v="1"/>
    <x v="0"/>
    <x v="0"/>
    <s v="Inactive"/>
    <n v="2"/>
    <x v="1"/>
    <x v="4"/>
  </r>
  <r>
    <s v="FL250454"/>
    <x v="451"/>
    <x v="1"/>
    <x v="21"/>
    <x v="4"/>
    <x v="4"/>
    <x v="5"/>
    <n v="16"/>
    <s v="20"/>
    <n v="4.8"/>
    <s v="1"/>
    <x v="8"/>
    <x v="0"/>
    <s v="On Hold"/>
    <n v="12"/>
    <x v="0"/>
    <x v="12"/>
  </r>
  <r>
    <s v="FL250455"/>
    <x v="452"/>
    <x v="1"/>
    <x v="20"/>
    <x v="8"/>
    <x v="6"/>
    <x v="10"/>
    <n v="11"/>
    <s v="$40"/>
    <n v="2.4"/>
    <s v="FALSE"/>
    <x v="0"/>
    <x v="3"/>
    <s v="Inactive"/>
    <n v="9"/>
    <x v="0"/>
    <x v="10"/>
  </r>
  <r>
    <s v="FL250456"/>
    <x v="453"/>
    <x v="0"/>
    <x v="24"/>
    <x v="14"/>
    <x v="11"/>
    <x v="1"/>
    <n v="3"/>
    <s v="$100"/>
    <n v="4.7"/>
    <s v="N"/>
    <x v="32"/>
    <x v="2"/>
    <s v="Inactive"/>
    <n v="2"/>
    <x v="1"/>
    <x v="3"/>
  </r>
  <r>
    <s v="FL250457"/>
    <x v="454"/>
    <x v="1"/>
    <x v="22"/>
    <x v="5"/>
    <x v="1"/>
    <x v="2"/>
    <s v="Not Mentioned"/>
    <s v="$75"/>
    <n v="2"/>
    <s v="0"/>
    <x v="0"/>
    <x v="2"/>
    <s v="Active"/>
    <n v="4"/>
    <x v="1"/>
    <x v="4"/>
  </r>
  <r>
    <s v="FL250458"/>
    <x v="455"/>
    <x v="0"/>
    <x v="40"/>
    <x v="5"/>
    <x v="1"/>
    <x v="1"/>
    <n v="3"/>
    <s v="$50"/>
    <n v="2.2000000000000002"/>
    <s v="0"/>
    <x v="7"/>
    <x v="1"/>
    <s v="Completed"/>
    <n v="4"/>
    <x v="1"/>
    <x v="3"/>
  </r>
  <r>
    <s v="FL250459"/>
    <x v="456"/>
    <x v="1"/>
    <x v="6"/>
    <x v="15"/>
    <x v="1"/>
    <x v="10"/>
    <n v="1"/>
    <s v="100"/>
    <n v="2.1"/>
    <s v="1"/>
    <x v="0"/>
    <x v="3"/>
    <s v="Completed"/>
    <n v="4"/>
    <x v="1"/>
    <x v="3"/>
  </r>
  <r>
    <s v="FL250460"/>
    <x v="457"/>
    <x v="0"/>
    <x v="35"/>
    <x v="17"/>
    <x v="13"/>
    <x v="6"/>
    <n v="1"/>
    <s v="30"/>
    <n v="1.7"/>
    <s v="FALSE"/>
    <x v="16"/>
    <x v="2"/>
    <s v="Active"/>
    <n v="5"/>
    <x v="1"/>
    <x v="6"/>
  </r>
  <r>
    <s v="FL250461"/>
    <x v="458"/>
    <x v="1"/>
    <x v="1"/>
    <x v="16"/>
    <x v="12"/>
    <x v="1"/>
    <n v="35"/>
    <s v="Not given"/>
    <n v="5"/>
    <s v="1"/>
    <x v="20"/>
    <x v="3"/>
    <s v="Completed"/>
    <n v="14"/>
    <x v="0"/>
    <x v="11"/>
  </r>
  <r>
    <s v="FL250462"/>
    <x v="459"/>
    <x v="1"/>
    <x v="38"/>
    <x v="6"/>
    <x v="5"/>
    <x v="6"/>
    <n v="1"/>
    <s v="50"/>
    <n v="2.9"/>
    <s v="no"/>
    <x v="22"/>
    <x v="0"/>
    <s v="Inactive"/>
    <n v="1"/>
    <x v="1"/>
    <x v="3"/>
  </r>
  <r>
    <s v="FL250463"/>
    <x v="460"/>
    <x v="0"/>
    <x v="13"/>
    <x v="10"/>
    <x v="7"/>
    <x v="9"/>
    <n v="12"/>
    <s v="$50"/>
    <n v="4.0999999999999996"/>
    <s v="Y"/>
    <x v="20"/>
    <x v="2"/>
    <s v="On Hold"/>
    <n v="7"/>
    <x v="0"/>
    <x v="6"/>
  </r>
  <r>
    <s v="FL250464"/>
    <x v="461"/>
    <x v="1"/>
    <x v="5"/>
    <x v="20"/>
    <x v="6"/>
    <x v="3"/>
    <n v="8"/>
    <s v="40"/>
    <n v="4.9000000000000004"/>
    <s v="N"/>
    <x v="13"/>
    <x v="2"/>
    <s v="Active"/>
    <n v="9"/>
    <x v="0"/>
    <x v="6"/>
  </r>
  <r>
    <s v="FL250465"/>
    <x v="462"/>
    <x v="0"/>
    <x v="34"/>
    <x v="12"/>
    <x v="9"/>
    <x v="10"/>
    <n v="13"/>
    <s v="$100"/>
    <n v="2.5"/>
    <s v="FALSE"/>
    <x v="0"/>
    <x v="3"/>
    <s v="On Hold"/>
    <n v="6"/>
    <x v="0"/>
    <x v="10"/>
  </r>
  <r>
    <s v="FL250466"/>
    <x v="463"/>
    <x v="0"/>
    <x v="38"/>
    <x v="17"/>
    <x v="13"/>
    <x v="6"/>
    <n v="0"/>
    <s v="USD 30"/>
    <n v="0"/>
    <s v="1"/>
    <x v="57"/>
    <x v="2"/>
    <s v="Completed"/>
    <n v="5"/>
    <x v="1"/>
    <x v="4"/>
  </r>
  <r>
    <s v="FL250467"/>
    <x v="464"/>
    <x v="0"/>
    <x v="11"/>
    <x v="19"/>
    <x v="15"/>
    <x v="0"/>
    <n v="11"/>
    <s v="100"/>
    <n v="2.8"/>
    <s v="Not Mentioned"/>
    <x v="55"/>
    <x v="3"/>
    <s v="On Hold"/>
    <n v="9"/>
    <x v="0"/>
    <x v="5"/>
  </r>
  <r>
    <s v="FL250468"/>
    <x v="465"/>
    <x v="0"/>
    <x v="20"/>
    <x v="19"/>
    <x v="15"/>
    <x v="10"/>
    <n v="19"/>
    <s v="100"/>
    <n v="3.8"/>
    <s v="yes"/>
    <x v="2"/>
    <x v="2"/>
    <s v="Completed"/>
    <n v="16"/>
    <x v="0"/>
    <x v="7"/>
  </r>
  <r>
    <s v="FL250469"/>
    <x v="466"/>
    <x v="1"/>
    <x v="3"/>
    <x v="15"/>
    <x v="1"/>
    <x v="1"/>
    <n v="30"/>
    <s v="USD 30"/>
    <n v="4.3"/>
    <s v="1"/>
    <x v="4"/>
    <x v="1"/>
    <s v="Completed"/>
    <n v="11"/>
    <x v="0"/>
    <x v="4"/>
  </r>
  <r>
    <s v="FL250470"/>
    <x v="467"/>
    <x v="0"/>
    <x v="30"/>
    <x v="1"/>
    <x v="1"/>
    <x v="0"/>
    <n v="8"/>
    <s v="40"/>
    <n v="0"/>
    <s v="0"/>
    <x v="45"/>
    <x v="3"/>
    <s v="Inactive"/>
    <n v="7"/>
    <x v="0"/>
    <x v="11"/>
  </r>
  <r>
    <s v="FL250471"/>
    <x v="468"/>
    <x v="1"/>
    <x v="16"/>
    <x v="4"/>
    <x v="4"/>
    <x v="8"/>
    <n v="0"/>
    <s v="40"/>
    <n v="1.3"/>
    <s v="1"/>
    <x v="50"/>
    <x v="2"/>
    <s v="Completed"/>
    <n v="2"/>
    <x v="1"/>
    <x v="3"/>
  </r>
  <r>
    <s v="FL250472"/>
    <x v="469"/>
    <x v="0"/>
    <x v="36"/>
    <x v="11"/>
    <x v="8"/>
    <x v="1"/>
    <n v="7"/>
    <s v="50"/>
    <n v="4.7"/>
    <s v="Y"/>
    <x v="12"/>
    <x v="0"/>
    <s v="Inactive"/>
    <n v="13"/>
    <x v="0"/>
    <x v="5"/>
  </r>
  <r>
    <s v="FL250473"/>
    <x v="470"/>
    <x v="1"/>
    <x v="18"/>
    <x v="16"/>
    <x v="12"/>
    <x v="0"/>
    <n v="11"/>
    <s v="$40"/>
    <n v="1.3"/>
    <s v="TRUE"/>
    <x v="0"/>
    <x v="2"/>
    <s v="Inactive"/>
    <n v="15"/>
    <x v="0"/>
    <x v="6"/>
  </r>
  <r>
    <s v="FL250474"/>
    <x v="471"/>
    <x v="0"/>
    <x v="8"/>
    <x v="19"/>
    <x v="15"/>
    <x v="0"/>
    <s v="Not Mentioned"/>
    <s v="75"/>
    <n v="4.8"/>
    <s v="1"/>
    <x v="0"/>
    <x v="0"/>
    <s v="Inactive"/>
    <n v="1"/>
    <x v="1"/>
    <x v="10"/>
  </r>
  <r>
    <s v="FL250475"/>
    <x v="472"/>
    <x v="1"/>
    <x v="10"/>
    <x v="5"/>
    <x v="1"/>
    <x v="7"/>
    <n v="14"/>
    <s v="$30"/>
    <n v="1.3"/>
    <s v="0"/>
    <x v="5"/>
    <x v="0"/>
    <s v="Active"/>
    <n v="6"/>
    <x v="0"/>
    <x v="3"/>
  </r>
  <r>
    <s v="FL250476"/>
    <x v="473"/>
    <x v="1"/>
    <x v="28"/>
    <x v="4"/>
    <x v="4"/>
    <x v="8"/>
    <n v="11"/>
    <s v="$50"/>
    <n v="4.3"/>
    <s v="0"/>
    <x v="72"/>
    <x v="1"/>
    <s v="Active"/>
    <n v="7"/>
    <x v="0"/>
    <x v="15"/>
  </r>
  <r>
    <s v="FL250477"/>
    <x v="474"/>
    <x v="1"/>
    <x v="0"/>
    <x v="21"/>
    <x v="6"/>
    <x v="8"/>
    <n v="31"/>
    <s v="30"/>
    <s v="Not Mentioned"/>
    <s v="1"/>
    <x v="0"/>
    <x v="3"/>
    <s v="Completed"/>
    <n v="14"/>
    <x v="0"/>
    <x v="4"/>
  </r>
  <r>
    <s v="FL250478"/>
    <x v="475"/>
    <x v="1"/>
    <x v="12"/>
    <x v="3"/>
    <x v="3"/>
    <x v="9"/>
    <n v="16"/>
    <s v="USD 30"/>
    <n v="0"/>
    <s v="yes"/>
    <x v="0"/>
    <x v="2"/>
    <s v="Inactive"/>
    <n v="12"/>
    <x v="0"/>
    <x v="5"/>
  </r>
  <r>
    <s v="FL250479"/>
    <x v="476"/>
    <x v="0"/>
    <x v="39"/>
    <x v="3"/>
    <x v="3"/>
    <x v="9"/>
    <n v="6"/>
    <s v="30"/>
    <n v="0"/>
    <s v="yes"/>
    <x v="1"/>
    <x v="1"/>
    <s v="Active"/>
    <n v="6"/>
    <x v="0"/>
    <x v="6"/>
  </r>
  <r>
    <s v="FL250480"/>
    <x v="477"/>
    <x v="1"/>
    <x v="36"/>
    <x v="15"/>
    <x v="1"/>
    <x v="9"/>
    <n v="21"/>
    <s v="75"/>
    <n v="2.7"/>
    <s v="1"/>
    <x v="0"/>
    <x v="2"/>
    <s v="Inactive"/>
    <n v="17"/>
    <x v="0"/>
    <x v="12"/>
  </r>
  <r>
    <s v="FL250481"/>
    <x v="478"/>
    <x v="1"/>
    <x v="3"/>
    <x v="16"/>
    <x v="12"/>
    <x v="8"/>
    <n v="13"/>
    <s v="40"/>
    <n v="2.4"/>
    <s v="no"/>
    <x v="73"/>
    <x v="0"/>
    <s v="On Hold"/>
    <n v="13"/>
    <x v="0"/>
    <x v="6"/>
  </r>
  <r>
    <s v="FL250482"/>
    <x v="479"/>
    <x v="1"/>
    <x v="13"/>
    <x v="7"/>
    <x v="1"/>
    <x v="3"/>
    <s v="Not Mentioned"/>
    <s v="40"/>
    <n v="1.9"/>
    <s v="1"/>
    <x v="5"/>
    <x v="3"/>
    <s v="On Hold"/>
    <n v="4"/>
    <x v="1"/>
    <x v="4"/>
  </r>
  <r>
    <s v="FL250483"/>
    <x v="480"/>
    <x v="0"/>
    <x v="13"/>
    <x v="3"/>
    <x v="3"/>
    <x v="1"/>
    <n v="11"/>
    <s v="$20"/>
    <n v="3.6"/>
    <s v="no"/>
    <x v="11"/>
    <x v="2"/>
    <s v="On Hold"/>
    <n v="15"/>
    <x v="0"/>
    <x v="0"/>
  </r>
  <r>
    <s v="FL250484"/>
    <x v="481"/>
    <x v="1"/>
    <x v="26"/>
    <x v="3"/>
    <x v="3"/>
    <x v="1"/>
    <n v="0"/>
    <s v="50"/>
    <n v="2.9"/>
    <s v="yes"/>
    <x v="16"/>
    <x v="2"/>
    <s v="Completed"/>
    <n v="2"/>
    <x v="1"/>
    <x v="3"/>
  </r>
  <r>
    <s v="FL250485"/>
    <x v="482"/>
    <x v="1"/>
    <x v="28"/>
    <x v="17"/>
    <x v="13"/>
    <x v="1"/>
    <n v="2"/>
    <s v="$75"/>
    <n v="2.8"/>
    <s v="FALSE"/>
    <x v="12"/>
    <x v="0"/>
    <s v="Inactive"/>
    <n v="5"/>
    <x v="1"/>
    <x v="3"/>
  </r>
  <r>
    <s v="FL250486"/>
    <x v="483"/>
    <x v="1"/>
    <x v="6"/>
    <x v="6"/>
    <x v="5"/>
    <x v="9"/>
    <n v="12"/>
    <s v="75"/>
    <n v="2.6"/>
    <s v="FALSE"/>
    <x v="0"/>
    <x v="2"/>
    <s v="On Hold"/>
    <n v="13"/>
    <x v="0"/>
    <x v="14"/>
  </r>
  <r>
    <s v="FL250487"/>
    <x v="294"/>
    <x v="0"/>
    <x v="36"/>
    <x v="14"/>
    <x v="11"/>
    <x v="0"/>
    <n v="13"/>
    <s v="$100"/>
    <n v="2.7"/>
    <s v="Not Mentioned"/>
    <x v="20"/>
    <x v="2"/>
    <s v="Active"/>
    <n v="8"/>
    <x v="0"/>
    <x v="6"/>
  </r>
  <r>
    <s v="FL250488"/>
    <x v="484"/>
    <x v="0"/>
    <x v="39"/>
    <x v="18"/>
    <x v="14"/>
    <x v="1"/>
    <n v="6"/>
    <s v="30"/>
    <n v="1.1000000000000001"/>
    <s v="yes"/>
    <x v="0"/>
    <x v="0"/>
    <s v="On Hold"/>
    <n v="9"/>
    <x v="0"/>
    <x v="11"/>
  </r>
  <r>
    <s v="FL250489"/>
    <x v="485"/>
    <x v="1"/>
    <x v="31"/>
    <x v="4"/>
    <x v="4"/>
    <x v="3"/>
    <n v="10"/>
    <s v="USD 30"/>
    <n v="0"/>
    <s v="yes"/>
    <x v="19"/>
    <x v="1"/>
    <s v="On Hold"/>
    <n v="11"/>
    <x v="0"/>
    <x v="5"/>
  </r>
  <r>
    <s v="FL250490"/>
    <x v="486"/>
    <x v="0"/>
    <x v="4"/>
    <x v="12"/>
    <x v="9"/>
    <x v="7"/>
    <n v="2"/>
    <s v="$40"/>
    <n v="0"/>
    <s v="yes"/>
    <x v="19"/>
    <x v="0"/>
    <s v="On Hold"/>
    <n v="5"/>
    <x v="1"/>
    <x v="3"/>
  </r>
  <r>
    <s v="FL250491"/>
    <x v="487"/>
    <x v="1"/>
    <x v="4"/>
    <x v="21"/>
    <x v="6"/>
    <x v="0"/>
    <n v="4"/>
    <s v="50"/>
    <n v="0"/>
    <s v="TRUE"/>
    <x v="17"/>
    <x v="1"/>
    <s v="Completed"/>
    <n v="2"/>
    <x v="1"/>
    <x v="3"/>
  </r>
  <r>
    <s v="FL250492"/>
    <x v="488"/>
    <x v="0"/>
    <x v="31"/>
    <x v="1"/>
    <x v="1"/>
    <x v="3"/>
    <n v="11"/>
    <s v="Not given"/>
    <n v="4.5999999999999996"/>
    <s v="yes"/>
    <x v="0"/>
    <x v="3"/>
    <s v="Active"/>
    <n v="15"/>
    <x v="0"/>
    <x v="10"/>
  </r>
  <r>
    <s v="FL250493"/>
    <x v="489"/>
    <x v="0"/>
    <x v="34"/>
    <x v="14"/>
    <x v="11"/>
    <x v="7"/>
    <n v="14"/>
    <s v="40"/>
    <n v="1.5"/>
    <s v="Not Mentioned"/>
    <x v="12"/>
    <x v="1"/>
    <s v="Inactive"/>
    <n v="15"/>
    <x v="0"/>
    <x v="5"/>
  </r>
  <r>
    <s v="FL250494"/>
    <x v="490"/>
    <x v="1"/>
    <x v="7"/>
    <x v="15"/>
    <x v="1"/>
    <x v="7"/>
    <n v="10"/>
    <s v="40"/>
    <n v="2"/>
    <s v="no"/>
    <x v="27"/>
    <x v="1"/>
    <s v="Active"/>
    <n v="7"/>
    <x v="0"/>
    <x v="0"/>
  </r>
  <r>
    <s v="FL250495"/>
    <x v="491"/>
    <x v="0"/>
    <x v="31"/>
    <x v="13"/>
    <x v="10"/>
    <x v="2"/>
    <n v="3"/>
    <s v="$40"/>
    <n v="1.6"/>
    <s v="Not Mentioned"/>
    <x v="4"/>
    <x v="3"/>
    <s v="Inactive"/>
    <n v="4"/>
    <x v="1"/>
    <x v="10"/>
  </r>
  <r>
    <s v="FL250496"/>
    <x v="492"/>
    <x v="1"/>
    <x v="32"/>
    <x v="8"/>
    <x v="6"/>
    <x v="5"/>
    <n v="3"/>
    <s v="$30"/>
    <n v="1.5"/>
    <s v="N"/>
    <x v="32"/>
    <x v="1"/>
    <s v="Completed"/>
    <n v="5"/>
    <x v="1"/>
    <x v="3"/>
  </r>
  <r>
    <s v="FL250497"/>
    <x v="493"/>
    <x v="1"/>
    <x v="29"/>
    <x v="3"/>
    <x v="3"/>
    <x v="0"/>
    <n v="33"/>
    <s v="Not given"/>
    <n v="4.0999999999999996"/>
    <s v="Y"/>
    <x v="4"/>
    <x v="0"/>
    <s v="Completed"/>
    <n v="19"/>
    <x v="0"/>
    <x v="4"/>
  </r>
  <r>
    <s v="FL250498"/>
    <x v="494"/>
    <x v="1"/>
    <x v="34"/>
    <x v="4"/>
    <x v="4"/>
    <x v="6"/>
    <n v="24"/>
    <s v="100"/>
    <n v="4.7"/>
    <s v="0"/>
    <x v="12"/>
    <x v="1"/>
    <s v="Completed"/>
    <n v="20"/>
    <x v="0"/>
    <x v="4"/>
  </r>
  <r>
    <s v="FL250499"/>
    <x v="495"/>
    <x v="0"/>
    <x v="16"/>
    <x v="14"/>
    <x v="11"/>
    <x v="7"/>
    <n v="3"/>
    <s v="USD 100"/>
    <n v="3.6"/>
    <s v="1"/>
    <x v="50"/>
    <x v="3"/>
    <s v="Completed"/>
    <n v="3"/>
    <x v="1"/>
    <x v="6"/>
  </r>
  <r>
    <s v="FL250500"/>
    <x v="496"/>
    <x v="0"/>
    <x v="6"/>
    <x v="17"/>
    <x v="13"/>
    <x v="3"/>
    <n v="11"/>
    <s v="$20"/>
    <n v="1.8"/>
    <s v="1"/>
    <x v="3"/>
    <x v="0"/>
    <s v="Inactive"/>
    <n v="13"/>
    <x v="0"/>
    <x v="5"/>
  </r>
  <r>
    <s v="FL250501"/>
    <x v="497"/>
    <x v="1"/>
    <x v="7"/>
    <x v="1"/>
    <x v="1"/>
    <x v="6"/>
    <n v="7"/>
    <s v="USD 100"/>
    <n v="2.1"/>
    <s v="0"/>
    <x v="49"/>
    <x v="3"/>
    <s v="On Hold"/>
    <n v="8"/>
    <x v="0"/>
    <x v="11"/>
  </r>
  <r>
    <s v="FL250502"/>
    <x v="498"/>
    <x v="1"/>
    <x v="32"/>
    <x v="20"/>
    <x v="6"/>
    <x v="9"/>
    <n v="1"/>
    <s v="$50"/>
    <s v="Not Mentioned"/>
    <s v="yes"/>
    <x v="10"/>
    <x v="3"/>
    <s v="Inactive"/>
    <n v="4"/>
    <x v="1"/>
    <x v="7"/>
  </r>
  <r>
    <s v="FL250503"/>
    <x v="499"/>
    <x v="0"/>
    <x v="24"/>
    <x v="10"/>
    <x v="7"/>
    <x v="7"/>
    <n v="0"/>
    <s v="USD 30"/>
    <n v="4.2"/>
    <s v="yes"/>
    <x v="28"/>
    <x v="2"/>
    <s v="Active"/>
    <n v="3"/>
    <x v="1"/>
    <x v="10"/>
  </r>
  <r>
    <s v="FL250504"/>
    <x v="500"/>
    <x v="1"/>
    <x v="27"/>
    <x v="13"/>
    <x v="10"/>
    <x v="0"/>
    <n v="1"/>
    <s v="40"/>
    <n v="0"/>
    <s v="0"/>
    <x v="37"/>
    <x v="2"/>
    <s v="Completed"/>
    <n v="2"/>
    <x v="1"/>
    <x v="4"/>
  </r>
  <r>
    <s v="FL250505"/>
    <x v="501"/>
    <x v="1"/>
    <x v="24"/>
    <x v="7"/>
    <x v="1"/>
    <x v="1"/>
    <n v="1"/>
    <s v="USD 30"/>
    <n v="1"/>
    <s v="N"/>
    <x v="22"/>
    <x v="3"/>
    <s v="Completed"/>
    <n v="1"/>
    <x v="1"/>
    <x v="4"/>
  </r>
  <r>
    <s v="FL250506"/>
    <x v="502"/>
    <x v="1"/>
    <x v="28"/>
    <x v="8"/>
    <x v="6"/>
    <x v="5"/>
    <n v="7"/>
    <s v="75"/>
    <n v="4.4000000000000004"/>
    <s v="0"/>
    <x v="4"/>
    <x v="3"/>
    <s v="Active"/>
    <n v="12"/>
    <x v="0"/>
    <x v="0"/>
  </r>
  <r>
    <s v="FL250507"/>
    <x v="503"/>
    <x v="1"/>
    <x v="24"/>
    <x v="20"/>
    <x v="6"/>
    <x v="0"/>
    <s v="Not Mentioned"/>
    <s v="40"/>
    <n v="4"/>
    <s v="0"/>
    <x v="52"/>
    <x v="3"/>
    <s v="Inactive"/>
    <n v="2"/>
    <x v="1"/>
    <x v="3"/>
  </r>
  <r>
    <s v="FL250508"/>
    <x v="504"/>
    <x v="1"/>
    <x v="31"/>
    <x v="7"/>
    <x v="1"/>
    <x v="8"/>
    <n v="6"/>
    <s v="USD 50"/>
    <n v="3.1"/>
    <s v="N"/>
    <x v="0"/>
    <x v="2"/>
    <s v="On Hold"/>
    <n v="15"/>
    <x v="0"/>
    <x v="11"/>
  </r>
  <r>
    <s v="FL250509"/>
    <x v="505"/>
    <x v="1"/>
    <x v="8"/>
    <x v="12"/>
    <x v="9"/>
    <x v="3"/>
    <n v="5"/>
    <s v="75"/>
    <n v="1.1000000000000001"/>
    <s v="TRUE"/>
    <x v="7"/>
    <x v="2"/>
    <s v="On Hold"/>
    <n v="2"/>
    <x v="1"/>
    <x v="4"/>
  </r>
  <r>
    <s v="FL250510"/>
    <x v="506"/>
    <x v="1"/>
    <x v="0"/>
    <x v="5"/>
    <x v="1"/>
    <x v="9"/>
    <n v="17"/>
    <s v="USD 75"/>
    <n v="0"/>
    <s v="0"/>
    <x v="5"/>
    <x v="1"/>
    <s v="Active"/>
    <n v="18"/>
    <x v="0"/>
    <x v="0"/>
  </r>
  <r>
    <s v="FL250511"/>
    <x v="507"/>
    <x v="0"/>
    <x v="24"/>
    <x v="2"/>
    <x v="2"/>
    <x v="3"/>
    <n v="0"/>
    <s v="$20"/>
    <n v="3.8"/>
    <s v="1"/>
    <x v="35"/>
    <x v="1"/>
    <s v="On Hold"/>
    <n v="5"/>
    <x v="1"/>
    <x v="10"/>
  </r>
  <r>
    <s v="FL250512"/>
    <x v="508"/>
    <x v="0"/>
    <x v="18"/>
    <x v="8"/>
    <x v="6"/>
    <x v="7"/>
    <n v="8"/>
    <s v="100"/>
    <n v="1.7"/>
    <s v="N"/>
    <x v="15"/>
    <x v="3"/>
    <s v="Inactive"/>
    <n v="9"/>
    <x v="0"/>
    <x v="7"/>
  </r>
  <r>
    <s v="FL250513"/>
    <x v="509"/>
    <x v="1"/>
    <x v="31"/>
    <x v="21"/>
    <x v="6"/>
    <x v="10"/>
    <n v="13"/>
    <s v="50"/>
    <n v="2.2000000000000002"/>
    <s v="N"/>
    <x v="10"/>
    <x v="0"/>
    <s v="Inactive"/>
    <n v="8"/>
    <x v="0"/>
    <x v="5"/>
  </r>
  <r>
    <s v="FL250514"/>
    <x v="510"/>
    <x v="0"/>
    <x v="15"/>
    <x v="7"/>
    <x v="1"/>
    <x v="6"/>
    <n v="15"/>
    <s v="40"/>
    <n v="4.0999999999999996"/>
    <s v="TRUE"/>
    <x v="66"/>
    <x v="0"/>
    <s v="Active"/>
    <n v="14"/>
    <x v="0"/>
    <x v="0"/>
  </r>
  <r>
    <s v="FL250515"/>
    <x v="511"/>
    <x v="0"/>
    <x v="31"/>
    <x v="5"/>
    <x v="1"/>
    <x v="0"/>
    <n v="2"/>
    <s v="USD 100"/>
    <n v="3.8"/>
    <s v="FALSE"/>
    <x v="0"/>
    <x v="2"/>
    <s v="Inactive"/>
    <n v="1"/>
    <x v="1"/>
    <x v="3"/>
  </r>
  <r>
    <s v="FL250516"/>
    <x v="512"/>
    <x v="0"/>
    <x v="18"/>
    <x v="10"/>
    <x v="7"/>
    <x v="10"/>
    <n v="9"/>
    <s v="$30"/>
    <n v="0"/>
    <s v="yes"/>
    <x v="50"/>
    <x v="2"/>
    <s v="Completed"/>
    <n v="12"/>
    <x v="0"/>
    <x v="3"/>
  </r>
  <r>
    <s v="FL250517"/>
    <x v="513"/>
    <x v="0"/>
    <x v="18"/>
    <x v="6"/>
    <x v="5"/>
    <x v="5"/>
    <n v="3"/>
    <s v="USD 50"/>
    <n v="0"/>
    <s v="no"/>
    <x v="74"/>
    <x v="2"/>
    <s v="Active"/>
    <n v="2"/>
    <x v="1"/>
    <x v="4"/>
  </r>
  <r>
    <s v="FL250518"/>
    <x v="514"/>
    <x v="0"/>
    <x v="4"/>
    <x v="19"/>
    <x v="15"/>
    <x v="5"/>
    <n v="15"/>
    <s v="$20"/>
    <n v="4.2"/>
    <s v="TRUE"/>
    <x v="52"/>
    <x v="3"/>
    <s v="Inactive"/>
    <n v="6"/>
    <x v="0"/>
    <x v="11"/>
  </r>
  <r>
    <s v="FL250519"/>
    <x v="515"/>
    <x v="1"/>
    <x v="0"/>
    <x v="7"/>
    <x v="1"/>
    <x v="6"/>
    <n v="21"/>
    <s v="USD 75"/>
    <n v="2.2000000000000002"/>
    <s v="1"/>
    <x v="49"/>
    <x v="0"/>
    <s v="Active"/>
    <n v="20"/>
    <x v="0"/>
    <x v="11"/>
  </r>
  <r>
    <s v="FL250520"/>
    <x v="516"/>
    <x v="0"/>
    <x v="41"/>
    <x v="4"/>
    <x v="4"/>
    <x v="8"/>
    <n v="2"/>
    <s v="USD 75"/>
    <n v="1.5"/>
    <s v="1"/>
    <x v="15"/>
    <x v="1"/>
    <s v="On Hold"/>
    <n v="4"/>
    <x v="1"/>
    <x v="10"/>
  </r>
  <r>
    <s v="FL250521"/>
    <x v="517"/>
    <x v="0"/>
    <x v="19"/>
    <x v="19"/>
    <x v="15"/>
    <x v="8"/>
    <n v="21"/>
    <s v="$100"/>
    <n v="0"/>
    <s v="N"/>
    <x v="0"/>
    <x v="3"/>
    <s v="Inactive"/>
    <n v="18"/>
    <x v="0"/>
    <x v="4"/>
  </r>
  <r>
    <s v="FL250522"/>
    <x v="518"/>
    <x v="0"/>
    <x v="37"/>
    <x v="16"/>
    <x v="12"/>
    <x v="9"/>
    <n v="0"/>
    <s v="USD 100"/>
    <n v="4.0999999999999996"/>
    <s v="0"/>
    <x v="20"/>
    <x v="1"/>
    <s v="Completed"/>
    <n v="3"/>
    <x v="1"/>
    <x v="3"/>
  </r>
  <r>
    <s v="FL250523"/>
    <x v="519"/>
    <x v="1"/>
    <x v="18"/>
    <x v="17"/>
    <x v="13"/>
    <x v="0"/>
    <n v="4"/>
    <s v="40"/>
    <n v="2.6"/>
    <s v="no"/>
    <x v="3"/>
    <x v="1"/>
    <s v="Inactive"/>
    <n v="2"/>
    <x v="1"/>
    <x v="6"/>
  </r>
  <r>
    <s v="FL250524"/>
    <x v="520"/>
    <x v="0"/>
    <x v="30"/>
    <x v="5"/>
    <x v="1"/>
    <x v="7"/>
    <n v="23"/>
    <s v="100"/>
    <n v="2.4"/>
    <s v="FALSE"/>
    <x v="32"/>
    <x v="3"/>
    <s v="Active"/>
    <n v="14"/>
    <x v="0"/>
    <x v="3"/>
  </r>
  <r>
    <s v="FL250525"/>
    <x v="521"/>
    <x v="0"/>
    <x v="14"/>
    <x v="5"/>
    <x v="1"/>
    <x v="0"/>
    <n v="25"/>
    <s v="50"/>
    <n v="1.4"/>
    <s v="Y"/>
    <x v="12"/>
    <x v="1"/>
    <s v="Active"/>
    <n v="17"/>
    <x v="0"/>
    <x v="1"/>
  </r>
  <r>
    <s v="FL250526"/>
    <x v="522"/>
    <x v="1"/>
    <x v="21"/>
    <x v="6"/>
    <x v="5"/>
    <x v="1"/>
    <n v="10"/>
    <s v="Not given"/>
    <n v="4.5999999999999996"/>
    <s v="Y"/>
    <x v="20"/>
    <x v="0"/>
    <s v="Inactive"/>
    <n v="6"/>
    <x v="0"/>
    <x v="3"/>
  </r>
  <r>
    <s v="FL250527"/>
    <x v="523"/>
    <x v="0"/>
    <x v="2"/>
    <x v="0"/>
    <x v="0"/>
    <x v="6"/>
    <n v="18"/>
    <s v="USD 40"/>
    <n v="4.9000000000000004"/>
    <s v="FALSE"/>
    <x v="26"/>
    <x v="1"/>
    <s v="Completed"/>
    <n v="11"/>
    <x v="0"/>
    <x v="13"/>
  </r>
  <r>
    <s v="FL250528"/>
    <x v="524"/>
    <x v="1"/>
    <x v="5"/>
    <x v="21"/>
    <x v="6"/>
    <x v="0"/>
    <n v="1"/>
    <s v="$20"/>
    <n v="0"/>
    <s v="1"/>
    <x v="0"/>
    <x v="0"/>
    <s v="Completed"/>
    <n v="1"/>
    <x v="1"/>
    <x v="3"/>
  </r>
  <r>
    <s v="FL250529"/>
    <x v="525"/>
    <x v="0"/>
    <x v="6"/>
    <x v="7"/>
    <x v="1"/>
    <x v="9"/>
    <n v="12"/>
    <s v="30"/>
    <n v="3.5"/>
    <s v="Not Mentioned"/>
    <x v="65"/>
    <x v="0"/>
    <s v="Completed"/>
    <n v="12"/>
    <x v="0"/>
    <x v="11"/>
  </r>
  <r>
    <s v="FL250530"/>
    <x v="526"/>
    <x v="1"/>
    <x v="33"/>
    <x v="2"/>
    <x v="2"/>
    <x v="10"/>
    <s v="Not Mentioned"/>
    <s v="Not given"/>
    <n v="1.7"/>
    <s v="yes"/>
    <x v="23"/>
    <x v="0"/>
    <s v="Active"/>
    <n v="2"/>
    <x v="1"/>
    <x v="3"/>
  </r>
  <r>
    <s v="FL250531"/>
    <x v="527"/>
    <x v="1"/>
    <x v="41"/>
    <x v="15"/>
    <x v="1"/>
    <x v="0"/>
    <n v="5"/>
    <s v="$50"/>
    <n v="0"/>
    <s v="yes"/>
    <x v="33"/>
    <x v="2"/>
    <s v="Inactive"/>
    <n v="2"/>
    <x v="1"/>
    <x v="10"/>
  </r>
  <r>
    <s v="FL250532"/>
    <x v="528"/>
    <x v="0"/>
    <x v="36"/>
    <x v="11"/>
    <x v="8"/>
    <x v="1"/>
    <n v="28"/>
    <s v="USD 20"/>
    <n v="0"/>
    <s v="0"/>
    <x v="39"/>
    <x v="1"/>
    <s v="On Hold"/>
    <n v="18"/>
    <x v="0"/>
    <x v="12"/>
  </r>
  <r>
    <s v="FL250533"/>
    <x v="529"/>
    <x v="1"/>
    <x v="16"/>
    <x v="11"/>
    <x v="8"/>
    <x v="5"/>
    <n v="0"/>
    <s v="Not given"/>
    <n v="4.5999999999999996"/>
    <s v="FALSE"/>
    <x v="0"/>
    <x v="3"/>
    <s v="Active"/>
    <n v="4"/>
    <x v="1"/>
    <x v="3"/>
  </r>
  <r>
    <s v="FL250534"/>
    <x v="530"/>
    <x v="0"/>
    <x v="20"/>
    <x v="2"/>
    <x v="2"/>
    <x v="3"/>
    <n v="14"/>
    <s v="40"/>
    <n v="1.1000000000000001"/>
    <s v="TRUE"/>
    <x v="38"/>
    <x v="3"/>
    <s v="Completed"/>
    <n v="7"/>
    <x v="0"/>
    <x v="7"/>
  </r>
  <r>
    <s v="FL250535"/>
    <x v="531"/>
    <x v="1"/>
    <x v="2"/>
    <x v="5"/>
    <x v="1"/>
    <x v="2"/>
    <n v="15"/>
    <s v="Not given"/>
    <n v="4.2"/>
    <s v="0"/>
    <x v="39"/>
    <x v="1"/>
    <s v="Inactive"/>
    <n v="15"/>
    <x v="0"/>
    <x v="6"/>
  </r>
  <r>
    <s v="FL250536"/>
    <x v="532"/>
    <x v="0"/>
    <x v="28"/>
    <x v="18"/>
    <x v="14"/>
    <x v="7"/>
    <n v="9"/>
    <s v="Not given"/>
    <n v="0"/>
    <s v="FALSE"/>
    <x v="52"/>
    <x v="2"/>
    <s v="Completed"/>
    <n v="10"/>
    <x v="0"/>
    <x v="7"/>
  </r>
  <r>
    <s v="FL250537"/>
    <x v="533"/>
    <x v="0"/>
    <x v="37"/>
    <x v="19"/>
    <x v="15"/>
    <x v="1"/>
    <n v="9"/>
    <s v="$30"/>
    <n v="3.9"/>
    <s v="no"/>
    <x v="16"/>
    <x v="2"/>
    <s v="On Hold"/>
    <n v="15"/>
    <x v="0"/>
    <x v="14"/>
  </r>
  <r>
    <s v="FL250538"/>
    <x v="534"/>
    <x v="1"/>
    <x v="14"/>
    <x v="20"/>
    <x v="6"/>
    <x v="7"/>
    <n v="22"/>
    <s v="20"/>
    <n v="3.4"/>
    <s v="TRUE"/>
    <x v="71"/>
    <x v="0"/>
    <s v="Completed"/>
    <n v="15"/>
    <x v="0"/>
    <x v="8"/>
  </r>
  <r>
    <s v="FL250539"/>
    <x v="535"/>
    <x v="0"/>
    <x v="24"/>
    <x v="2"/>
    <x v="2"/>
    <x v="9"/>
    <n v="0"/>
    <s v="$20"/>
    <n v="2.6"/>
    <s v="N"/>
    <x v="29"/>
    <x v="1"/>
    <s v="Completed"/>
    <n v="2"/>
    <x v="1"/>
    <x v="7"/>
  </r>
  <r>
    <s v="FL250540"/>
    <x v="536"/>
    <x v="0"/>
    <x v="38"/>
    <x v="0"/>
    <x v="0"/>
    <x v="9"/>
    <n v="1"/>
    <s v="USD 40"/>
    <n v="2.2999999999999998"/>
    <s v="1"/>
    <x v="29"/>
    <x v="1"/>
    <s v="On Hold"/>
    <n v="1"/>
    <x v="1"/>
    <x v="10"/>
  </r>
  <r>
    <s v="FL250541"/>
    <x v="537"/>
    <x v="1"/>
    <x v="37"/>
    <x v="10"/>
    <x v="7"/>
    <x v="0"/>
    <n v="5"/>
    <s v="$30"/>
    <n v="4.8"/>
    <s v="N"/>
    <x v="0"/>
    <x v="3"/>
    <s v="Inactive"/>
    <n v="1"/>
    <x v="1"/>
    <x v="10"/>
  </r>
  <r>
    <s v="FL250542"/>
    <x v="538"/>
    <x v="1"/>
    <x v="20"/>
    <x v="19"/>
    <x v="15"/>
    <x v="6"/>
    <n v="0"/>
    <s v="USD 40"/>
    <n v="4.5"/>
    <s v="N"/>
    <x v="15"/>
    <x v="1"/>
    <s v="Active"/>
    <n v="3"/>
    <x v="1"/>
    <x v="10"/>
  </r>
  <r>
    <s v="FL250543"/>
    <x v="539"/>
    <x v="1"/>
    <x v="16"/>
    <x v="21"/>
    <x v="6"/>
    <x v="0"/>
    <n v="0"/>
    <s v="$30"/>
    <n v="0"/>
    <s v="0"/>
    <x v="13"/>
    <x v="2"/>
    <s v="Inactive"/>
    <n v="5"/>
    <x v="1"/>
    <x v="4"/>
  </r>
  <r>
    <s v="FL250544"/>
    <x v="540"/>
    <x v="1"/>
    <x v="30"/>
    <x v="20"/>
    <x v="6"/>
    <x v="8"/>
    <n v="19"/>
    <s v="75"/>
    <n v="0"/>
    <s v="no"/>
    <x v="29"/>
    <x v="1"/>
    <s v="On Hold"/>
    <n v="14"/>
    <x v="0"/>
    <x v="18"/>
  </r>
  <r>
    <s v="FL250545"/>
    <x v="541"/>
    <x v="0"/>
    <x v="16"/>
    <x v="1"/>
    <x v="1"/>
    <x v="6"/>
    <n v="2"/>
    <s v="40"/>
    <n v="1.1000000000000001"/>
    <s v="no"/>
    <x v="6"/>
    <x v="3"/>
    <s v="Completed"/>
    <n v="4"/>
    <x v="1"/>
    <x v="3"/>
  </r>
  <r>
    <s v="FL250546"/>
    <x v="542"/>
    <x v="0"/>
    <x v="38"/>
    <x v="6"/>
    <x v="5"/>
    <x v="1"/>
    <n v="0"/>
    <s v="100"/>
    <n v="0"/>
    <s v="0"/>
    <x v="75"/>
    <x v="0"/>
    <s v="Inactive"/>
    <n v="1"/>
    <x v="1"/>
    <x v="4"/>
  </r>
  <r>
    <s v="FL250547"/>
    <x v="543"/>
    <x v="0"/>
    <x v="38"/>
    <x v="15"/>
    <x v="1"/>
    <x v="6"/>
    <n v="2"/>
    <s v="40"/>
    <s v="Not Mentioned"/>
    <s v="1"/>
    <x v="52"/>
    <x v="3"/>
    <s v="Active"/>
    <n v="1"/>
    <x v="1"/>
    <x v="3"/>
  </r>
  <r>
    <s v="FL250548"/>
    <x v="544"/>
    <x v="1"/>
    <x v="24"/>
    <x v="7"/>
    <x v="1"/>
    <x v="5"/>
    <n v="0"/>
    <s v="100"/>
    <s v="Not Mentioned"/>
    <s v="0"/>
    <x v="38"/>
    <x v="3"/>
    <s v="On Hold"/>
    <n v="1"/>
    <x v="1"/>
    <x v="3"/>
  </r>
  <r>
    <s v="FL250549"/>
    <x v="545"/>
    <x v="1"/>
    <x v="16"/>
    <x v="3"/>
    <x v="3"/>
    <x v="8"/>
    <n v="1"/>
    <s v="40"/>
    <n v="0"/>
    <s v="0"/>
    <x v="23"/>
    <x v="0"/>
    <s v="Inactive"/>
    <n v="5"/>
    <x v="1"/>
    <x v="3"/>
  </r>
  <r>
    <s v="FL250550"/>
    <x v="546"/>
    <x v="0"/>
    <x v="41"/>
    <x v="7"/>
    <x v="1"/>
    <x v="9"/>
    <n v="3"/>
    <s v="USD 20"/>
    <s v="Not Mentioned"/>
    <s v="1"/>
    <x v="28"/>
    <x v="3"/>
    <s v="Active"/>
    <n v="2"/>
    <x v="1"/>
    <x v="3"/>
  </r>
  <r>
    <s v="FL250551"/>
    <x v="547"/>
    <x v="0"/>
    <x v="3"/>
    <x v="8"/>
    <x v="6"/>
    <x v="5"/>
    <s v="Not Mentioned"/>
    <s v="20"/>
    <n v="4.0999999999999996"/>
    <s v="0"/>
    <x v="74"/>
    <x v="3"/>
    <s v="On Hold"/>
    <n v="2"/>
    <x v="1"/>
    <x v="10"/>
  </r>
  <r>
    <s v="FL250552"/>
    <x v="548"/>
    <x v="0"/>
    <x v="41"/>
    <x v="16"/>
    <x v="12"/>
    <x v="3"/>
    <n v="1"/>
    <s v="Not given"/>
    <n v="0"/>
    <s v="0"/>
    <x v="10"/>
    <x v="1"/>
    <s v="Active"/>
    <n v="1"/>
    <x v="1"/>
    <x v="10"/>
  </r>
  <r>
    <s v="FL250553"/>
    <x v="549"/>
    <x v="0"/>
    <x v="6"/>
    <x v="1"/>
    <x v="1"/>
    <x v="9"/>
    <n v="0"/>
    <s v="$100"/>
    <n v="1.2"/>
    <s v="Not Mentioned"/>
    <x v="13"/>
    <x v="1"/>
    <s v="On Hold"/>
    <n v="1"/>
    <x v="1"/>
    <x v="3"/>
  </r>
  <r>
    <s v="FL250554"/>
    <x v="550"/>
    <x v="1"/>
    <x v="8"/>
    <x v="0"/>
    <x v="0"/>
    <x v="0"/>
    <n v="7"/>
    <s v="30"/>
    <n v="1.6"/>
    <s v="no"/>
    <x v="0"/>
    <x v="0"/>
    <s v="Completed"/>
    <n v="13"/>
    <x v="0"/>
    <x v="7"/>
  </r>
  <r>
    <s v="FL250555"/>
    <x v="551"/>
    <x v="1"/>
    <x v="19"/>
    <x v="6"/>
    <x v="5"/>
    <x v="9"/>
    <n v="1"/>
    <s v="50"/>
    <n v="3.9"/>
    <s v="Y"/>
    <x v="39"/>
    <x v="1"/>
    <s v="Inactive"/>
    <n v="5"/>
    <x v="1"/>
    <x v="4"/>
  </r>
  <r>
    <s v="FL250556"/>
    <x v="552"/>
    <x v="1"/>
    <x v="36"/>
    <x v="13"/>
    <x v="10"/>
    <x v="8"/>
    <n v="21"/>
    <s v="40"/>
    <n v="0"/>
    <s v="1"/>
    <x v="0"/>
    <x v="1"/>
    <s v="Active"/>
    <n v="15"/>
    <x v="0"/>
    <x v="13"/>
  </r>
  <r>
    <s v="FL250557"/>
    <x v="553"/>
    <x v="1"/>
    <x v="41"/>
    <x v="5"/>
    <x v="1"/>
    <x v="7"/>
    <n v="1"/>
    <s v="USD 20"/>
    <n v="4.7"/>
    <s v="FALSE"/>
    <x v="9"/>
    <x v="3"/>
    <s v="On Hold"/>
    <n v="5"/>
    <x v="1"/>
    <x v="4"/>
  </r>
  <r>
    <s v="FL250558"/>
    <x v="554"/>
    <x v="1"/>
    <x v="20"/>
    <x v="6"/>
    <x v="5"/>
    <x v="2"/>
    <n v="15"/>
    <s v="Not given"/>
    <n v="3.8"/>
    <s v="1"/>
    <x v="0"/>
    <x v="2"/>
    <s v="Active"/>
    <n v="13"/>
    <x v="0"/>
    <x v="7"/>
  </r>
  <r>
    <s v="FL250559"/>
    <x v="555"/>
    <x v="0"/>
    <x v="8"/>
    <x v="18"/>
    <x v="14"/>
    <x v="8"/>
    <n v="33"/>
    <s v="100"/>
    <n v="3.5"/>
    <s v="no"/>
    <x v="26"/>
    <x v="1"/>
    <s v="Active"/>
    <n v="19"/>
    <x v="0"/>
    <x v="16"/>
  </r>
  <r>
    <s v="FL250560"/>
    <x v="556"/>
    <x v="1"/>
    <x v="23"/>
    <x v="8"/>
    <x v="6"/>
    <x v="2"/>
    <n v="39"/>
    <s v="USD 75"/>
    <n v="4"/>
    <s v="Not Mentioned"/>
    <x v="10"/>
    <x v="2"/>
    <s v="Inactive"/>
    <n v="15"/>
    <x v="0"/>
    <x v="8"/>
  </r>
  <r>
    <s v="FL250561"/>
    <x v="557"/>
    <x v="0"/>
    <x v="36"/>
    <x v="17"/>
    <x v="13"/>
    <x v="2"/>
    <n v="21"/>
    <s v="30"/>
    <n v="1.6"/>
    <s v="Y"/>
    <x v="24"/>
    <x v="1"/>
    <s v="Completed"/>
    <n v="15"/>
    <x v="0"/>
    <x v="7"/>
  </r>
  <r>
    <s v="FL250562"/>
    <x v="558"/>
    <x v="0"/>
    <x v="39"/>
    <x v="16"/>
    <x v="12"/>
    <x v="8"/>
    <n v="5"/>
    <s v="40"/>
    <n v="3"/>
    <s v="no"/>
    <x v="8"/>
    <x v="1"/>
    <s v="Active"/>
    <n v="1"/>
    <x v="1"/>
    <x v="3"/>
  </r>
  <r>
    <s v="FL250563"/>
    <x v="559"/>
    <x v="0"/>
    <x v="31"/>
    <x v="20"/>
    <x v="6"/>
    <x v="9"/>
    <n v="11"/>
    <s v="50"/>
    <n v="5"/>
    <s v="yes"/>
    <x v="11"/>
    <x v="0"/>
    <s v="On Hold"/>
    <n v="8"/>
    <x v="0"/>
    <x v="11"/>
  </r>
  <r>
    <s v="FL250564"/>
    <x v="560"/>
    <x v="0"/>
    <x v="38"/>
    <x v="6"/>
    <x v="5"/>
    <x v="2"/>
    <n v="0"/>
    <s v="30"/>
    <n v="4.8"/>
    <s v="yes"/>
    <x v="15"/>
    <x v="0"/>
    <s v="On Hold"/>
    <n v="5"/>
    <x v="1"/>
    <x v="4"/>
  </r>
  <r>
    <s v="FL250565"/>
    <x v="561"/>
    <x v="1"/>
    <x v="3"/>
    <x v="7"/>
    <x v="1"/>
    <x v="9"/>
    <n v="15"/>
    <s v="$50"/>
    <s v="Not Mentioned"/>
    <s v="no"/>
    <x v="0"/>
    <x v="0"/>
    <s v="Completed"/>
    <n v="7"/>
    <x v="0"/>
    <x v="12"/>
  </r>
  <r>
    <s v="FL250566"/>
    <x v="562"/>
    <x v="0"/>
    <x v="10"/>
    <x v="19"/>
    <x v="15"/>
    <x v="9"/>
    <n v="22"/>
    <s v="Not given"/>
    <n v="2.9"/>
    <s v="0"/>
    <x v="35"/>
    <x v="2"/>
    <s v="On Hold"/>
    <n v="14"/>
    <x v="0"/>
    <x v="11"/>
  </r>
  <r>
    <s v="FL250567"/>
    <x v="563"/>
    <x v="0"/>
    <x v="16"/>
    <x v="6"/>
    <x v="5"/>
    <x v="7"/>
    <n v="3"/>
    <s v="Not given"/>
    <n v="3"/>
    <s v="TRUE"/>
    <x v="32"/>
    <x v="3"/>
    <s v="Completed"/>
    <n v="1"/>
    <x v="1"/>
    <x v="10"/>
  </r>
  <r>
    <s v="FL250568"/>
    <x v="564"/>
    <x v="1"/>
    <x v="20"/>
    <x v="15"/>
    <x v="1"/>
    <x v="8"/>
    <n v="11"/>
    <s v="50"/>
    <n v="3.5"/>
    <s v="1"/>
    <x v="15"/>
    <x v="1"/>
    <s v="On Hold"/>
    <n v="12"/>
    <x v="0"/>
    <x v="3"/>
  </r>
  <r>
    <s v="FL250569"/>
    <x v="565"/>
    <x v="0"/>
    <x v="26"/>
    <x v="8"/>
    <x v="6"/>
    <x v="3"/>
    <n v="5"/>
    <s v="40"/>
    <s v="Not Mentioned"/>
    <s v="TRUE"/>
    <x v="14"/>
    <x v="1"/>
    <s v="Inactive"/>
    <n v="4"/>
    <x v="1"/>
    <x v="3"/>
  </r>
  <r>
    <s v="FL250570"/>
    <x v="566"/>
    <x v="0"/>
    <x v="2"/>
    <x v="15"/>
    <x v="1"/>
    <x v="7"/>
    <n v="3"/>
    <s v="40"/>
    <n v="4.7"/>
    <s v="0"/>
    <x v="11"/>
    <x v="1"/>
    <s v="Active"/>
    <n v="4"/>
    <x v="1"/>
    <x v="10"/>
  </r>
  <r>
    <s v="FL250571"/>
    <x v="567"/>
    <x v="0"/>
    <x v="4"/>
    <x v="5"/>
    <x v="1"/>
    <x v="9"/>
    <n v="1"/>
    <s v="Not given"/>
    <n v="2.9"/>
    <s v="no"/>
    <x v="50"/>
    <x v="2"/>
    <s v="Inactive"/>
    <n v="5"/>
    <x v="1"/>
    <x v="10"/>
  </r>
  <r>
    <s v="FL250572"/>
    <x v="568"/>
    <x v="0"/>
    <x v="15"/>
    <x v="20"/>
    <x v="6"/>
    <x v="5"/>
    <n v="1"/>
    <s v="75"/>
    <n v="4.4000000000000004"/>
    <s v="Y"/>
    <x v="0"/>
    <x v="0"/>
    <s v="Active"/>
    <n v="4"/>
    <x v="1"/>
    <x v="7"/>
  </r>
  <r>
    <s v="FL250573"/>
    <x v="569"/>
    <x v="0"/>
    <x v="28"/>
    <x v="4"/>
    <x v="4"/>
    <x v="1"/>
    <n v="2"/>
    <s v="40"/>
    <n v="2.2999999999999998"/>
    <s v="N"/>
    <x v="65"/>
    <x v="3"/>
    <s v="Active"/>
    <n v="5"/>
    <x v="1"/>
    <x v="3"/>
  </r>
  <r>
    <s v="FL250574"/>
    <x v="570"/>
    <x v="0"/>
    <x v="12"/>
    <x v="20"/>
    <x v="6"/>
    <x v="5"/>
    <n v="3"/>
    <s v="$30"/>
    <n v="3.7"/>
    <s v="Not Mentioned"/>
    <x v="4"/>
    <x v="2"/>
    <s v="Active"/>
    <n v="4"/>
    <x v="1"/>
    <x v="10"/>
  </r>
  <r>
    <s v="FL250575"/>
    <x v="571"/>
    <x v="1"/>
    <x v="21"/>
    <x v="20"/>
    <x v="6"/>
    <x v="2"/>
    <n v="11"/>
    <s v="Not given"/>
    <n v="1.8"/>
    <s v="1"/>
    <x v="52"/>
    <x v="0"/>
    <s v="Inactive"/>
    <n v="8"/>
    <x v="0"/>
    <x v="11"/>
  </r>
  <r>
    <s v="FL250576"/>
    <x v="572"/>
    <x v="1"/>
    <x v="23"/>
    <x v="17"/>
    <x v="13"/>
    <x v="5"/>
    <s v="Not Mentioned"/>
    <s v="100"/>
    <n v="0"/>
    <s v="1"/>
    <x v="32"/>
    <x v="2"/>
    <s v="Active"/>
    <n v="5"/>
    <x v="1"/>
    <x v="3"/>
  </r>
  <r>
    <s v="FL250577"/>
    <x v="573"/>
    <x v="0"/>
    <x v="41"/>
    <x v="13"/>
    <x v="10"/>
    <x v="2"/>
    <n v="2"/>
    <s v="USD 50"/>
    <s v="Not Mentioned"/>
    <s v="1"/>
    <x v="27"/>
    <x v="3"/>
    <s v="Inactive"/>
    <n v="3"/>
    <x v="1"/>
    <x v="10"/>
  </r>
  <r>
    <s v="FL250578"/>
    <x v="574"/>
    <x v="0"/>
    <x v="4"/>
    <x v="4"/>
    <x v="4"/>
    <x v="3"/>
    <n v="20"/>
    <s v="USD 30"/>
    <n v="2.7"/>
    <s v="FALSE"/>
    <x v="29"/>
    <x v="0"/>
    <s v="Completed"/>
    <n v="14"/>
    <x v="0"/>
    <x v="10"/>
  </r>
  <r>
    <s v="FL250579"/>
    <x v="575"/>
    <x v="1"/>
    <x v="20"/>
    <x v="16"/>
    <x v="12"/>
    <x v="3"/>
    <n v="11"/>
    <s v="$20"/>
    <n v="4.7"/>
    <s v="Not Mentioned"/>
    <x v="11"/>
    <x v="2"/>
    <s v="On Hold"/>
    <n v="10"/>
    <x v="0"/>
    <x v="6"/>
  </r>
  <r>
    <s v="FL250580"/>
    <x v="576"/>
    <x v="1"/>
    <x v="20"/>
    <x v="7"/>
    <x v="1"/>
    <x v="9"/>
    <n v="0"/>
    <s v="$20"/>
    <n v="3.1"/>
    <s v="0"/>
    <x v="71"/>
    <x v="3"/>
    <s v="On Hold"/>
    <n v="4"/>
    <x v="1"/>
    <x v="3"/>
  </r>
  <r>
    <s v="FL250581"/>
    <x v="577"/>
    <x v="0"/>
    <x v="6"/>
    <x v="7"/>
    <x v="1"/>
    <x v="1"/>
    <n v="20"/>
    <s v="20"/>
    <n v="2.2999999999999998"/>
    <s v="0"/>
    <x v="41"/>
    <x v="1"/>
    <s v="Active"/>
    <n v="14"/>
    <x v="0"/>
    <x v="5"/>
  </r>
  <r>
    <s v="FL250582"/>
    <x v="578"/>
    <x v="1"/>
    <x v="30"/>
    <x v="2"/>
    <x v="2"/>
    <x v="9"/>
    <n v="3"/>
    <s v="USD 20"/>
    <n v="1.3"/>
    <s v="Y"/>
    <x v="52"/>
    <x v="3"/>
    <s v="Inactive"/>
    <n v="5"/>
    <x v="1"/>
    <x v="3"/>
  </r>
  <r>
    <s v="FL250583"/>
    <x v="579"/>
    <x v="1"/>
    <x v="19"/>
    <x v="17"/>
    <x v="13"/>
    <x v="9"/>
    <n v="28"/>
    <s v="USD 50"/>
    <n v="2.9"/>
    <s v="TRUE"/>
    <x v="0"/>
    <x v="1"/>
    <s v="On Hold"/>
    <n v="18"/>
    <x v="0"/>
    <x v="14"/>
  </r>
  <r>
    <s v="FL250584"/>
    <x v="580"/>
    <x v="1"/>
    <x v="17"/>
    <x v="11"/>
    <x v="8"/>
    <x v="6"/>
    <n v="0"/>
    <s v="40"/>
    <n v="3.3"/>
    <s v="0"/>
    <x v="65"/>
    <x v="2"/>
    <s v="Inactive"/>
    <n v="1"/>
    <x v="1"/>
    <x v="4"/>
  </r>
  <r>
    <s v="FL250585"/>
    <x v="581"/>
    <x v="1"/>
    <x v="19"/>
    <x v="5"/>
    <x v="1"/>
    <x v="7"/>
    <n v="4"/>
    <s v="USD 20"/>
    <n v="4.2"/>
    <s v="Not Mentioned"/>
    <x v="42"/>
    <x v="0"/>
    <s v="Inactive"/>
    <n v="5"/>
    <x v="1"/>
    <x v="10"/>
  </r>
  <r>
    <s v="FL250586"/>
    <x v="582"/>
    <x v="1"/>
    <x v="32"/>
    <x v="20"/>
    <x v="6"/>
    <x v="7"/>
    <n v="9"/>
    <s v="USD 40"/>
    <n v="1.3"/>
    <s v="TRUE"/>
    <x v="4"/>
    <x v="0"/>
    <s v="Active"/>
    <n v="10"/>
    <x v="0"/>
    <x v="6"/>
  </r>
  <r>
    <s v="FL250587"/>
    <x v="583"/>
    <x v="1"/>
    <x v="41"/>
    <x v="7"/>
    <x v="1"/>
    <x v="1"/>
    <n v="2"/>
    <s v="$100"/>
    <n v="4.4000000000000004"/>
    <s v="TRUE"/>
    <x v="0"/>
    <x v="2"/>
    <s v="On Hold"/>
    <n v="5"/>
    <x v="1"/>
    <x v="10"/>
  </r>
  <r>
    <s v="FL250588"/>
    <x v="584"/>
    <x v="1"/>
    <x v="32"/>
    <x v="1"/>
    <x v="1"/>
    <x v="9"/>
    <n v="1"/>
    <s v="100"/>
    <n v="3.4"/>
    <s v="TRUE"/>
    <x v="0"/>
    <x v="0"/>
    <s v="Active"/>
    <n v="3"/>
    <x v="1"/>
    <x v="3"/>
  </r>
  <r>
    <s v="FL250589"/>
    <x v="585"/>
    <x v="0"/>
    <x v="34"/>
    <x v="3"/>
    <x v="3"/>
    <x v="5"/>
    <n v="2"/>
    <s v="$100"/>
    <n v="3.4"/>
    <s v="1"/>
    <x v="27"/>
    <x v="0"/>
    <s v="Active"/>
    <n v="5"/>
    <x v="1"/>
    <x v="3"/>
  </r>
  <r>
    <s v="FL250590"/>
    <x v="586"/>
    <x v="0"/>
    <x v="18"/>
    <x v="8"/>
    <x v="6"/>
    <x v="1"/>
    <n v="16"/>
    <s v="USD 20"/>
    <n v="3.2"/>
    <s v="Not Mentioned"/>
    <x v="0"/>
    <x v="1"/>
    <s v="On Hold"/>
    <n v="18"/>
    <x v="0"/>
    <x v="10"/>
  </r>
  <r>
    <s v="FL250591"/>
    <x v="587"/>
    <x v="1"/>
    <x v="3"/>
    <x v="20"/>
    <x v="6"/>
    <x v="0"/>
    <n v="22"/>
    <s v="USD 20"/>
    <n v="3.6"/>
    <s v="N"/>
    <x v="23"/>
    <x v="2"/>
    <s v="On Hold"/>
    <n v="16"/>
    <x v="0"/>
    <x v="0"/>
  </r>
  <r>
    <s v="FL250592"/>
    <x v="588"/>
    <x v="0"/>
    <x v="0"/>
    <x v="15"/>
    <x v="1"/>
    <x v="8"/>
    <n v="22"/>
    <s v="$20"/>
    <n v="0"/>
    <s v="0"/>
    <x v="0"/>
    <x v="3"/>
    <s v="Completed"/>
    <n v="14"/>
    <x v="0"/>
    <x v="5"/>
  </r>
  <r>
    <s v="FL250593"/>
    <x v="589"/>
    <x v="0"/>
    <x v="39"/>
    <x v="19"/>
    <x v="15"/>
    <x v="0"/>
    <n v="5"/>
    <s v="40"/>
    <n v="1.8"/>
    <s v="1"/>
    <x v="8"/>
    <x v="1"/>
    <s v="Completed"/>
    <n v="4"/>
    <x v="1"/>
    <x v="10"/>
  </r>
  <r>
    <s v="FL250594"/>
    <x v="590"/>
    <x v="0"/>
    <x v="5"/>
    <x v="1"/>
    <x v="1"/>
    <x v="2"/>
    <n v="2"/>
    <s v="USD 75"/>
    <n v="2.5"/>
    <s v="yes"/>
    <x v="54"/>
    <x v="2"/>
    <s v="Inactive"/>
    <n v="5"/>
    <x v="1"/>
    <x v="3"/>
  </r>
  <r>
    <s v="FL250595"/>
    <x v="591"/>
    <x v="1"/>
    <x v="7"/>
    <x v="15"/>
    <x v="1"/>
    <x v="8"/>
    <n v="24"/>
    <s v="40"/>
    <n v="2"/>
    <s v="1"/>
    <x v="31"/>
    <x v="1"/>
    <s v="On Hold"/>
    <n v="15"/>
    <x v="0"/>
    <x v="4"/>
  </r>
  <r>
    <s v="FL250596"/>
    <x v="592"/>
    <x v="0"/>
    <x v="12"/>
    <x v="0"/>
    <x v="0"/>
    <x v="1"/>
    <n v="37"/>
    <s v="40"/>
    <n v="0"/>
    <s v="N"/>
    <x v="10"/>
    <x v="3"/>
    <s v="Completed"/>
    <n v="11"/>
    <x v="0"/>
    <x v="11"/>
  </r>
  <r>
    <s v="FL250597"/>
    <x v="593"/>
    <x v="1"/>
    <x v="18"/>
    <x v="16"/>
    <x v="12"/>
    <x v="2"/>
    <n v="3"/>
    <s v="USD 50"/>
    <n v="1.3"/>
    <s v="1"/>
    <x v="7"/>
    <x v="3"/>
    <s v="Inactive"/>
    <n v="2"/>
    <x v="1"/>
    <x v="6"/>
  </r>
  <r>
    <s v="FL250598"/>
    <x v="594"/>
    <x v="1"/>
    <x v="36"/>
    <x v="8"/>
    <x v="6"/>
    <x v="3"/>
    <n v="18"/>
    <s v="75"/>
    <n v="0"/>
    <s v="0"/>
    <x v="25"/>
    <x v="2"/>
    <s v="Inactive"/>
    <n v="20"/>
    <x v="0"/>
    <x v="7"/>
  </r>
  <r>
    <s v="FL250599"/>
    <x v="595"/>
    <x v="1"/>
    <x v="7"/>
    <x v="17"/>
    <x v="13"/>
    <x v="10"/>
    <n v="6"/>
    <s v="$40"/>
    <n v="3.6"/>
    <s v="Y"/>
    <x v="0"/>
    <x v="3"/>
    <s v="Inactive"/>
    <n v="13"/>
    <x v="0"/>
    <x v="4"/>
  </r>
  <r>
    <s v="FL250600"/>
    <x v="596"/>
    <x v="0"/>
    <x v="12"/>
    <x v="21"/>
    <x v="6"/>
    <x v="9"/>
    <n v="17"/>
    <s v="Not given"/>
    <n v="1.3"/>
    <s v="Not Mentioned"/>
    <x v="13"/>
    <x v="1"/>
    <s v="Completed"/>
    <n v="12"/>
    <x v="0"/>
    <x v="7"/>
  </r>
  <r>
    <s v="FL250601"/>
    <x v="597"/>
    <x v="0"/>
    <x v="41"/>
    <x v="15"/>
    <x v="1"/>
    <x v="0"/>
    <n v="1"/>
    <s v="75"/>
    <n v="2.7"/>
    <s v="TRUE"/>
    <x v="9"/>
    <x v="3"/>
    <s v="On Hold"/>
    <n v="1"/>
    <x v="1"/>
    <x v="10"/>
  </r>
  <r>
    <s v="FL250602"/>
    <x v="598"/>
    <x v="1"/>
    <x v="23"/>
    <x v="5"/>
    <x v="1"/>
    <x v="5"/>
    <n v="39"/>
    <s v="USD 100"/>
    <n v="1.5"/>
    <s v="Not Mentioned"/>
    <x v="31"/>
    <x v="1"/>
    <s v="Active"/>
    <n v="19"/>
    <x v="0"/>
    <x v="6"/>
  </r>
  <r>
    <s v="FL250603"/>
    <x v="599"/>
    <x v="1"/>
    <x v="17"/>
    <x v="13"/>
    <x v="10"/>
    <x v="0"/>
    <n v="15"/>
    <s v="20"/>
    <n v="0"/>
    <s v="0"/>
    <x v="17"/>
    <x v="1"/>
    <s v="Inactive"/>
    <n v="13"/>
    <x v="0"/>
    <x v="4"/>
  </r>
  <r>
    <s v="FL250604"/>
    <x v="600"/>
    <x v="0"/>
    <x v="2"/>
    <x v="4"/>
    <x v="4"/>
    <x v="5"/>
    <n v="13"/>
    <s v="$40"/>
    <n v="0"/>
    <s v="1"/>
    <x v="76"/>
    <x v="3"/>
    <s v="Completed"/>
    <n v="13"/>
    <x v="0"/>
    <x v="10"/>
  </r>
  <r>
    <s v="FL250605"/>
    <x v="601"/>
    <x v="0"/>
    <x v="14"/>
    <x v="13"/>
    <x v="10"/>
    <x v="3"/>
    <n v="17"/>
    <s v="100"/>
    <n v="3"/>
    <s v="FALSE"/>
    <x v="28"/>
    <x v="2"/>
    <s v="Completed"/>
    <n v="13"/>
    <x v="0"/>
    <x v="3"/>
  </r>
  <r>
    <s v="FL250606"/>
    <x v="602"/>
    <x v="0"/>
    <x v="24"/>
    <x v="10"/>
    <x v="7"/>
    <x v="1"/>
    <n v="1"/>
    <s v="30"/>
    <n v="1.2"/>
    <s v="Not Mentioned"/>
    <x v="38"/>
    <x v="0"/>
    <s v="Active"/>
    <n v="1"/>
    <x v="1"/>
    <x v="3"/>
  </r>
  <r>
    <s v="FL250607"/>
    <x v="603"/>
    <x v="1"/>
    <x v="25"/>
    <x v="0"/>
    <x v="0"/>
    <x v="7"/>
    <n v="16"/>
    <s v="Not given"/>
    <n v="1.3"/>
    <s v="1"/>
    <x v="37"/>
    <x v="3"/>
    <s v="Active"/>
    <n v="12"/>
    <x v="0"/>
    <x v="19"/>
  </r>
  <r>
    <s v="FL250608"/>
    <x v="604"/>
    <x v="1"/>
    <x v="35"/>
    <x v="12"/>
    <x v="9"/>
    <x v="3"/>
    <n v="9"/>
    <s v="$100"/>
    <s v="Not Mentioned"/>
    <s v="TRUE"/>
    <x v="0"/>
    <x v="1"/>
    <s v="Completed"/>
    <n v="13"/>
    <x v="0"/>
    <x v="0"/>
  </r>
  <r>
    <s v="FL250609"/>
    <x v="605"/>
    <x v="0"/>
    <x v="10"/>
    <x v="6"/>
    <x v="5"/>
    <x v="1"/>
    <n v="20"/>
    <s v="USD 50"/>
    <n v="3.8"/>
    <s v="N"/>
    <x v="9"/>
    <x v="1"/>
    <s v="On Hold"/>
    <n v="10"/>
    <x v="0"/>
    <x v="15"/>
  </r>
  <r>
    <s v="FL250610"/>
    <x v="606"/>
    <x v="0"/>
    <x v="0"/>
    <x v="15"/>
    <x v="1"/>
    <x v="0"/>
    <n v="29"/>
    <s v="30"/>
    <n v="3.8"/>
    <s v="0"/>
    <x v="15"/>
    <x v="3"/>
    <s v="Active"/>
    <n v="14"/>
    <x v="0"/>
    <x v="1"/>
  </r>
  <r>
    <s v="FL250611"/>
    <x v="607"/>
    <x v="1"/>
    <x v="1"/>
    <x v="13"/>
    <x v="10"/>
    <x v="3"/>
    <n v="21"/>
    <s v="40"/>
    <n v="4.7"/>
    <s v="1"/>
    <x v="20"/>
    <x v="2"/>
    <s v="Completed"/>
    <n v="19"/>
    <x v="0"/>
    <x v="8"/>
  </r>
  <r>
    <s v="FL250612"/>
    <x v="608"/>
    <x v="0"/>
    <x v="15"/>
    <x v="0"/>
    <x v="0"/>
    <x v="1"/>
    <n v="28"/>
    <s v="USD 40"/>
    <n v="1.1000000000000001"/>
    <s v="no"/>
    <x v="0"/>
    <x v="2"/>
    <s v="Active"/>
    <n v="13"/>
    <x v="0"/>
    <x v="10"/>
  </r>
  <r>
    <s v="FL250613"/>
    <x v="609"/>
    <x v="1"/>
    <x v="14"/>
    <x v="10"/>
    <x v="7"/>
    <x v="2"/>
    <n v="5"/>
    <s v="50"/>
    <n v="4.2"/>
    <s v="1"/>
    <x v="42"/>
    <x v="1"/>
    <s v="On Hold"/>
    <n v="4"/>
    <x v="1"/>
    <x v="10"/>
  </r>
  <r>
    <s v="FL250614"/>
    <x v="610"/>
    <x v="0"/>
    <x v="37"/>
    <x v="13"/>
    <x v="10"/>
    <x v="3"/>
    <n v="0"/>
    <s v="Not given"/>
    <n v="0"/>
    <s v="0"/>
    <x v="0"/>
    <x v="1"/>
    <s v="Inactive"/>
    <n v="1"/>
    <x v="1"/>
    <x v="7"/>
  </r>
  <r>
    <s v="FL250615"/>
    <x v="611"/>
    <x v="0"/>
    <x v="30"/>
    <x v="3"/>
    <x v="3"/>
    <x v="10"/>
    <n v="27"/>
    <s v="USD 75"/>
    <n v="0"/>
    <s v="Not Mentioned"/>
    <x v="27"/>
    <x v="2"/>
    <s v="Active"/>
    <n v="20"/>
    <x v="0"/>
    <x v="10"/>
  </r>
  <r>
    <s v="FL250616"/>
    <x v="612"/>
    <x v="1"/>
    <x v="8"/>
    <x v="4"/>
    <x v="4"/>
    <x v="2"/>
    <n v="26"/>
    <s v="USD 100"/>
    <n v="2.4"/>
    <s v="1"/>
    <x v="50"/>
    <x v="0"/>
    <s v="On Hold"/>
    <n v="13"/>
    <x v="0"/>
    <x v="13"/>
  </r>
  <r>
    <s v="FL250617"/>
    <x v="613"/>
    <x v="1"/>
    <x v="2"/>
    <x v="6"/>
    <x v="5"/>
    <x v="0"/>
    <n v="19"/>
    <s v="40"/>
    <n v="0"/>
    <s v="1"/>
    <x v="8"/>
    <x v="3"/>
    <s v="Completed"/>
    <n v="17"/>
    <x v="0"/>
    <x v="7"/>
  </r>
  <r>
    <s v="FL250618"/>
    <x v="614"/>
    <x v="0"/>
    <x v="10"/>
    <x v="14"/>
    <x v="11"/>
    <x v="9"/>
    <n v="24"/>
    <s v="USD 40"/>
    <s v="Not Mentioned"/>
    <s v="FALSE"/>
    <x v="39"/>
    <x v="1"/>
    <s v="Active"/>
    <n v="12"/>
    <x v="0"/>
    <x v="4"/>
  </r>
  <r>
    <s v="FL250619"/>
    <x v="615"/>
    <x v="0"/>
    <x v="37"/>
    <x v="18"/>
    <x v="14"/>
    <x v="9"/>
    <n v="7"/>
    <s v="30"/>
    <n v="3.3"/>
    <s v="Not Mentioned"/>
    <x v="15"/>
    <x v="1"/>
    <s v="Active"/>
    <n v="8"/>
    <x v="0"/>
    <x v="15"/>
  </r>
  <r>
    <s v="FL250620"/>
    <x v="616"/>
    <x v="0"/>
    <x v="4"/>
    <x v="1"/>
    <x v="1"/>
    <x v="3"/>
    <n v="13"/>
    <s v="$100"/>
    <n v="1.4"/>
    <s v="1"/>
    <x v="36"/>
    <x v="2"/>
    <s v="Completed"/>
    <n v="7"/>
    <x v="0"/>
    <x v="6"/>
  </r>
  <r>
    <s v="FL250621"/>
    <x v="617"/>
    <x v="1"/>
    <x v="16"/>
    <x v="17"/>
    <x v="13"/>
    <x v="7"/>
    <n v="2"/>
    <s v="$75"/>
    <n v="1.7"/>
    <s v="no"/>
    <x v="52"/>
    <x v="3"/>
    <s v="Inactive"/>
    <n v="5"/>
    <x v="1"/>
    <x v="3"/>
  </r>
  <r>
    <s v="FL250622"/>
    <x v="618"/>
    <x v="1"/>
    <x v="8"/>
    <x v="20"/>
    <x v="6"/>
    <x v="10"/>
    <n v="37"/>
    <s v="30"/>
    <n v="4.8"/>
    <s v="FALSE"/>
    <x v="0"/>
    <x v="2"/>
    <s v="Completed"/>
    <n v="10"/>
    <x v="0"/>
    <x v="1"/>
  </r>
  <r>
    <s v="FL250623"/>
    <x v="619"/>
    <x v="1"/>
    <x v="40"/>
    <x v="7"/>
    <x v="1"/>
    <x v="2"/>
    <n v="1"/>
    <s v="Not given"/>
    <n v="4.8"/>
    <s v="N"/>
    <x v="36"/>
    <x v="3"/>
    <s v="Active"/>
    <n v="1"/>
    <x v="1"/>
    <x v="3"/>
  </r>
  <r>
    <s v="FL250624"/>
    <x v="620"/>
    <x v="0"/>
    <x v="21"/>
    <x v="19"/>
    <x v="15"/>
    <x v="9"/>
    <n v="5"/>
    <s v="USD 30"/>
    <n v="2"/>
    <s v="yes"/>
    <x v="37"/>
    <x v="3"/>
    <s v="Completed"/>
    <n v="3"/>
    <x v="1"/>
    <x v="3"/>
  </r>
  <r>
    <s v="FL250625"/>
    <x v="621"/>
    <x v="1"/>
    <x v="13"/>
    <x v="21"/>
    <x v="6"/>
    <x v="0"/>
    <n v="1"/>
    <s v="USD 50"/>
    <n v="2.8"/>
    <s v="no"/>
    <x v="13"/>
    <x v="3"/>
    <s v="On Hold"/>
    <n v="3"/>
    <x v="1"/>
    <x v="3"/>
  </r>
  <r>
    <s v="FL250626"/>
    <x v="622"/>
    <x v="0"/>
    <x v="17"/>
    <x v="1"/>
    <x v="1"/>
    <x v="6"/>
    <n v="2"/>
    <s v="100"/>
    <n v="0"/>
    <s v="0"/>
    <x v="58"/>
    <x v="1"/>
    <s v="Completed"/>
    <n v="5"/>
    <x v="1"/>
    <x v="3"/>
  </r>
  <r>
    <s v="FL250627"/>
    <x v="623"/>
    <x v="0"/>
    <x v="21"/>
    <x v="0"/>
    <x v="0"/>
    <x v="1"/>
    <s v="Not Mentioned"/>
    <s v="$100"/>
    <n v="4.4000000000000004"/>
    <s v="1"/>
    <x v="53"/>
    <x v="0"/>
    <s v="Active"/>
    <n v="2"/>
    <x v="1"/>
    <x v="4"/>
  </r>
  <r>
    <s v="FL250628"/>
    <x v="624"/>
    <x v="0"/>
    <x v="16"/>
    <x v="16"/>
    <x v="12"/>
    <x v="0"/>
    <n v="0"/>
    <s v="USD 30"/>
    <n v="4.9000000000000004"/>
    <s v="FALSE"/>
    <x v="38"/>
    <x v="2"/>
    <s v="Completed"/>
    <n v="3"/>
    <x v="1"/>
    <x v="10"/>
  </r>
  <r>
    <s v="FL250629"/>
    <x v="625"/>
    <x v="0"/>
    <x v="27"/>
    <x v="18"/>
    <x v="14"/>
    <x v="5"/>
    <n v="0"/>
    <s v="USD 75"/>
    <n v="2.2999999999999998"/>
    <s v="Not Mentioned"/>
    <x v="12"/>
    <x v="0"/>
    <s v="Inactive"/>
    <n v="4"/>
    <x v="1"/>
    <x v="3"/>
  </r>
  <r>
    <s v="FL250630"/>
    <x v="626"/>
    <x v="0"/>
    <x v="23"/>
    <x v="6"/>
    <x v="5"/>
    <x v="3"/>
    <n v="41"/>
    <s v="$40"/>
    <n v="4.9000000000000004"/>
    <s v="1"/>
    <x v="77"/>
    <x v="2"/>
    <s v="Completed"/>
    <n v="20"/>
    <x v="0"/>
    <x v="17"/>
  </r>
  <r>
    <s v="FL250631"/>
    <x v="627"/>
    <x v="1"/>
    <x v="38"/>
    <x v="15"/>
    <x v="1"/>
    <x v="9"/>
    <s v="Not Mentioned"/>
    <s v="$75"/>
    <n v="4.3"/>
    <s v="0"/>
    <x v="3"/>
    <x v="3"/>
    <s v="Inactive"/>
    <n v="1"/>
    <x v="1"/>
    <x v="10"/>
  </r>
  <r>
    <s v="FL250632"/>
    <x v="628"/>
    <x v="0"/>
    <x v="20"/>
    <x v="13"/>
    <x v="10"/>
    <x v="7"/>
    <n v="23"/>
    <s v="$75"/>
    <n v="1.4"/>
    <s v="0"/>
    <x v="0"/>
    <x v="1"/>
    <s v="On Hold"/>
    <n v="11"/>
    <x v="0"/>
    <x v="6"/>
  </r>
  <r>
    <s v="FL250633"/>
    <x v="629"/>
    <x v="1"/>
    <x v="39"/>
    <x v="16"/>
    <x v="12"/>
    <x v="1"/>
    <n v="0"/>
    <s v="100"/>
    <s v="Not Mentioned"/>
    <s v="no"/>
    <x v="0"/>
    <x v="0"/>
    <s v="Inactive"/>
    <n v="5"/>
    <x v="1"/>
    <x v="3"/>
  </r>
  <r>
    <s v="FL250634"/>
    <x v="630"/>
    <x v="1"/>
    <x v="40"/>
    <x v="3"/>
    <x v="3"/>
    <x v="10"/>
    <n v="4"/>
    <s v="Not given"/>
    <n v="1.3"/>
    <s v="yes"/>
    <x v="64"/>
    <x v="1"/>
    <s v="Completed"/>
    <n v="3"/>
    <x v="1"/>
    <x v="4"/>
  </r>
  <r>
    <s v="FL250635"/>
    <x v="631"/>
    <x v="1"/>
    <x v="0"/>
    <x v="19"/>
    <x v="15"/>
    <x v="7"/>
    <n v="4"/>
    <s v="75"/>
    <n v="2.2999999999999998"/>
    <s v="1"/>
    <x v="28"/>
    <x v="2"/>
    <s v="Active"/>
    <n v="1"/>
    <x v="1"/>
    <x v="10"/>
  </r>
  <r>
    <s v="FL250636"/>
    <x v="632"/>
    <x v="1"/>
    <x v="25"/>
    <x v="21"/>
    <x v="6"/>
    <x v="10"/>
    <n v="13"/>
    <s v="40"/>
    <n v="3.6"/>
    <s v="0"/>
    <x v="4"/>
    <x v="1"/>
    <s v="Inactive"/>
    <n v="14"/>
    <x v="0"/>
    <x v="6"/>
  </r>
  <r>
    <s v="FL250637"/>
    <x v="633"/>
    <x v="0"/>
    <x v="39"/>
    <x v="3"/>
    <x v="3"/>
    <x v="9"/>
    <n v="2"/>
    <s v="$50"/>
    <s v="Not Mentioned"/>
    <s v="N"/>
    <x v="37"/>
    <x v="1"/>
    <s v="On Hold"/>
    <n v="4"/>
    <x v="1"/>
    <x v="10"/>
  </r>
  <r>
    <s v="FL250638"/>
    <x v="634"/>
    <x v="0"/>
    <x v="21"/>
    <x v="1"/>
    <x v="1"/>
    <x v="8"/>
    <n v="25"/>
    <s v="$100"/>
    <n v="1.3"/>
    <s v="no"/>
    <x v="25"/>
    <x v="0"/>
    <s v="Inactive"/>
    <n v="18"/>
    <x v="0"/>
    <x v="7"/>
  </r>
  <r>
    <s v="FL250639"/>
    <x v="635"/>
    <x v="1"/>
    <x v="8"/>
    <x v="20"/>
    <x v="6"/>
    <x v="1"/>
    <n v="18"/>
    <s v="USD 30"/>
    <n v="1.1000000000000001"/>
    <s v="FALSE"/>
    <x v="3"/>
    <x v="3"/>
    <s v="Inactive"/>
    <n v="13"/>
    <x v="0"/>
    <x v="0"/>
  </r>
  <r>
    <s v="FL250640"/>
    <x v="636"/>
    <x v="0"/>
    <x v="34"/>
    <x v="20"/>
    <x v="6"/>
    <x v="3"/>
    <n v="24"/>
    <s v="$50"/>
    <n v="0"/>
    <s v="0"/>
    <x v="5"/>
    <x v="1"/>
    <s v="Inactive"/>
    <n v="14"/>
    <x v="0"/>
    <x v="12"/>
  </r>
  <r>
    <s v="FL250641"/>
    <x v="637"/>
    <x v="1"/>
    <x v="20"/>
    <x v="10"/>
    <x v="7"/>
    <x v="5"/>
    <n v="7"/>
    <s v="40"/>
    <n v="1.8"/>
    <s v="FALSE"/>
    <x v="10"/>
    <x v="3"/>
    <s v="On Hold"/>
    <n v="14"/>
    <x v="0"/>
    <x v="0"/>
  </r>
  <r>
    <s v="FL250642"/>
    <x v="638"/>
    <x v="1"/>
    <x v="16"/>
    <x v="20"/>
    <x v="6"/>
    <x v="10"/>
    <n v="1"/>
    <s v="USD 20"/>
    <s v="Not Mentioned"/>
    <s v="yes"/>
    <x v="14"/>
    <x v="2"/>
    <s v="Completed"/>
    <n v="1"/>
    <x v="1"/>
    <x v="3"/>
  </r>
  <r>
    <s v="FL250643"/>
    <x v="639"/>
    <x v="1"/>
    <x v="9"/>
    <x v="1"/>
    <x v="1"/>
    <x v="0"/>
    <n v="17"/>
    <s v="75"/>
    <n v="3.3"/>
    <s v="1"/>
    <x v="11"/>
    <x v="1"/>
    <s v="Inactive"/>
    <n v="15"/>
    <x v="0"/>
    <x v="11"/>
  </r>
  <r>
    <s v="FL250644"/>
    <x v="640"/>
    <x v="1"/>
    <x v="8"/>
    <x v="2"/>
    <x v="2"/>
    <x v="2"/>
    <n v="4"/>
    <s v="USD 30"/>
    <n v="4.2"/>
    <s v="0"/>
    <x v="0"/>
    <x v="0"/>
    <s v="Inactive"/>
    <n v="5"/>
    <x v="1"/>
    <x v="10"/>
  </r>
  <r>
    <s v="FL250645"/>
    <x v="641"/>
    <x v="0"/>
    <x v="19"/>
    <x v="20"/>
    <x v="6"/>
    <x v="5"/>
    <n v="29"/>
    <s v="$50"/>
    <s v="Not Mentioned"/>
    <s v="1"/>
    <x v="28"/>
    <x v="2"/>
    <s v="Active"/>
    <n v="14"/>
    <x v="0"/>
    <x v="7"/>
  </r>
  <r>
    <s v="FL250646"/>
    <x v="642"/>
    <x v="1"/>
    <x v="39"/>
    <x v="18"/>
    <x v="14"/>
    <x v="6"/>
    <n v="2"/>
    <s v="$100"/>
    <n v="3.8"/>
    <s v="1"/>
    <x v="2"/>
    <x v="2"/>
    <s v="On Hold"/>
    <n v="5"/>
    <x v="1"/>
    <x v="3"/>
  </r>
  <r>
    <s v="FL250647"/>
    <x v="643"/>
    <x v="1"/>
    <x v="13"/>
    <x v="11"/>
    <x v="8"/>
    <x v="8"/>
    <n v="9"/>
    <s v="100"/>
    <n v="4.8"/>
    <s v="Y"/>
    <x v="29"/>
    <x v="0"/>
    <s v="Inactive"/>
    <n v="12"/>
    <x v="0"/>
    <x v="5"/>
  </r>
  <r>
    <s v="FL250648"/>
    <x v="644"/>
    <x v="0"/>
    <x v="9"/>
    <x v="2"/>
    <x v="2"/>
    <x v="9"/>
    <n v="10"/>
    <s v="$100"/>
    <n v="4.3"/>
    <s v="N"/>
    <x v="9"/>
    <x v="1"/>
    <s v="On Hold"/>
    <n v="8"/>
    <x v="0"/>
    <x v="7"/>
  </r>
  <r>
    <s v="FL250649"/>
    <x v="645"/>
    <x v="1"/>
    <x v="21"/>
    <x v="12"/>
    <x v="9"/>
    <x v="10"/>
    <n v="20"/>
    <s v="Not given"/>
    <n v="4.8"/>
    <s v="1"/>
    <x v="42"/>
    <x v="1"/>
    <s v="Inactive"/>
    <n v="10"/>
    <x v="0"/>
    <x v="11"/>
  </r>
  <r>
    <s v="FL250650"/>
    <x v="646"/>
    <x v="1"/>
    <x v="14"/>
    <x v="1"/>
    <x v="1"/>
    <x v="8"/>
    <n v="9"/>
    <s v="$40"/>
    <s v="Not Mentioned"/>
    <s v="N"/>
    <x v="54"/>
    <x v="2"/>
    <s v="Completed"/>
    <n v="12"/>
    <x v="0"/>
    <x v="7"/>
  </r>
  <r>
    <s v="FL250651"/>
    <x v="647"/>
    <x v="1"/>
    <x v="14"/>
    <x v="7"/>
    <x v="1"/>
    <x v="5"/>
    <n v="12"/>
    <s v="20"/>
    <n v="4"/>
    <s v="0"/>
    <x v="43"/>
    <x v="1"/>
    <s v="Completed"/>
    <n v="15"/>
    <x v="0"/>
    <x v="4"/>
  </r>
  <r>
    <s v="FL250652"/>
    <x v="648"/>
    <x v="1"/>
    <x v="35"/>
    <x v="7"/>
    <x v="1"/>
    <x v="5"/>
    <n v="3"/>
    <s v="USD 50"/>
    <s v="Not Mentioned"/>
    <s v="FALSE"/>
    <x v="0"/>
    <x v="3"/>
    <s v="Inactive"/>
    <n v="1"/>
    <x v="1"/>
    <x v="4"/>
  </r>
  <r>
    <s v="FL250653"/>
    <x v="649"/>
    <x v="1"/>
    <x v="10"/>
    <x v="21"/>
    <x v="6"/>
    <x v="3"/>
    <n v="13"/>
    <s v="30"/>
    <n v="0"/>
    <s v="FALSE"/>
    <x v="26"/>
    <x v="0"/>
    <s v="Completed"/>
    <n v="12"/>
    <x v="0"/>
    <x v="12"/>
  </r>
  <r>
    <s v="FL250654"/>
    <x v="650"/>
    <x v="1"/>
    <x v="26"/>
    <x v="2"/>
    <x v="2"/>
    <x v="7"/>
    <n v="4"/>
    <s v="$40"/>
    <n v="2.2999999999999998"/>
    <s v="yes"/>
    <x v="62"/>
    <x v="3"/>
    <s v="Inactive"/>
    <n v="1"/>
    <x v="1"/>
    <x v="3"/>
  </r>
  <r>
    <s v="FL250655"/>
    <x v="651"/>
    <x v="0"/>
    <x v="32"/>
    <x v="2"/>
    <x v="2"/>
    <x v="6"/>
    <n v="9"/>
    <s v="75"/>
    <s v="Not Mentioned"/>
    <s v="N"/>
    <x v="32"/>
    <x v="1"/>
    <s v="Completed"/>
    <n v="11"/>
    <x v="0"/>
    <x v="7"/>
  </r>
  <r>
    <s v="FL250656"/>
    <x v="652"/>
    <x v="0"/>
    <x v="3"/>
    <x v="15"/>
    <x v="1"/>
    <x v="2"/>
    <n v="14"/>
    <s v="30"/>
    <n v="3.8"/>
    <s v="Not Mentioned"/>
    <x v="49"/>
    <x v="2"/>
    <s v="Active"/>
    <n v="8"/>
    <x v="0"/>
    <x v="12"/>
  </r>
  <r>
    <s v="FL250657"/>
    <x v="653"/>
    <x v="0"/>
    <x v="3"/>
    <x v="16"/>
    <x v="12"/>
    <x v="8"/>
    <n v="37"/>
    <s v="30"/>
    <n v="4"/>
    <s v="FALSE"/>
    <x v="20"/>
    <x v="0"/>
    <s v="Active"/>
    <n v="20"/>
    <x v="0"/>
    <x v="10"/>
  </r>
  <r>
    <s v="FL250658"/>
    <x v="654"/>
    <x v="1"/>
    <x v="22"/>
    <x v="2"/>
    <x v="2"/>
    <x v="2"/>
    <n v="2"/>
    <s v="USD 75"/>
    <n v="2.2000000000000002"/>
    <s v="Y"/>
    <x v="27"/>
    <x v="1"/>
    <s v="Active"/>
    <n v="5"/>
    <x v="1"/>
    <x v="3"/>
  </r>
  <r>
    <s v="FL250659"/>
    <x v="655"/>
    <x v="1"/>
    <x v="29"/>
    <x v="19"/>
    <x v="15"/>
    <x v="5"/>
    <n v="11"/>
    <s v="100"/>
    <n v="4.3"/>
    <s v="0"/>
    <x v="49"/>
    <x v="1"/>
    <s v="On Hold"/>
    <n v="6"/>
    <x v="0"/>
    <x v="4"/>
  </r>
  <r>
    <s v="FL250660"/>
    <x v="656"/>
    <x v="0"/>
    <x v="12"/>
    <x v="15"/>
    <x v="1"/>
    <x v="8"/>
    <n v="19"/>
    <s v="20"/>
    <n v="0"/>
    <s v="0"/>
    <x v="13"/>
    <x v="2"/>
    <s v="On Hold"/>
    <n v="16"/>
    <x v="0"/>
    <x v="7"/>
  </r>
  <r>
    <s v="FL250661"/>
    <x v="657"/>
    <x v="0"/>
    <x v="18"/>
    <x v="5"/>
    <x v="1"/>
    <x v="10"/>
    <n v="9"/>
    <s v="20"/>
    <n v="0"/>
    <s v="1"/>
    <x v="51"/>
    <x v="2"/>
    <s v="Active"/>
    <n v="9"/>
    <x v="0"/>
    <x v="5"/>
  </r>
  <r>
    <s v="FL250662"/>
    <x v="658"/>
    <x v="0"/>
    <x v="0"/>
    <x v="15"/>
    <x v="1"/>
    <x v="7"/>
    <n v="16"/>
    <s v="100"/>
    <n v="4"/>
    <s v="1"/>
    <x v="0"/>
    <x v="3"/>
    <s v="On Hold"/>
    <n v="10"/>
    <x v="0"/>
    <x v="13"/>
  </r>
  <r>
    <s v="FL250663"/>
    <x v="659"/>
    <x v="0"/>
    <x v="10"/>
    <x v="3"/>
    <x v="3"/>
    <x v="1"/>
    <n v="8"/>
    <s v="USD 50"/>
    <s v="Not Mentioned"/>
    <s v="Not Mentioned"/>
    <x v="0"/>
    <x v="0"/>
    <s v="Completed"/>
    <n v="6"/>
    <x v="0"/>
    <x v="13"/>
  </r>
  <r>
    <s v="FL250664"/>
    <x v="660"/>
    <x v="0"/>
    <x v="3"/>
    <x v="11"/>
    <x v="8"/>
    <x v="1"/>
    <n v="34"/>
    <s v="100"/>
    <n v="2"/>
    <s v="1"/>
    <x v="28"/>
    <x v="0"/>
    <s v="Inactive"/>
    <n v="18"/>
    <x v="0"/>
    <x v="12"/>
  </r>
  <r>
    <s v="FL250665"/>
    <x v="661"/>
    <x v="1"/>
    <x v="31"/>
    <x v="3"/>
    <x v="3"/>
    <x v="1"/>
    <n v="5"/>
    <s v="$50"/>
    <n v="4.7"/>
    <s v="1"/>
    <x v="39"/>
    <x v="2"/>
    <s v="Inactive"/>
    <n v="4"/>
    <x v="1"/>
    <x v="10"/>
  </r>
  <r>
    <s v="FL250666"/>
    <x v="662"/>
    <x v="0"/>
    <x v="7"/>
    <x v="15"/>
    <x v="1"/>
    <x v="3"/>
    <n v="14"/>
    <s v="USD 50"/>
    <n v="3.6"/>
    <s v="1"/>
    <x v="22"/>
    <x v="3"/>
    <s v="Inactive"/>
    <n v="9"/>
    <x v="0"/>
    <x v="1"/>
  </r>
  <r>
    <s v="FL250667"/>
    <x v="663"/>
    <x v="1"/>
    <x v="19"/>
    <x v="13"/>
    <x v="10"/>
    <x v="7"/>
    <n v="17"/>
    <s v="50"/>
    <n v="1.2"/>
    <s v="N"/>
    <x v="0"/>
    <x v="0"/>
    <s v="Active"/>
    <n v="14"/>
    <x v="0"/>
    <x v="7"/>
  </r>
  <r>
    <s v="FL250668"/>
    <x v="664"/>
    <x v="0"/>
    <x v="22"/>
    <x v="20"/>
    <x v="6"/>
    <x v="5"/>
    <n v="10"/>
    <s v="Not given"/>
    <n v="4.4000000000000004"/>
    <s v="Y"/>
    <x v="24"/>
    <x v="2"/>
    <s v="On Hold"/>
    <n v="15"/>
    <x v="0"/>
    <x v="7"/>
  </r>
  <r>
    <s v="FL250669"/>
    <x v="665"/>
    <x v="0"/>
    <x v="37"/>
    <x v="7"/>
    <x v="1"/>
    <x v="9"/>
    <n v="8"/>
    <s v="100"/>
    <n v="1.4"/>
    <s v="yes"/>
    <x v="72"/>
    <x v="1"/>
    <s v="Completed"/>
    <n v="14"/>
    <x v="0"/>
    <x v="7"/>
  </r>
  <r>
    <s v="FL250670"/>
    <x v="666"/>
    <x v="0"/>
    <x v="26"/>
    <x v="15"/>
    <x v="1"/>
    <x v="9"/>
    <n v="1"/>
    <s v="USD 30"/>
    <n v="3.2"/>
    <s v="0"/>
    <x v="13"/>
    <x v="0"/>
    <s v="Completed"/>
    <n v="3"/>
    <x v="1"/>
    <x v="10"/>
  </r>
  <r>
    <s v="FL250671"/>
    <x v="667"/>
    <x v="0"/>
    <x v="41"/>
    <x v="17"/>
    <x v="13"/>
    <x v="8"/>
    <n v="10"/>
    <s v="Not given"/>
    <n v="3.8"/>
    <s v="yes"/>
    <x v="65"/>
    <x v="3"/>
    <s v="Active"/>
    <n v="12"/>
    <x v="0"/>
    <x v="13"/>
  </r>
  <r>
    <s v="FL250672"/>
    <x v="668"/>
    <x v="1"/>
    <x v="22"/>
    <x v="13"/>
    <x v="10"/>
    <x v="0"/>
    <n v="0"/>
    <s v="$75"/>
    <n v="1.5"/>
    <s v="TRUE"/>
    <x v="37"/>
    <x v="3"/>
    <s v="Completed"/>
    <n v="5"/>
    <x v="1"/>
    <x v="6"/>
  </r>
  <r>
    <s v="FL250673"/>
    <x v="669"/>
    <x v="1"/>
    <x v="37"/>
    <x v="21"/>
    <x v="6"/>
    <x v="2"/>
    <n v="4"/>
    <s v="Not given"/>
    <n v="2.8"/>
    <s v="1"/>
    <x v="2"/>
    <x v="3"/>
    <s v="Completed"/>
    <n v="4"/>
    <x v="1"/>
    <x v="3"/>
  </r>
  <r>
    <s v="FL250674"/>
    <x v="670"/>
    <x v="1"/>
    <x v="19"/>
    <x v="17"/>
    <x v="13"/>
    <x v="5"/>
    <n v="2"/>
    <s v="50"/>
    <n v="2.7"/>
    <s v="no"/>
    <x v="33"/>
    <x v="1"/>
    <s v="Completed"/>
    <n v="4"/>
    <x v="1"/>
    <x v="3"/>
  </r>
  <r>
    <s v="FL250675"/>
    <x v="671"/>
    <x v="1"/>
    <x v="17"/>
    <x v="1"/>
    <x v="1"/>
    <x v="0"/>
    <n v="10"/>
    <s v="$30"/>
    <n v="3.9"/>
    <s v="Not Mentioned"/>
    <x v="0"/>
    <x v="0"/>
    <s v="Completed"/>
    <n v="12"/>
    <x v="0"/>
    <x v="14"/>
  </r>
  <r>
    <s v="FL250676"/>
    <x v="672"/>
    <x v="1"/>
    <x v="30"/>
    <x v="5"/>
    <x v="1"/>
    <x v="2"/>
    <n v="16"/>
    <s v="100"/>
    <n v="4.5999999999999996"/>
    <s v="N"/>
    <x v="50"/>
    <x v="0"/>
    <s v="On Hold"/>
    <n v="15"/>
    <x v="0"/>
    <x v="1"/>
  </r>
  <r>
    <s v="FL250677"/>
    <x v="673"/>
    <x v="0"/>
    <x v="12"/>
    <x v="21"/>
    <x v="6"/>
    <x v="8"/>
    <n v="27"/>
    <s v="$20"/>
    <n v="2.2000000000000002"/>
    <s v="FALSE"/>
    <x v="10"/>
    <x v="1"/>
    <s v="Completed"/>
    <n v="19"/>
    <x v="0"/>
    <x v="4"/>
  </r>
  <r>
    <s v="FL250678"/>
    <x v="674"/>
    <x v="0"/>
    <x v="34"/>
    <x v="19"/>
    <x v="15"/>
    <x v="9"/>
    <n v="20"/>
    <s v="50"/>
    <n v="2.5"/>
    <s v="0"/>
    <x v="42"/>
    <x v="0"/>
    <s v="Inactive"/>
    <n v="15"/>
    <x v="0"/>
    <x v="13"/>
  </r>
  <r>
    <s v="FL250679"/>
    <x v="675"/>
    <x v="1"/>
    <x v="36"/>
    <x v="16"/>
    <x v="12"/>
    <x v="5"/>
    <n v="10"/>
    <s v="Not given"/>
    <n v="3.1"/>
    <s v="FALSE"/>
    <x v="0"/>
    <x v="1"/>
    <s v="Active"/>
    <n v="13"/>
    <x v="0"/>
    <x v="6"/>
  </r>
  <r>
    <s v="FL250680"/>
    <x v="676"/>
    <x v="0"/>
    <x v="22"/>
    <x v="13"/>
    <x v="10"/>
    <x v="2"/>
    <n v="0"/>
    <s v="$20"/>
    <s v="Not Mentioned"/>
    <s v="1"/>
    <x v="56"/>
    <x v="1"/>
    <s v="On Hold"/>
    <n v="3"/>
    <x v="1"/>
    <x v="10"/>
  </r>
  <r>
    <s v="FL250681"/>
    <x v="677"/>
    <x v="0"/>
    <x v="34"/>
    <x v="3"/>
    <x v="3"/>
    <x v="3"/>
    <n v="11"/>
    <s v="75"/>
    <n v="3.8"/>
    <s v="Y"/>
    <x v="9"/>
    <x v="1"/>
    <s v="Completed"/>
    <n v="13"/>
    <x v="0"/>
    <x v="7"/>
  </r>
  <r>
    <s v="FL250682"/>
    <x v="678"/>
    <x v="0"/>
    <x v="16"/>
    <x v="19"/>
    <x v="15"/>
    <x v="0"/>
    <n v="1"/>
    <s v="100"/>
    <n v="4.8"/>
    <s v="Y"/>
    <x v="14"/>
    <x v="3"/>
    <s v="On Hold"/>
    <n v="1"/>
    <x v="1"/>
    <x v="3"/>
  </r>
  <r>
    <s v="FL250683"/>
    <x v="679"/>
    <x v="1"/>
    <x v="0"/>
    <x v="20"/>
    <x v="6"/>
    <x v="2"/>
    <n v="30"/>
    <s v="USD 100"/>
    <n v="2.5"/>
    <s v="Not Mentioned"/>
    <x v="76"/>
    <x v="0"/>
    <s v="Completed"/>
    <n v="19"/>
    <x v="0"/>
    <x v="15"/>
  </r>
  <r>
    <s v="FL250684"/>
    <x v="680"/>
    <x v="1"/>
    <x v="23"/>
    <x v="15"/>
    <x v="1"/>
    <x v="0"/>
    <n v="7"/>
    <s v="USD 30"/>
    <n v="0"/>
    <s v="no"/>
    <x v="36"/>
    <x v="1"/>
    <s v="Inactive"/>
    <n v="9"/>
    <x v="0"/>
    <x v="12"/>
  </r>
  <r>
    <s v="FL250685"/>
    <x v="681"/>
    <x v="0"/>
    <x v="31"/>
    <x v="10"/>
    <x v="7"/>
    <x v="7"/>
    <n v="0"/>
    <s v="$100"/>
    <n v="1.7"/>
    <s v="1"/>
    <x v="59"/>
    <x v="0"/>
    <s v="Active"/>
    <n v="4"/>
    <x v="1"/>
    <x v="7"/>
  </r>
  <r>
    <s v="FL250686"/>
    <x v="682"/>
    <x v="1"/>
    <x v="0"/>
    <x v="13"/>
    <x v="10"/>
    <x v="2"/>
    <n v="21"/>
    <s v="USD 40"/>
    <n v="4"/>
    <s v="Not Mentioned"/>
    <x v="11"/>
    <x v="3"/>
    <s v="Completed"/>
    <n v="14"/>
    <x v="0"/>
    <x v="11"/>
  </r>
  <r>
    <s v="FL250687"/>
    <x v="683"/>
    <x v="0"/>
    <x v="26"/>
    <x v="2"/>
    <x v="2"/>
    <x v="9"/>
    <n v="7"/>
    <s v="USD 100"/>
    <n v="1.9"/>
    <s v="FALSE"/>
    <x v="23"/>
    <x v="1"/>
    <s v="Completed"/>
    <n v="11"/>
    <x v="0"/>
    <x v="7"/>
  </r>
  <r>
    <s v="FL250688"/>
    <x v="684"/>
    <x v="1"/>
    <x v="31"/>
    <x v="10"/>
    <x v="7"/>
    <x v="8"/>
    <s v="Not Mentioned"/>
    <s v="USD 30"/>
    <n v="4.4000000000000004"/>
    <s v="TRUE"/>
    <x v="16"/>
    <x v="2"/>
    <s v="Completed"/>
    <n v="1"/>
    <x v="1"/>
    <x v="3"/>
  </r>
  <r>
    <s v="FL250689"/>
    <x v="685"/>
    <x v="0"/>
    <x v="31"/>
    <x v="19"/>
    <x v="15"/>
    <x v="1"/>
    <s v="Not Mentioned"/>
    <s v="Not given"/>
    <n v="4.2"/>
    <s v="Y"/>
    <x v="3"/>
    <x v="3"/>
    <s v="Completed"/>
    <n v="1"/>
    <x v="1"/>
    <x v="3"/>
  </r>
  <r>
    <s v="FL250690"/>
    <x v="5"/>
    <x v="0"/>
    <x v="0"/>
    <x v="15"/>
    <x v="1"/>
    <x v="7"/>
    <n v="25"/>
    <s v="100"/>
    <n v="4.8"/>
    <s v="N"/>
    <x v="0"/>
    <x v="2"/>
    <s v="Active"/>
    <n v="10"/>
    <x v="0"/>
    <x v="12"/>
  </r>
  <r>
    <s v="FL250691"/>
    <x v="686"/>
    <x v="0"/>
    <x v="38"/>
    <x v="4"/>
    <x v="4"/>
    <x v="3"/>
    <n v="1"/>
    <s v="USD 30"/>
    <n v="2"/>
    <s v="no"/>
    <x v="19"/>
    <x v="0"/>
    <s v="Active"/>
    <n v="1"/>
    <x v="1"/>
    <x v="10"/>
  </r>
  <r>
    <s v="FL250692"/>
    <x v="687"/>
    <x v="0"/>
    <x v="4"/>
    <x v="14"/>
    <x v="11"/>
    <x v="6"/>
    <n v="7"/>
    <s v="USD 50"/>
    <s v="Not Mentioned"/>
    <s v="1"/>
    <x v="25"/>
    <x v="0"/>
    <s v="Inactive"/>
    <n v="11"/>
    <x v="0"/>
    <x v="4"/>
  </r>
  <r>
    <s v="FL250693"/>
    <x v="666"/>
    <x v="0"/>
    <x v="28"/>
    <x v="16"/>
    <x v="12"/>
    <x v="1"/>
    <s v="Not Mentioned"/>
    <s v="50"/>
    <n v="1.4"/>
    <s v="no"/>
    <x v="25"/>
    <x v="3"/>
    <s v="Active"/>
    <n v="5"/>
    <x v="1"/>
    <x v="10"/>
  </r>
  <r>
    <s v="FL250694"/>
    <x v="688"/>
    <x v="0"/>
    <x v="22"/>
    <x v="2"/>
    <x v="2"/>
    <x v="6"/>
    <n v="6"/>
    <s v="100"/>
    <n v="1.8"/>
    <s v="N"/>
    <x v="0"/>
    <x v="0"/>
    <s v="Completed"/>
    <n v="6"/>
    <x v="0"/>
    <x v="5"/>
  </r>
  <r>
    <s v="FL250695"/>
    <x v="376"/>
    <x v="0"/>
    <x v="1"/>
    <x v="18"/>
    <x v="14"/>
    <x v="2"/>
    <n v="35"/>
    <s v="Not given"/>
    <n v="0"/>
    <s v="1"/>
    <x v="24"/>
    <x v="2"/>
    <s v="Inactive"/>
    <n v="18"/>
    <x v="0"/>
    <x v="11"/>
  </r>
  <r>
    <s v="FL250696"/>
    <x v="689"/>
    <x v="1"/>
    <x v="2"/>
    <x v="11"/>
    <x v="8"/>
    <x v="1"/>
    <n v="1"/>
    <s v="USD 40"/>
    <n v="0"/>
    <s v="0"/>
    <x v="32"/>
    <x v="1"/>
    <s v="Inactive"/>
    <n v="2"/>
    <x v="1"/>
    <x v="10"/>
  </r>
  <r>
    <s v="FL250697"/>
    <x v="690"/>
    <x v="1"/>
    <x v="22"/>
    <x v="21"/>
    <x v="6"/>
    <x v="2"/>
    <s v="Not Mentioned"/>
    <s v="20"/>
    <n v="0"/>
    <s v="0"/>
    <x v="3"/>
    <x v="1"/>
    <s v="Inactive"/>
    <n v="3"/>
    <x v="1"/>
    <x v="4"/>
  </r>
  <r>
    <s v="FL250698"/>
    <x v="691"/>
    <x v="1"/>
    <x v="10"/>
    <x v="13"/>
    <x v="10"/>
    <x v="7"/>
    <n v="0"/>
    <s v="Not given"/>
    <n v="3.9"/>
    <s v="FALSE"/>
    <x v="20"/>
    <x v="1"/>
    <s v="Completed"/>
    <n v="5"/>
    <x v="1"/>
    <x v="10"/>
  </r>
  <r>
    <s v="FL250699"/>
    <x v="692"/>
    <x v="0"/>
    <x v="15"/>
    <x v="5"/>
    <x v="1"/>
    <x v="10"/>
    <n v="9"/>
    <s v="100"/>
    <s v="Not Mentioned"/>
    <s v="N"/>
    <x v="29"/>
    <x v="3"/>
    <s v="On Hold"/>
    <n v="13"/>
    <x v="0"/>
    <x v="5"/>
  </r>
  <r>
    <s v="FL250700"/>
    <x v="693"/>
    <x v="1"/>
    <x v="12"/>
    <x v="19"/>
    <x v="15"/>
    <x v="7"/>
    <n v="18"/>
    <s v="USD 50"/>
    <n v="4.4000000000000004"/>
    <s v="Y"/>
    <x v="4"/>
    <x v="0"/>
    <s v="Completed"/>
    <n v="18"/>
    <x v="0"/>
    <x v="5"/>
  </r>
  <r>
    <s v="FL250701"/>
    <x v="694"/>
    <x v="0"/>
    <x v="19"/>
    <x v="6"/>
    <x v="5"/>
    <x v="2"/>
    <n v="22"/>
    <s v="100"/>
    <n v="4.4000000000000004"/>
    <s v="no"/>
    <x v="10"/>
    <x v="2"/>
    <s v="Active"/>
    <n v="17"/>
    <x v="0"/>
    <x v="2"/>
  </r>
  <r>
    <s v="FL250702"/>
    <x v="695"/>
    <x v="1"/>
    <x v="30"/>
    <x v="14"/>
    <x v="11"/>
    <x v="0"/>
    <n v="25"/>
    <s v="50"/>
    <n v="0"/>
    <s v="no"/>
    <x v="78"/>
    <x v="0"/>
    <s v="Active"/>
    <n v="17"/>
    <x v="0"/>
    <x v="4"/>
  </r>
  <r>
    <s v="FL250703"/>
    <x v="696"/>
    <x v="1"/>
    <x v="30"/>
    <x v="19"/>
    <x v="15"/>
    <x v="6"/>
    <n v="6"/>
    <s v="50"/>
    <n v="1.4"/>
    <s v="Not Mentioned"/>
    <x v="53"/>
    <x v="0"/>
    <s v="Completed"/>
    <n v="6"/>
    <x v="0"/>
    <x v="7"/>
  </r>
  <r>
    <s v="FL250704"/>
    <x v="697"/>
    <x v="1"/>
    <x v="25"/>
    <x v="15"/>
    <x v="1"/>
    <x v="10"/>
    <n v="10"/>
    <s v="20"/>
    <n v="3.2"/>
    <s v="TRUE"/>
    <x v="7"/>
    <x v="0"/>
    <s v="Completed"/>
    <n v="6"/>
    <x v="0"/>
    <x v="5"/>
  </r>
  <r>
    <s v="FL250705"/>
    <x v="698"/>
    <x v="1"/>
    <x v="14"/>
    <x v="15"/>
    <x v="1"/>
    <x v="9"/>
    <n v="4"/>
    <s v="USD 50"/>
    <n v="2"/>
    <s v="no"/>
    <x v="41"/>
    <x v="1"/>
    <s v="Inactive"/>
    <n v="2"/>
    <x v="1"/>
    <x v="10"/>
  </r>
  <r>
    <s v="FL250706"/>
    <x v="699"/>
    <x v="0"/>
    <x v="17"/>
    <x v="21"/>
    <x v="6"/>
    <x v="1"/>
    <n v="11"/>
    <s v="50"/>
    <n v="3.3"/>
    <s v="yes"/>
    <x v="6"/>
    <x v="2"/>
    <s v="Completed"/>
    <n v="9"/>
    <x v="0"/>
    <x v="6"/>
  </r>
  <r>
    <s v="FL250707"/>
    <x v="700"/>
    <x v="0"/>
    <x v="14"/>
    <x v="4"/>
    <x v="4"/>
    <x v="2"/>
    <n v="1"/>
    <s v="$50"/>
    <n v="0"/>
    <s v="Y"/>
    <x v="36"/>
    <x v="2"/>
    <s v="Inactive"/>
    <n v="1"/>
    <x v="1"/>
    <x v="3"/>
  </r>
  <r>
    <s v="FL250708"/>
    <x v="701"/>
    <x v="1"/>
    <x v="29"/>
    <x v="17"/>
    <x v="13"/>
    <x v="2"/>
    <n v="35"/>
    <s v="USD 100"/>
    <n v="2.2999999999999998"/>
    <s v="Y"/>
    <x v="0"/>
    <x v="0"/>
    <s v="Active"/>
    <n v="16"/>
    <x v="0"/>
    <x v="7"/>
  </r>
  <r>
    <s v="FL250709"/>
    <x v="702"/>
    <x v="0"/>
    <x v="18"/>
    <x v="3"/>
    <x v="3"/>
    <x v="3"/>
    <n v="17"/>
    <s v="$20"/>
    <n v="0"/>
    <s v="1"/>
    <x v="78"/>
    <x v="1"/>
    <s v="Inactive"/>
    <n v="12"/>
    <x v="0"/>
    <x v="12"/>
  </r>
  <r>
    <s v="FL250710"/>
    <x v="703"/>
    <x v="1"/>
    <x v="13"/>
    <x v="14"/>
    <x v="11"/>
    <x v="5"/>
    <n v="12"/>
    <s v="30"/>
    <n v="2.6"/>
    <s v="Y"/>
    <x v="0"/>
    <x v="1"/>
    <s v="Completed"/>
    <n v="6"/>
    <x v="0"/>
    <x v="5"/>
  </r>
  <r>
    <s v="FL250711"/>
    <x v="704"/>
    <x v="1"/>
    <x v="12"/>
    <x v="18"/>
    <x v="14"/>
    <x v="10"/>
    <n v="30"/>
    <s v="40"/>
    <n v="3.3"/>
    <s v="yes"/>
    <x v="42"/>
    <x v="2"/>
    <s v="Active"/>
    <n v="12"/>
    <x v="0"/>
    <x v="4"/>
  </r>
  <r>
    <s v="FL250712"/>
    <x v="705"/>
    <x v="0"/>
    <x v="29"/>
    <x v="15"/>
    <x v="1"/>
    <x v="8"/>
    <n v="20"/>
    <s v="75"/>
    <n v="3.6"/>
    <s v="yes"/>
    <x v="50"/>
    <x v="1"/>
    <s v="On Hold"/>
    <n v="11"/>
    <x v="0"/>
    <x v="14"/>
  </r>
  <r>
    <s v="FL250713"/>
    <x v="706"/>
    <x v="0"/>
    <x v="29"/>
    <x v="5"/>
    <x v="1"/>
    <x v="8"/>
    <n v="22"/>
    <s v="100"/>
    <n v="3.7"/>
    <s v="0"/>
    <x v="0"/>
    <x v="1"/>
    <s v="Inactive"/>
    <n v="13"/>
    <x v="0"/>
    <x v="12"/>
  </r>
  <r>
    <s v="FL250714"/>
    <x v="707"/>
    <x v="0"/>
    <x v="15"/>
    <x v="7"/>
    <x v="1"/>
    <x v="5"/>
    <n v="32"/>
    <s v="$20"/>
    <n v="3.4"/>
    <s v="no"/>
    <x v="0"/>
    <x v="1"/>
    <s v="Active"/>
    <n v="11"/>
    <x v="0"/>
    <x v="8"/>
  </r>
  <r>
    <s v="FL250715"/>
    <x v="708"/>
    <x v="1"/>
    <x v="1"/>
    <x v="1"/>
    <x v="1"/>
    <x v="7"/>
    <n v="9"/>
    <s v="50"/>
    <n v="4"/>
    <s v="Y"/>
    <x v="29"/>
    <x v="3"/>
    <s v="Inactive"/>
    <n v="14"/>
    <x v="0"/>
    <x v="10"/>
  </r>
  <r>
    <s v="FL250716"/>
    <x v="709"/>
    <x v="0"/>
    <x v="4"/>
    <x v="1"/>
    <x v="1"/>
    <x v="3"/>
    <n v="22"/>
    <s v="40"/>
    <n v="4.5"/>
    <s v="Not Mentioned"/>
    <x v="0"/>
    <x v="0"/>
    <s v="Active"/>
    <n v="16"/>
    <x v="0"/>
    <x v="0"/>
  </r>
  <r>
    <s v="FL250717"/>
    <x v="710"/>
    <x v="1"/>
    <x v="40"/>
    <x v="13"/>
    <x v="10"/>
    <x v="10"/>
    <n v="1"/>
    <s v="75"/>
    <n v="4.3"/>
    <s v="1"/>
    <x v="0"/>
    <x v="2"/>
    <s v="Active"/>
    <n v="1"/>
    <x v="1"/>
    <x v="3"/>
  </r>
  <r>
    <s v="FL250718"/>
    <x v="711"/>
    <x v="1"/>
    <x v="17"/>
    <x v="15"/>
    <x v="1"/>
    <x v="8"/>
    <n v="4"/>
    <s v="75"/>
    <n v="4"/>
    <s v="1"/>
    <x v="0"/>
    <x v="2"/>
    <s v="Inactive"/>
    <n v="3"/>
    <x v="1"/>
    <x v="10"/>
  </r>
  <r>
    <s v="FL250719"/>
    <x v="712"/>
    <x v="0"/>
    <x v="35"/>
    <x v="12"/>
    <x v="9"/>
    <x v="1"/>
    <n v="8"/>
    <s v="$50"/>
    <n v="1.6"/>
    <s v="yes"/>
    <x v="0"/>
    <x v="3"/>
    <s v="On Hold"/>
    <n v="15"/>
    <x v="0"/>
    <x v="7"/>
  </r>
  <r>
    <s v="FL250720"/>
    <x v="713"/>
    <x v="1"/>
    <x v="9"/>
    <x v="10"/>
    <x v="7"/>
    <x v="6"/>
    <n v="3"/>
    <s v="100"/>
    <n v="0"/>
    <s v="Y"/>
    <x v="0"/>
    <x v="0"/>
    <s v="Active"/>
    <n v="2"/>
    <x v="1"/>
    <x v="10"/>
  </r>
  <r>
    <s v="FL250721"/>
    <x v="714"/>
    <x v="0"/>
    <x v="0"/>
    <x v="13"/>
    <x v="10"/>
    <x v="7"/>
    <n v="30"/>
    <s v="75"/>
    <s v="Not Mentioned"/>
    <s v="no"/>
    <x v="5"/>
    <x v="2"/>
    <s v="Active"/>
    <n v="10"/>
    <x v="0"/>
    <x v="0"/>
  </r>
  <r>
    <s v="FL250722"/>
    <x v="715"/>
    <x v="1"/>
    <x v="8"/>
    <x v="21"/>
    <x v="6"/>
    <x v="0"/>
    <n v="11"/>
    <s v="USD 20"/>
    <n v="4.9000000000000004"/>
    <s v="Y"/>
    <x v="0"/>
    <x v="1"/>
    <s v="Active"/>
    <n v="11"/>
    <x v="0"/>
    <x v="6"/>
  </r>
  <r>
    <s v="FL250723"/>
    <x v="716"/>
    <x v="0"/>
    <x v="1"/>
    <x v="20"/>
    <x v="6"/>
    <x v="9"/>
    <n v="8"/>
    <s v="20"/>
    <n v="2.8"/>
    <s v="TRUE"/>
    <x v="0"/>
    <x v="2"/>
    <s v="On Hold"/>
    <n v="9"/>
    <x v="0"/>
    <x v="10"/>
  </r>
  <r>
    <s v="FL250724"/>
    <x v="717"/>
    <x v="1"/>
    <x v="14"/>
    <x v="6"/>
    <x v="5"/>
    <x v="7"/>
    <n v="11"/>
    <s v="USD 30"/>
    <n v="3.6"/>
    <s v="Y"/>
    <x v="7"/>
    <x v="1"/>
    <s v="On Hold"/>
    <n v="7"/>
    <x v="0"/>
    <x v="4"/>
  </r>
  <r>
    <s v="FL250725"/>
    <x v="718"/>
    <x v="0"/>
    <x v="33"/>
    <x v="15"/>
    <x v="1"/>
    <x v="8"/>
    <n v="9"/>
    <s v="$50"/>
    <s v="Not Mentioned"/>
    <s v="yes"/>
    <x v="70"/>
    <x v="3"/>
    <s v="Completed"/>
    <n v="7"/>
    <x v="0"/>
    <x v="0"/>
  </r>
  <r>
    <s v="FL250726"/>
    <x v="719"/>
    <x v="1"/>
    <x v="6"/>
    <x v="21"/>
    <x v="6"/>
    <x v="3"/>
    <n v="7"/>
    <s v="40"/>
    <n v="4.5"/>
    <s v="Not Mentioned"/>
    <x v="79"/>
    <x v="1"/>
    <s v="Inactive"/>
    <n v="15"/>
    <x v="0"/>
    <x v="0"/>
  </r>
  <r>
    <s v="FL250727"/>
    <x v="720"/>
    <x v="1"/>
    <x v="23"/>
    <x v="10"/>
    <x v="7"/>
    <x v="6"/>
    <n v="24"/>
    <s v="USD 40"/>
    <n v="3.1"/>
    <s v="0"/>
    <x v="11"/>
    <x v="2"/>
    <s v="On Hold"/>
    <n v="18"/>
    <x v="0"/>
    <x v="9"/>
  </r>
  <r>
    <s v="FL250728"/>
    <x v="721"/>
    <x v="1"/>
    <x v="23"/>
    <x v="16"/>
    <x v="12"/>
    <x v="7"/>
    <n v="0"/>
    <s v="40"/>
    <n v="4.9000000000000004"/>
    <s v="Y"/>
    <x v="15"/>
    <x v="2"/>
    <s v="Inactive"/>
    <n v="5"/>
    <x v="1"/>
    <x v="3"/>
  </r>
  <r>
    <s v="FL250729"/>
    <x v="722"/>
    <x v="0"/>
    <x v="1"/>
    <x v="13"/>
    <x v="10"/>
    <x v="7"/>
    <n v="21"/>
    <s v="$30"/>
    <n v="4.2"/>
    <s v="1"/>
    <x v="62"/>
    <x v="2"/>
    <s v="Completed"/>
    <n v="10"/>
    <x v="0"/>
    <x v="11"/>
  </r>
  <r>
    <s v="FL250730"/>
    <x v="723"/>
    <x v="0"/>
    <x v="38"/>
    <x v="20"/>
    <x v="6"/>
    <x v="0"/>
    <n v="0"/>
    <s v="75"/>
    <n v="3.2"/>
    <s v="1"/>
    <x v="26"/>
    <x v="3"/>
    <s v="Inactive"/>
    <n v="2"/>
    <x v="1"/>
    <x v="10"/>
  </r>
  <r>
    <s v="FL250731"/>
    <x v="724"/>
    <x v="1"/>
    <x v="10"/>
    <x v="14"/>
    <x v="11"/>
    <x v="3"/>
    <n v="7"/>
    <s v="USD 20"/>
    <s v="Not Mentioned"/>
    <s v="FALSE"/>
    <x v="17"/>
    <x v="3"/>
    <s v="On Hold"/>
    <n v="15"/>
    <x v="0"/>
    <x v="15"/>
  </r>
  <r>
    <s v="FL250732"/>
    <x v="725"/>
    <x v="1"/>
    <x v="24"/>
    <x v="7"/>
    <x v="1"/>
    <x v="1"/>
    <n v="3"/>
    <s v="40"/>
    <n v="0"/>
    <s v="0"/>
    <x v="13"/>
    <x v="0"/>
    <s v="Inactive"/>
    <n v="1"/>
    <x v="1"/>
    <x v="3"/>
  </r>
  <r>
    <s v="FL250733"/>
    <x v="726"/>
    <x v="1"/>
    <x v="11"/>
    <x v="2"/>
    <x v="2"/>
    <x v="3"/>
    <n v="21"/>
    <s v="100"/>
    <n v="2.2000000000000002"/>
    <s v="0"/>
    <x v="28"/>
    <x v="2"/>
    <s v="On Hold"/>
    <n v="12"/>
    <x v="0"/>
    <x v="14"/>
  </r>
  <r>
    <s v="FL250734"/>
    <x v="727"/>
    <x v="1"/>
    <x v="32"/>
    <x v="11"/>
    <x v="8"/>
    <x v="0"/>
    <s v="Not Mentioned"/>
    <s v="30"/>
    <n v="1.5"/>
    <s v="0"/>
    <x v="15"/>
    <x v="1"/>
    <s v="Inactive"/>
    <n v="4"/>
    <x v="1"/>
    <x v="3"/>
  </r>
  <r>
    <s v="FL250735"/>
    <x v="728"/>
    <x v="1"/>
    <x v="25"/>
    <x v="2"/>
    <x v="2"/>
    <x v="6"/>
    <s v="Not Mentioned"/>
    <s v="USD 100"/>
    <s v="Not Mentioned"/>
    <s v="0"/>
    <x v="1"/>
    <x v="3"/>
    <s v="On Hold"/>
    <n v="1"/>
    <x v="1"/>
    <x v="10"/>
  </r>
  <r>
    <s v="FL250736"/>
    <x v="729"/>
    <x v="0"/>
    <x v="25"/>
    <x v="16"/>
    <x v="12"/>
    <x v="7"/>
    <n v="17"/>
    <s v="50"/>
    <n v="3.1"/>
    <s v="0"/>
    <x v="2"/>
    <x v="2"/>
    <s v="On Hold"/>
    <n v="10"/>
    <x v="0"/>
    <x v="10"/>
  </r>
  <r>
    <s v="FL250737"/>
    <x v="730"/>
    <x v="0"/>
    <x v="27"/>
    <x v="8"/>
    <x v="6"/>
    <x v="7"/>
    <n v="0"/>
    <s v="75"/>
    <n v="0"/>
    <s v="no"/>
    <x v="41"/>
    <x v="2"/>
    <s v="Inactive"/>
    <n v="1"/>
    <x v="1"/>
    <x v="10"/>
  </r>
  <r>
    <s v="FL250738"/>
    <x v="731"/>
    <x v="1"/>
    <x v="5"/>
    <x v="3"/>
    <x v="3"/>
    <x v="5"/>
    <n v="6"/>
    <s v="USD 100"/>
    <s v="Not Mentioned"/>
    <s v="no"/>
    <x v="11"/>
    <x v="3"/>
    <s v="Completed"/>
    <n v="8"/>
    <x v="0"/>
    <x v="11"/>
  </r>
  <r>
    <s v="FL250739"/>
    <x v="732"/>
    <x v="0"/>
    <x v="17"/>
    <x v="15"/>
    <x v="1"/>
    <x v="10"/>
    <n v="3"/>
    <s v="Not given"/>
    <n v="0"/>
    <s v="1"/>
    <x v="2"/>
    <x v="0"/>
    <s v="Active"/>
    <n v="2"/>
    <x v="1"/>
    <x v="3"/>
  </r>
  <r>
    <s v="FL250740"/>
    <x v="733"/>
    <x v="0"/>
    <x v="17"/>
    <x v="2"/>
    <x v="2"/>
    <x v="0"/>
    <n v="3"/>
    <s v="Not given"/>
    <s v="Not Mentioned"/>
    <s v="FALSE"/>
    <x v="7"/>
    <x v="3"/>
    <s v="Completed"/>
    <n v="2"/>
    <x v="1"/>
    <x v="3"/>
  </r>
  <r>
    <s v="FL250741"/>
    <x v="734"/>
    <x v="1"/>
    <x v="8"/>
    <x v="0"/>
    <x v="0"/>
    <x v="3"/>
    <n v="31"/>
    <s v="50"/>
    <n v="3"/>
    <s v="TRUE"/>
    <x v="13"/>
    <x v="3"/>
    <s v="Inactive"/>
    <n v="15"/>
    <x v="0"/>
    <x v="5"/>
  </r>
  <r>
    <s v="FL250742"/>
    <x v="735"/>
    <x v="1"/>
    <x v="21"/>
    <x v="15"/>
    <x v="1"/>
    <x v="3"/>
    <n v="5"/>
    <s v="$30"/>
    <n v="2.6"/>
    <s v="no"/>
    <x v="6"/>
    <x v="1"/>
    <s v="Completed"/>
    <n v="2"/>
    <x v="1"/>
    <x v="4"/>
  </r>
  <r>
    <s v="FL250743"/>
    <x v="736"/>
    <x v="1"/>
    <x v="7"/>
    <x v="11"/>
    <x v="8"/>
    <x v="5"/>
    <n v="37"/>
    <s v="USD 75"/>
    <n v="4.0999999999999996"/>
    <s v="no"/>
    <x v="0"/>
    <x v="1"/>
    <s v="On Hold"/>
    <n v="16"/>
    <x v="0"/>
    <x v="1"/>
  </r>
  <r>
    <s v="FL250744"/>
    <x v="737"/>
    <x v="0"/>
    <x v="32"/>
    <x v="1"/>
    <x v="1"/>
    <x v="9"/>
    <n v="10"/>
    <s v="USD 50"/>
    <n v="1.5"/>
    <s v="FALSE"/>
    <x v="16"/>
    <x v="0"/>
    <s v="Active"/>
    <n v="15"/>
    <x v="0"/>
    <x v="0"/>
  </r>
  <r>
    <s v="FL250745"/>
    <x v="738"/>
    <x v="1"/>
    <x v="1"/>
    <x v="4"/>
    <x v="4"/>
    <x v="5"/>
    <n v="28"/>
    <s v="USD 50"/>
    <n v="2.9"/>
    <s v="yes"/>
    <x v="42"/>
    <x v="2"/>
    <s v="Inactive"/>
    <n v="10"/>
    <x v="0"/>
    <x v="14"/>
  </r>
  <r>
    <s v="FL250746"/>
    <x v="739"/>
    <x v="1"/>
    <x v="3"/>
    <x v="20"/>
    <x v="6"/>
    <x v="5"/>
    <n v="0"/>
    <s v="100"/>
    <n v="0"/>
    <s v="Y"/>
    <x v="48"/>
    <x v="3"/>
    <s v="Inactive"/>
    <n v="4"/>
    <x v="1"/>
    <x v="6"/>
  </r>
  <r>
    <s v="FL250747"/>
    <x v="740"/>
    <x v="0"/>
    <x v="40"/>
    <x v="3"/>
    <x v="3"/>
    <x v="10"/>
    <n v="19"/>
    <s v="$40"/>
    <n v="4.9000000000000004"/>
    <s v="N"/>
    <x v="17"/>
    <x v="0"/>
    <s v="Inactive"/>
    <n v="17"/>
    <x v="0"/>
    <x v="15"/>
  </r>
  <r>
    <s v="FL250748"/>
    <x v="741"/>
    <x v="1"/>
    <x v="25"/>
    <x v="17"/>
    <x v="13"/>
    <x v="0"/>
    <n v="9"/>
    <s v="USD 50"/>
    <n v="3"/>
    <s v="N"/>
    <x v="66"/>
    <x v="1"/>
    <s v="Active"/>
    <n v="6"/>
    <x v="0"/>
    <x v="14"/>
  </r>
  <r>
    <s v="FL250749"/>
    <x v="742"/>
    <x v="0"/>
    <x v="10"/>
    <x v="19"/>
    <x v="15"/>
    <x v="10"/>
    <n v="5"/>
    <s v="30"/>
    <n v="4.9000000000000004"/>
    <s v="1"/>
    <x v="48"/>
    <x v="3"/>
    <s v="On Hold"/>
    <n v="1"/>
    <x v="1"/>
    <x v="3"/>
  </r>
  <r>
    <s v="FL250750"/>
    <x v="743"/>
    <x v="0"/>
    <x v="29"/>
    <x v="13"/>
    <x v="10"/>
    <x v="0"/>
    <n v="0"/>
    <s v="USD 30"/>
    <n v="4.5999999999999996"/>
    <s v="0"/>
    <x v="55"/>
    <x v="2"/>
    <s v="Inactive"/>
    <n v="4"/>
    <x v="1"/>
    <x v="10"/>
  </r>
  <r>
    <s v="FL250751"/>
    <x v="744"/>
    <x v="1"/>
    <x v="20"/>
    <x v="3"/>
    <x v="3"/>
    <x v="5"/>
    <n v="21"/>
    <s v="USD 100"/>
    <n v="2.2000000000000002"/>
    <s v="1"/>
    <x v="4"/>
    <x v="1"/>
    <s v="Completed"/>
    <n v="17"/>
    <x v="0"/>
    <x v="0"/>
  </r>
  <r>
    <s v="FL250752"/>
    <x v="745"/>
    <x v="0"/>
    <x v="13"/>
    <x v="8"/>
    <x v="6"/>
    <x v="3"/>
    <n v="0"/>
    <s v="40"/>
    <s v="Not Mentioned"/>
    <s v="Y"/>
    <x v="26"/>
    <x v="1"/>
    <s v="Inactive"/>
    <n v="1"/>
    <x v="1"/>
    <x v="10"/>
  </r>
  <r>
    <s v="FL250753"/>
    <x v="746"/>
    <x v="0"/>
    <x v="27"/>
    <x v="15"/>
    <x v="1"/>
    <x v="0"/>
    <n v="0"/>
    <s v="30"/>
    <n v="1.1000000000000001"/>
    <s v="yes"/>
    <x v="8"/>
    <x v="1"/>
    <s v="Inactive"/>
    <n v="4"/>
    <x v="1"/>
    <x v="10"/>
  </r>
  <r>
    <s v="FL250754"/>
    <x v="747"/>
    <x v="1"/>
    <x v="14"/>
    <x v="19"/>
    <x v="15"/>
    <x v="0"/>
    <n v="17"/>
    <s v="40"/>
    <n v="4.5"/>
    <s v="1"/>
    <x v="29"/>
    <x v="0"/>
    <s v="Inactive"/>
    <n v="11"/>
    <x v="0"/>
    <x v="10"/>
  </r>
  <r>
    <s v="FL250755"/>
    <x v="748"/>
    <x v="0"/>
    <x v="10"/>
    <x v="16"/>
    <x v="12"/>
    <x v="5"/>
    <n v="21"/>
    <s v="Not given"/>
    <n v="2.5"/>
    <s v="TRUE"/>
    <x v="38"/>
    <x v="2"/>
    <s v="Inactive"/>
    <n v="10"/>
    <x v="0"/>
    <x v="1"/>
  </r>
  <r>
    <s v="FL250756"/>
    <x v="749"/>
    <x v="1"/>
    <x v="5"/>
    <x v="10"/>
    <x v="7"/>
    <x v="6"/>
    <n v="7"/>
    <s v="USD 75"/>
    <n v="2.9"/>
    <s v="0"/>
    <x v="50"/>
    <x v="3"/>
    <s v="On Hold"/>
    <n v="15"/>
    <x v="0"/>
    <x v="3"/>
  </r>
  <r>
    <s v="FL250757"/>
    <x v="750"/>
    <x v="0"/>
    <x v="34"/>
    <x v="4"/>
    <x v="4"/>
    <x v="5"/>
    <n v="22"/>
    <s v="75"/>
    <n v="0"/>
    <s v="TRUE"/>
    <x v="0"/>
    <x v="0"/>
    <s v="Completed"/>
    <n v="16"/>
    <x v="0"/>
    <x v="19"/>
  </r>
  <r>
    <s v="FL250758"/>
    <x v="751"/>
    <x v="0"/>
    <x v="33"/>
    <x v="0"/>
    <x v="0"/>
    <x v="9"/>
    <s v="Not Mentioned"/>
    <s v="USD 75"/>
    <n v="3.5"/>
    <s v="N"/>
    <x v="14"/>
    <x v="0"/>
    <s v="On Hold"/>
    <n v="2"/>
    <x v="1"/>
    <x v="10"/>
  </r>
  <r>
    <s v="FL250759"/>
    <x v="752"/>
    <x v="1"/>
    <x v="28"/>
    <x v="1"/>
    <x v="1"/>
    <x v="5"/>
    <n v="1"/>
    <s v="40"/>
    <n v="4.5"/>
    <s v="0"/>
    <x v="32"/>
    <x v="0"/>
    <s v="Completed"/>
    <n v="1"/>
    <x v="1"/>
    <x v="4"/>
  </r>
  <r>
    <s v="FL250760"/>
    <x v="753"/>
    <x v="1"/>
    <x v="14"/>
    <x v="13"/>
    <x v="10"/>
    <x v="1"/>
    <n v="5"/>
    <s v="USD 40"/>
    <n v="1.7"/>
    <s v="yes"/>
    <x v="35"/>
    <x v="1"/>
    <s v="Inactive"/>
    <n v="3"/>
    <x v="1"/>
    <x v="4"/>
  </r>
  <r>
    <s v="FL250761"/>
    <x v="754"/>
    <x v="1"/>
    <x v="23"/>
    <x v="19"/>
    <x v="15"/>
    <x v="9"/>
    <n v="40"/>
    <s v="50"/>
    <n v="4.5999999999999996"/>
    <s v="TRUE"/>
    <x v="17"/>
    <x v="2"/>
    <s v="Active"/>
    <n v="13"/>
    <x v="0"/>
    <x v="10"/>
  </r>
  <r>
    <s v="FL250762"/>
    <x v="755"/>
    <x v="1"/>
    <x v="14"/>
    <x v="15"/>
    <x v="1"/>
    <x v="0"/>
    <n v="19"/>
    <s v="50"/>
    <s v="Not Mentioned"/>
    <s v="Y"/>
    <x v="42"/>
    <x v="0"/>
    <s v="On Hold"/>
    <n v="17"/>
    <x v="0"/>
    <x v="6"/>
  </r>
  <r>
    <s v="FL250763"/>
    <x v="756"/>
    <x v="1"/>
    <x v="33"/>
    <x v="2"/>
    <x v="2"/>
    <x v="2"/>
    <n v="12"/>
    <s v="Not given"/>
    <n v="4.9000000000000004"/>
    <s v="1"/>
    <x v="25"/>
    <x v="3"/>
    <s v="Active"/>
    <n v="7"/>
    <x v="0"/>
    <x v="0"/>
  </r>
  <r>
    <s v="FL250764"/>
    <x v="757"/>
    <x v="1"/>
    <x v="0"/>
    <x v="11"/>
    <x v="8"/>
    <x v="0"/>
    <n v="7"/>
    <s v="40"/>
    <n v="2.2000000000000002"/>
    <s v="Not Mentioned"/>
    <x v="32"/>
    <x v="2"/>
    <s v="On Hold"/>
    <n v="8"/>
    <x v="0"/>
    <x v="12"/>
  </r>
  <r>
    <s v="FL250765"/>
    <x v="758"/>
    <x v="1"/>
    <x v="35"/>
    <x v="4"/>
    <x v="4"/>
    <x v="0"/>
    <n v="4"/>
    <s v="20"/>
    <s v="Not Mentioned"/>
    <s v="0"/>
    <x v="23"/>
    <x v="3"/>
    <s v="Inactive"/>
    <n v="3"/>
    <x v="1"/>
    <x v="4"/>
  </r>
  <r>
    <s v="FL250766"/>
    <x v="759"/>
    <x v="1"/>
    <x v="36"/>
    <x v="1"/>
    <x v="1"/>
    <x v="2"/>
    <n v="24"/>
    <s v="$40"/>
    <n v="2.2000000000000002"/>
    <s v="0"/>
    <x v="24"/>
    <x v="2"/>
    <s v="On Hold"/>
    <n v="12"/>
    <x v="0"/>
    <x v="14"/>
  </r>
  <r>
    <s v="FL250767"/>
    <x v="760"/>
    <x v="0"/>
    <x v="16"/>
    <x v="10"/>
    <x v="7"/>
    <x v="6"/>
    <n v="1"/>
    <s v="USD 30"/>
    <n v="3.3"/>
    <s v="1"/>
    <x v="35"/>
    <x v="3"/>
    <s v="Inactive"/>
    <n v="3"/>
    <x v="1"/>
    <x v="7"/>
  </r>
  <r>
    <s v="FL250768"/>
    <x v="761"/>
    <x v="0"/>
    <x v="36"/>
    <x v="2"/>
    <x v="2"/>
    <x v="1"/>
    <n v="28"/>
    <s v="USD 30"/>
    <n v="4.9000000000000004"/>
    <s v="0"/>
    <x v="7"/>
    <x v="1"/>
    <s v="On Hold"/>
    <n v="19"/>
    <x v="0"/>
    <x v="12"/>
  </r>
  <r>
    <s v="FL250769"/>
    <x v="762"/>
    <x v="0"/>
    <x v="15"/>
    <x v="5"/>
    <x v="1"/>
    <x v="1"/>
    <n v="19"/>
    <s v="75"/>
    <n v="0"/>
    <s v="Not Mentioned"/>
    <x v="0"/>
    <x v="0"/>
    <s v="Inactive"/>
    <n v="14"/>
    <x v="0"/>
    <x v="11"/>
  </r>
  <r>
    <s v="FL250770"/>
    <x v="763"/>
    <x v="0"/>
    <x v="0"/>
    <x v="13"/>
    <x v="10"/>
    <x v="6"/>
    <n v="4"/>
    <s v="50"/>
    <s v="Not Mentioned"/>
    <s v="N"/>
    <x v="1"/>
    <x v="3"/>
    <s v="Inactive"/>
    <n v="5"/>
    <x v="1"/>
    <x v="3"/>
  </r>
  <r>
    <s v="FL250771"/>
    <x v="764"/>
    <x v="0"/>
    <x v="11"/>
    <x v="6"/>
    <x v="5"/>
    <x v="3"/>
    <n v="20"/>
    <s v="USD 100"/>
    <s v="Not Mentioned"/>
    <s v="Y"/>
    <x v="19"/>
    <x v="2"/>
    <s v="Completed"/>
    <n v="13"/>
    <x v="0"/>
    <x v="10"/>
  </r>
  <r>
    <s v="FL250772"/>
    <x v="765"/>
    <x v="0"/>
    <x v="15"/>
    <x v="14"/>
    <x v="11"/>
    <x v="1"/>
    <n v="19"/>
    <s v="USD 30"/>
    <n v="4"/>
    <s v="Not Mentioned"/>
    <x v="3"/>
    <x v="0"/>
    <s v="Inactive"/>
    <n v="14"/>
    <x v="0"/>
    <x v="4"/>
  </r>
  <r>
    <s v="FL250773"/>
    <x v="766"/>
    <x v="0"/>
    <x v="16"/>
    <x v="5"/>
    <x v="1"/>
    <x v="8"/>
    <n v="1"/>
    <s v="20"/>
    <n v="4.8"/>
    <s v="FALSE"/>
    <x v="13"/>
    <x v="0"/>
    <s v="Completed"/>
    <n v="3"/>
    <x v="1"/>
    <x v="6"/>
  </r>
  <r>
    <s v="FL250774"/>
    <x v="767"/>
    <x v="0"/>
    <x v="22"/>
    <x v="18"/>
    <x v="14"/>
    <x v="1"/>
    <n v="8"/>
    <s v="50"/>
    <n v="0"/>
    <s v="0"/>
    <x v="7"/>
    <x v="2"/>
    <s v="Inactive"/>
    <n v="11"/>
    <x v="0"/>
    <x v="4"/>
  </r>
  <r>
    <s v="FL250775"/>
    <x v="768"/>
    <x v="1"/>
    <x v="27"/>
    <x v="21"/>
    <x v="6"/>
    <x v="9"/>
    <n v="3"/>
    <s v="USD 30"/>
    <n v="1.6"/>
    <s v="Y"/>
    <x v="29"/>
    <x v="3"/>
    <s v="Active"/>
    <n v="1"/>
    <x v="1"/>
    <x v="3"/>
  </r>
  <r>
    <s v="FL250776"/>
    <x v="769"/>
    <x v="0"/>
    <x v="29"/>
    <x v="20"/>
    <x v="6"/>
    <x v="9"/>
    <n v="30"/>
    <s v="50"/>
    <n v="1.3"/>
    <s v="yes"/>
    <x v="13"/>
    <x v="1"/>
    <s v="Inactive"/>
    <n v="13"/>
    <x v="0"/>
    <x v="0"/>
  </r>
  <r>
    <s v="FL250777"/>
    <x v="770"/>
    <x v="0"/>
    <x v="12"/>
    <x v="19"/>
    <x v="15"/>
    <x v="0"/>
    <n v="3"/>
    <s v="40"/>
    <n v="4.0999999999999996"/>
    <s v="TRUE"/>
    <x v="19"/>
    <x v="1"/>
    <s v="Active"/>
    <n v="5"/>
    <x v="1"/>
    <x v="3"/>
  </r>
  <r>
    <s v="FL250778"/>
    <x v="771"/>
    <x v="1"/>
    <x v="36"/>
    <x v="6"/>
    <x v="5"/>
    <x v="3"/>
    <n v="19"/>
    <s v="40"/>
    <n v="1.5"/>
    <s v="0"/>
    <x v="13"/>
    <x v="3"/>
    <s v="Active"/>
    <n v="14"/>
    <x v="0"/>
    <x v="13"/>
  </r>
  <r>
    <s v="FL250779"/>
    <x v="772"/>
    <x v="0"/>
    <x v="28"/>
    <x v="14"/>
    <x v="11"/>
    <x v="1"/>
    <n v="11"/>
    <s v="USD 40"/>
    <n v="4.3"/>
    <s v="Y"/>
    <x v="6"/>
    <x v="0"/>
    <s v="Inactive"/>
    <n v="6"/>
    <x v="0"/>
    <x v="4"/>
  </r>
  <r>
    <s v="FL250780"/>
    <x v="773"/>
    <x v="1"/>
    <x v="40"/>
    <x v="1"/>
    <x v="1"/>
    <x v="10"/>
    <n v="26"/>
    <s v="50"/>
    <n v="1.6"/>
    <s v="Not Mentioned"/>
    <x v="17"/>
    <x v="0"/>
    <s v="Active"/>
    <n v="20"/>
    <x v="0"/>
    <x v="12"/>
  </r>
  <r>
    <s v="FL250781"/>
    <x v="774"/>
    <x v="0"/>
    <x v="10"/>
    <x v="17"/>
    <x v="13"/>
    <x v="1"/>
    <n v="10"/>
    <s v="100"/>
    <n v="3.7"/>
    <s v="Y"/>
    <x v="5"/>
    <x v="0"/>
    <s v="Completed"/>
    <n v="8"/>
    <x v="0"/>
    <x v="10"/>
  </r>
  <r>
    <s v="FL250782"/>
    <x v="775"/>
    <x v="1"/>
    <x v="3"/>
    <x v="5"/>
    <x v="1"/>
    <x v="8"/>
    <n v="17"/>
    <s v="50"/>
    <n v="1.4"/>
    <s v="yes"/>
    <x v="0"/>
    <x v="0"/>
    <s v="On Hold"/>
    <n v="20"/>
    <x v="0"/>
    <x v="9"/>
  </r>
  <r>
    <s v="FL250783"/>
    <x v="776"/>
    <x v="0"/>
    <x v="13"/>
    <x v="8"/>
    <x v="6"/>
    <x v="0"/>
    <n v="9"/>
    <s v="$100"/>
    <n v="4.5"/>
    <s v="Y"/>
    <x v="44"/>
    <x v="3"/>
    <s v="Inactive"/>
    <n v="15"/>
    <x v="0"/>
    <x v="3"/>
  </r>
  <r>
    <s v="FL250784"/>
    <x v="777"/>
    <x v="1"/>
    <x v="24"/>
    <x v="19"/>
    <x v="15"/>
    <x v="6"/>
    <n v="0"/>
    <s v="USD 40"/>
    <n v="3.7"/>
    <s v="0"/>
    <x v="26"/>
    <x v="0"/>
    <s v="Active"/>
    <n v="1"/>
    <x v="1"/>
    <x v="3"/>
  </r>
  <r>
    <s v="FL250785"/>
    <x v="778"/>
    <x v="1"/>
    <x v="1"/>
    <x v="7"/>
    <x v="1"/>
    <x v="9"/>
    <n v="5"/>
    <s v="75"/>
    <n v="1.1000000000000001"/>
    <s v="0"/>
    <x v="18"/>
    <x v="2"/>
    <s v="Inactive"/>
    <n v="1"/>
    <x v="1"/>
    <x v="3"/>
  </r>
  <r>
    <s v="FL250786"/>
    <x v="779"/>
    <x v="1"/>
    <x v="25"/>
    <x v="8"/>
    <x v="6"/>
    <x v="1"/>
    <n v="15"/>
    <s v="Not given"/>
    <n v="3.7"/>
    <s v="FALSE"/>
    <x v="49"/>
    <x v="0"/>
    <s v="Completed"/>
    <n v="8"/>
    <x v="0"/>
    <x v="1"/>
  </r>
  <r>
    <s v="FL250787"/>
    <x v="780"/>
    <x v="0"/>
    <x v="26"/>
    <x v="12"/>
    <x v="9"/>
    <x v="10"/>
    <n v="3"/>
    <s v="$50"/>
    <n v="3.2"/>
    <s v="TRUE"/>
    <x v="26"/>
    <x v="1"/>
    <s v="Inactive"/>
    <n v="2"/>
    <x v="1"/>
    <x v="10"/>
  </r>
  <r>
    <s v="FL250788"/>
    <x v="781"/>
    <x v="0"/>
    <x v="27"/>
    <x v="0"/>
    <x v="0"/>
    <x v="7"/>
    <n v="1"/>
    <s v="30"/>
    <n v="5"/>
    <s v="N"/>
    <x v="36"/>
    <x v="0"/>
    <s v="Inactive"/>
    <n v="2"/>
    <x v="1"/>
    <x v="3"/>
  </r>
  <r>
    <s v="FL250789"/>
    <x v="782"/>
    <x v="0"/>
    <x v="12"/>
    <x v="17"/>
    <x v="13"/>
    <x v="2"/>
    <n v="13"/>
    <s v="30"/>
    <n v="0"/>
    <s v="Not Mentioned"/>
    <x v="64"/>
    <x v="3"/>
    <s v="Active"/>
    <n v="6"/>
    <x v="0"/>
    <x v="1"/>
  </r>
  <r>
    <s v="FL250790"/>
    <x v="783"/>
    <x v="0"/>
    <x v="28"/>
    <x v="20"/>
    <x v="6"/>
    <x v="7"/>
    <n v="6"/>
    <s v="Not given"/>
    <n v="3.5"/>
    <s v="no"/>
    <x v="8"/>
    <x v="1"/>
    <s v="Completed"/>
    <n v="12"/>
    <x v="0"/>
    <x v="10"/>
  </r>
  <r>
    <s v="FL250791"/>
    <x v="784"/>
    <x v="1"/>
    <x v="39"/>
    <x v="5"/>
    <x v="1"/>
    <x v="8"/>
    <n v="4"/>
    <s v="50"/>
    <n v="3.1"/>
    <s v="FALSE"/>
    <x v="46"/>
    <x v="3"/>
    <s v="On Hold"/>
    <n v="5"/>
    <x v="1"/>
    <x v="10"/>
  </r>
  <r>
    <s v="FL250792"/>
    <x v="785"/>
    <x v="0"/>
    <x v="25"/>
    <x v="12"/>
    <x v="9"/>
    <x v="8"/>
    <n v="7"/>
    <s v="Not given"/>
    <n v="3.9"/>
    <s v="0"/>
    <x v="29"/>
    <x v="3"/>
    <s v="On Hold"/>
    <n v="6"/>
    <x v="0"/>
    <x v="11"/>
  </r>
  <r>
    <s v="FL250793"/>
    <x v="786"/>
    <x v="0"/>
    <x v="38"/>
    <x v="21"/>
    <x v="6"/>
    <x v="5"/>
    <n v="1"/>
    <s v="Not given"/>
    <n v="3.5"/>
    <s v="0"/>
    <x v="2"/>
    <x v="1"/>
    <s v="Active"/>
    <n v="3"/>
    <x v="1"/>
    <x v="3"/>
  </r>
  <r>
    <s v="FL250794"/>
    <x v="787"/>
    <x v="1"/>
    <x v="5"/>
    <x v="1"/>
    <x v="1"/>
    <x v="6"/>
    <n v="5"/>
    <s v="$100"/>
    <n v="2.5"/>
    <s v="TRUE"/>
    <x v="9"/>
    <x v="3"/>
    <s v="Inactive"/>
    <n v="1"/>
    <x v="1"/>
    <x v="3"/>
  </r>
  <r>
    <s v="FL250795"/>
    <x v="788"/>
    <x v="1"/>
    <x v="15"/>
    <x v="7"/>
    <x v="1"/>
    <x v="9"/>
    <n v="29"/>
    <s v="USD 40"/>
    <n v="3.1"/>
    <s v="1"/>
    <x v="0"/>
    <x v="3"/>
    <s v="Active"/>
    <n v="14"/>
    <x v="0"/>
    <x v="9"/>
  </r>
  <r>
    <s v="FL250796"/>
    <x v="789"/>
    <x v="1"/>
    <x v="1"/>
    <x v="14"/>
    <x v="11"/>
    <x v="8"/>
    <n v="12"/>
    <s v="100"/>
    <n v="4.7"/>
    <s v="1"/>
    <x v="13"/>
    <x v="0"/>
    <s v="Active"/>
    <n v="10"/>
    <x v="0"/>
    <x v="13"/>
  </r>
  <r>
    <s v="FL250797"/>
    <x v="790"/>
    <x v="0"/>
    <x v="31"/>
    <x v="15"/>
    <x v="1"/>
    <x v="9"/>
    <n v="4"/>
    <s v="Not given"/>
    <n v="1.9"/>
    <s v="FALSE"/>
    <x v="62"/>
    <x v="2"/>
    <s v="Active"/>
    <n v="2"/>
    <x v="1"/>
    <x v="3"/>
  </r>
  <r>
    <s v="FL250798"/>
    <x v="791"/>
    <x v="1"/>
    <x v="4"/>
    <x v="3"/>
    <x v="3"/>
    <x v="3"/>
    <n v="12"/>
    <s v="Not given"/>
    <n v="1.6"/>
    <s v="1"/>
    <x v="26"/>
    <x v="3"/>
    <s v="Inactive"/>
    <n v="6"/>
    <x v="0"/>
    <x v="10"/>
  </r>
  <r>
    <s v="FL250799"/>
    <x v="792"/>
    <x v="1"/>
    <x v="33"/>
    <x v="15"/>
    <x v="1"/>
    <x v="9"/>
    <n v="3"/>
    <s v="20"/>
    <n v="2.5"/>
    <s v="N"/>
    <x v="20"/>
    <x v="3"/>
    <s v="Completed"/>
    <n v="3"/>
    <x v="1"/>
    <x v="3"/>
  </r>
  <r>
    <s v="FL250800"/>
    <x v="793"/>
    <x v="0"/>
    <x v="29"/>
    <x v="16"/>
    <x v="12"/>
    <x v="6"/>
    <n v="15"/>
    <s v="20"/>
    <n v="3.5"/>
    <s v="Not Mentioned"/>
    <x v="65"/>
    <x v="3"/>
    <s v="Active"/>
    <n v="9"/>
    <x v="0"/>
    <x v="9"/>
  </r>
  <r>
    <s v="FL250801"/>
    <x v="794"/>
    <x v="0"/>
    <x v="11"/>
    <x v="21"/>
    <x v="6"/>
    <x v="1"/>
    <n v="15"/>
    <s v="50"/>
    <s v="Not Mentioned"/>
    <s v="0"/>
    <x v="25"/>
    <x v="0"/>
    <s v="Inactive"/>
    <n v="15"/>
    <x v="0"/>
    <x v="10"/>
  </r>
  <r>
    <s v="FL250802"/>
    <x v="795"/>
    <x v="1"/>
    <x v="4"/>
    <x v="6"/>
    <x v="5"/>
    <x v="2"/>
    <n v="13"/>
    <s v="USD 20"/>
    <n v="1.2"/>
    <s v="Y"/>
    <x v="80"/>
    <x v="2"/>
    <s v="Completed"/>
    <n v="14"/>
    <x v="0"/>
    <x v="3"/>
  </r>
  <r>
    <s v="FL250803"/>
    <x v="796"/>
    <x v="0"/>
    <x v="6"/>
    <x v="21"/>
    <x v="6"/>
    <x v="0"/>
    <n v="20"/>
    <s v="USD 30"/>
    <s v="Not Mentioned"/>
    <s v="FALSE"/>
    <x v="71"/>
    <x v="1"/>
    <s v="Active"/>
    <n v="11"/>
    <x v="0"/>
    <x v="4"/>
  </r>
  <r>
    <s v="FL250804"/>
    <x v="797"/>
    <x v="0"/>
    <x v="14"/>
    <x v="7"/>
    <x v="1"/>
    <x v="10"/>
    <n v="30"/>
    <s v="75"/>
    <s v="Not Mentioned"/>
    <s v="TRUE"/>
    <x v="26"/>
    <x v="0"/>
    <s v="On Hold"/>
    <n v="20"/>
    <x v="0"/>
    <x v="13"/>
  </r>
  <r>
    <s v="FL250805"/>
    <x v="798"/>
    <x v="1"/>
    <x v="27"/>
    <x v="2"/>
    <x v="2"/>
    <x v="5"/>
    <n v="4"/>
    <s v="50"/>
    <n v="4.5"/>
    <s v="N"/>
    <x v="65"/>
    <x v="0"/>
    <s v="Completed"/>
    <n v="1"/>
    <x v="1"/>
    <x v="4"/>
  </r>
  <r>
    <s v="FL250806"/>
    <x v="799"/>
    <x v="0"/>
    <x v="28"/>
    <x v="4"/>
    <x v="4"/>
    <x v="2"/>
    <s v="Not Mentioned"/>
    <s v="USD 20"/>
    <s v="Not Mentioned"/>
    <s v="Y"/>
    <x v="1"/>
    <x v="2"/>
    <s v="Active"/>
    <n v="5"/>
    <x v="1"/>
    <x v="3"/>
  </r>
  <r>
    <s v="FL250807"/>
    <x v="800"/>
    <x v="0"/>
    <x v="40"/>
    <x v="14"/>
    <x v="11"/>
    <x v="3"/>
    <n v="3"/>
    <s v="$20"/>
    <n v="5"/>
    <s v="yes"/>
    <x v="14"/>
    <x v="2"/>
    <s v="Completed"/>
    <n v="4"/>
    <x v="1"/>
    <x v="10"/>
  </r>
  <r>
    <s v="FL250808"/>
    <x v="801"/>
    <x v="1"/>
    <x v="12"/>
    <x v="2"/>
    <x v="2"/>
    <x v="1"/>
    <n v="23"/>
    <s v="75"/>
    <n v="3.9"/>
    <s v="1"/>
    <x v="0"/>
    <x v="0"/>
    <s v="Completed"/>
    <n v="14"/>
    <x v="0"/>
    <x v="1"/>
  </r>
  <r>
    <s v="FL250809"/>
    <x v="802"/>
    <x v="0"/>
    <x v="36"/>
    <x v="1"/>
    <x v="1"/>
    <x v="8"/>
    <n v="5"/>
    <s v="$100"/>
    <n v="1.8"/>
    <s v="TRUE"/>
    <x v="36"/>
    <x v="1"/>
    <s v="Completed"/>
    <n v="3"/>
    <x v="1"/>
    <x v="4"/>
  </r>
  <r>
    <s v="FL250810"/>
    <x v="803"/>
    <x v="0"/>
    <x v="21"/>
    <x v="14"/>
    <x v="11"/>
    <x v="3"/>
    <n v="28"/>
    <s v="30"/>
    <n v="4.2"/>
    <s v="TRUE"/>
    <x v="0"/>
    <x v="0"/>
    <s v="Completed"/>
    <n v="16"/>
    <x v="0"/>
    <x v="11"/>
  </r>
  <r>
    <s v="FL250811"/>
    <x v="804"/>
    <x v="1"/>
    <x v="24"/>
    <x v="17"/>
    <x v="13"/>
    <x v="5"/>
    <n v="0"/>
    <s v="20"/>
    <n v="2.6"/>
    <s v="no"/>
    <x v="37"/>
    <x v="2"/>
    <s v="Completed"/>
    <n v="3"/>
    <x v="1"/>
    <x v="10"/>
  </r>
  <r>
    <s v="FL250812"/>
    <x v="805"/>
    <x v="1"/>
    <x v="0"/>
    <x v="14"/>
    <x v="11"/>
    <x v="6"/>
    <n v="30"/>
    <s v="30"/>
    <n v="2"/>
    <s v="1"/>
    <x v="15"/>
    <x v="1"/>
    <s v="Completed"/>
    <n v="10"/>
    <x v="0"/>
    <x v="0"/>
  </r>
  <r>
    <s v="FL250813"/>
    <x v="806"/>
    <x v="0"/>
    <x v="11"/>
    <x v="14"/>
    <x v="11"/>
    <x v="2"/>
    <n v="20"/>
    <s v="$75"/>
    <n v="2.7"/>
    <s v="1"/>
    <x v="24"/>
    <x v="2"/>
    <s v="Active"/>
    <n v="12"/>
    <x v="0"/>
    <x v="10"/>
  </r>
  <r>
    <s v="FL250814"/>
    <x v="807"/>
    <x v="0"/>
    <x v="28"/>
    <x v="1"/>
    <x v="1"/>
    <x v="1"/>
    <n v="0"/>
    <s v="30"/>
    <n v="2.2999999999999998"/>
    <s v="no"/>
    <x v="28"/>
    <x v="1"/>
    <s v="On Hold"/>
    <n v="2"/>
    <x v="1"/>
    <x v="3"/>
  </r>
  <r>
    <s v="FL250815"/>
    <x v="808"/>
    <x v="1"/>
    <x v="16"/>
    <x v="13"/>
    <x v="10"/>
    <x v="7"/>
    <n v="4"/>
    <s v="$40"/>
    <n v="3.8"/>
    <s v="TRUE"/>
    <x v="17"/>
    <x v="3"/>
    <s v="Inactive"/>
    <n v="2"/>
    <x v="1"/>
    <x v="10"/>
  </r>
  <r>
    <s v="FL250816"/>
    <x v="809"/>
    <x v="0"/>
    <x v="2"/>
    <x v="7"/>
    <x v="1"/>
    <x v="7"/>
    <n v="10"/>
    <s v="40"/>
    <s v="Not Mentioned"/>
    <s v="N"/>
    <x v="49"/>
    <x v="2"/>
    <s v="Completed"/>
    <n v="11"/>
    <x v="0"/>
    <x v="14"/>
  </r>
  <r>
    <s v="FL250817"/>
    <x v="810"/>
    <x v="1"/>
    <x v="40"/>
    <x v="8"/>
    <x v="6"/>
    <x v="2"/>
    <n v="24"/>
    <s v="USD 75"/>
    <n v="4.5999999999999996"/>
    <s v="no"/>
    <x v="36"/>
    <x v="2"/>
    <s v="Inactive"/>
    <n v="19"/>
    <x v="0"/>
    <x v="6"/>
  </r>
  <r>
    <s v="FL250818"/>
    <x v="811"/>
    <x v="1"/>
    <x v="1"/>
    <x v="4"/>
    <x v="4"/>
    <x v="10"/>
    <n v="21"/>
    <s v="100"/>
    <n v="3.4"/>
    <s v="0"/>
    <x v="20"/>
    <x v="0"/>
    <s v="Active"/>
    <n v="17"/>
    <x v="0"/>
    <x v="4"/>
  </r>
  <r>
    <s v="FL250819"/>
    <x v="812"/>
    <x v="1"/>
    <x v="16"/>
    <x v="19"/>
    <x v="15"/>
    <x v="6"/>
    <n v="2"/>
    <s v="USD 20"/>
    <s v="Not Mentioned"/>
    <s v="no"/>
    <x v="0"/>
    <x v="2"/>
    <s v="Completed"/>
    <n v="5"/>
    <x v="1"/>
    <x v="3"/>
  </r>
  <r>
    <s v="FL250820"/>
    <x v="813"/>
    <x v="0"/>
    <x v="6"/>
    <x v="11"/>
    <x v="8"/>
    <x v="0"/>
    <n v="14"/>
    <s v="75"/>
    <n v="0"/>
    <s v="1"/>
    <x v="28"/>
    <x v="2"/>
    <s v="On Hold"/>
    <n v="14"/>
    <x v="0"/>
    <x v="3"/>
  </r>
  <r>
    <s v="FL250821"/>
    <x v="814"/>
    <x v="0"/>
    <x v="34"/>
    <x v="19"/>
    <x v="15"/>
    <x v="1"/>
    <n v="15"/>
    <s v="40"/>
    <n v="3.9"/>
    <s v="FALSE"/>
    <x v="8"/>
    <x v="3"/>
    <s v="Inactive"/>
    <n v="15"/>
    <x v="0"/>
    <x v="13"/>
  </r>
  <r>
    <s v="FL250822"/>
    <x v="815"/>
    <x v="1"/>
    <x v="37"/>
    <x v="1"/>
    <x v="1"/>
    <x v="7"/>
    <n v="11"/>
    <s v="$30"/>
    <n v="4.2"/>
    <s v="0"/>
    <x v="16"/>
    <x v="2"/>
    <s v="Completed"/>
    <n v="13"/>
    <x v="0"/>
    <x v="7"/>
  </r>
  <r>
    <s v="FL250823"/>
    <x v="816"/>
    <x v="0"/>
    <x v="33"/>
    <x v="10"/>
    <x v="7"/>
    <x v="5"/>
    <n v="6"/>
    <s v="20"/>
    <s v="Not Mentioned"/>
    <s v="Not Mentioned"/>
    <x v="56"/>
    <x v="3"/>
    <s v="Active"/>
    <n v="14"/>
    <x v="0"/>
    <x v="0"/>
  </r>
  <r>
    <s v="FL250824"/>
    <x v="817"/>
    <x v="1"/>
    <x v="24"/>
    <x v="17"/>
    <x v="13"/>
    <x v="2"/>
    <n v="2"/>
    <s v="100"/>
    <n v="3.6"/>
    <s v="FALSE"/>
    <x v="67"/>
    <x v="3"/>
    <s v="On Hold"/>
    <n v="3"/>
    <x v="1"/>
    <x v="10"/>
  </r>
  <r>
    <s v="FL250825"/>
    <x v="818"/>
    <x v="1"/>
    <x v="38"/>
    <x v="13"/>
    <x v="10"/>
    <x v="5"/>
    <n v="1"/>
    <s v="USD 50"/>
    <s v="Not Mentioned"/>
    <s v="yes"/>
    <x v="22"/>
    <x v="3"/>
    <s v="Inactive"/>
    <n v="5"/>
    <x v="1"/>
    <x v="3"/>
  </r>
  <r>
    <s v="FL250826"/>
    <x v="819"/>
    <x v="1"/>
    <x v="38"/>
    <x v="19"/>
    <x v="15"/>
    <x v="6"/>
    <n v="2"/>
    <s v="$40"/>
    <n v="2.1"/>
    <s v="N"/>
    <x v="37"/>
    <x v="3"/>
    <s v="Inactive"/>
    <n v="1"/>
    <x v="1"/>
    <x v="3"/>
  </r>
  <r>
    <s v="FL250827"/>
    <x v="820"/>
    <x v="1"/>
    <x v="38"/>
    <x v="8"/>
    <x v="6"/>
    <x v="10"/>
    <n v="2"/>
    <s v="20"/>
    <n v="3.9"/>
    <s v="FALSE"/>
    <x v="1"/>
    <x v="1"/>
    <s v="Completed"/>
    <n v="5"/>
    <x v="1"/>
    <x v="3"/>
  </r>
  <r>
    <s v="FL250828"/>
    <x v="821"/>
    <x v="0"/>
    <x v="5"/>
    <x v="14"/>
    <x v="11"/>
    <x v="10"/>
    <n v="2"/>
    <s v="40"/>
    <n v="0"/>
    <s v="Not Mentioned"/>
    <x v="49"/>
    <x v="0"/>
    <s v="On Hold"/>
    <n v="4"/>
    <x v="1"/>
    <x v="4"/>
  </r>
  <r>
    <s v="FL250829"/>
    <x v="822"/>
    <x v="0"/>
    <x v="9"/>
    <x v="13"/>
    <x v="10"/>
    <x v="3"/>
    <n v="12"/>
    <s v="$75"/>
    <n v="0"/>
    <s v="FALSE"/>
    <x v="74"/>
    <x v="1"/>
    <s v="On Hold"/>
    <n v="12"/>
    <x v="0"/>
    <x v="5"/>
  </r>
  <r>
    <s v="FL250830"/>
    <x v="823"/>
    <x v="1"/>
    <x v="9"/>
    <x v="21"/>
    <x v="6"/>
    <x v="5"/>
    <n v="28"/>
    <s v="30"/>
    <n v="1.8"/>
    <s v="Not Mentioned"/>
    <x v="0"/>
    <x v="2"/>
    <s v="On Hold"/>
    <n v="15"/>
    <x v="0"/>
    <x v="11"/>
  </r>
  <r>
    <s v="FL250831"/>
    <x v="824"/>
    <x v="0"/>
    <x v="15"/>
    <x v="4"/>
    <x v="4"/>
    <x v="5"/>
    <n v="4"/>
    <s v="20"/>
    <n v="1.1000000000000001"/>
    <s v="1"/>
    <x v="23"/>
    <x v="1"/>
    <s v="On Hold"/>
    <n v="3"/>
    <x v="1"/>
    <x v="10"/>
  </r>
  <r>
    <s v="FL250832"/>
    <x v="825"/>
    <x v="1"/>
    <x v="15"/>
    <x v="21"/>
    <x v="6"/>
    <x v="0"/>
    <n v="3"/>
    <s v="20"/>
    <n v="1.6"/>
    <s v="Y"/>
    <x v="10"/>
    <x v="1"/>
    <s v="Active"/>
    <n v="1"/>
    <x v="1"/>
    <x v="10"/>
  </r>
  <r>
    <s v="FL250833"/>
    <x v="826"/>
    <x v="0"/>
    <x v="17"/>
    <x v="17"/>
    <x v="13"/>
    <x v="10"/>
    <n v="4"/>
    <s v="$30"/>
    <n v="3.1"/>
    <s v="Not Mentioned"/>
    <x v="3"/>
    <x v="2"/>
    <s v="On Hold"/>
    <n v="1"/>
    <x v="1"/>
    <x v="3"/>
  </r>
  <r>
    <s v="FL250834"/>
    <x v="827"/>
    <x v="0"/>
    <x v="38"/>
    <x v="0"/>
    <x v="0"/>
    <x v="9"/>
    <n v="1"/>
    <s v="50"/>
    <n v="3.4"/>
    <s v="1"/>
    <x v="79"/>
    <x v="2"/>
    <s v="Inactive"/>
    <n v="2"/>
    <x v="1"/>
    <x v="10"/>
  </r>
  <r>
    <s v="FL250835"/>
    <x v="828"/>
    <x v="1"/>
    <x v="22"/>
    <x v="2"/>
    <x v="2"/>
    <x v="5"/>
    <n v="8"/>
    <s v="40"/>
    <n v="3.1"/>
    <s v="N"/>
    <x v="12"/>
    <x v="2"/>
    <s v="Inactive"/>
    <n v="7"/>
    <x v="0"/>
    <x v="11"/>
  </r>
  <r>
    <s v="FL250836"/>
    <x v="829"/>
    <x v="0"/>
    <x v="8"/>
    <x v="7"/>
    <x v="1"/>
    <x v="9"/>
    <n v="11"/>
    <s v="USD 75"/>
    <n v="2.2999999999999998"/>
    <s v="0"/>
    <x v="0"/>
    <x v="1"/>
    <s v="Active"/>
    <n v="8"/>
    <x v="0"/>
    <x v="6"/>
  </r>
  <r>
    <s v="FL250837"/>
    <x v="830"/>
    <x v="0"/>
    <x v="18"/>
    <x v="3"/>
    <x v="3"/>
    <x v="5"/>
    <n v="8"/>
    <s v="USD 40"/>
    <s v="Not Mentioned"/>
    <s v="N"/>
    <x v="25"/>
    <x v="1"/>
    <s v="Inactive"/>
    <n v="7"/>
    <x v="0"/>
    <x v="12"/>
  </r>
  <r>
    <s v="FL250838"/>
    <x v="831"/>
    <x v="1"/>
    <x v="14"/>
    <x v="13"/>
    <x v="10"/>
    <x v="3"/>
    <n v="32"/>
    <s v="$50"/>
    <n v="3.2"/>
    <s v="0"/>
    <x v="31"/>
    <x v="2"/>
    <s v="Inactive"/>
    <n v="19"/>
    <x v="0"/>
    <x v="12"/>
  </r>
  <r>
    <s v="FL250839"/>
    <x v="832"/>
    <x v="1"/>
    <x v="40"/>
    <x v="11"/>
    <x v="8"/>
    <x v="7"/>
    <n v="4"/>
    <s v="USD 30"/>
    <n v="0"/>
    <s v="N"/>
    <x v="25"/>
    <x v="0"/>
    <s v="On Hold"/>
    <n v="4"/>
    <x v="1"/>
    <x v="3"/>
  </r>
  <r>
    <s v="FL250840"/>
    <x v="833"/>
    <x v="1"/>
    <x v="29"/>
    <x v="21"/>
    <x v="6"/>
    <x v="8"/>
    <n v="33"/>
    <s v="30"/>
    <n v="3.3"/>
    <s v="Y"/>
    <x v="2"/>
    <x v="0"/>
    <s v="Inactive"/>
    <n v="10"/>
    <x v="0"/>
    <x v="5"/>
  </r>
  <r>
    <s v="FL250841"/>
    <x v="834"/>
    <x v="0"/>
    <x v="2"/>
    <x v="18"/>
    <x v="14"/>
    <x v="1"/>
    <n v="14"/>
    <s v="Not given"/>
    <n v="1.1000000000000001"/>
    <s v="1"/>
    <x v="6"/>
    <x v="3"/>
    <s v="Active"/>
    <n v="9"/>
    <x v="0"/>
    <x v="6"/>
  </r>
  <r>
    <s v="FL250842"/>
    <x v="835"/>
    <x v="1"/>
    <x v="39"/>
    <x v="5"/>
    <x v="1"/>
    <x v="7"/>
    <n v="6"/>
    <s v="USD 30"/>
    <n v="4.5999999999999996"/>
    <s v="1"/>
    <x v="9"/>
    <x v="2"/>
    <s v="On Hold"/>
    <n v="10"/>
    <x v="0"/>
    <x v="9"/>
  </r>
  <r>
    <s v="FL250843"/>
    <x v="836"/>
    <x v="0"/>
    <x v="37"/>
    <x v="6"/>
    <x v="5"/>
    <x v="0"/>
    <n v="5"/>
    <s v="USD 30"/>
    <s v="Not Mentioned"/>
    <s v="0"/>
    <x v="0"/>
    <x v="3"/>
    <s v="Completed"/>
    <n v="3"/>
    <x v="1"/>
    <x v="3"/>
  </r>
  <r>
    <s v="FL250844"/>
    <x v="837"/>
    <x v="1"/>
    <x v="26"/>
    <x v="4"/>
    <x v="4"/>
    <x v="8"/>
    <n v="3"/>
    <s v="75"/>
    <s v="Not Mentioned"/>
    <s v="0"/>
    <x v="4"/>
    <x v="0"/>
    <s v="On Hold"/>
    <n v="5"/>
    <x v="1"/>
    <x v="3"/>
  </r>
  <r>
    <s v="FL250845"/>
    <x v="838"/>
    <x v="1"/>
    <x v="15"/>
    <x v="4"/>
    <x v="4"/>
    <x v="1"/>
    <n v="17"/>
    <s v="$100"/>
    <n v="0"/>
    <s v="0"/>
    <x v="2"/>
    <x v="3"/>
    <s v="Active"/>
    <n v="17"/>
    <x v="0"/>
    <x v="9"/>
  </r>
  <r>
    <s v="FL250846"/>
    <x v="839"/>
    <x v="1"/>
    <x v="15"/>
    <x v="0"/>
    <x v="0"/>
    <x v="8"/>
    <n v="9"/>
    <s v="USD 20"/>
    <n v="0"/>
    <s v="yes"/>
    <x v="32"/>
    <x v="2"/>
    <s v="On Hold"/>
    <n v="7"/>
    <x v="0"/>
    <x v="12"/>
  </r>
  <r>
    <s v="FL250847"/>
    <x v="840"/>
    <x v="0"/>
    <x v="1"/>
    <x v="16"/>
    <x v="12"/>
    <x v="2"/>
    <n v="16"/>
    <s v="40"/>
    <n v="0"/>
    <s v="no"/>
    <x v="0"/>
    <x v="2"/>
    <s v="On Hold"/>
    <n v="10"/>
    <x v="0"/>
    <x v="14"/>
  </r>
  <r>
    <s v="FL250848"/>
    <x v="841"/>
    <x v="1"/>
    <x v="16"/>
    <x v="14"/>
    <x v="11"/>
    <x v="5"/>
    <n v="3"/>
    <s v="75"/>
    <n v="3.4"/>
    <s v="Y"/>
    <x v="16"/>
    <x v="2"/>
    <s v="Active"/>
    <n v="4"/>
    <x v="1"/>
    <x v="3"/>
  </r>
  <r>
    <s v="FL250849"/>
    <x v="842"/>
    <x v="0"/>
    <x v="27"/>
    <x v="20"/>
    <x v="6"/>
    <x v="6"/>
    <n v="2"/>
    <s v="USD 20"/>
    <n v="1.3"/>
    <s v="N"/>
    <x v="0"/>
    <x v="1"/>
    <s v="On Hold"/>
    <n v="1"/>
    <x v="1"/>
    <x v="6"/>
  </r>
  <r>
    <s v="FL250850"/>
    <x v="843"/>
    <x v="0"/>
    <x v="19"/>
    <x v="16"/>
    <x v="12"/>
    <x v="8"/>
    <n v="16"/>
    <s v="50"/>
    <n v="1.9"/>
    <s v="0"/>
    <x v="2"/>
    <x v="3"/>
    <s v="Active"/>
    <n v="18"/>
    <x v="0"/>
    <x v="6"/>
  </r>
  <r>
    <s v="FL250851"/>
    <x v="844"/>
    <x v="1"/>
    <x v="39"/>
    <x v="16"/>
    <x v="12"/>
    <x v="3"/>
    <n v="6"/>
    <s v="50"/>
    <n v="1.4"/>
    <s v="Y"/>
    <x v="75"/>
    <x v="0"/>
    <s v="Active"/>
    <n v="15"/>
    <x v="0"/>
    <x v="11"/>
  </r>
  <r>
    <s v="FL250852"/>
    <x v="845"/>
    <x v="0"/>
    <x v="8"/>
    <x v="11"/>
    <x v="8"/>
    <x v="7"/>
    <n v="10"/>
    <s v="$100"/>
    <n v="4.3"/>
    <s v="FALSE"/>
    <x v="0"/>
    <x v="0"/>
    <s v="Completed"/>
    <n v="13"/>
    <x v="0"/>
    <x v="15"/>
  </r>
  <r>
    <s v="FL250853"/>
    <x v="846"/>
    <x v="1"/>
    <x v="36"/>
    <x v="21"/>
    <x v="6"/>
    <x v="2"/>
    <n v="16"/>
    <s v="$30"/>
    <s v="Not Mentioned"/>
    <s v="no"/>
    <x v="36"/>
    <x v="0"/>
    <s v="Inactive"/>
    <n v="11"/>
    <x v="0"/>
    <x v="0"/>
  </r>
  <r>
    <s v="FL250854"/>
    <x v="847"/>
    <x v="0"/>
    <x v="24"/>
    <x v="6"/>
    <x v="5"/>
    <x v="7"/>
    <n v="0"/>
    <s v="$100"/>
    <n v="4.3"/>
    <s v="0"/>
    <x v="0"/>
    <x v="1"/>
    <s v="Inactive"/>
    <n v="4"/>
    <x v="1"/>
    <x v="10"/>
  </r>
  <r>
    <s v="FL250855"/>
    <x v="848"/>
    <x v="1"/>
    <x v="31"/>
    <x v="10"/>
    <x v="7"/>
    <x v="5"/>
    <n v="13"/>
    <s v="USD 75"/>
    <n v="0"/>
    <s v="TRUE"/>
    <x v="0"/>
    <x v="1"/>
    <s v="On Hold"/>
    <n v="10"/>
    <x v="0"/>
    <x v="7"/>
  </r>
  <r>
    <s v="FL250856"/>
    <x v="849"/>
    <x v="1"/>
    <x v="20"/>
    <x v="6"/>
    <x v="5"/>
    <x v="9"/>
    <n v="12"/>
    <s v="Not given"/>
    <n v="1.3"/>
    <s v="0"/>
    <x v="27"/>
    <x v="2"/>
    <s v="On Hold"/>
    <n v="7"/>
    <x v="0"/>
    <x v="10"/>
  </r>
  <r>
    <s v="FL250857"/>
    <x v="850"/>
    <x v="1"/>
    <x v="6"/>
    <x v="1"/>
    <x v="1"/>
    <x v="8"/>
    <n v="13"/>
    <s v="USD 50"/>
    <n v="2.9"/>
    <s v="no"/>
    <x v="42"/>
    <x v="0"/>
    <s v="Completed"/>
    <n v="14"/>
    <x v="0"/>
    <x v="12"/>
  </r>
  <r>
    <s v="FL250858"/>
    <x v="851"/>
    <x v="0"/>
    <x v="6"/>
    <x v="20"/>
    <x v="6"/>
    <x v="2"/>
    <n v="22"/>
    <s v="USD 40"/>
    <n v="4.3"/>
    <s v="0"/>
    <x v="46"/>
    <x v="1"/>
    <s v="Completed"/>
    <n v="14"/>
    <x v="0"/>
    <x v="9"/>
  </r>
  <r>
    <s v="FL250859"/>
    <x v="852"/>
    <x v="0"/>
    <x v="38"/>
    <x v="5"/>
    <x v="1"/>
    <x v="2"/>
    <n v="1"/>
    <s v="Not given"/>
    <n v="2.7"/>
    <s v="0"/>
    <x v="69"/>
    <x v="2"/>
    <s v="Completed"/>
    <n v="3"/>
    <x v="1"/>
    <x v="3"/>
  </r>
  <r>
    <s v="FL250860"/>
    <x v="853"/>
    <x v="0"/>
    <x v="10"/>
    <x v="20"/>
    <x v="6"/>
    <x v="3"/>
    <s v="Not Mentioned"/>
    <s v="$50"/>
    <n v="4.2"/>
    <s v="Not Mentioned"/>
    <x v="32"/>
    <x v="0"/>
    <s v="Active"/>
    <n v="1"/>
    <x v="1"/>
    <x v="3"/>
  </r>
  <r>
    <s v="FL250861"/>
    <x v="854"/>
    <x v="1"/>
    <x v="32"/>
    <x v="15"/>
    <x v="1"/>
    <x v="0"/>
    <n v="12"/>
    <s v="40"/>
    <n v="0"/>
    <s v="yes"/>
    <x v="23"/>
    <x v="3"/>
    <s v="Completed"/>
    <n v="15"/>
    <x v="0"/>
    <x v="11"/>
  </r>
  <r>
    <s v="FL250862"/>
    <x v="855"/>
    <x v="1"/>
    <x v="23"/>
    <x v="10"/>
    <x v="7"/>
    <x v="5"/>
    <s v="Not Mentioned"/>
    <s v="20"/>
    <n v="2.2000000000000002"/>
    <s v="FALSE"/>
    <x v="12"/>
    <x v="2"/>
    <s v="Completed"/>
    <n v="4"/>
    <x v="1"/>
    <x v="3"/>
  </r>
  <r>
    <s v="FL250863"/>
    <x v="856"/>
    <x v="1"/>
    <x v="21"/>
    <x v="17"/>
    <x v="13"/>
    <x v="10"/>
    <n v="12"/>
    <s v="50"/>
    <n v="4.7"/>
    <s v="yes"/>
    <x v="7"/>
    <x v="1"/>
    <s v="On Hold"/>
    <n v="9"/>
    <x v="0"/>
    <x v="1"/>
  </r>
  <r>
    <s v="FL250864"/>
    <x v="857"/>
    <x v="1"/>
    <x v="22"/>
    <x v="19"/>
    <x v="15"/>
    <x v="9"/>
    <n v="0"/>
    <s v="30"/>
    <n v="0"/>
    <s v="0"/>
    <x v="23"/>
    <x v="1"/>
    <s v="Completed"/>
    <n v="2"/>
    <x v="1"/>
    <x v="3"/>
  </r>
  <r>
    <s v="FL250865"/>
    <x v="858"/>
    <x v="0"/>
    <x v="11"/>
    <x v="12"/>
    <x v="9"/>
    <x v="1"/>
    <n v="18"/>
    <s v="20"/>
    <n v="2.5"/>
    <s v="yes"/>
    <x v="35"/>
    <x v="2"/>
    <s v="Active"/>
    <n v="16"/>
    <x v="0"/>
    <x v="5"/>
  </r>
  <r>
    <s v="FL250866"/>
    <x v="859"/>
    <x v="1"/>
    <x v="7"/>
    <x v="14"/>
    <x v="11"/>
    <x v="1"/>
    <n v="2"/>
    <s v="$50"/>
    <n v="3.9"/>
    <s v="yes"/>
    <x v="39"/>
    <x v="2"/>
    <s v="Active"/>
    <n v="1"/>
    <x v="1"/>
    <x v="6"/>
  </r>
  <r>
    <s v="FL250867"/>
    <x v="860"/>
    <x v="1"/>
    <x v="7"/>
    <x v="6"/>
    <x v="5"/>
    <x v="8"/>
    <s v="Not Mentioned"/>
    <s v="USD 100"/>
    <n v="1.2"/>
    <s v="1"/>
    <x v="11"/>
    <x v="1"/>
    <s v="On Hold"/>
    <n v="5"/>
    <x v="1"/>
    <x v="10"/>
  </r>
  <r>
    <s v="FL250868"/>
    <x v="861"/>
    <x v="1"/>
    <x v="6"/>
    <x v="4"/>
    <x v="4"/>
    <x v="6"/>
    <n v="2"/>
    <s v="75"/>
    <n v="4.5"/>
    <s v="yes"/>
    <x v="0"/>
    <x v="3"/>
    <s v="Completed"/>
    <n v="2"/>
    <x v="1"/>
    <x v="10"/>
  </r>
  <r>
    <s v="FL250869"/>
    <x v="862"/>
    <x v="0"/>
    <x v="12"/>
    <x v="19"/>
    <x v="15"/>
    <x v="7"/>
    <n v="35"/>
    <s v="$40"/>
    <n v="2.7"/>
    <s v="TRUE"/>
    <x v="42"/>
    <x v="0"/>
    <s v="Completed"/>
    <n v="15"/>
    <x v="0"/>
    <x v="0"/>
  </r>
  <r>
    <s v="FL250870"/>
    <x v="863"/>
    <x v="1"/>
    <x v="8"/>
    <x v="20"/>
    <x v="6"/>
    <x v="1"/>
    <n v="21"/>
    <s v="75"/>
    <n v="2"/>
    <s v="N"/>
    <x v="32"/>
    <x v="3"/>
    <s v="Active"/>
    <n v="15"/>
    <x v="0"/>
    <x v="9"/>
  </r>
  <r>
    <s v="FL250871"/>
    <x v="864"/>
    <x v="0"/>
    <x v="12"/>
    <x v="14"/>
    <x v="11"/>
    <x v="9"/>
    <n v="3"/>
    <s v="$40"/>
    <n v="1.7"/>
    <s v="N"/>
    <x v="2"/>
    <x v="2"/>
    <s v="Completed"/>
    <n v="4"/>
    <x v="1"/>
    <x v="6"/>
  </r>
  <r>
    <s v="FL250872"/>
    <x v="865"/>
    <x v="0"/>
    <x v="34"/>
    <x v="2"/>
    <x v="2"/>
    <x v="1"/>
    <n v="24"/>
    <s v="$75"/>
    <n v="3"/>
    <s v="1"/>
    <x v="7"/>
    <x v="3"/>
    <s v="Completed"/>
    <n v="18"/>
    <x v="0"/>
    <x v="5"/>
  </r>
  <r>
    <s v="FL250873"/>
    <x v="866"/>
    <x v="1"/>
    <x v="5"/>
    <x v="21"/>
    <x v="6"/>
    <x v="0"/>
    <s v="Not Mentioned"/>
    <s v="$75"/>
    <n v="2.1"/>
    <s v="yes"/>
    <x v="0"/>
    <x v="1"/>
    <s v="Completed"/>
    <n v="1"/>
    <x v="1"/>
    <x v="3"/>
  </r>
  <r>
    <s v="FL250874"/>
    <x v="867"/>
    <x v="0"/>
    <x v="18"/>
    <x v="13"/>
    <x v="10"/>
    <x v="7"/>
    <n v="0"/>
    <s v="75"/>
    <n v="1.5"/>
    <s v="Not Mentioned"/>
    <x v="38"/>
    <x v="2"/>
    <s v="Inactive"/>
    <n v="2"/>
    <x v="1"/>
    <x v="3"/>
  </r>
  <r>
    <s v="FL250875"/>
    <x v="868"/>
    <x v="1"/>
    <x v="38"/>
    <x v="14"/>
    <x v="11"/>
    <x v="3"/>
    <n v="2"/>
    <s v="USD 30"/>
    <n v="1.7"/>
    <s v="TRUE"/>
    <x v="12"/>
    <x v="0"/>
    <s v="On Hold"/>
    <n v="4"/>
    <x v="1"/>
    <x v="10"/>
  </r>
  <r>
    <s v="FL250876"/>
    <x v="869"/>
    <x v="0"/>
    <x v="6"/>
    <x v="21"/>
    <x v="6"/>
    <x v="5"/>
    <s v="Not Mentioned"/>
    <s v="Not given"/>
    <n v="1.2"/>
    <s v="1"/>
    <x v="24"/>
    <x v="1"/>
    <s v="Inactive"/>
    <n v="3"/>
    <x v="1"/>
    <x v="3"/>
  </r>
  <r>
    <s v="FL250877"/>
    <x v="870"/>
    <x v="0"/>
    <x v="37"/>
    <x v="11"/>
    <x v="8"/>
    <x v="1"/>
    <n v="6"/>
    <s v="75"/>
    <n v="0"/>
    <s v="FALSE"/>
    <x v="25"/>
    <x v="1"/>
    <s v="On Hold"/>
    <n v="7"/>
    <x v="0"/>
    <x v="12"/>
  </r>
  <r>
    <s v="FL250878"/>
    <x v="871"/>
    <x v="1"/>
    <x v="14"/>
    <x v="1"/>
    <x v="1"/>
    <x v="2"/>
    <n v="21"/>
    <s v="20"/>
    <s v="Not Mentioned"/>
    <s v="Y"/>
    <x v="0"/>
    <x v="0"/>
    <s v="Active"/>
    <n v="14"/>
    <x v="0"/>
    <x v="1"/>
  </r>
  <r>
    <s v="FL250879"/>
    <x v="872"/>
    <x v="1"/>
    <x v="21"/>
    <x v="5"/>
    <x v="1"/>
    <x v="7"/>
    <n v="24"/>
    <s v="40"/>
    <n v="3.3"/>
    <s v="1"/>
    <x v="13"/>
    <x v="0"/>
    <s v="Completed"/>
    <n v="19"/>
    <x v="0"/>
    <x v="12"/>
  </r>
  <r>
    <s v="FL250880"/>
    <x v="873"/>
    <x v="0"/>
    <x v="26"/>
    <x v="13"/>
    <x v="10"/>
    <x v="5"/>
    <n v="6"/>
    <s v="20"/>
    <n v="2.1"/>
    <s v="no"/>
    <x v="0"/>
    <x v="3"/>
    <s v="On Hold"/>
    <n v="9"/>
    <x v="0"/>
    <x v="12"/>
  </r>
  <r>
    <s v="FL250881"/>
    <x v="874"/>
    <x v="1"/>
    <x v="1"/>
    <x v="3"/>
    <x v="3"/>
    <x v="3"/>
    <n v="32"/>
    <s v="50"/>
    <s v="Not Mentioned"/>
    <s v="1"/>
    <x v="0"/>
    <x v="2"/>
    <s v="Inactive"/>
    <n v="14"/>
    <x v="0"/>
    <x v="6"/>
  </r>
  <r>
    <s v="FL250882"/>
    <x v="875"/>
    <x v="0"/>
    <x v="9"/>
    <x v="17"/>
    <x v="13"/>
    <x v="1"/>
    <n v="31"/>
    <s v="USD 100"/>
    <n v="2.9"/>
    <s v="Y"/>
    <x v="19"/>
    <x v="0"/>
    <s v="Completed"/>
    <n v="17"/>
    <x v="0"/>
    <x v="0"/>
  </r>
  <r>
    <s v="FL250883"/>
    <x v="876"/>
    <x v="1"/>
    <x v="30"/>
    <x v="13"/>
    <x v="10"/>
    <x v="5"/>
    <s v="Not Mentioned"/>
    <s v="USD 20"/>
    <n v="3.3"/>
    <s v="TRUE"/>
    <x v="9"/>
    <x v="0"/>
    <s v="Active"/>
    <n v="4"/>
    <x v="1"/>
    <x v="3"/>
  </r>
  <r>
    <s v="FL250884"/>
    <x v="877"/>
    <x v="0"/>
    <x v="36"/>
    <x v="15"/>
    <x v="1"/>
    <x v="8"/>
    <n v="24"/>
    <s v="100"/>
    <n v="4.8"/>
    <s v="1"/>
    <x v="1"/>
    <x v="2"/>
    <s v="On Hold"/>
    <n v="12"/>
    <x v="0"/>
    <x v="14"/>
  </r>
  <r>
    <s v="FL250885"/>
    <x v="878"/>
    <x v="1"/>
    <x v="37"/>
    <x v="4"/>
    <x v="4"/>
    <x v="9"/>
    <s v="Not Mentioned"/>
    <s v="$100"/>
    <n v="4.5"/>
    <s v="Not Mentioned"/>
    <x v="50"/>
    <x v="0"/>
    <s v="On Hold"/>
    <n v="5"/>
    <x v="1"/>
    <x v="3"/>
  </r>
  <r>
    <s v="FL250886"/>
    <x v="240"/>
    <x v="0"/>
    <x v="31"/>
    <x v="3"/>
    <x v="3"/>
    <x v="7"/>
    <n v="6"/>
    <s v="$50"/>
    <n v="3.1"/>
    <s v="no"/>
    <x v="3"/>
    <x v="0"/>
    <s v="On Hold"/>
    <n v="8"/>
    <x v="0"/>
    <x v="12"/>
  </r>
  <r>
    <s v="FL250887"/>
    <x v="879"/>
    <x v="0"/>
    <x v="9"/>
    <x v="7"/>
    <x v="1"/>
    <x v="9"/>
    <n v="11"/>
    <s v="Not given"/>
    <n v="4.9000000000000004"/>
    <s v="1"/>
    <x v="39"/>
    <x v="3"/>
    <s v="Completed"/>
    <n v="6"/>
    <x v="0"/>
    <x v="14"/>
  </r>
  <r>
    <s v="FL250888"/>
    <x v="880"/>
    <x v="0"/>
    <x v="39"/>
    <x v="4"/>
    <x v="4"/>
    <x v="6"/>
    <s v="Not Mentioned"/>
    <s v="$20"/>
    <n v="0"/>
    <s v="0"/>
    <x v="6"/>
    <x v="1"/>
    <s v="Inactive"/>
    <n v="3"/>
    <x v="1"/>
    <x v="3"/>
  </r>
  <r>
    <s v="FL250889"/>
    <x v="881"/>
    <x v="1"/>
    <x v="2"/>
    <x v="0"/>
    <x v="0"/>
    <x v="3"/>
    <n v="14"/>
    <s v="75"/>
    <n v="1.5"/>
    <s v="N"/>
    <x v="20"/>
    <x v="1"/>
    <s v="Inactive"/>
    <n v="11"/>
    <x v="0"/>
    <x v="9"/>
  </r>
  <r>
    <s v="FL250890"/>
    <x v="882"/>
    <x v="1"/>
    <x v="12"/>
    <x v="10"/>
    <x v="7"/>
    <x v="9"/>
    <n v="2"/>
    <s v="$75"/>
    <n v="2.4"/>
    <s v="N"/>
    <x v="0"/>
    <x v="1"/>
    <s v="On Hold"/>
    <n v="3"/>
    <x v="1"/>
    <x v="3"/>
  </r>
  <r>
    <s v="FL250891"/>
    <x v="883"/>
    <x v="0"/>
    <x v="20"/>
    <x v="14"/>
    <x v="11"/>
    <x v="9"/>
    <n v="2"/>
    <s v="USD 100"/>
    <n v="4.5"/>
    <s v="N"/>
    <x v="74"/>
    <x v="1"/>
    <s v="Active"/>
    <n v="2"/>
    <x v="1"/>
    <x v="3"/>
  </r>
  <r>
    <s v="FL250892"/>
    <x v="884"/>
    <x v="1"/>
    <x v="13"/>
    <x v="0"/>
    <x v="0"/>
    <x v="7"/>
    <n v="11"/>
    <s v="USD 100"/>
    <n v="2.5"/>
    <s v="yes"/>
    <x v="47"/>
    <x v="0"/>
    <s v="Active"/>
    <n v="13"/>
    <x v="0"/>
    <x v="0"/>
  </r>
  <r>
    <s v="FL250893"/>
    <x v="885"/>
    <x v="0"/>
    <x v="10"/>
    <x v="2"/>
    <x v="2"/>
    <x v="2"/>
    <n v="13"/>
    <s v="30"/>
    <n v="3.3"/>
    <s v="Not Mentioned"/>
    <x v="23"/>
    <x v="2"/>
    <s v="Inactive"/>
    <n v="10"/>
    <x v="0"/>
    <x v="9"/>
  </r>
  <r>
    <s v="FL250894"/>
    <x v="886"/>
    <x v="1"/>
    <x v="5"/>
    <x v="11"/>
    <x v="8"/>
    <x v="0"/>
    <n v="7"/>
    <s v="75"/>
    <n v="3"/>
    <s v="Not Mentioned"/>
    <x v="1"/>
    <x v="2"/>
    <s v="Active"/>
    <n v="11"/>
    <x v="0"/>
    <x v="7"/>
  </r>
  <r>
    <s v="FL250895"/>
    <x v="887"/>
    <x v="0"/>
    <x v="40"/>
    <x v="15"/>
    <x v="1"/>
    <x v="8"/>
    <n v="25"/>
    <s v="75"/>
    <n v="2.7"/>
    <s v="1"/>
    <x v="45"/>
    <x v="3"/>
    <s v="Inactive"/>
    <n v="15"/>
    <x v="0"/>
    <x v="12"/>
  </r>
  <r>
    <s v="FL250896"/>
    <x v="888"/>
    <x v="1"/>
    <x v="21"/>
    <x v="15"/>
    <x v="1"/>
    <x v="2"/>
    <n v="20"/>
    <s v="$20"/>
    <n v="1.2"/>
    <s v="FALSE"/>
    <x v="26"/>
    <x v="3"/>
    <s v="On Hold"/>
    <n v="12"/>
    <x v="0"/>
    <x v="8"/>
  </r>
  <r>
    <s v="FL250897"/>
    <x v="889"/>
    <x v="0"/>
    <x v="18"/>
    <x v="5"/>
    <x v="1"/>
    <x v="7"/>
    <n v="8"/>
    <s v="50"/>
    <n v="4.3"/>
    <s v="0"/>
    <x v="3"/>
    <x v="0"/>
    <s v="Inactive"/>
    <n v="15"/>
    <x v="0"/>
    <x v="3"/>
  </r>
  <r>
    <s v="FL250898"/>
    <x v="890"/>
    <x v="1"/>
    <x v="5"/>
    <x v="3"/>
    <x v="3"/>
    <x v="5"/>
    <n v="6"/>
    <s v="$40"/>
    <n v="1.3"/>
    <s v="0"/>
    <x v="0"/>
    <x v="2"/>
    <s v="Inactive"/>
    <n v="8"/>
    <x v="0"/>
    <x v="7"/>
  </r>
  <r>
    <s v="FL250899"/>
    <x v="891"/>
    <x v="1"/>
    <x v="24"/>
    <x v="2"/>
    <x v="2"/>
    <x v="7"/>
    <n v="3"/>
    <s v="50"/>
    <n v="4.5999999999999996"/>
    <s v="Y"/>
    <x v="0"/>
    <x v="2"/>
    <s v="On Hold"/>
    <n v="5"/>
    <x v="1"/>
    <x v="4"/>
  </r>
  <r>
    <s v="FL250900"/>
    <x v="892"/>
    <x v="0"/>
    <x v="11"/>
    <x v="4"/>
    <x v="4"/>
    <x v="7"/>
    <n v="18"/>
    <s v="50"/>
    <n v="2.1"/>
    <s v="0"/>
    <x v="74"/>
    <x v="1"/>
    <s v="Active"/>
    <n v="10"/>
    <x v="0"/>
    <x v="1"/>
  </r>
  <r>
    <s v="FL250901"/>
    <x v="893"/>
    <x v="0"/>
    <x v="33"/>
    <x v="5"/>
    <x v="1"/>
    <x v="0"/>
    <n v="18"/>
    <s v="40"/>
    <n v="4.5"/>
    <s v="no"/>
    <x v="29"/>
    <x v="0"/>
    <s v="Inactive"/>
    <n v="14"/>
    <x v="0"/>
    <x v="12"/>
  </r>
  <r>
    <s v="FL250902"/>
    <x v="894"/>
    <x v="0"/>
    <x v="19"/>
    <x v="14"/>
    <x v="11"/>
    <x v="7"/>
    <n v="3"/>
    <s v="40"/>
    <n v="4.4000000000000004"/>
    <s v="yes"/>
    <x v="41"/>
    <x v="0"/>
    <s v="Inactive"/>
    <n v="5"/>
    <x v="1"/>
    <x v="10"/>
  </r>
  <r>
    <s v="FL250903"/>
    <x v="895"/>
    <x v="0"/>
    <x v="1"/>
    <x v="14"/>
    <x v="11"/>
    <x v="2"/>
    <n v="32"/>
    <s v="USD 20"/>
    <n v="0"/>
    <s v="N"/>
    <x v="0"/>
    <x v="1"/>
    <s v="On Hold"/>
    <n v="17"/>
    <x v="0"/>
    <x v="12"/>
  </r>
  <r>
    <s v="FL250904"/>
    <x v="896"/>
    <x v="0"/>
    <x v="1"/>
    <x v="8"/>
    <x v="6"/>
    <x v="1"/>
    <n v="19"/>
    <s v="USD 20"/>
    <n v="1.3"/>
    <s v="0"/>
    <x v="0"/>
    <x v="0"/>
    <s v="Active"/>
    <n v="11"/>
    <x v="0"/>
    <x v="7"/>
  </r>
  <r>
    <s v="FL250905"/>
    <x v="897"/>
    <x v="1"/>
    <x v="24"/>
    <x v="11"/>
    <x v="8"/>
    <x v="6"/>
    <n v="2"/>
    <s v="50"/>
    <n v="2.6"/>
    <s v="FALSE"/>
    <x v="8"/>
    <x v="0"/>
    <s v="Inactive"/>
    <n v="5"/>
    <x v="1"/>
    <x v="3"/>
  </r>
  <r>
    <s v="FL250906"/>
    <x v="898"/>
    <x v="0"/>
    <x v="25"/>
    <x v="7"/>
    <x v="1"/>
    <x v="0"/>
    <n v="0"/>
    <s v="Not given"/>
    <s v="Not Mentioned"/>
    <s v="Y"/>
    <x v="67"/>
    <x v="3"/>
    <s v="On Hold"/>
    <n v="3"/>
    <x v="1"/>
    <x v="4"/>
  </r>
  <r>
    <s v="FL250907"/>
    <x v="899"/>
    <x v="1"/>
    <x v="28"/>
    <x v="8"/>
    <x v="6"/>
    <x v="10"/>
    <n v="13"/>
    <s v="$40"/>
    <n v="1.2"/>
    <s v="FALSE"/>
    <x v="72"/>
    <x v="2"/>
    <s v="Inactive"/>
    <n v="7"/>
    <x v="0"/>
    <x v="1"/>
  </r>
  <r>
    <s v="FL250908"/>
    <x v="900"/>
    <x v="0"/>
    <x v="7"/>
    <x v="13"/>
    <x v="10"/>
    <x v="5"/>
    <n v="2"/>
    <s v="USD 30"/>
    <n v="3.1"/>
    <s v="Y"/>
    <x v="52"/>
    <x v="0"/>
    <s v="Completed"/>
    <n v="4"/>
    <x v="1"/>
    <x v="3"/>
  </r>
  <r>
    <s v="FL250909"/>
    <x v="901"/>
    <x v="0"/>
    <x v="3"/>
    <x v="6"/>
    <x v="5"/>
    <x v="3"/>
    <n v="11"/>
    <s v="$75"/>
    <n v="2.2999999999999998"/>
    <s v="Y"/>
    <x v="25"/>
    <x v="3"/>
    <s v="On Hold"/>
    <n v="12"/>
    <x v="0"/>
    <x v="11"/>
  </r>
  <r>
    <s v="FL250910"/>
    <x v="902"/>
    <x v="1"/>
    <x v="3"/>
    <x v="16"/>
    <x v="12"/>
    <x v="8"/>
    <n v="17"/>
    <s v="100"/>
    <n v="4"/>
    <s v="no"/>
    <x v="29"/>
    <x v="2"/>
    <s v="Active"/>
    <n v="13"/>
    <x v="0"/>
    <x v="11"/>
  </r>
  <r>
    <s v="FL250911"/>
    <x v="903"/>
    <x v="1"/>
    <x v="19"/>
    <x v="11"/>
    <x v="8"/>
    <x v="0"/>
    <n v="10"/>
    <s v="$75"/>
    <n v="1.9"/>
    <s v="Not Mentioned"/>
    <x v="0"/>
    <x v="1"/>
    <s v="Active"/>
    <n v="8"/>
    <x v="0"/>
    <x v="6"/>
  </r>
  <r>
    <s v="FL250912"/>
    <x v="904"/>
    <x v="0"/>
    <x v="1"/>
    <x v="18"/>
    <x v="14"/>
    <x v="10"/>
    <n v="26"/>
    <s v="75"/>
    <n v="2.4"/>
    <s v="yes"/>
    <x v="0"/>
    <x v="3"/>
    <s v="Active"/>
    <n v="14"/>
    <x v="0"/>
    <x v="9"/>
  </r>
  <r>
    <s v="FL250913"/>
    <x v="216"/>
    <x v="1"/>
    <x v="34"/>
    <x v="18"/>
    <x v="14"/>
    <x v="6"/>
    <s v="Not Mentioned"/>
    <s v="$30"/>
    <s v="Not Mentioned"/>
    <s v="yes"/>
    <x v="26"/>
    <x v="3"/>
    <s v="Active"/>
    <n v="4"/>
    <x v="1"/>
    <x v="3"/>
  </r>
  <r>
    <s v="FL250914"/>
    <x v="905"/>
    <x v="0"/>
    <x v="9"/>
    <x v="18"/>
    <x v="14"/>
    <x v="1"/>
    <n v="8"/>
    <s v="USD 50"/>
    <n v="3.7"/>
    <s v="Y"/>
    <x v="42"/>
    <x v="2"/>
    <s v="Inactive"/>
    <n v="15"/>
    <x v="0"/>
    <x v="0"/>
  </r>
  <r>
    <s v="FL250915"/>
    <x v="906"/>
    <x v="0"/>
    <x v="3"/>
    <x v="13"/>
    <x v="10"/>
    <x v="10"/>
    <n v="22"/>
    <s v="USD 100"/>
    <n v="1.1000000000000001"/>
    <s v="no"/>
    <x v="27"/>
    <x v="1"/>
    <s v="Inactive"/>
    <n v="12"/>
    <x v="0"/>
    <x v="15"/>
  </r>
  <r>
    <s v="FL250916"/>
    <x v="907"/>
    <x v="1"/>
    <x v="31"/>
    <x v="6"/>
    <x v="5"/>
    <x v="6"/>
    <n v="8"/>
    <s v="USD 75"/>
    <n v="2.2999999999999998"/>
    <s v="TRUE"/>
    <x v="15"/>
    <x v="3"/>
    <s v="Active"/>
    <n v="8"/>
    <x v="0"/>
    <x v="1"/>
  </r>
  <r>
    <s v="FL250917"/>
    <x v="908"/>
    <x v="0"/>
    <x v="30"/>
    <x v="15"/>
    <x v="1"/>
    <x v="3"/>
    <n v="22"/>
    <s v="40"/>
    <n v="3.7"/>
    <s v="Y"/>
    <x v="56"/>
    <x v="0"/>
    <s v="Active"/>
    <n v="20"/>
    <x v="0"/>
    <x v="2"/>
  </r>
  <r>
    <s v="FL250918"/>
    <x v="909"/>
    <x v="0"/>
    <x v="18"/>
    <x v="0"/>
    <x v="0"/>
    <x v="2"/>
    <n v="14"/>
    <s v="30"/>
    <n v="1.9"/>
    <s v="0"/>
    <x v="20"/>
    <x v="0"/>
    <s v="Active"/>
    <n v="14"/>
    <x v="0"/>
    <x v="7"/>
  </r>
  <r>
    <s v="FL250919"/>
    <x v="910"/>
    <x v="1"/>
    <x v="21"/>
    <x v="18"/>
    <x v="14"/>
    <x v="7"/>
    <n v="6"/>
    <s v="30"/>
    <n v="1.5"/>
    <s v="N"/>
    <x v="0"/>
    <x v="0"/>
    <s v="Inactive"/>
    <n v="12"/>
    <x v="0"/>
    <x v="7"/>
  </r>
  <r>
    <s v="FL250920"/>
    <x v="911"/>
    <x v="0"/>
    <x v="1"/>
    <x v="6"/>
    <x v="5"/>
    <x v="2"/>
    <n v="14"/>
    <s v="30"/>
    <n v="0"/>
    <s v="FALSE"/>
    <x v="4"/>
    <x v="1"/>
    <s v="Active"/>
    <n v="15"/>
    <x v="0"/>
    <x v="7"/>
  </r>
  <r>
    <s v="FL250921"/>
    <x v="912"/>
    <x v="0"/>
    <x v="39"/>
    <x v="5"/>
    <x v="1"/>
    <x v="3"/>
    <n v="2"/>
    <s v="30"/>
    <n v="3.6"/>
    <s v="Not Mentioned"/>
    <x v="41"/>
    <x v="3"/>
    <s v="Active"/>
    <n v="3"/>
    <x v="1"/>
    <x v="3"/>
  </r>
  <r>
    <s v="FL250922"/>
    <x v="913"/>
    <x v="0"/>
    <x v="34"/>
    <x v="21"/>
    <x v="6"/>
    <x v="9"/>
    <n v="4"/>
    <s v="$75"/>
    <n v="2.1"/>
    <s v="Not Mentioned"/>
    <x v="27"/>
    <x v="0"/>
    <s v="Completed"/>
    <n v="5"/>
    <x v="1"/>
    <x v="10"/>
  </r>
  <r>
    <s v="FL250923"/>
    <x v="914"/>
    <x v="0"/>
    <x v="34"/>
    <x v="13"/>
    <x v="10"/>
    <x v="5"/>
    <n v="4"/>
    <s v="75"/>
    <n v="2.9"/>
    <s v="N"/>
    <x v="0"/>
    <x v="1"/>
    <s v="Completed"/>
    <n v="1"/>
    <x v="1"/>
    <x v="3"/>
  </r>
  <r>
    <s v="FL250924"/>
    <x v="915"/>
    <x v="0"/>
    <x v="34"/>
    <x v="13"/>
    <x v="10"/>
    <x v="1"/>
    <n v="24"/>
    <s v="100"/>
    <n v="3.6"/>
    <s v="TRUE"/>
    <x v="0"/>
    <x v="0"/>
    <s v="Active"/>
    <n v="11"/>
    <x v="0"/>
    <x v="3"/>
  </r>
  <r>
    <s v="FL250925"/>
    <x v="916"/>
    <x v="0"/>
    <x v="29"/>
    <x v="12"/>
    <x v="9"/>
    <x v="0"/>
    <n v="29"/>
    <s v="30"/>
    <n v="3.3"/>
    <s v="yes"/>
    <x v="19"/>
    <x v="2"/>
    <s v="On Hold"/>
    <n v="12"/>
    <x v="0"/>
    <x v="5"/>
  </r>
  <r>
    <s v="FL250926"/>
    <x v="917"/>
    <x v="1"/>
    <x v="9"/>
    <x v="18"/>
    <x v="14"/>
    <x v="7"/>
    <n v="13"/>
    <s v="Not given"/>
    <n v="2.5"/>
    <s v="Y"/>
    <x v="22"/>
    <x v="3"/>
    <s v="Active"/>
    <n v="6"/>
    <x v="0"/>
    <x v="4"/>
  </r>
  <r>
    <s v="FL250927"/>
    <x v="918"/>
    <x v="1"/>
    <x v="35"/>
    <x v="18"/>
    <x v="14"/>
    <x v="9"/>
    <n v="1"/>
    <s v="USD 100"/>
    <n v="3.7"/>
    <s v="Y"/>
    <x v="76"/>
    <x v="3"/>
    <s v="Completed"/>
    <n v="5"/>
    <x v="1"/>
    <x v="3"/>
  </r>
  <r>
    <s v="FL250928"/>
    <x v="919"/>
    <x v="0"/>
    <x v="38"/>
    <x v="13"/>
    <x v="10"/>
    <x v="10"/>
    <s v="Not Mentioned"/>
    <s v="$30"/>
    <n v="4.5999999999999996"/>
    <s v="1"/>
    <x v="0"/>
    <x v="1"/>
    <s v="On Hold"/>
    <n v="1"/>
    <x v="1"/>
    <x v="3"/>
  </r>
  <r>
    <s v="FL250929"/>
    <x v="920"/>
    <x v="1"/>
    <x v="0"/>
    <x v="14"/>
    <x v="11"/>
    <x v="0"/>
    <n v="15"/>
    <s v="$40"/>
    <n v="0"/>
    <s v="1"/>
    <x v="41"/>
    <x v="1"/>
    <s v="On Hold"/>
    <n v="9"/>
    <x v="0"/>
    <x v="11"/>
  </r>
  <r>
    <s v="FL250930"/>
    <x v="921"/>
    <x v="0"/>
    <x v="16"/>
    <x v="16"/>
    <x v="12"/>
    <x v="10"/>
    <n v="2"/>
    <s v="30"/>
    <n v="2"/>
    <s v="no"/>
    <x v="32"/>
    <x v="3"/>
    <s v="Active"/>
    <n v="2"/>
    <x v="1"/>
    <x v="4"/>
  </r>
  <r>
    <s v="FL250931"/>
    <x v="922"/>
    <x v="0"/>
    <x v="2"/>
    <x v="6"/>
    <x v="5"/>
    <x v="3"/>
    <n v="14"/>
    <s v="100"/>
    <n v="1.7"/>
    <s v="FALSE"/>
    <x v="49"/>
    <x v="0"/>
    <s v="Completed"/>
    <n v="7"/>
    <x v="0"/>
    <x v="3"/>
  </r>
  <r>
    <s v="FL250932"/>
    <x v="923"/>
    <x v="1"/>
    <x v="24"/>
    <x v="15"/>
    <x v="1"/>
    <x v="2"/>
    <n v="0"/>
    <s v="USD 100"/>
    <n v="3"/>
    <s v="N"/>
    <x v="37"/>
    <x v="0"/>
    <s v="Completed"/>
    <n v="1"/>
    <x v="1"/>
    <x v="4"/>
  </r>
  <r>
    <s v="FL250933"/>
    <x v="924"/>
    <x v="1"/>
    <x v="20"/>
    <x v="1"/>
    <x v="1"/>
    <x v="5"/>
    <n v="15"/>
    <s v="40"/>
    <n v="3.4"/>
    <s v="FALSE"/>
    <x v="17"/>
    <x v="2"/>
    <s v="On Hold"/>
    <n v="8"/>
    <x v="0"/>
    <x v="0"/>
  </r>
  <r>
    <s v="FL250934"/>
    <x v="925"/>
    <x v="0"/>
    <x v="31"/>
    <x v="4"/>
    <x v="4"/>
    <x v="0"/>
    <n v="6"/>
    <s v="40"/>
    <n v="3.2"/>
    <s v="1"/>
    <x v="46"/>
    <x v="0"/>
    <s v="Active"/>
    <n v="15"/>
    <x v="0"/>
    <x v="0"/>
  </r>
  <r>
    <s v="FL250935"/>
    <x v="926"/>
    <x v="0"/>
    <x v="2"/>
    <x v="20"/>
    <x v="6"/>
    <x v="1"/>
    <n v="11"/>
    <s v="Not given"/>
    <n v="2.8"/>
    <s v="Not Mentioned"/>
    <x v="68"/>
    <x v="1"/>
    <s v="Inactive"/>
    <n v="9"/>
    <x v="0"/>
    <x v="7"/>
  </r>
  <r>
    <s v="FL250936"/>
    <x v="927"/>
    <x v="0"/>
    <x v="5"/>
    <x v="14"/>
    <x v="11"/>
    <x v="9"/>
    <n v="8"/>
    <s v="USD 20"/>
    <n v="4.0999999999999996"/>
    <s v="yes"/>
    <x v="42"/>
    <x v="1"/>
    <s v="Inactive"/>
    <n v="12"/>
    <x v="0"/>
    <x v="3"/>
  </r>
  <r>
    <s v="FL250937"/>
    <x v="928"/>
    <x v="0"/>
    <x v="4"/>
    <x v="3"/>
    <x v="3"/>
    <x v="5"/>
    <n v="3"/>
    <s v="20"/>
    <n v="0"/>
    <s v="Y"/>
    <x v="46"/>
    <x v="0"/>
    <s v="Completed"/>
    <n v="3"/>
    <x v="1"/>
    <x v="3"/>
  </r>
  <r>
    <s v="FL250938"/>
    <x v="929"/>
    <x v="0"/>
    <x v="24"/>
    <x v="0"/>
    <x v="0"/>
    <x v="8"/>
    <n v="0"/>
    <s v="Not given"/>
    <n v="0"/>
    <s v="1"/>
    <x v="46"/>
    <x v="1"/>
    <s v="Inactive"/>
    <n v="5"/>
    <x v="1"/>
    <x v="4"/>
  </r>
  <r>
    <s v="FL250939"/>
    <x v="930"/>
    <x v="1"/>
    <x v="19"/>
    <x v="13"/>
    <x v="10"/>
    <x v="1"/>
    <n v="7"/>
    <s v="USD 30"/>
    <s v="Not Mentioned"/>
    <s v="Not Mentioned"/>
    <x v="80"/>
    <x v="3"/>
    <s v="Completed"/>
    <n v="7"/>
    <x v="0"/>
    <x v="4"/>
  </r>
  <r>
    <s v="FL250940"/>
    <x v="931"/>
    <x v="1"/>
    <x v="25"/>
    <x v="21"/>
    <x v="6"/>
    <x v="2"/>
    <n v="6"/>
    <s v="40"/>
    <s v="Not Mentioned"/>
    <s v="yes"/>
    <x v="52"/>
    <x v="3"/>
    <s v="Completed"/>
    <n v="10"/>
    <x v="0"/>
    <x v="5"/>
  </r>
  <r>
    <s v="FL250941"/>
    <x v="932"/>
    <x v="0"/>
    <x v="33"/>
    <x v="4"/>
    <x v="4"/>
    <x v="1"/>
    <n v="9"/>
    <s v="$30"/>
    <n v="2.7"/>
    <s v="1"/>
    <x v="0"/>
    <x v="0"/>
    <s v="Completed"/>
    <n v="8"/>
    <x v="0"/>
    <x v="5"/>
  </r>
  <r>
    <s v="FL250942"/>
    <x v="933"/>
    <x v="0"/>
    <x v="2"/>
    <x v="12"/>
    <x v="9"/>
    <x v="5"/>
    <n v="15"/>
    <s v="40"/>
    <n v="4"/>
    <s v="Not Mentioned"/>
    <x v="20"/>
    <x v="3"/>
    <s v="Inactive"/>
    <n v="7"/>
    <x v="0"/>
    <x v="1"/>
  </r>
  <r>
    <s v="FL250943"/>
    <x v="934"/>
    <x v="1"/>
    <x v="6"/>
    <x v="15"/>
    <x v="1"/>
    <x v="6"/>
    <n v="20"/>
    <s v="20"/>
    <n v="2.5"/>
    <s v="0"/>
    <x v="22"/>
    <x v="3"/>
    <s v="Completed"/>
    <n v="10"/>
    <x v="0"/>
    <x v="11"/>
  </r>
  <r>
    <s v="FL250944"/>
    <x v="935"/>
    <x v="0"/>
    <x v="21"/>
    <x v="12"/>
    <x v="9"/>
    <x v="6"/>
    <n v="16"/>
    <s v="75"/>
    <n v="0"/>
    <s v="no"/>
    <x v="5"/>
    <x v="2"/>
    <s v="On Hold"/>
    <n v="13"/>
    <x v="0"/>
    <x v="0"/>
  </r>
  <r>
    <s v="FL250945"/>
    <x v="936"/>
    <x v="1"/>
    <x v="12"/>
    <x v="17"/>
    <x v="13"/>
    <x v="9"/>
    <n v="22"/>
    <s v="USD 30"/>
    <s v="Not Mentioned"/>
    <s v="no"/>
    <x v="46"/>
    <x v="2"/>
    <s v="Active"/>
    <n v="13"/>
    <x v="0"/>
    <x v="10"/>
  </r>
  <r>
    <s v="FL250946"/>
    <x v="937"/>
    <x v="1"/>
    <x v="39"/>
    <x v="6"/>
    <x v="5"/>
    <x v="2"/>
    <n v="2"/>
    <s v="Not given"/>
    <n v="1.6"/>
    <s v="no"/>
    <x v="17"/>
    <x v="3"/>
    <s v="Active"/>
    <n v="2"/>
    <x v="1"/>
    <x v="3"/>
  </r>
  <r>
    <s v="FL250947"/>
    <x v="938"/>
    <x v="1"/>
    <x v="13"/>
    <x v="20"/>
    <x v="6"/>
    <x v="5"/>
    <n v="1"/>
    <s v="75"/>
    <n v="0"/>
    <s v="TRUE"/>
    <x v="5"/>
    <x v="0"/>
    <s v="Completed"/>
    <n v="5"/>
    <x v="1"/>
    <x v="4"/>
  </r>
  <r>
    <s v="FL250948"/>
    <x v="939"/>
    <x v="0"/>
    <x v="2"/>
    <x v="6"/>
    <x v="5"/>
    <x v="1"/>
    <n v="8"/>
    <s v="30"/>
    <n v="4"/>
    <s v="1"/>
    <x v="41"/>
    <x v="2"/>
    <s v="Active"/>
    <n v="8"/>
    <x v="0"/>
    <x v="5"/>
  </r>
  <r>
    <s v="FL250949"/>
    <x v="940"/>
    <x v="0"/>
    <x v="41"/>
    <x v="16"/>
    <x v="12"/>
    <x v="9"/>
    <n v="8"/>
    <s v="USD 50"/>
    <n v="2.5"/>
    <s v="TRUE"/>
    <x v="46"/>
    <x v="1"/>
    <s v="Inactive"/>
    <n v="9"/>
    <x v="0"/>
    <x v="0"/>
  </r>
  <r>
    <s v="FL250950"/>
    <x v="941"/>
    <x v="1"/>
    <x v="26"/>
    <x v="12"/>
    <x v="9"/>
    <x v="9"/>
    <n v="7"/>
    <s v="$20"/>
    <n v="3.8"/>
    <s v="Not Mentioned"/>
    <x v="36"/>
    <x v="1"/>
    <s v="Inactive"/>
    <n v="8"/>
    <x v="0"/>
    <x v="10"/>
  </r>
  <r>
    <s v="FL250951"/>
    <x v="942"/>
    <x v="1"/>
    <x v="20"/>
    <x v="7"/>
    <x v="1"/>
    <x v="9"/>
    <n v="8"/>
    <s v="50"/>
    <n v="4.8"/>
    <s v="N"/>
    <x v="14"/>
    <x v="1"/>
    <s v="Active"/>
    <n v="14"/>
    <x v="0"/>
    <x v="0"/>
  </r>
  <r>
    <s v="FL250952"/>
    <x v="943"/>
    <x v="0"/>
    <x v="30"/>
    <x v="20"/>
    <x v="6"/>
    <x v="6"/>
    <n v="6"/>
    <s v="40"/>
    <n v="2"/>
    <s v="1"/>
    <x v="50"/>
    <x v="0"/>
    <s v="Inactive"/>
    <n v="13"/>
    <x v="0"/>
    <x v="15"/>
  </r>
  <r>
    <s v="FL250953"/>
    <x v="944"/>
    <x v="1"/>
    <x v="19"/>
    <x v="6"/>
    <x v="5"/>
    <x v="9"/>
    <n v="16"/>
    <s v="$100"/>
    <n v="3.3"/>
    <s v="0"/>
    <x v="16"/>
    <x v="3"/>
    <s v="Active"/>
    <n v="10"/>
    <x v="0"/>
    <x v="16"/>
  </r>
  <r>
    <s v="FL250954"/>
    <x v="945"/>
    <x v="0"/>
    <x v="3"/>
    <x v="7"/>
    <x v="1"/>
    <x v="6"/>
    <n v="40"/>
    <s v="40"/>
    <n v="2.5"/>
    <s v="TRUE"/>
    <x v="55"/>
    <x v="1"/>
    <s v="Active"/>
    <n v="19"/>
    <x v="0"/>
    <x v="9"/>
  </r>
  <r>
    <s v="FL250955"/>
    <x v="946"/>
    <x v="0"/>
    <x v="26"/>
    <x v="15"/>
    <x v="1"/>
    <x v="0"/>
    <n v="6"/>
    <s v="$100"/>
    <s v="Not Mentioned"/>
    <s v="Y"/>
    <x v="45"/>
    <x v="0"/>
    <s v="Active"/>
    <n v="10"/>
    <x v="0"/>
    <x v="10"/>
  </r>
  <r>
    <s v="FL250956"/>
    <x v="947"/>
    <x v="1"/>
    <x v="35"/>
    <x v="1"/>
    <x v="1"/>
    <x v="3"/>
    <n v="3"/>
    <s v="USD 50"/>
    <s v="Not Mentioned"/>
    <s v="1"/>
    <x v="32"/>
    <x v="2"/>
    <s v="Completed"/>
    <n v="1"/>
    <x v="1"/>
    <x v="4"/>
  </r>
  <r>
    <s v="FL250957"/>
    <x v="948"/>
    <x v="0"/>
    <x v="8"/>
    <x v="1"/>
    <x v="1"/>
    <x v="5"/>
    <n v="5"/>
    <s v="USD 100"/>
    <n v="0"/>
    <s v="1"/>
    <x v="25"/>
    <x v="3"/>
    <s v="Active"/>
    <n v="4"/>
    <x v="1"/>
    <x v="10"/>
  </r>
  <r>
    <s v="FL250958"/>
    <x v="949"/>
    <x v="0"/>
    <x v="17"/>
    <x v="6"/>
    <x v="5"/>
    <x v="7"/>
    <n v="12"/>
    <s v="$20"/>
    <n v="1.6"/>
    <s v="yes"/>
    <x v="37"/>
    <x v="2"/>
    <s v="Completed"/>
    <n v="12"/>
    <x v="0"/>
    <x v="10"/>
  </r>
  <r>
    <s v="FL250959"/>
    <x v="950"/>
    <x v="1"/>
    <x v="7"/>
    <x v="16"/>
    <x v="12"/>
    <x v="7"/>
    <n v="33"/>
    <s v="50"/>
    <n v="0"/>
    <s v="FALSE"/>
    <x v="41"/>
    <x v="0"/>
    <s v="Active"/>
    <n v="19"/>
    <x v="0"/>
    <x v="7"/>
  </r>
  <r>
    <s v="FL250960"/>
    <x v="951"/>
    <x v="1"/>
    <x v="24"/>
    <x v="17"/>
    <x v="13"/>
    <x v="0"/>
    <n v="1"/>
    <s v="100"/>
    <n v="0"/>
    <s v="1"/>
    <x v="0"/>
    <x v="1"/>
    <s v="Active"/>
    <n v="3"/>
    <x v="1"/>
    <x v="10"/>
  </r>
  <r>
    <s v="FL250961"/>
    <x v="952"/>
    <x v="1"/>
    <x v="1"/>
    <x v="3"/>
    <x v="3"/>
    <x v="9"/>
    <n v="27"/>
    <s v="USD 20"/>
    <n v="4.7"/>
    <s v="yes"/>
    <x v="66"/>
    <x v="1"/>
    <s v="Active"/>
    <n v="11"/>
    <x v="0"/>
    <x v="5"/>
  </r>
  <r>
    <s v="FL250962"/>
    <x v="953"/>
    <x v="0"/>
    <x v="24"/>
    <x v="2"/>
    <x v="2"/>
    <x v="7"/>
    <n v="1"/>
    <s v="$100"/>
    <n v="0"/>
    <s v="yes"/>
    <x v="46"/>
    <x v="0"/>
    <s v="Inactive"/>
    <n v="5"/>
    <x v="1"/>
    <x v="7"/>
  </r>
  <r>
    <s v="FL250963"/>
    <x v="954"/>
    <x v="0"/>
    <x v="18"/>
    <x v="12"/>
    <x v="9"/>
    <x v="3"/>
    <s v="Not Mentioned"/>
    <s v="20"/>
    <n v="4.0999999999999996"/>
    <s v="N"/>
    <x v="8"/>
    <x v="1"/>
    <s v="Completed"/>
    <n v="4"/>
    <x v="1"/>
    <x v="3"/>
  </r>
  <r>
    <s v="FL250964"/>
    <x v="955"/>
    <x v="1"/>
    <x v="6"/>
    <x v="2"/>
    <x v="2"/>
    <x v="5"/>
    <n v="2"/>
    <s v="$30"/>
    <n v="1.3"/>
    <s v="1"/>
    <x v="7"/>
    <x v="3"/>
    <s v="Completed"/>
    <n v="4"/>
    <x v="1"/>
    <x v="4"/>
  </r>
  <r>
    <s v="FL250965"/>
    <x v="956"/>
    <x v="0"/>
    <x v="3"/>
    <x v="7"/>
    <x v="1"/>
    <x v="7"/>
    <n v="40"/>
    <s v="100"/>
    <n v="2.6"/>
    <s v="Not Mentioned"/>
    <x v="0"/>
    <x v="0"/>
    <s v="Active"/>
    <n v="16"/>
    <x v="0"/>
    <x v="7"/>
  </r>
  <r>
    <s v="FL250966"/>
    <x v="957"/>
    <x v="1"/>
    <x v="30"/>
    <x v="3"/>
    <x v="3"/>
    <x v="8"/>
    <n v="4"/>
    <s v="$20"/>
    <n v="2.7"/>
    <s v="Not Mentioned"/>
    <x v="29"/>
    <x v="2"/>
    <s v="Active"/>
    <n v="5"/>
    <x v="1"/>
    <x v="3"/>
  </r>
  <r>
    <s v="FL250967"/>
    <x v="958"/>
    <x v="1"/>
    <x v="40"/>
    <x v="13"/>
    <x v="10"/>
    <x v="10"/>
    <n v="9"/>
    <s v="40"/>
    <s v="Not Mentioned"/>
    <s v="0"/>
    <x v="10"/>
    <x v="0"/>
    <s v="Inactive"/>
    <n v="9"/>
    <x v="0"/>
    <x v="10"/>
  </r>
  <r>
    <s v="FL250968"/>
    <x v="959"/>
    <x v="0"/>
    <x v="18"/>
    <x v="7"/>
    <x v="1"/>
    <x v="8"/>
    <n v="13"/>
    <s v="30"/>
    <n v="3.6"/>
    <s v="0"/>
    <x v="8"/>
    <x v="3"/>
    <s v="Inactive"/>
    <n v="8"/>
    <x v="0"/>
    <x v="4"/>
  </r>
  <r>
    <s v="FL250969"/>
    <x v="960"/>
    <x v="0"/>
    <x v="5"/>
    <x v="11"/>
    <x v="8"/>
    <x v="2"/>
    <n v="1"/>
    <s v="75"/>
    <n v="3"/>
    <s v="1"/>
    <x v="0"/>
    <x v="3"/>
    <s v="Inactive"/>
    <n v="4"/>
    <x v="1"/>
    <x v="4"/>
  </r>
  <r>
    <s v="FL250970"/>
    <x v="961"/>
    <x v="1"/>
    <x v="34"/>
    <x v="11"/>
    <x v="8"/>
    <x v="3"/>
    <n v="1"/>
    <s v="Not given"/>
    <n v="0"/>
    <s v="0"/>
    <x v="42"/>
    <x v="0"/>
    <s v="Completed"/>
    <n v="1"/>
    <x v="1"/>
    <x v="3"/>
  </r>
  <r>
    <s v="FL250971"/>
    <x v="962"/>
    <x v="1"/>
    <x v="22"/>
    <x v="16"/>
    <x v="12"/>
    <x v="1"/>
    <n v="3"/>
    <s v="USD 40"/>
    <n v="0"/>
    <s v="TRUE"/>
    <x v="22"/>
    <x v="0"/>
    <s v="Completed"/>
    <n v="5"/>
    <x v="1"/>
    <x v="3"/>
  </r>
  <r>
    <s v="FL250972"/>
    <x v="963"/>
    <x v="1"/>
    <x v="32"/>
    <x v="16"/>
    <x v="12"/>
    <x v="2"/>
    <n v="1"/>
    <s v="$40"/>
    <n v="3.1"/>
    <s v="1"/>
    <x v="6"/>
    <x v="1"/>
    <s v="Completed"/>
    <n v="1"/>
    <x v="1"/>
    <x v="10"/>
  </r>
  <r>
    <s v="FL250973"/>
    <x v="964"/>
    <x v="1"/>
    <x v="39"/>
    <x v="4"/>
    <x v="4"/>
    <x v="0"/>
    <n v="3"/>
    <s v="USD 30"/>
    <n v="3.9"/>
    <s v="N"/>
    <x v="3"/>
    <x v="3"/>
    <s v="Active"/>
    <n v="5"/>
    <x v="1"/>
    <x v="3"/>
  </r>
  <r>
    <s v="FL250974"/>
    <x v="965"/>
    <x v="1"/>
    <x v="25"/>
    <x v="13"/>
    <x v="10"/>
    <x v="9"/>
    <n v="14"/>
    <s v="30"/>
    <n v="1.6"/>
    <s v="Y"/>
    <x v="24"/>
    <x v="0"/>
    <s v="Completed"/>
    <n v="8"/>
    <x v="0"/>
    <x v="11"/>
  </r>
  <r>
    <s v="FL250975"/>
    <x v="966"/>
    <x v="0"/>
    <x v="4"/>
    <x v="21"/>
    <x v="6"/>
    <x v="0"/>
    <n v="2"/>
    <s v="Not given"/>
    <n v="1.8"/>
    <s v="no"/>
    <x v="35"/>
    <x v="0"/>
    <s v="On Hold"/>
    <n v="5"/>
    <x v="1"/>
    <x v="4"/>
  </r>
  <r>
    <s v="FL250976"/>
    <x v="967"/>
    <x v="1"/>
    <x v="1"/>
    <x v="13"/>
    <x v="10"/>
    <x v="10"/>
    <n v="27"/>
    <s v="100"/>
    <n v="3.7"/>
    <s v="no"/>
    <x v="38"/>
    <x v="3"/>
    <s v="On Hold"/>
    <n v="13"/>
    <x v="0"/>
    <x v="7"/>
  </r>
  <r>
    <s v="FL250977"/>
    <x v="968"/>
    <x v="0"/>
    <x v="2"/>
    <x v="14"/>
    <x v="11"/>
    <x v="9"/>
    <n v="7"/>
    <s v="75"/>
    <s v="Not Mentioned"/>
    <s v="0"/>
    <x v="0"/>
    <x v="0"/>
    <s v="Inactive"/>
    <n v="6"/>
    <x v="0"/>
    <x v="6"/>
  </r>
  <r>
    <s v="FL250978"/>
    <x v="969"/>
    <x v="1"/>
    <x v="8"/>
    <x v="7"/>
    <x v="1"/>
    <x v="8"/>
    <n v="29"/>
    <s v="75"/>
    <n v="4.0999999999999996"/>
    <s v="N"/>
    <x v="3"/>
    <x v="1"/>
    <s v="Completed"/>
    <n v="10"/>
    <x v="0"/>
    <x v="15"/>
  </r>
  <r>
    <s v="FL250979"/>
    <x v="970"/>
    <x v="1"/>
    <x v="35"/>
    <x v="19"/>
    <x v="15"/>
    <x v="0"/>
    <n v="5"/>
    <s v="$75"/>
    <n v="1.4"/>
    <s v="TRUE"/>
    <x v="37"/>
    <x v="3"/>
    <s v="On Hold"/>
    <n v="4"/>
    <x v="1"/>
    <x v="3"/>
  </r>
  <r>
    <s v="FL250980"/>
    <x v="971"/>
    <x v="1"/>
    <x v="4"/>
    <x v="8"/>
    <x v="6"/>
    <x v="3"/>
    <n v="2"/>
    <s v="100"/>
    <n v="1.1000000000000001"/>
    <s v="1"/>
    <x v="23"/>
    <x v="1"/>
    <s v="Inactive"/>
    <n v="4"/>
    <x v="1"/>
    <x v="3"/>
  </r>
  <r>
    <s v="FL250981"/>
    <x v="972"/>
    <x v="1"/>
    <x v="36"/>
    <x v="15"/>
    <x v="1"/>
    <x v="6"/>
    <n v="18"/>
    <s v="$40"/>
    <n v="3.9"/>
    <s v="Not Mentioned"/>
    <x v="0"/>
    <x v="1"/>
    <s v="Completed"/>
    <n v="12"/>
    <x v="0"/>
    <x v="10"/>
  </r>
  <r>
    <s v="FL250982"/>
    <x v="973"/>
    <x v="1"/>
    <x v="5"/>
    <x v="12"/>
    <x v="9"/>
    <x v="8"/>
    <n v="8"/>
    <s v="20"/>
    <n v="3.6"/>
    <s v="0"/>
    <x v="24"/>
    <x v="1"/>
    <s v="Active"/>
    <n v="14"/>
    <x v="0"/>
    <x v="1"/>
  </r>
  <r>
    <s v="FL250983"/>
    <x v="974"/>
    <x v="0"/>
    <x v="13"/>
    <x v="18"/>
    <x v="14"/>
    <x v="2"/>
    <n v="0"/>
    <s v="$40"/>
    <n v="0"/>
    <s v="no"/>
    <x v="36"/>
    <x v="1"/>
    <s v="On Hold"/>
    <n v="4"/>
    <x v="1"/>
    <x v="4"/>
  </r>
  <r>
    <s v="FL250984"/>
    <x v="975"/>
    <x v="0"/>
    <x v="9"/>
    <x v="0"/>
    <x v="0"/>
    <x v="6"/>
    <n v="16"/>
    <s v="$75"/>
    <n v="4.5"/>
    <s v="0"/>
    <x v="80"/>
    <x v="3"/>
    <s v="Active"/>
    <n v="15"/>
    <x v="0"/>
    <x v="13"/>
  </r>
  <r>
    <s v="FL250985"/>
    <x v="976"/>
    <x v="1"/>
    <x v="36"/>
    <x v="18"/>
    <x v="14"/>
    <x v="3"/>
    <n v="8"/>
    <s v="50"/>
    <s v="Not Mentioned"/>
    <s v="1"/>
    <x v="38"/>
    <x v="1"/>
    <s v="Completed"/>
    <n v="6"/>
    <x v="0"/>
    <x v="1"/>
  </r>
  <r>
    <s v="FL250986"/>
    <x v="977"/>
    <x v="1"/>
    <x v="23"/>
    <x v="21"/>
    <x v="6"/>
    <x v="0"/>
    <n v="39"/>
    <s v="20"/>
    <n v="1.4"/>
    <s v="TRUE"/>
    <x v="8"/>
    <x v="1"/>
    <s v="On Hold"/>
    <n v="20"/>
    <x v="0"/>
    <x v="9"/>
  </r>
  <r>
    <s v="FL250987"/>
    <x v="978"/>
    <x v="1"/>
    <x v="5"/>
    <x v="17"/>
    <x v="13"/>
    <x v="10"/>
    <s v="Not Mentioned"/>
    <s v="50"/>
    <n v="0"/>
    <s v="yes"/>
    <x v="34"/>
    <x v="0"/>
    <s v="Completed"/>
    <n v="4"/>
    <x v="1"/>
    <x v="3"/>
  </r>
  <r>
    <s v="FL250988"/>
    <x v="979"/>
    <x v="0"/>
    <x v="25"/>
    <x v="13"/>
    <x v="10"/>
    <x v="2"/>
    <n v="16"/>
    <s v="USD 100"/>
    <n v="4.3"/>
    <s v="1"/>
    <x v="26"/>
    <x v="3"/>
    <s v="Active"/>
    <n v="13"/>
    <x v="0"/>
    <x v="4"/>
  </r>
  <r>
    <s v="FL250989"/>
    <x v="980"/>
    <x v="1"/>
    <x v="27"/>
    <x v="5"/>
    <x v="1"/>
    <x v="0"/>
    <n v="4"/>
    <s v="$100"/>
    <n v="2.2000000000000002"/>
    <s v="1"/>
    <x v="30"/>
    <x v="3"/>
    <s v="On Hold"/>
    <n v="2"/>
    <x v="1"/>
    <x v="4"/>
  </r>
  <r>
    <s v="FL250990"/>
    <x v="981"/>
    <x v="1"/>
    <x v="33"/>
    <x v="1"/>
    <x v="1"/>
    <x v="2"/>
    <n v="4"/>
    <s v="75"/>
    <n v="3.2"/>
    <s v="FALSE"/>
    <x v="6"/>
    <x v="2"/>
    <s v="Active"/>
    <n v="5"/>
    <x v="1"/>
    <x v="3"/>
  </r>
  <r>
    <s v="FL250991"/>
    <x v="982"/>
    <x v="0"/>
    <x v="24"/>
    <x v="8"/>
    <x v="6"/>
    <x v="5"/>
    <n v="2"/>
    <s v="100"/>
    <n v="3.7"/>
    <s v="yes"/>
    <x v="62"/>
    <x v="3"/>
    <s v="Completed"/>
    <n v="2"/>
    <x v="1"/>
    <x v="4"/>
  </r>
  <r>
    <s v="FL250992"/>
    <x v="983"/>
    <x v="0"/>
    <x v="29"/>
    <x v="2"/>
    <x v="2"/>
    <x v="7"/>
    <n v="37"/>
    <s v="USD 50"/>
    <n v="4.9000000000000004"/>
    <s v="FALSE"/>
    <x v="11"/>
    <x v="3"/>
    <s v="Completed"/>
    <n v="16"/>
    <x v="0"/>
    <x v="10"/>
  </r>
  <r>
    <s v="FL250993"/>
    <x v="984"/>
    <x v="0"/>
    <x v="0"/>
    <x v="4"/>
    <x v="4"/>
    <x v="1"/>
    <n v="32"/>
    <s v="$75"/>
    <n v="3.2"/>
    <s v="0"/>
    <x v="28"/>
    <x v="2"/>
    <s v="Active"/>
    <n v="20"/>
    <x v="0"/>
    <x v="1"/>
  </r>
  <r>
    <s v="FL250994"/>
    <x v="985"/>
    <x v="1"/>
    <x v="21"/>
    <x v="14"/>
    <x v="11"/>
    <x v="1"/>
    <n v="8"/>
    <s v="20"/>
    <n v="2.2000000000000002"/>
    <s v="Not Mentioned"/>
    <x v="81"/>
    <x v="3"/>
    <s v="On Hold"/>
    <n v="7"/>
    <x v="0"/>
    <x v="14"/>
  </r>
  <r>
    <s v="FL250995"/>
    <x v="986"/>
    <x v="0"/>
    <x v="17"/>
    <x v="18"/>
    <x v="14"/>
    <x v="9"/>
    <n v="8"/>
    <s v="30"/>
    <n v="3.9"/>
    <s v="Y"/>
    <x v="46"/>
    <x v="3"/>
    <s v="Active"/>
    <n v="10"/>
    <x v="0"/>
    <x v="4"/>
  </r>
  <r>
    <s v="FL250996"/>
    <x v="987"/>
    <x v="1"/>
    <x v="12"/>
    <x v="6"/>
    <x v="5"/>
    <x v="9"/>
    <n v="13"/>
    <s v="100"/>
    <n v="0"/>
    <s v="no"/>
    <x v="15"/>
    <x v="3"/>
    <s v="Completed"/>
    <n v="8"/>
    <x v="0"/>
    <x v="4"/>
  </r>
  <r>
    <s v="FL250997"/>
    <x v="988"/>
    <x v="0"/>
    <x v="5"/>
    <x v="2"/>
    <x v="2"/>
    <x v="0"/>
    <n v="6"/>
    <s v="USD 40"/>
    <n v="2.8"/>
    <s v="N"/>
    <x v="21"/>
    <x v="3"/>
    <s v="Active"/>
    <n v="6"/>
    <x v="0"/>
    <x v="13"/>
  </r>
  <r>
    <s v="FL250998"/>
    <x v="989"/>
    <x v="0"/>
    <x v="33"/>
    <x v="10"/>
    <x v="7"/>
    <x v="6"/>
    <n v="15"/>
    <s v="75"/>
    <s v="Not Mentioned"/>
    <s v="FALSE"/>
    <x v="5"/>
    <x v="2"/>
    <s v="Completed"/>
    <n v="14"/>
    <x v="0"/>
    <x v="9"/>
  </r>
  <r>
    <s v="FL250999"/>
    <x v="990"/>
    <x v="1"/>
    <x v="21"/>
    <x v="14"/>
    <x v="11"/>
    <x v="10"/>
    <n v="22"/>
    <s v="100"/>
    <n v="2.8"/>
    <s v="yes"/>
    <x v="53"/>
    <x v="3"/>
    <s v="Active"/>
    <n v="12"/>
    <x v="0"/>
    <x v="0"/>
  </r>
  <r>
    <s v="FL251000"/>
    <x v="991"/>
    <x v="0"/>
    <x v="18"/>
    <x v="20"/>
    <x v="6"/>
    <x v="7"/>
    <n v="18"/>
    <s v="$20"/>
    <n v="1.7"/>
    <s v="1"/>
    <x v="40"/>
    <x v="3"/>
    <s v="On Hold"/>
    <n v="15"/>
    <x v="0"/>
    <x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9426C9-46D4-47F7-9934-3A8D15828F1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32:K36" firstHeaderRow="1" firstDataRow="2" firstDataCol="1" rowPageCount="1" colPageCount="1"/>
  <pivotFields count="17">
    <pivotField showAll="0"/>
    <pivotField showAll="0">
      <items count="993">
        <item x="866"/>
        <item x="757"/>
        <item x="338"/>
        <item x="494"/>
        <item x="771"/>
        <item x="831"/>
        <item x="452"/>
        <item x="202"/>
        <item x="811"/>
        <item x="969"/>
        <item x="808"/>
        <item x="987"/>
        <item x="282"/>
        <item x="710"/>
        <item x="296"/>
        <item x="353"/>
        <item x="129"/>
        <item x="817"/>
        <item x="923"/>
        <item x="813"/>
        <item x="27"/>
        <item x="12"/>
        <item x="634"/>
        <item x="315"/>
        <item x="876"/>
        <item x="412"/>
        <item x="423"/>
        <item x="120"/>
        <item x="486"/>
        <item x="796"/>
        <item x="446"/>
        <item x="175"/>
        <item x="763"/>
        <item x="351"/>
        <item x="666"/>
        <item x="799"/>
        <item x="3"/>
        <item x="567"/>
        <item x="772"/>
        <item x="912"/>
        <item x="37"/>
        <item x="294"/>
        <item x="911"/>
        <item x="249"/>
        <item x="441"/>
        <item x="82"/>
        <item x="635"/>
        <item x="124"/>
        <item x="897"/>
        <item x="98"/>
        <item x="246"/>
        <item x="646"/>
        <item x="442"/>
        <item x="626"/>
        <item x="314"/>
        <item x="362"/>
        <item x="659"/>
        <item x="706"/>
        <item x="40"/>
        <item x="913"/>
        <item x="283"/>
        <item x="234"/>
        <item x="842"/>
        <item x="25"/>
        <item x="153"/>
        <item x="764"/>
        <item x="928"/>
        <item x="378"/>
        <item x="773"/>
        <item x="433"/>
        <item x="506"/>
        <item x="277"/>
        <item x="888"/>
        <item x="394"/>
        <item x="747"/>
        <item x="168"/>
        <item x="252"/>
        <item x="924"/>
        <item x="571"/>
        <item x="483"/>
        <item x="718"/>
        <item x="570"/>
        <item x="361"/>
        <item x="145"/>
        <item x="66"/>
        <item x="615"/>
        <item x="641"/>
        <item x="508"/>
        <item x="304"/>
        <item x="884"/>
        <item x="84"/>
        <item x="126"/>
        <item x="430"/>
        <item x="59"/>
        <item x="267"/>
        <item x="650"/>
        <item x="696"/>
        <item x="298"/>
        <item x="877"/>
        <item x="794"/>
        <item x="96"/>
        <item x="852"/>
        <item x="972"/>
        <item x="480"/>
        <item x="360"/>
        <item x="717"/>
        <item x="942"/>
        <item x="424"/>
        <item x="977"/>
        <item x="193"/>
        <item x="185"/>
        <item x="752"/>
        <item x="643"/>
        <item x="365"/>
        <item x="311"/>
        <item x="235"/>
        <item x="85"/>
        <item x="954"/>
        <item x="255"/>
        <item x="814"/>
        <item x="400"/>
        <item x="828"/>
        <item x="355"/>
        <item x="264"/>
        <item x="196"/>
        <item x="810"/>
        <item x="87"/>
        <item x="606"/>
        <item x="589"/>
        <item x="80"/>
        <item x="909"/>
        <item x="782"/>
        <item x="335"/>
        <item x="759"/>
        <item x="863"/>
        <item x="259"/>
        <item x="121"/>
        <item x="286"/>
        <item x="739"/>
        <item x="536"/>
        <item x="692"/>
        <item x="172"/>
        <item x="906"/>
        <item x="256"/>
        <item x="617"/>
        <item x="860"/>
        <item x="943"/>
        <item x="547"/>
        <item x="953"/>
        <item x="532"/>
        <item x="290"/>
        <item x="22"/>
        <item x="971"/>
        <item x="140"/>
        <item x="582"/>
        <item x="354"/>
        <item x="983"/>
        <item x="47"/>
        <item x="372"/>
        <item x="225"/>
        <item x="476"/>
        <item x="988"/>
        <item x="230"/>
        <item x="307"/>
        <item x="629"/>
        <item x="157"/>
        <item x="517"/>
        <item x="356"/>
        <item x="707"/>
        <item x="722"/>
        <item x="291"/>
        <item x="62"/>
        <item x="388"/>
        <item x="359"/>
        <item x="239"/>
        <item x="788"/>
        <item x="855"/>
        <item x="132"/>
        <item x="728"/>
        <item x="428"/>
        <item x="122"/>
        <item x="319"/>
        <item x="576"/>
        <item x="756"/>
        <item x="133"/>
        <item x="152"/>
        <item x="974"/>
        <item x="340"/>
        <item x="127"/>
        <item x="303"/>
        <item x="504"/>
        <item x="681"/>
        <item x="482"/>
        <item x="68"/>
        <item x="867"/>
        <item x="60"/>
        <item x="619"/>
        <item x="478"/>
        <item x="966"/>
        <item x="65"/>
        <item x="812"/>
        <item x="451"/>
        <item x="652"/>
        <item x="776"/>
        <item x="313"/>
        <item x="265"/>
        <item x="833"/>
        <item x="793"/>
        <item x="611"/>
        <item x="237"/>
        <item x="397"/>
        <item x="952"/>
        <item x="236"/>
        <item x="697"/>
        <item x="591"/>
        <item x="920"/>
        <item x="612"/>
        <item x="832"/>
        <item x="443"/>
        <item x="978"/>
        <item x="514"/>
        <item x="455"/>
        <item x="700"/>
        <item x="317"/>
        <item x="683"/>
        <item x="214"/>
        <item x="223"/>
        <item x="886"/>
        <item x="621"/>
        <item x="835"/>
        <item x="713"/>
        <item x="306"/>
        <item x="973"/>
        <item x="703"/>
        <item x="958"/>
        <item x="631"/>
        <item x="414"/>
        <item x="97"/>
        <item x="957"/>
        <item x="279"/>
        <item x="456"/>
        <item x="552"/>
        <item x="637"/>
        <item x="991"/>
        <item x="565"/>
        <item x="673"/>
        <item x="640"/>
        <item x="851"/>
        <item x="368"/>
        <item x="341"/>
        <item x="926"/>
        <item x="574"/>
        <item x="123"/>
        <item x="170"/>
        <item x="623"/>
        <item x="445"/>
        <item x="94"/>
        <item x="743"/>
        <item x="77"/>
        <item x="513"/>
        <item x="824"/>
        <item x="761"/>
        <item x="426"/>
        <item x="748"/>
        <item x="409"/>
        <item x="502"/>
        <item x="48"/>
        <item x="51"/>
        <item x="161"/>
        <item x="632"/>
        <item x="137"/>
        <item x="427"/>
        <item x="136"/>
        <item x="379"/>
        <item x="450"/>
        <item x="281"/>
        <item x="597"/>
        <item x="429"/>
        <item x="802"/>
        <item x="405"/>
        <item x="607"/>
        <item x="801"/>
        <item x="789"/>
        <item x="61"/>
        <item x="174"/>
        <item x="142"/>
        <item x="14"/>
        <item x="331"/>
        <item x="226"/>
        <item x="343"/>
        <item x="569"/>
        <item x="432"/>
        <item x="392"/>
        <item x="709"/>
        <item x="559"/>
        <item x="184"/>
        <item x="108"/>
        <item x="664"/>
        <item x="408"/>
        <item x="254"/>
        <item x="677"/>
        <item x="800"/>
        <item x="35"/>
        <item x="491"/>
        <item x="344"/>
        <item x="834"/>
        <item x="633"/>
        <item x="30"/>
        <item x="961"/>
        <item x="668"/>
        <item x="6"/>
        <item x="736"/>
        <item x="384"/>
        <item x="691"/>
        <item x="146"/>
        <item x="932"/>
        <item x="889"/>
        <item x="543"/>
        <item x="746"/>
        <item x="816"/>
        <item x="675"/>
        <item x="399"/>
        <item x="981"/>
        <item x="848"/>
        <item x="250"/>
        <item x="176"/>
        <item x="949"/>
        <item x="148"/>
        <item x="10"/>
        <item x="373"/>
        <item x="868"/>
        <item x="755"/>
        <item x="636"/>
        <item x="69"/>
        <item x="785"/>
        <item x="118"/>
        <item x="734"/>
        <item x="163"/>
        <item x="371"/>
        <item x="581"/>
        <item x="731"/>
        <item x="885"/>
        <item x="274"/>
        <item x="676"/>
        <item x="940"/>
        <item x="268"/>
        <item x="765"/>
        <item x="512"/>
        <item x="601"/>
        <item x="853"/>
        <item x="937"/>
        <item x="620"/>
        <item x="200"/>
        <item x="187"/>
        <item x="721"/>
        <item x="470"/>
        <item x="390"/>
        <item x="882"/>
        <item x="499"/>
        <item x="434"/>
        <item x="364"/>
        <item x="403"/>
        <item x="251"/>
        <item x="670"/>
        <item x="261"/>
        <item x="210"/>
        <item x="497"/>
        <item x="263"/>
        <item x="767"/>
        <item x="270"/>
        <item x="222"/>
        <item x="791"/>
        <item x="45"/>
        <item x="768"/>
        <item x="288"/>
        <item x="20"/>
        <item x="719"/>
        <item x="583"/>
        <item x="39"/>
        <item x="551"/>
        <item x="415"/>
        <item x="380"/>
        <item x="454"/>
        <item x="220"/>
        <item x="473"/>
        <item x="503"/>
        <item x="36"/>
        <item x="111"/>
        <item x="555"/>
        <item x="535"/>
        <item x="105"/>
        <item x="463"/>
        <item x="847"/>
        <item x="701"/>
        <item x="524"/>
        <item x="125"/>
        <item x="741"/>
        <item x="846"/>
        <item x="690"/>
        <item x="970"/>
        <item x="370"/>
        <item x="43"/>
        <item x="695"/>
        <item x="669"/>
        <item x="962"/>
        <item x="262"/>
        <item x="485"/>
        <item x="293"/>
        <item x="324"/>
        <item x="895"/>
        <item x="489"/>
        <item x="192"/>
        <item x="181"/>
        <item x="219"/>
        <item x="986"/>
        <item x="260"/>
        <item x="369"/>
        <item x="107"/>
        <item x="24"/>
        <item x="54"/>
        <item x="916"/>
        <item x="488"/>
        <item x="610"/>
        <item x="845"/>
        <item x="484"/>
        <item x="208"/>
        <item x="467"/>
        <item x="347"/>
        <item x="872"/>
        <item x="595"/>
        <item x="75"/>
        <item x="173"/>
        <item x="778"/>
        <item x="861"/>
        <item x="119"/>
        <item x="188"/>
        <item x="468"/>
        <item x="762"/>
        <item x="723"/>
        <item x="588"/>
        <item x="410"/>
        <item x="730"/>
        <item x="586"/>
        <item x="326"/>
        <item x="34"/>
        <item x="115"/>
        <item x="352"/>
        <item x="201"/>
        <item x="458"/>
        <item x="199"/>
        <item x="985"/>
        <item x="53"/>
        <item x="389"/>
        <item x="301"/>
        <item x="645"/>
        <item x="648"/>
        <item x="472"/>
        <item x="720"/>
        <item x="545"/>
        <item x="638"/>
        <item x="561"/>
        <item x="724"/>
        <item x="334"/>
        <item x="461"/>
        <item x="878"/>
        <item x="841"/>
        <item x="990"/>
        <item x="505"/>
        <item x="698"/>
        <item x="166"/>
        <item x="941"/>
        <item x="358"/>
        <item x="754"/>
        <item x="963"/>
        <item x="689"/>
        <item x="117"/>
        <item x="128"/>
        <item x="139"/>
        <item x="784"/>
        <item x="73"/>
        <item x="93"/>
        <item x="758"/>
        <item x="328"/>
        <item x="440"/>
        <item x="575"/>
        <item x="227"/>
        <item x="289"/>
        <item x="825"/>
        <item x="337"/>
        <item x="639"/>
        <item x="679"/>
        <item x="138"/>
        <item x="815"/>
        <item x="534"/>
        <item x="775"/>
        <item x="672"/>
        <item x="391"/>
        <item x="287"/>
        <item x="663"/>
        <item x="693"/>
        <item x="2"/>
        <item x="541"/>
        <item x="465"/>
        <item x="233"/>
        <item x="826"/>
        <item x="950"/>
        <item x="462"/>
        <item x="453"/>
        <item x="50"/>
        <item x="266"/>
        <item x="186"/>
        <item x="322"/>
        <item x="839"/>
        <item x="572"/>
        <item x="466"/>
        <item x="131"/>
        <item x="42"/>
        <item x="215"/>
        <item x="447"/>
        <item x="688"/>
        <item x="770"/>
        <item x="894"/>
        <item x="416"/>
        <item x="320"/>
        <item x="560"/>
        <item x="712"/>
        <item x="901"/>
        <item x="989"/>
        <item x="644"/>
        <item x="699"/>
        <item x="471"/>
        <item x="587"/>
        <item x="787"/>
        <item x="481"/>
        <item x="573"/>
        <item x="750"/>
        <item x="862"/>
        <item x="280"/>
        <item x="786"/>
        <item x="898"/>
        <item x="515"/>
        <item x="642"/>
        <item x="579"/>
        <item x="537"/>
        <item x="374"/>
        <item x="493"/>
        <item x="564"/>
        <item x="849"/>
        <item x="538"/>
        <item x="113"/>
        <item x="896"/>
        <item x="431"/>
        <item x="774"/>
        <item x="557"/>
        <item x="109"/>
        <item x="103"/>
        <item x="590"/>
        <item x="183"/>
        <item x="900"/>
        <item x="206"/>
        <item x="244"/>
        <item x="507"/>
        <item x="523"/>
        <item x="927"/>
        <item x="549"/>
        <item x="840"/>
        <item x="99"/>
        <item x="346"/>
        <item x="52"/>
        <item x="907"/>
        <item x="726"/>
        <item x="881"/>
        <item x="49"/>
        <item x="492"/>
        <item x="55"/>
        <item x="871"/>
        <item x="956"/>
        <item x="622"/>
        <item x="665"/>
        <item x="16"/>
        <item x="357"/>
        <item x="56"/>
        <item x="946"/>
        <item x="975"/>
        <item x="751"/>
        <item x="348"/>
        <item x="922"/>
        <item x="285"/>
        <item x="657"/>
        <item x="63"/>
        <item x="112"/>
        <item x="143"/>
        <item x="78"/>
        <item x="421"/>
        <item x="740"/>
        <item x="843"/>
        <item x="448"/>
        <item x="822"/>
        <item x="806"/>
        <item x="797"/>
        <item x="141"/>
        <item x="879"/>
        <item x="968"/>
        <item x="5"/>
        <item x="960"/>
        <item x="90"/>
        <item x="859"/>
        <item x="393"/>
        <item x="915"/>
        <item x="336"/>
        <item x="821"/>
        <item x="29"/>
        <item x="510"/>
        <item x="309"/>
        <item x="4"/>
        <item x="658"/>
        <item x="742"/>
        <item x="366"/>
        <item x="179"/>
        <item x="779"/>
        <item x="908"/>
        <item x="566"/>
        <item x="880"/>
        <item x="533"/>
        <item x="530"/>
        <item x="149"/>
        <item x="26"/>
        <item x="965"/>
        <item x="738"/>
        <item x="599"/>
        <item x="238"/>
        <item x="474"/>
        <item x="325"/>
        <item x="792"/>
        <item x="106"/>
        <item x="258"/>
        <item x="295"/>
        <item x="798"/>
        <item x="57"/>
        <item x="600"/>
        <item x="694"/>
        <item x="874"/>
        <item x="435"/>
        <item x="857"/>
        <item x="376"/>
        <item x="790"/>
        <item x="464"/>
        <item x="783"/>
        <item x="284"/>
        <item x="869"/>
        <item x="682"/>
        <item x="649"/>
        <item x="475"/>
        <item x="387"/>
        <item x="19"/>
        <item x="9"/>
        <item x="232"/>
        <item x="349"/>
        <item x="150"/>
        <item x="89"/>
        <item x="613"/>
        <item x="964"/>
        <item x="944"/>
        <item x="525"/>
        <item x="837"/>
        <item x="278"/>
        <item x="702"/>
        <item x="733"/>
        <item x="685"/>
        <item x="28"/>
        <item x="228"/>
        <item x="602"/>
        <item x="542"/>
        <item x="23"/>
        <item x="781"/>
        <item x="269"/>
        <item x="38"/>
        <item x="656"/>
        <item x="189"/>
        <item x="769"/>
        <item x="803"/>
        <item x="74"/>
        <item x="350"/>
        <item x="33"/>
        <item x="177"/>
        <item x="704"/>
        <item x="609"/>
        <item x="584"/>
        <item x="680"/>
        <item x="578"/>
        <item x="819"/>
        <item x="593"/>
        <item x="498"/>
        <item x="418"/>
        <item x="83"/>
        <item x="316"/>
        <item x="212"/>
        <item x="500"/>
        <item x="820"/>
        <item x="231"/>
        <item x="182"/>
        <item x="585"/>
        <item x="883"/>
        <item x="614"/>
        <item x="807"/>
        <item x="858"/>
        <item x="11"/>
        <item x="780"/>
        <item x="221"/>
        <item x="979"/>
        <item x="44"/>
        <item x="982"/>
        <item x="160"/>
        <item x="299"/>
        <item x="209"/>
        <item x="327"/>
        <item x="292"/>
        <item x="407"/>
        <item x="395"/>
        <item x="91"/>
        <item x="548"/>
        <item x="945"/>
        <item x="732"/>
        <item x="375"/>
        <item x="154"/>
        <item x="155"/>
        <item x="242"/>
        <item x="243"/>
        <item x="213"/>
        <item x="469"/>
        <item x="520"/>
        <item x="420"/>
        <item x="459"/>
        <item x="398"/>
        <item x="272"/>
        <item x="955"/>
        <item x="914"/>
        <item x="308"/>
        <item x="873"/>
        <item x="870"/>
        <item x="46"/>
        <item x="396"/>
        <item x="0"/>
        <item x="933"/>
        <item x="271"/>
        <item x="297"/>
        <item x="678"/>
        <item x="546"/>
        <item x="687"/>
        <item x="417"/>
        <item x="158"/>
        <item x="931"/>
        <item x="891"/>
        <item x="947"/>
        <item x="850"/>
        <item x="330"/>
        <item x="72"/>
        <item x="169"/>
        <item x="854"/>
        <item x="951"/>
        <item x="624"/>
        <item x="921"/>
        <item x="558"/>
        <item x="381"/>
        <item x="198"/>
        <item x="342"/>
        <item x="616"/>
        <item x="245"/>
        <item x="460"/>
        <item x="79"/>
        <item x="302"/>
        <item x="159"/>
        <item x="332"/>
        <item x="905"/>
        <item x="178"/>
        <item x="745"/>
        <item x="190"/>
        <item x="151"/>
        <item x="477"/>
        <item x="385"/>
        <item x="910"/>
        <item x="92"/>
        <item x="323"/>
        <item x="134"/>
        <item x="205"/>
        <item x="401"/>
        <item x="13"/>
        <item x="382"/>
        <item x="714"/>
        <item x="592"/>
        <item x="890"/>
        <item x="654"/>
        <item x="487"/>
        <item x="705"/>
        <item x="156"/>
        <item x="333"/>
        <item x="64"/>
        <item x="422"/>
        <item x="674"/>
        <item x="838"/>
        <item x="383"/>
        <item x="948"/>
        <item x="655"/>
        <item x="479"/>
        <item x="805"/>
        <item x="275"/>
        <item x="218"/>
        <item x="934"/>
        <item x="753"/>
        <item x="345"/>
        <item x="7"/>
        <item x="544"/>
        <item x="114"/>
        <item x="216"/>
        <item x="305"/>
        <item x="976"/>
        <item x="32"/>
        <item x="936"/>
        <item x="501"/>
        <item x="321"/>
        <item x="165"/>
        <item x="809"/>
        <item x="495"/>
        <item x="830"/>
        <item x="892"/>
        <item x="556"/>
        <item x="88"/>
        <item x="509"/>
        <item x="727"/>
        <item x="312"/>
        <item x="377"/>
        <item x="661"/>
        <item x="844"/>
        <item x="310"/>
        <item x="804"/>
        <item x="224"/>
        <item x="598"/>
        <item x="211"/>
        <item x="795"/>
        <item x="744"/>
        <item x="404"/>
        <item x="518"/>
        <item x="827"/>
        <item x="58"/>
        <item x="864"/>
        <item x="662"/>
        <item x="618"/>
        <item x="86"/>
        <item x="21"/>
        <item x="729"/>
        <item x="929"/>
        <item x="577"/>
        <item x="984"/>
        <item x="667"/>
        <item x="411"/>
        <item x="628"/>
        <item x="865"/>
        <item x="660"/>
        <item x="425"/>
        <item x="240"/>
        <item x="959"/>
        <item x="386"/>
        <item x="608"/>
        <item x="935"/>
        <item x="41"/>
        <item x="735"/>
        <item x="17"/>
        <item x="519"/>
        <item x="367"/>
        <item x="823"/>
        <item x="438"/>
        <item x="162"/>
        <item x="8"/>
        <item x="554"/>
        <item x="540"/>
        <item x="217"/>
        <item x="980"/>
        <item x="725"/>
        <item x="711"/>
        <item x="204"/>
        <item x="562"/>
        <item x="777"/>
        <item x="526"/>
        <item x="716"/>
        <item x="419"/>
        <item x="95"/>
        <item x="130"/>
        <item x="197"/>
        <item x="904"/>
        <item x="402"/>
        <item x="528"/>
        <item x="437"/>
        <item x="102"/>
        <item x="449"/>
        <item x="563"/>
        <item x="248"/>
        <item x="276"/>
        <item x="836"/>
        <item x="229"/>
        <item x="899"/>
        <item x="856"/>
        <item x="257"/>
        <item x="144"/>
        <item x="522"/>
        <item x="684"/>
        <item x="902"/>
        <item x="406"/>
        <item x="444"/>
        <item x="164"/>
        <item x="749"/>
        <item x="625"/>
        <item x="363"/>
        <item x="167"/>
        <item x="413"/>
        <item x="605"/>
        <item x="496"/>
        <item x="760"/>
        <item x="651"/>
        <item x="329"/>
        <item x="116"/>
        <item x="521"/>
        <item x="603"/>
        <item x="529"/>
        <item x="135"/>
        <item x="938"/>
        <item x="195"/>
        <item x="539"/>
        <item x="71"/>
        <item x="604"/>
        <item x="300"/>
        <item x="100"/>
        <item x="627"/>
        <item x="917"/>
        <item x="457"/>
        <item x="766"/>
        <item x="967"/>
        <item x="580"/>
        <item x="31"/>
        <item x="76"/>
        <item x="439"/>
        <item x="939"/>
        <item x="596"/>
        <item x="630"/>
        <item x="708"/>
        <item x="490"/>
        <item x="829"/>
        <item x="436"/>
        <item x="930"/>
        <item x="531"/>
        <item x="568"/>
        <item x="686"/>
        <item x="715"/>
        <item x="104"/>
        <item x="191"/>
        <item x="18"/>
        <item x="553"/>
        <item x="110"/>
        <item x="925"/>
        <item x="919"/>
        <item x="1"/>
        <item x="180"/>
        <item x="81"/>
        <item x="241"/>
        <item x="101"/>
        <item x="67"/>
        <item x="511"/>
        <item x="339"/>
        <item x="516"/>
        <item x="203"/>
        <item x="550"/>
        <item x="147"/>
        <item x="737"/>
        <item x="887"/>
        <item x="653"/>
        <item x="527"/>
        <item x="273"/>
        <item x="818"/>
        <item x="903"/>
        <item x="253"/>
        <item x="207"/>
        <item x="318"/>
        <item x="171"/>
        <item x="594"/>
        <item x="15"/>
        <item x="875"/>
        <item x="70"/>
        <item x="893"/>
        <item x="194"/>
        <item x="247"/>
        <item x="918"/>
        <item x="671"/>
        <item x="647"/>
        <item t="default"/>
      </items>
    </pivotField>
    <pivotField axis="axisRow" showAll="0" sortType="descending">
      <items count="3">
        <item x="1"/>
        <item x="0"/>
        <item t="default"/>
      </items>
    </pivotField>
    <pivotField showAll="0">
      <items count="43">
        <item x="38"/>
        <item x="24"/>
        <item x="16"/>
        <item x="27"/>
        <item x="39"/>
        <item x="26"/>
        <item x="5"/>
        <item x="35"/>
        <item x="41"/>
        <item x="22"/>
        <item x="37"/>
        <item x="28"/>
        <item x="32"/>
        <item x="31"/>
        <item x="17"/>
        <item x="25"/>
        <item x="18"/>
        <item x="33"/>
        <item x="2"/>
        <item x="11"/>
        <item x="6"/>
        <item x="20"/>
        <item x="10"/>
        <item x="4"/>
        <item x="40"/>
        <item x="30"/>
        <item x="21"/>
        <item x="19"/>
        <item x="36"/>
        <item x="34"/>
        <item x="9"/>
        <item x="14"/>
        <item x="0"/>
        <item x="1"/>
        <item x="15"/>
        <item x="7"/>
        <item x="12"/>
        <item x="8"/>
        <item x="29"/>
        <item x="3"/>
        <item x="23"/>
        <item x="13"/>
        <item t="default"/>
      </items>
    </pivotField>
    <pivotField axis="axisPage" multipleItemSelectionAllowed="1" showAll="0">
      <items count="23">
        <item x="8"/>
        <item x="1"/>
        <item x="12"/>
        <item x="15"/>
        <item x="19"/>
        <item x="17"/>
        <item x="16"/>
        <item x="2"/>
        <item x="11"/>
        <item x="4"/>
        <item x="0"/>
        <item x="10"/>
        <item x="20"/>
        <item x="3"/>
        <item x="9"/>
        <item x="14"/>
        <item x="18"/>
        <item x="13"/>
        <item x="21"/>
        <item x="6"/>
        <item x="7"/>
        <item x="5"/>
        <item t="default"/>
      </items>
    </pivotField>
    <pivotField showAll="0">
      <items count="17">
        <item x="14"/>
        <item x="13"/>
        <item x="3"/>
        <item x="1"/>
        <item x="12"/>
        <item x="2"/>
        <item x="8"/>
        <item x="4"/>
        <item x="0"/>
        <item x="7"/>
        <item x="10"/>
        <item x="15"/>
        <item x="9"/>
        <item x="11"/>
        <item x="6"/>
        <item x="5"/>
        <item t="default"/>
      </items>
    </pivotField>
    <pivotField showAll="0">
      <items count="12">
        <item x="5"/>
        <item x="0"/>
        <item x="8"/>
        <item x="6"/>
        <item x="9"/>
        <item x="2"/>
        <item x="10"/>
        <item x="1"/>
        <item x="4"/>
        <item x="7"/>
        <item x="3"/>
        <item t="default"/>
      </items>
    </pivotField>
    <pivotField showAll="0"/>
    <pivotField showAll="0"/>
    <pivotField showAll="0"/>
    <pivotField showAll="0"/>
    <pivotField showAll="0">
      <items count="83">
        <item x="12"/>
        <item x="35"/>
        <item x="20"/>
        <item x="23"/>
        <item x="37"/>
        <item x="16"/>
        <item x="49"/>
        <item x="24"/>
        <item x="15"/>
        <item x="11"/>
        <item x="10"/>
        <item x="2"/>
        <item x="29"/>
        <item x="38"/>
        <item x="26"/>
        <item x="14"/>
        <item x="6"/>
        <item x="7"/>
        <item x="50"/>
        <item x="28"/>
        <item x="25"/>
        <item x="22"/>
        <item x="42"/>
        <item x="4"/>
        <item x="1"/>
        <item x="27"/>
        <item x="8"/>
        <item x="13"/>
        <item x="39"/>
        <item x="19"/>
        <item x="3"/>
        <item x="52"/>
        <item x="41"/>
        <item x="9"/>
        <item x="5"/>
        <item x="46"/>
        <item x="32"/>
        <item x="36"/>
        <item x="65"/>
        <item x="56"/>
        <item x="17"/>
        <item x="54"/>
        <item x="76"/>
        <item x="72"/>
        <item x="75"/>
        <item x="30"/>
        <item x="73"/>
        <item x="77"/>
        <item x="63"/>
        <item x="51"/>
        <item x="80"/>
        <item x="55"/>
        <item x="66"/>
        <item x="40"/>
        <item x="62"/>
        <item x="60"/>
        <item x="74"/>
        <item x="57"/>
        <item x="64"/>
        <item x="45"/>
        <item x="79"/>
        <item x="47"/>
        <item x="34"/>
        <item x="21"/>
        <item x="44"/>
        <item x="70"/>
        <item x="67"/>
        <item x="58"/>
        <item x="48"/>
        <item x="31"/>
        <item x="81"/>
        <item x="71"/>
        <item x="68"/>
        <item x="18"/>
        <item x="43"/>
        <item x="69"/>
        <item x="59"/>
        <item x="33"/>
        <item x="53"/>
        <item x="78"/>
        <item x="61"/>
        <item x="0"/>
        <item t="default"/>
      </items>
    </pivotField>
    <pivotField showAll="0">
      <items count="5">
        <item x="3"/>
        <item x="2"/>
        <item x="0"/>
        <item x="1"/>
        <item t="default"/>
      </items>
    </pivotField>
    <pivotField showAll="0"/>
    <pivotField showAll="0"/>
    <pivotField axis="axisCol" dataField="1" showAll="0">
      <items count="3">
        <item x="1"/>
        <item x="0"/>
        <item t="default"/>
      </items>
    </pivotField>
    <pivotField showAll="0">
      <items count="21">
        <item x="3"/>
        <item x="10"/>
        <item x="4"/>
        <item x="6"/>
        <item x="7"/>
        <item x="0"/>
        <item x="1"/>
        <item x="12"/>
        <item x="11"/>
        <item x="5"/>
        <item x="13"/>
        <item x="9"/>
        <item x="14"/>
        <item x="15"/>
        <item x="8"/>
        <item x="2"/>
        <item x="16"/>
        <item x="19"/>
        <item x="17"/>
        <item x="18"/>
        <item t="default"/>
      </items>
    </pivotField>
  </pivotFields>
  <rowFields count="1">
    <field x="2"/>
  </rowFields>
  <rowItems count="3">
    <i>
      <x/>
    </i>
    <i>
      <x v="1"/>
    </i>
    <i t="grand">
      <x/>
    </i>
  </rowItems>
  <colFields count="1">
    <field x="15"/>
  </colFields>
  <colItems count="3">
    <i>
      <x/>
    </i>
    <i>
      <x v="1"/>
    </i>
    <i t="grand">
      <x/>
    </i>
  </colItems>
  <pageFields count="1">
    <pageField fld="4" hier="-1"/>
  </pageFields>
  <dataFields count="1">
    <dataField name="Count of IF Condition" fld="15" subtotal="count" baseField="0" baseItem="0"/>
  </dataFields>
  <chartFormats count="6">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1" format="2" series="1">
      <pivotArea type="data" outline="0" fieldPosition="0">
        <references count="2">
          <reference field="4294967294" count="1" selected="0">
            <x v="0"/>
          </reference>
          <reference field="15" count="1" selected="0">
            <x v="0"/>
          </reference>
        </references>
      </pivotArea>
    </chartFormat>
    <chartFormat chart="1" format="3" series="1">
      <pivotArea type="data" outline="0" fieldPosition="0">
        <references count="2">
          <reference field="4294967294" count="1" selected="0">
            <x v="0"/>
          </reference>
          <reference field="15" count="1" selected="0">
            <x v="1"/>
          </reference>
        </references>
      </pivotArea>
    </chartFormat>
    <chartFormat chart="2" format="4" series="1">
      <pivotArea type="data" outline="0" fieldPosition="0">
        <references count="2">
          <reference field="4294967294" count="1" selected="0">
            <x v="0"/>
          </reference>
          <reference field="15" count="1" selected="0">
            <x v="0"/>
          </reference>
        </references>
      </pivotArea>
    </chartFormat>
    <chartFormat chart="2" format="5"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FE487E-9191-4C4C-A4F2-1058F976F25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2:F45" firstHeaderRow="1" firstDataRow="2" firstDataCol="1" rowPageCount="1" colPageCount="1"/>
  <pivotFields count="17">
    <pivotField showAll="0"/>
    <pivotField showAll="0">
      <items count="993">
        <item x="866"/>
        <item x="757"/>
        <item x="338"/>
        <item x="494"/>
        <item x="771"/>
        <item x="831"/>
        <item x="452"/>
        <item x="202"/>
        <item x="811"/>
        <item x="969"/>
        <item x="808"/>
        <item x="987"/>
        <item x="282"/>
        <item x="710"/>
        <item x="296"/>
        <item x="353"/>
        <item x="129"/>
        <item x="817"/>
        <item x="923"/>
        <item x="813"/>
        <item x="27"/>
        <item x="12"/>
        <item x="634"/>
        <item x="315"/>
        <item x="876"/>
        <item x="412"/>
        <item x="423"/>
        <item x="120"/>
        <item x="486"/>
        <item x="796"/>
        <item x="446"/>
        <item x="175"/>
        <item x="763"/>
        <item x="351"/>
        <item x="666"/>
        <item x="799"/>
        <item x="3"/>
        <item x="567"/>
        <item x="772"/>
        <item x="912"/>
        <item x="37"/>
        <item x="294"/>
        <item x="911"/>
        <item x="249"/>
        <item x="441"/>
        <item x="82"/>
        <item x="635"/>
        <item x="124"/>
        <item x="897"/>
        <item x="98"/>
        <item x="246"/>
        <item x="646"/>
        <item x="442"/>
        <item x="626"/>
        <item x="314"/>
        <item x="362"/>
        <item x="659"/>
        <item x="706"/>
        <item x="40"/>
        <item x="913"/>
        <item x="283"/>
        <item x="234"/>
        <item x="842"/>
        <item x="25"/>
        <item x="153"/>
        <item x="764"/>
        <item x="928"/>
        <item x="378"/>
        <item x="773"/>
        <item x="433"/>
        <item x="506"/>
        <item x="277"/>
        <item x="888"/>
        <item x="394"/>
        <item x="747"/>
        <item x="168"/>
        <item x="252"/>
        <item x="924"/>
        <item x="571"/>
        <item x="483"/>
        <item x="718"/>
        <item x="570"/>
        <item x="361"/>
        <item x="145"/>
        <item x="66"/>
        <item x="615"/>
        <item x="641"/>
        <item x="508"/>
        <item x="304"/>
        <item x="884"/>
        <item x="84"/>
        <item x="126"/>
        <item x="430"/>
        <item x="59"/>
        <item x="267"/>
        <item x="650"/>
        <item x="696"/>
        <item x="298"/>
        <item x="877"/>
        <item x="794"/>
        <item x="96"/>
        <item x="852"/>
        <item x="972"/>
        <item x="480"/>
        <item x="360"/>
        <item x="717"/>
        <item x="942"/>
        <item x="424"/>
        <item x="977"/>
        <item x="193"/>
        <item x="185"/>
        <item x="752"/>
        <item x="643"/>
        <item x="365"/>
        <item x="311"/>
        <item x="235"/>
        <item x="85"/>
        <item x="954"/>
        <item x="255"/>
        <item x="814"/>
        <item x="400"/>
        <item x="828"/>
        <item x="355"/>
        <item x="264"/>
        <item x="196"/>
        <item x="810"/>
        <item x="87"/>
        <item x="606"/>
        <item x="589"/>
        <item x="80"/>
        <item x="909"/>
        <item x="782"/>
        <item x="335"/>
        <item x="759"/>
        <item x="863"/>
        <item x="259"/>
        <item x="121"/>
        <item x="286"/>
        <item x="739"/>
        <item x="536"/>
        <item x="692"/>
        <item x="172"/>
        <item x="906"/>
        <item x="256"/>
        <item x="617"/>
        <item x="860"/>
        <item x="943"/>
        <item x="547"/>
        <item x="953"/>
        <item x="532"/>
        <item x="290"/>
        <item x="22"/>
        <item x="971"/>
        <item x="140"/>
        <item x="582"/>
        <item x="354"/>
        <item x="983"/>
        <item x="47"/>
        <item x="372"/>
        <item x="225"/>
        <item x="476"/>
        <item x="988"/>
        <item x="230"/>
        <item x="307"/>
        <item x="629"/>
        <item x="157"/>
        <item x="517"/>
        <item x="356"/>
        <item x="707"/>
        <item x="722"/>
        <item x="291"/>
        <item x="62"/>
        <item x="388"/>
        <item x="359"/>
        <item x="239"/>
        <item x="788"/>
        <item x="855"/>
        <item x="132"/>
        <item x="728"/>
        <item x="428"/>
        <item x="122"/>
        <item x="319"/>
        <item x="576"/>
        <item x="756"/>
        <item x="133"/>
        <item x="152"/>
        <item x="974"/>
        <item x="340"/>
        <item x="127"/>
        <item x="303"/>
        <item x="504"/>
        <item x="681"/>
        <item x="482"/>
        <item x="68"/>
        <item x="867"/>
        <item x="60"/>
        <item x="619"/>
        <item x="478"/>
        <item x="966"/>
        <item x="65"/>
        <item x="812"/>
        <item x="451"/>
        <item x="652"/>
        <item x="776"/>
        <item x="313"/>
        <item x="265"/>
        <item x="833"/>
        <item x="793"/>
        <item x="611"/>
        <item x="237"/>
        <item x="397"/>
        <item x="952"/>
        <item x="236"/>
        <item x="697"/>
        <item x="591"/>
        <item x="920"/>
        <item x="612"/>
        <item x="832"/>
        <item x="443"/>
        <item x="978"/>
        <item x="514"/>
        <item x="455"/>
        <item x="700"/>
        <item x="317"/>
        <item x="683"/>
        <item x="214"/>
        <item x="223"/>
        <item x="886"/>
        <item x="621"/>
        <item x="835"/>
        <item x="713"/>
        <item x="306"/>
        <item x="973"/>
        <item x="703"/>
        <item x="958"/>
        <item x="631"/>
        <item x="414"/>
        <item x="97"/>
        <item x="957"/>
        <item x="279"/>
        <item x="456"/>
        <item x="552"/>
        <item x="637"/>
        <item x="991"/>
        <item x="565"/>
        <item x="673"/>
        <item x="640"/>
        <item x="851"/>
        <item x="368"/>
        <item x="341"/>
        <item x="926"/>
        <item x="574"/>
        <item x="123"/>
        <item x="170"/>
        <item x="623"/>
        <item x="445"/>
        <item x="94"/>
        <item x="743"/>
        <item x="77"/>
        <item x="513"/>
        <item x="824"/>
        <item x="761"/>
        <item x="426"/>
        <item x="748"/>
        <item x="409"/>
        <item x="502"/>
        <item x="48"/>
        <item x="51"/>
        <item x="161"/>
        <item x="632"/>
        <item x="137"/>
        <item x="427"/>
        <item x="136"/>
        <item x="379"/>
        <item x="450"/>
        <item x="281"/>
        <item x="597"/>
        <item x="429"/>
        <item x="802"/>
        <item x="405"/>
        <item x="607"/>
        <item x="801"/>
        <item x="789"/>
        <item x="61"/>
        <item x="174"/>
        <item x="142"/>
        <item x="14"/>
        <item x="331"/>
        <item x="226"/>
        <item x="343"/>
        <item x="569"/>
        <item x="432"/>
        <item x="392"/>
        <item x="709"/>
        <item x="559"/>
        <item x="184"/>
        <item x="108"/>
        <item x="664"/>
        <item x="408"/>
        <item x="254"/>
        <item x="677"/>
        <item x="800"/>
        <item x="35"/>
        <item x="491"/>
        <item x="344"/>
        <item x="834"/>
        <item x="633"/>
        <item x="30"/>
        <item x="961"/>
        <item x="668"/>
        <item x="6"/>
        <item x="736"/>
        <item x="384"/>
        <item x="691"/>
        <item x="146"/>
        <item x="932"/>
        <item x="889"/>
        <item x="543"/>
        <item x="746"/>
        <item x="816"/>
        <item x="675"/>
        <item x="399"/>
        <item x="981"/>
        <item x="848"/>
        <item x="250"/>
        <item x="176"/>
        <item x="949"/>
        <item x="148"/>
        <item x="10"/>
        <item x="373"/>
        <item x="868"/>
        <item x="755"/>
        <item x="636"/>
        <item x="69"/>
        <item x="785"/>
        <item x="118"/>
        <item x="734"/>
        <item x="163"/>
        <item x="371"/>
        <item x="581"/>
        <item x="731"/>
        <item x="885"/>
        <item x="274"/>
        <item x="676"/>
        <item x="940"/>
        <item x="268"/>
        <item x="765"/>
        <item x="512"/>
        <item x="601"/>
        <item x="853"/>
        <item x="937"/>
        <item x="620"/>
        <item x="200"/>
        <item x="187"/>
        <item x="721"/>
        <item x="470"/>
        <item x="390"/>
        <item x="882"/>
        <item x="499"/>
        <item x="434"/>
        <item x="364"/>
        <item x="403"/>
        <item x="251"/>
        <item x="670"/>
        <item x="261"/>
        <item x="210"/>
        <item x="497"/>
        <item x="263"/>
        <item x="767"/>
        <item x="270"/>
        <item x="222"/>
        <item x="791"/>
        <item x="45"/>
        <item x="768"/>
        <item x="288"/>
        <item x="20"/>
        <item x="719"/>
        <item x="583"/>
        <item x="39"/>
        <item x="551"/>
        <item x="415"/>
        <item x="380"/>
        <item x="454"/>
        <item x="220"/>
        <item x="473"/>
        <item x="503"/>
        <item x="36"/>
        <item x="111"/>
        <item x="555"/>
        <item x="535"/>
        <item x="105"/>
        <item x="463"/>
        <item x="847"/>
        <item x="701"/>
        <item x="524"/>
        <item x="125"/>
        <item x="741"/>
        <item x="846"/>
        <item x="690"/>
        <item x="970"/>
        <item x="370"/>
        <item x="43"/>
        <item x="695"/>
        <item x="669"/>
        <item x="962"/>
        <item x="262"/>
        <item x="485"/>
        <item x="293"/>
        <item x="324"/>
        <item x="895"/>
        <item x="489"/>
        <item x="192"/>
        <item x="181"/>
        <item x="219"/>
        <item x="986"/>
        <item x="260"/>
        <item x="369"/>
        <item x="107"/>
        <item x="24"/>
        <item x="54"/>
        <item x="916"/>
        <item x="488"/>
        <item x="610"/>
        <item x="845"/>
        <item x="484"/>
        <item x="208"/>
        <item x="467"/>
        <item x="347"/>
        <item x="872"/>
        <item x="595"/>
        <item x="75"/>
        <item x="173"/>
        <item x="778"/>
        <item x="861"/>
        <item x="119"/>
        <item x="188"/>
        <item x="468"/>
        <item x="762"/>
        <item x="723"/>
        <item x="588"/>
        <item x="410"/>
        <item x="730"/>
        <item x="586"/>
        <item x="326"/>
        <item x="34"/>
        <item x="115"/>
        <item x="352"/>
        <item x="201"/>
        <item x="458"/>
        <item x="199"/>
        <item x="985"/>
        <item x="53"/>
        <item x="389"/>
        <item x="301"/>
        <item x="645"/>
        <item x="648"/>
        <item x="472"/>
        <item x="720"/>
        <item x="545"/>
        <item x="638"/>
        <item x="561"/>
        <item x="724"/>
        <item x="334"/>
        <item x="461"/>
        <item x="878"/>
        <item x="841"/>
        <item x="990"/>
        <item x="505"/>
        <item x="698"/>
        <item x="166"/>
        <item x="941"/>
        <item x="358"/>
        <item x="754"/>
        <item x="963"/>
        <item x="689"/>
        <item x="117"/>
        <item x="128"/>
        <item x="139"/>
        <item x="784"/>
        <item x="73"/>
        <item x="93"/>
        <item x="758"/>
        <item x="328"/>
        <item x="440"/>
        <item x="575"/>
        <item x="227"/>
        <item x="289"/>
        <item x="825"/>
        <item x="337"/>
        <item x="639"/>
        <item x="679"/>
        <item x="138"/>
        <item x="815"/>
        <item x="534"/>
        <item x="775"/>
        <item x="672"/>
        <item x="391"/>
        <item x="287"/>
        <item x="663"/>
        <item x="693"/>
        <item x="2"/>
        <item x="541"/>
        <item x="465"/>
        <item x="233"/>
        <item x="826"/>
        <item x="950"/>
        <item x="462"/>
        <item x="453"/>
        <item x="50"/>
        <item x="266"/>
        <item x="186"/>
        <item x="322"/>
        <item x="839"/>
        <item x="572"/>
        <item x="466"/>
        <item x="131"/>
        <item x="42"/>
        <item x="215"/>
        <item x="447"/>
        <item x="688"/>
        <item x="770"/>
        <item x="894"/>
        <item x="416"/>
        <item x="320"/>
        <item x="560"/>
        <item x="712"/>
        <item x="901"/>
        <item x="989"/>
        <item x="644"/>
        <item x="699"/>
        <item x="471"/>
        <item x="587"/>
        <item x="787"/>
        <item x="481"/>
        <item x="573"/>
        <item x="750"/>
        <item x="862"/>
        <item x="280"/>
        <item x="786"/>
        <item x="898"/>
        <item x="515"/>
        <item x="642"/>
        <item x="579"/>
        <item x="537"/>
        <item x="374"/>
        <item x="493"/>
        <item x="564"/>
        <item x="849"/>
        <item x="538"/>
        <item x="113"/>
        <item x="896"/>
        <item x="431"/>
        <item x="774"/>
        <item x="557"/>
        <item x="109"/>
        <item x="103"/>
        <item x="590"/>
        <item x="183"/>
        <item x="900"/>
        <item x="206"/>
        <item x="244"/>
        <item x="507"/>
        <item x="523"/>
        <item x="927"/>
        <item x="549"/>
        <item x="840"/>
        <item x="99"/>
        <item x="346"/>
        <item x="52"/>
        <item x="907"/>
        <item x="726"/>
        <item x="881"/>
        <item x="49"/>
        <item x="492"/>
        <item x="55"/>
        <item x="871"/>
        <item x="956"/>
        <item x="622"/>
        <item x="665"/>
        <item x="16"/>
        <item x="357"/>
        <item x="56"/>
        <item x="946"/>
        <item x="975"/>
        <item x="751"/>
        <item x="348"/>
        <item x="922"/>
        <item x="285"/>
        <item x="657"/>
        <item x="63"/>
        <item x="112"/>
        <item x="143"/>
        <item x="78"/>
        <item x="421"/>
        <item x="740"/>
        <item x="843"/>
        <item x="448"/>
        <item x="822"/>
        <item x="806"/>
        <item x="797"/>
        <item x="141"/>
        <item x="879"/>
        <item x="968"/>
        <item x="5"/>
        <item x="960"/>
        <item x="90"/>
        <item x="859"/>
        <item x="393"/>
        <item x="915"/>
        <item x="336"/>
        <item x="821"/>
        <item x="29"/>
        <item x="510"/>
        <item x="309"/>
        <item x="4"/>
        <item x="658"/>
        <item x="742"/>
        <item x="366"/>
        <item x="179"/>
        <item x="779"/>
        <item x="908"/>
        <item x="566"/>
        <item x="880"/>
        <item x="533"/>
        <item x="530"/>
        <item x="149"/>
        <item x="26"/>
        <item x="965"/>
        <item x="738"/>
        <item x="599"/>
        <item x="238"/>
        <item x="474"/>
        <item x="325"/>
        <item x="792"/>
        <item x="106"/>
        <item x="258"/>
        <item x="295"/>
        <item x="798"/>
        <item x="57"/>
        <item x="600"/>
        <item x="694"/>
        <item x="874"/>
        <item x="435"/>
        <item x="857"/>
        <item x="376"/>
        <item x="790"/>
        <item x="464"/>
        <item x="783"/>
        <item x="284"/>
        <item x="869"/>
        <item x="682"/>
        <item x="649"/>
        <item x="475"/>
        <item x="387"/>
        <item x="19"/>
        <item x="9"/>
        <item x="232"/>
        <item x="349"/>
        <item x="150"/>
        <item x="89"/>
        <item x="613"/>
        <item x="964"/>
        <item x="944"/>
        <item x="525"/>
        <item x="837"/>
        <item x="278"/>
        <item x="702"/>
        <item x="733"/>
        <item x="685"/>
        <item x="28"/>
        <item x="228"/>
        <item x="602"/>
        <item x="542"/>
        <item x="23"/>
        <item x="781"/>
        <item x="269"/>
        <item x="38"/>
        <item x="656"/>
        <item x="189"/>
        <item x="769"/>
        <item x="803"/>
        <item x="74"/>
        <item x="350"/>
        <item x="33"/>
        <item x="177"/>
        <item x="704"/>
        <item x="609"/>
        <item x="584"/>
        <item x="680"/>
        <item x="578"/>
        <item x="819"/>
        <item x="593"/>
        <item x="498"/>
        <item x="418"/>
        <item x="83"/>
        <item x="316"/>
        <item x="212"/>
        <item x="500"/>
        <item x="820"/>
        <item x="231"/>
        <item x="182"/>
        <item x="585"/>
        <item x="883"/>
        <item x="614"/>
        <item x="807"/>
        <item x="858"/>
        <item x="11"/>
        <item x="780"/>
        <item x="221"/>
        <item x="979"/>
        <item x="44"/>
        <item x="982"/>
        <item x="160"/>
        <item x="299"/>
        <item x="209"/>
        <item x="327"/>
        <item x="292"/>
        <item x="407"/>
        <item x="395"/>
        <item x="91"/>
        <item x="548"/>
        <item x="945"/>
        <item x="732"/>
        <item x="375"/>
        <item x="154"/>
        <item x="155"/>
        <item x="242"/>
        <item x="243"/>
        <item x="213"/>
        <item x="469"/>
        <item x="520"/>
        <item x="420"/>
        <item x="459"/>
        <item x="398"/>
        <item x="272"/>
        <item x="955"/>
        <item x="914"/>
        <item x="308"/>
        <item x="873"/>
        <item x="870"/>
        <item x="46"/>
        <item x="396"/>
        <item x="0"/>
        <item x="933"/>
        <item x="271"/>
        <item x="297"/>
        <item x="678"/>
        <item x="546"/>
        <item x="687"/>
        <item x="417"/>
        <item x="158"/>
        <item x="931"/>
        <item x="891"/>
        <item x="947"/>
        <item x="850"/>
        <item x="330"/>
        <item x="72"/>
        <item x="169"/>
        <item x="854"/>
        <item x="951"/>
        <item x="624"/>
        <item x="921"/>
        <item x="558"/>
        <item x="381"/>
        <item x="198"/>
        <item x="342"/>
        <item x="616"/>
        <item x="245"/>
        <item x="460"/>
        <item x="79"/>
        <item x="302"/>
        <item x="159"/>
        <item x="332"/>
        <item x="905"/>
        <item x="178"/>
        <item x="745"/>
        <item x="190"/>
        <item x="151"/>
        <item x="477"/>
        <item x="385"/>
        <item x="910"/>
        <item x="92"/>
        <item x="323"/>
        <item x="134"/>
        <item x="205"/>
        <item x="401"/>
        <item x="13"/>
        <item x="382"/>
        <item x="714"/>
        <item x="592"/>
        <item x="890"/>
        <item x="654"/>
        <item x="487"/>
        <item x="705"/>
        <item x="156"/>
        <item x="333"/>
        <item x="64"/>
        <item x="422"/>
        <item x="674"/>
        <item x="838"/>
        <item x="383"/>
        <item x="948"/>
        <item x="655"/>
        <item x="479"/>
        <item x="805"/>
        <item x="275"/>
        <item x="218"/>
        <item x="934"/>
        <item x="753"/>
        <item x="345"/>
        <item x="7"/>
        <item x="544"/>
        <item x="114"/>
        <item x="216"/>
        <item x="305"/>
        <item x="976"/>
        <item x="32"/>
        <item x="936"/>
        <item x="501"/>
        <item x="321"/>
        <item x="165"/>
        <item x="809"/>
        <item x="495"/>
        <item x="830"/>
        <item x="892"/>
        <item x="556"/>
        <item x="88"/>
        <item x="509"/>
        <item x="727"/>
        <item x="312"/>
        <item x="377"/>
        <item x="661"/>
        <item x="844"/>
        <item x="310"/>
        <item x="804"/>
        <item x="224"/>
        <item x="598"/>
        <item x="211"/>
        <item x="795"/>
        <item x="744"/>
        <item x="404"/>
        <item x="518"/>
        <item x="827"/>
        <item x="58"/>
        <item x="864"/>
        <item x="662"/>
        <item x="618"/>
        <item x="86"/>
        <item x="21"/>
        <item x="729"/>
        <item x="929"/>
        <item x="577"/>
        <item x="984"/>
        <item x="667"/>
        <item x="411"/>
        <item x="628"/>
        <item x="865"/>
        <item x="660"/>
        <item x="425"/>
        <item x="240"/>
        <item x="959"/>
        <item x="386"/>
        <item x="608"/>
        <item x="935"/>
        <item x="41"/>
        <item x="735"/>
        <item x="17"/>
        <item x="519"/>
        <item x="367"/>
        <item x="823"/>
        <item x="438"/>
        <item x="162"/>
        <item x="8"/>
        <item x="554"/>
        <item x="540"/>
        <item x="217"/>
        <item x="980"/>
        <item x="725"/>
        <item x="711"/>
        <item x="204"/>
        <item x="562"/>
        <item x="777"/>
        <item x="526"/>
        <item x="716"/>
        <item x="419"/>
        <item x="95"/>
        <item x="130"/>
        <item x="197"/>
        <item x="904"/>
        <item x="402"/>
        <item x="528"/>
        <item x="437"/>
        <item x="102"/>
        <item x="449"/>
        <item x="563"/>
        <item x="248"/>
        <item x="276"/>
        <item x="836"/>
        <item x="229"/>
        <item x="899"/>
        <item x="856"/>
        <item x="257"/>
        <item x="144"/>
        <item x="522"/>
        <item x="684"/>
        <item x="902"/>
        <item x="406"/>
        <item x="444"/>
        <item x="164"/>
        <item x="749"/>
        <item x="625"/>
        <item x="363"/>
        <item x="167"/>
        <item x="413"/>
        <item x="605"/>
        <item x="496"/>
        <item x="760"/>
        <item x="651"/>
        <item x="329"/>
        <item x="116"/>
        <item x="521"/>
        <item x="603"/>
        <item x="529"/>
        <item x="135"/>
        <item x="938"/>
        <item x="195"/>
        <item x="539"/>
        <item x="71"/>
        <item x="604"/>
        <item x="300"/>
        <item x="100"/>
        <item x="627"/>
        <item x="917"/>
        <item x="457"/>
        <item x="766"/>
        <item x="967"/>
        <item x="580"/>
        <item x="31"/>
        <item x="76"/>
        <item x="439"/>
        <item x="939"/>
        <item x="596"/>
        <item x="630"/>
        <item x="708"/>
        <item x="490"/>
        <item x="829"/>
        <item x="436"/>
        <item x="930"/>
        <item x="531"/>
        <item x="568"/>
        <item x="686"/>
        <item x="715"/>
        <item x="104"/>
        <item x="191"/>
        <item x="18"/>
        <item x="553"/>
        <item x="110"/>
        <item x="925"/>
        <item x="919"/>
        <item x="1"/>
        <item x="180"/>
        <item x="81"/>
        <item x="241"/>
        <item x="101"/>
        <item x="67"/>
        <item x="511"/>
        <item x="339"/>
        <item x="516"/>
        <item x="203"/>
        <item x="550"/>
        <item x="147"/>
        <item x="737"/>
        <item x="887"/>
        <item x="653"/>
        <item x="527"/>
        <item x="273"/>
        <item x="818"/>
        <item x="903"/>
        <item x="253"/>
        <item x="207"/>
        <item x="318"/>
        <item x="171"/>
        <item x="594"/>
        <item x="15"/>
        <item x="875"/>
        <item x="70"/>
        <item x="893"/>
        <item x="194"/>
        <item x="247"/>
        <item x="918"/>
        <item x="671"/>
        <item x="647"/>
        <item t="default"/>
      </items>
    </pivotField>
    <pivotField showAll="0" sortType="descending">
      <items count="3">
        <item x="1"/>
        <item x="0"/>
        <item t="default"/>
      </items>
    </pivotField>
    <pivotField showAll="0">
      <items count="43">
        <item x="38"/>
        <item x="24"/>
        <item x="16"/>
        <item x="27"/>
        <item x="39"/>
        <item x="26"/>
        <item x="5"/>
        <item x="35"/>
        <item x="41"/>
        <item x="22"/>
        <item x="37"/>
        <item x="28"/>
        <item x="32"/>
        <item x="31"/>
        <item x="17"/>
        <item x="25"/>
        <item x="18"/>
        <item x="33"/>
        <item x="2"/>
        <item x="11"/>
        <item x="6"/>
        <item x="20"/>
        <item x="10"/>
        <item x="4"/>
        <item x="40"/>
        <item x="30"/>
        <item x="21"/>
        <item x="19"/>
        <item x="36"/>
        <item x="34"/>
        <item x="9"/>
        <item x="14"/>
        <item x="0"/>
        <item x="1"/>
        <item x="15"/>
        <item x="7"/>
        <item x="12"/>
        <item x="8"/>
        <item x="29"/>
        <item x="3"/>
        <item x="23"/>
        <item x="13"/>
        <item t="default"/>
      </items>
    </pivotField>
    <pivotField axis="axisPage" multipleItemSelectionAllowed="1" showAll="0">
      <items count="23">
        <item x="8"/>
        <item x="1"/>
        <item x="12"/>
        <item x="15"/>
        <item x="19"/>
        <item x="17"/>
        <item x="16"/>
        <item x="2"/>
        <item x="11"/>
        <item x="4"/>
        <item x="0"/>
        <item x="10"/>
        <item x="20"/>
        <item x="3"/>
        <item x="9"/>
        <item x="14"/>
        <item x="18"/>
        <item x="13"/>
        <item x="21"/>
        <item x="6"/>
        <item x="7"/>
        <item x="5"/>
        <item t="default"/>
      </items>
    </pivotField>
    <pivotField showAll="0"/>
    <pivotField axis="axisRow" showAll="0">
      <items count="12">
        <item x="5"/>
        <item x="0"/>
        <item x="8"/>
        <item x="6"/>
        <item x="9"/>
        <item x="2"/>
        <item x="10"/>
        <item x="1"/>
        <item x="4"/>
        <item x="7"/>
        <item x="3"/>
        <item t="default"/>
      </items>
    </pivotField>
    <pivotField showAll="0"/>
    <pivotField showAll="0"/>
    <pivotField showAll="0"/>
    <pivotField showAll="0"/>
    <pivotField showAll="0"/>
    <pivotField axis="axisCol" dataField="1" showAll="0">
      <items count="5">
        <item x="3"/>
        <item x="2"/>
        <item x="0"/>
        <item x="1"/>
        <item t="default"/>
      </items>
    </pivotField>
    <pivotField showAll="0"/>
    <pivotField showAll="0"/>
    <pivotField showAll="0"/>
    <pivotField showAll="0"/>
  </pivotFields>
  <rowFields count="1">
    <field x="6"/>
  </rowFields>
  <rowItems count="12">
    <i>
      <x/>
    </i>
    <i>
      <x v="1"/>
    </i>
    <i>
      <x v="2"/>
    </i>
    <i>
      <x v="3"/>
    </i>
    <i>
      <x v="4"/>
    </i>
    <i>
      <x v="5"/>
    </i>
    <i>
      <x v="6"/>
    </i>
    <i>
      <x v="7"/>
    </i>
    <i>
      <x v="8"/>
    </i>
    <i>
      <x v="9"/>
    </i>
    <i>
      <x v="10"/>
    </i>
    <i t="grand">
      <x/>
    </i>
  </rowItems>
  <colFields count="1">
    <field x="12"/>
  </colFields>
  <colItems count="5">
    <i>
      <x/>
    </i>
    <i>
      <x v="1"/>
    </i>
    <i>
      <x v="2"/>
    </i>
    <i>
      <x v="3"/>
    </i>
    <i t="grand">
      <x/>
    </i>
  </colItems>
  <pageFields count="1">
    <pageField fld="4" hier="-1"/>
  </pageFields>
  <dataFields count="1">
    <dataField name="Count of Notes" fld="12" subtotal="count" baseField="0" baseItem="0"/>
  </dataFields>
  <chartFormats count="12">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0" format="3" series="1">
      <pivotArea type="data" outline="0" fieldPosition="0">
        <references count="2">
          <reference field="4294967294" count="1" selected="0">
            <x v="0"/>
          </reference>
          <reference field="12" count="1" selected="0">
            <x v="3"/>
          </reference>
        </references>
      </pivotArea>
    </chartFormat>
    <chartFormat chart="1" format="4" series="1">
      <pivotArea type="data" outline="0" fieldPosition="0">
        <references count="2">
          <reference field="4294967294" count="1" selected="0">
            <x v="0"/>
          </reference>
          <reference field="12" count="1" selected="0">
            <x v="0"/>
          </reference>
        </references>
      </pivotArea>
    </chartFormat>
    <chartFormat chart="1" format="5" series="1">
      <pivotArea type="data" outline="0" fieldPosition="0">
        <references count="2">
          <reference field="4294967294" count="1" selected="0">
            <x v="0"/>
          </reference>
          <reference field="12" count="1" selected="0">
            <x v="1"/>
          </reference>
        </references>
      </pivotArea>
    </chartFormat>
    <chartFormat chart="1" format="6" series="1">
      <pivotArea type="data" outline="0" fieldPosition="0">
        <references count="2">
          <reference field="4294967294" count="1" selected="0">
            <x v="0"/>
          </reference>
          <reference field="12" count="1" selected="0">
            <x v="2"/>
          </reference>
        </references>
      </pivotArea>
    </chartFormat>
    <chartFormat chart="1" format="7" series="1">
      <pivotArea type="data" outline="0" fieldPosition="0">
        <references count="2">
          <reference field="4294967294" count="1" selected="0">
            <x v="0"/>
          </reference>
          <reference field="12" count="1" selected="0">
            <x v="3"/>
          </reference>
        </references>
      </pivotArea>
    </chartFormat>
    <chartFormat chart="2" format="8" series="1">
      <pivotArea type="data" outline="0" fieldPosition="0">
        <references count="2">
          <reference field="4294967294" count="1" selected="0">
            <x v="0"/>
          </reference>
          <reference field="12" count="1" selected="0">
            <x v="0"/>
          </reference>
        </references>
      </pivotArea>
    </chartFormat>
    <chartFormat chart="2" format="9" series="1">
      <pivotArea type="data" outline="0" fieldPosition="0">
        <references count="2">
          <reference field="4294967294" count="1" selected="0">
            <x v="0"/>
          </reference>
          <reference field="12" count="1" selected="0">
            <x v="1"/>
          </reference>
        </references>
      </pivotArea>
    </chartFormat>
    <chartFormat chart="2" format="10" series="1">
      <pivotArea type="data" outline="0" fieldPosition="0">
        <references count="2">
          <reference field="4294967294" count="1" selected="0">
            <x v="0"/>
          </reference>
          <reference field="12" count="1" selected="0">
            <x v="2"/>
          </reference>
        </references>
      </pivotArea>
    </chartFormat>
    <chartFormat chart="2" format="11" series="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BB5EB1-64C4-4923-90D1-FD08CFDA95F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4:R28" firstHeaderRow="1" firstDataRow="2" firstDataCol="1"/>
  <pivotFields count="17">
    <pivotField showAll="0"/>
    <pivotField showAll="0">
      <items count="993">
        <item x="866"/>
        <item x="757"/>
        <item x="338"/>
        <item x="494"/>
        <item x="771"/>
        <item x="831"/>
        <item x="452"/>
        <item x="202"/>
        <item x="811"/>
        <item x="969"/>
        <item x="808"/>
        <item x="987"/>
        <item x="282"/>
        <item x="710"/>
        <item x="296"/>
        <item x="353"/>
        <item x="129"/>
        <item x="817"/>
        <item x="923"/>
        <item x="813"/>
        <item x="27"/>
        <item x="12"/>
        <item x="634"/>
        <item x="315"/>
        <item x="876"/>
        <item x="412"/>
        <item x="423"/>
        <item x="120"/>
        <item x="486"/>
        <item x="796"/>
        <item x="446"/>
        <item x="175"/>
        <item x="763"/>
        <item x="351"/>
        <item x="666"/>
        <item x="799"/>
        <item x="3"/>
        <item x="567"/>
        <item x="772"/>
        <item x="912"/>
        <item x="37"/>
        <item x="294"/>
        <item x="911"/>
        <item x="249"/>
        <item x="441"/>
        <item x="82"/>
        <item x="635"/>
        <item x="124"/>
        <item x="897"/>
        <item x="98"/>
        <item x="246"/>
        <item x="646"/>
        <item x="442"/>
        <item x="626"/>
        <item x="314"/>
        <item x="362"/>
        <item x="659"/>
        <item x="706"/>
        <item x="40"/>
        <item x="913"/>
        <item x="283"/>
        <item x="234"/>
        <item x="842"/>
        <item x="25"/>
        <item x="153"/>
        <item x="764"/>
        <item x="928"/>
        <item x="378"/>
        <item x="773"/>
        <item x="433"/>
        <item x="506"/>
        <item x="277"/>
        <item x="888"/>
        <item x="394"/>
        <item x="747"/>
        <item x="168"/>
        <item x="252"/>
        <item x="924"/>
        <item x="571"/>
        <item x="483"/>
        <item x="718"/>
        <item x="570"/>
        <item x="361"/>
        <item x="145"/>
        <item x="66"/>
        <item x="615"/>
        <item x="641"/>
        <item x="508"/>
        <item x="304"/>
        <item x="884"/>
        <item x="84"/>
        <item x="126"/>
        <item x="430"/>
        <item x="59"/>
        <item x="267"/>
        <item x="650"/>
        <item x="696"/>
        <item x="298"/>
        <item x="877"/>
        <item x="794"/>
        <item x="96"/>
        <item x="852"/>
        <item x="972"/>
        <item x="480"/>
        <item x="360"/>
        <item x="717"/>
        <item x="942"/>
        <item x="424"/>
        <item x="977"/>
        <item x="193"/>
        <item x="185"/>
        <item x="752"/>
        <item x="643"/>
        <item x="365"/>
        <item x="311"/>
        <item x="235"/>
        <item x="85"/>
        <item x="954"/>
        <item x="255"/>
        <item x="814"/>
        <item x="400"/>
        <item x="828"/>
        <item x="355"/>
        <item x="264"/>
        <item x="196"/>
        <item x="810"/>
        <item x="87"/>
        <item x="606"/>
        <item x="589"/>
        <item x="80"/>
        <item x="909"/>
        <item x="782"/>
        <item x="335"/>
        <item x="759"/>
        <item x="863"/>
        <item x="259"/>
        <item x="121"/>
        <item x="286"/>
        <item x="739"/>
        <item x="536"/>
        <item x="692"/>
        <item x="172"/>
        <item x="906"/>
        <item x="256"/>
        <item x="617"/>
        <item x="860"/>
        <item x="943"/>
        <item x="547"/>
        <item x="953"/>
        <item x="532"/>
        <item x="290"/>
        <item x="22"/>
        <item x="971"/>
        <item x="140"/>
        <item x="582"/>
        <item x="354"/>
        <item x="983"/>
        <item x="47"/>
        <item x="372"/>
        <item x="225"/>
        <item x="476"/>
        <item x="988"/>
        <item x="230"/>
        <item x="307"/>
        <item x="629"/>
        <item x="157"/>
        <item x="517"/>
        <item x="356"/>
        <item x="707"/>
        <item x="722"/>
        <item x="291"/>
        <item x="62"/>
        <item x="388"/>
        <item x="359"/>
        <item x="239"/>
        <item x="788"/>
        <item x="855"/>
        <item x="132"/>
        <item x="728"/>
        <item x="428"/>
        <item x="122"/>
        <item x="319"/>
        <item x="576"/>
        <item x="756"/>
        <item x="133"/>
        <item x="152"/>
        <item x="974"/>
        <item x="340"/>
        <item x="127"/>
        <item x="303"/>
        <item x="504"/>
        <item x="681"/>
        <item x="482"/>
        <item x="68"/>
        <item x="867"/>
        <item x="60"/>
        <item x="619"/>
        <item x="478"/>
        <item x="966"/>
        <item x="65"/>
        <item x="812"/>
        <item x="451"/>
        <item x="652"/>
        <item x="776"/>
        <item x="313"/>
        <item x="265"/>
        <item x="833"/>
        <item x="793"/>
        <item x="611"/>
        <item x="237"/>
        <item x="397"/>
        <item x="952"/>
        <item x="236"/>
        <item x="697"/>
        <item x="591"/>
        <item x="920"/>
        <item x="612"/>
        <item x="832"/>
        <item x="443"/>
        <item x="978"/>
        <item x="514"/>
        <item x="455"/>
        <item x="700"/>
        <item x="317"/>
        <item x="683"/>
        <item x="214"/>
        <item x="223"/>
        <item x="886"/>
        <item x="621"/>
        <item x="835"/>
        <item x="713"/>
        <item x="306"/>
        <item x="973"/>
        <item x="703"/>
        <item x="958"/>
        <item x="631"/>
        <item x="414"/>
        <item x="97"/>
        <item x="957"/>
        <item x="279"/>
        <item x="456"/>
        <item x="552"/>
        <item x="637"/>
        <item x="991"/>
        <item x="565"/>
        <item x="673"/>
        <item x="640"/>
        <item x="851"/>
        <item x="368"/>
        <item x="341"/>
        <item x="926"/>
        <item x="574"/>
        <item x="123"/>
        <item x="170"/>
        <item x="623"/>
        <item x="445"/>
        <item x="94"/>
        <item x="743"/>
        <item x="77"/>
        <item x="513"/>
        <item x="824"/>
        <item x="761"/>
        <item x="426"/>
        <item x="748"/>
        <item x="409"/>
        <item x="502"/>
        <item x="48"/>
        <item x="51"/>
        <item x="161"/>
        <item x="632"/>
        <item x="137"/>
        <item x="427"/>
        <item x="136"/>
        <item x="379"/>
        <item x="450"/>
        <item x="281"/>
        <item x="597"/>
        <item x="429"/>
        <item x="802"/>
        <item x="405"/>
        <item x="607"/>
        <item x="801"/>
        <item x="789"/>
        <item x="61"/>
        <item x="174"/>
        <item x="142"/>
        <item x="14"/>
        <item x="331"/>
        <item x="226"/>
        <item x="343"/>
        <item x="569"/>
        <item x="432"/>
        <item x="392"/>
        <item x="709"/>
        <item x="559"/>
        <item x="184"/>
        <item x="108"/>
        <item x="664"/>
        <item x="408"/>
        <item x="254"/>
        <item x="677"/>
        <item x="800"/>
        <item x="35"/>
        <item x="491"/>
        <item x="344"/>
        <item x="834"/>
        <item x="633"/>
        <item x="30"/>
        <item x="961"/>
        <item x="668"/>
        <item x="6"/>
        <item x="736"/>
        <item x="384"/>
        <item x="691"/>
        <item x="146"/>
        <item x="932"/>
        <item x="889"/>
        <item x="543"/>
        <item x="746"/>
        <item x="816"/>
        <item x="675"/>
        <item x="399"/>
        <item x="981"/>
        <item x="848"/>
        <item x="250"/>
        <item x="176"/>
        <item x="949"/>
        <item x="148"/>
        <item x="10"/>
        <item x="373"/>
        <item x="868"/>
        <item x="755"/>
        <item x="636"/>
        <item x="69"/>
        <item x="785"/>
        <item x="118"/>
        <item x="734"/>
        <item x="163"/>
        <item x="371"/>
        <item x="581"/>
        <item x="731"/>
        <item x="885"/>
        <item x="274"/>
        <item x="676"/>
        <item x="940"/>
        <item x="268"/>
        <item x="765"/>
        <item x="512"/>
        <item x="601"/>
        <item x="853"/>
        <item x="937"/>
        <item x="620"/>
        <item x="200"/>
        <item x="187"/>
        <item x="721"/>
        <item x="470"/>
        <item x="390"/>
        <item x="882"/>
        <item x="499"/>
        <item x="434"/>
        <item x="364"/>
        <item x="403"/>
        <item x="251"/>
        <item x="670"/>
        <item x="261"/>
        <item x="210"/>
        <item x="497"/>
        <item x="263"/>
        <item x="767"/>
        <item x="270"/>
        <item x="222"/>
        <item x="791"/>
        <item x="45"/>
        <item x="768"/>
        <item x="288"/>
        <item x="20"/>
        <item x="719"/>
        <item x="583"/>
        <item x="39"/>
        <item x="551"/>
        <item x="415"/>
        <item x="380"/>
        <item x="454"/>
        <item x="220"/>
        <item x="473"/>
        <item x="503"/>
        <item x="36"/>
        <item x="111"/>
        <item x="555"/>
        <item x="535"/>
        <item x="105"/>
        <item x="463"/>
        <item x="847"/>
        <item x="701"/>
        <item x="524"/>
        <item x="125"/>
        <item x="741"/>
        <item x="846"/>
        <item x="690"/>
        <item x="970"/>
        <item x="370"/>
        <item x="43"/>
        <item x="695"/>
        <item x="669"/>
        <item x="962"/>
        <item x="262"/>
        <item x="485"/>
        <item x="293"/>
        <item x="324"/>
        <item x="895"/>
        <item x="489"/>
        <item x="192"/>
        <item x="181"/>
        <item x="219"/>
        <item x="986"/>
        <item x="260"/>
        <item x="369"/>
        <item x="107"/>
        <item x="24"/>
        <item x="54"/>
        <item x="916"/>
        <item x="488"/>
        <item x="610"/>
        <item x="845"/>
        <item x="484"/>
        <item x="208"/>
        <item x="467"/>
        <item x="347"/>
        <item x="872"/>
        <item x="595"/>
        <item x="75"/>
        <item x="173"/>
        <item x="778"/>
        <item x="861"/>
        <item x="119"/>
        <item x="188"/>
        <item x="468"/>
        <item x="762"/>
        <item x="723"/>
        <item x="588"/>
        <item x="410"/>
        <item x="730"/>
        <item x="586"/>
        <item x="326"/>
        <item x="34"/>
        <item x="115"/>
        <item x="352"/>
        <item x="201"/>
        <item x="458"/>
        <item x="199"/>
        <item x="985"/>
        <item x="53"/>
        <item x="389"/>
        <item x="301"/>
        <item x="645"/>
        <item x="648"/>
        <item x="472"/>
        <item x="720"/>
        <item x="545"/>
        <item x="638"/>
        <item x="561"/>
        <item x="724"/>
        <item x="334"/>
        <item x="461"/>
        <item x="878"/>
        <item x="841"/>
        <item x="990"/>
        <item x="505"/>
        <item x="698"/>
        <item x="166"/>
        <item x="941"/>
        <item x="358"/>
        <item x="754"/>
        <item x="963"/>
        <item x="689"/>
        <item x="117"/>
        <item x="128"/>
        <item x="139"/>
        <item x="784"/>
        <item x="73"/>
        <item x="93"/>
        <item x="758"/>
        <item x="328"/>
        <item x="440"/>
        <item x="575"/>
        <item x="227"/>
        <item x="289"/>
        <item x="825"/>
        <item x="337"/>
        <item x="639"/>
        <item x="679"/>
        <item x="138"/>
        <item x="815"/>
        <item x="534"/>
        <item x="775"/>
        <item x="672"/>
        <item x="391"/>
        <item x="287"/>
        <item x="663"/>
        <item x="693"/>
        <item x="2"/>
        <item x="541"/>
        <item x="465"/>
        <item x="233"/>
        <item x="826"/>
        <item x="950"/>
        <item x="462"/>
        <item x="453"/>
        <item x="50"/>
        <item x="266"/>
        <item x="186"/>
        <item x="322"/>
        <item x="839"/>
        <item x="572"/>
        <item x="466"/>
        <item x="131"/>
        <item x="42"/>
        <item x="215"/>
        <item x="447"/>
        <item x="688"/>
        <item x="770"/>
        <item x="894"/>
        <item x="416"/>
        <item x="320"/>
        <item x="560"/>
        <item x="712"/>
        <item x="901"/>
        <item x="989"/>
        <item x="644"/>
        <item x="699"/>
        <item x="471"/>
        <item x="587"/>
        <item x="787"/>
        <item x="481"/>
        <item x="573"/>
        <item x="750"/>
        <item x="862"/>
        <item x="280"/>
        <item x="786"/>
        <item x="898"/>
        <item x="515"/>
        <item x="642"/>
        <item x="579"/>
        <item x="537"/>
        <item x="374"/>
        <item x="493"/>
        <item x="564"/>
        <item x="849"/>
        <item x="538"/>
        <item x="113"/>
        <item x="896"/>
        <item x="431"/>
        <item x="774"/>
        <item x="557"/>
        <item x="109"/>
        <item x="103"/>
        <item x="590"/>
        <item x="183"/>
        <item x="900"/>
        <item x="206"/>
        <item x="244"/>
        <item x="507"/>
        <item x="523"/>
        <item x="927"/>
        <item x="549"/>
        <item x="840"/>
        <item x="99"/>
        <item x="346"/>
        <item x="52"/>
        <item x="907"/>
        <item x="726"/>
        <item x="881"/>
        <item x="49"/>
        <item x="492"/>
        <item x="55"/>
        <item x="871"/>
        <item x="956"/>
        <item x="622"/>
        <item x="665"/>
        <item x="16"/>
        <item x="357"/>
        <item x="56"/>
        <item x="946"/>
        <item x="975"/>
        <item x="751"/>
        <item x="348"/>
        <item x="922"/>
        <item x="285"/>
        <item x="657"/>
        <item x="63"/>
        <item x="112"/>
        <item x="143"/>
        <item x="78"/>
        <item x="421"/>
        <item x="740"/>
        <item x="843"/>
        <item x="448"/>
        <item x="822"/>
        <item x="806"/>
        <item x="797"/>
        <item x="141"/>
        <item x="879"/>
        <item x="968"/>
        <item x="5"/>
        <item x="960"/>
        <item x="90"/>
        <item x="859"/>
        <item x="393"/>
        <item x="915"/>
        <item x="336"/>
        <item x="821"/>
        <item x="29"/>
        <item x="510"/>
        <item x="309"/>
        <item x="4"/>
        <item x="658"/>
        <item x="742"/>
        <item x="366"/>
        <item x="179"/>
        <item x="779"/>
        <item x="908"/>
        <item x="566"/>
        <item x="880"/>
        <item x="533"/>
        <item x="530"/>
        <item x="149"/>
        <item x="26"/>
        <item x="965"/>
        <item x="738"/>
        <item x="599"/>
        <item x="238"/>
        <item x="474"/>
        <item x="325"/>
        <item x="792"/>
        <item x="106"/>
        <item x="258"/>
        <item x="295"/>
        <item x="798"/>
        <item x="57"/>
        <item x="600"/>
        <item x="694"/>
        <item x="874"/>
        <item x="435"/>
        <item x="857"/>
        <item x="376"/>
        <item x="790"/>
        <item x="464"/>
        <item x="783"/>
        <item x="284"/>
        <item x="869"/>
        <item x="682"/>
        <item x="649"/>
        <item x="475"/>
        <item x="387"/>
        <item x="19"/>
        <item x="9"/>
        <item x="232"/>
        <item x="349"/>
        <item x="150"/>
        <item x="89"/>
        <item x="613"/>
        <item x="964"/>
        <item x="944"/>
        <item x="525"/>
        <item x="837"/>
        <item x="278"/>
        <item x="702"/>
        <item x="733"/>
        <item x="685"/>
        <item x="28"/>
        <item x="228"/>
        <item x="602"/>
        <item x="542"/>
        <item x="23"/>
        <item x="781"/>
        <item x="269"/>
        <item x="38"/>
        <item x="656"/>
        <item x="189"/>
        <item x="769"/>
        <item x="803"/>
        <item x="74"/>
        <item x="350"/>
        <item x="33"/>
        <item x="177"/>
        <item x="704"/>
        <item x="609"/>
        <item x="584"/>
        <item x="680"/>
        <item x="578"/>
        <item x="819"/>
        <item x="593"/>
        <item x="498"/>
        <item x="418"/>
        <item x="83"/>
        <item x="316"/>
        <item x="212"/>
        <item x="500"/>
        <item x="820"/>
        <item x="231"/>
        <item x="182"/>
        <item x="585"/>
        <item x="883"/>
        <item x="614"/>
        <item x="807"/>
        <item x="858"/>
        <item x="11"/>
        <item x="780"/>
        <item x="221"/>
        <item x="979"/>
        <item x="44"/>
        <item x="982"/>
        <item x="160"/>
        <item x="299"/>
        <item x="209"/>
        <item x="327"/>
        <item x="292"/>
        <item x="407"/>
        <item x="395"/>
        <item x="91"/>
        <item x="548"/>
        <item x="945"/>
        <item x="732"/>
        <item x="375"/>
        <item x="154"/>
        <item x="155"/>
        <item x="242"/>
        <item x="243"/>
        <item x="213"/>
        <item x="469"/>
        <item x="520"/>
        <item x="420"/>
        <item x="459"/>
        <item x="398"/>
        <item x="272"/>
        <item x="955"/>
        <item x="914"/>
        <item x="308"/>
        <item x="873"/>
        <item x="870"/>
        <item x="46"/>
        <item x="396"/>
        <item x="0"/>
        <item x="933"/>
        <item x="271"/>
        <item x="297"/>
        <item x="678"/>
        <item x="546"/>
        <item x="687"/>
        <item x="417"/>
        <item x="158"/>
        <item x="931"/>
        <item x="891"/>
        <item x="947"/>
        <item x="850"/>
        <item x="330"/>
        <item x="72"/>
        <item x="169"/>
        <item x="854"/>
        <item x="951"/>
        <item x="624"/>
        <item x="921"/>
        <item x="558"/>
        <item x="381"/>
        <item x="198"/>
        <item x="342"/>
        <item x="616"/>
        <item x="245"/>
        <item x="460"/>
        <item x="79"/>
        <item x="302"/>
        <item x="159"/>
        <item x="332"/>
        <item x="905"/>
        <item x="178"/>
        <item x="745"/>
        <item x="190"/>
        <item x="151"/>
        <item x="477"/>
        <item x="385"/>
        <item x="910"/>
        <item x="92"/>
        <item x="323"/>
        <item x="134"/>
        <item x="205"/>
        <item x="401"/>
        <item x="13"/>
        <item x="382"/>
        <item x="714"/>
        <item x="592"/>
        <item x="890"/>
        <item x="654"/>
        <item x="487"/>
        <item x="705"/>
        <item x="156"/>
        <item x="333"/>
        <item x="64"/>
        <item x="422"/>
        <item x="674"/>
        <item x="838"/>
        <item x="383"/>
        <item x="948"/>
        <item x="655"/>
        <item x="479"/>
        <item x="805"/>
        <item x="275"/>
        <item x="218"/>
        <item x="934"/>
        <item x="753"/>
        <item x="345"/>
        <item x="7"/>
        <item x="544"/>
        <item x="114"/>
        <item x="216"/>
        <item x="305"/>
        <item x="976"/>
        <item x="32"/>
        <item x="936"/>
        <item x="501"/>
        <item x="321"/>
        <item x="165"/>
        <item x="809"/>
        <item x="495"/>
        <item x="830"/>
        <item x="892"/>
        <item x="556"/>
        <item x="88"/>
        <item x="509"/>
        <item x="727"/>
        <item x="312"/>
        <item x="377"/>
        <item x="661"/>
        <item x="844"/>
        <item x="310"/>
        <item x="804"/>
        <item x="224"/>
        <item x="598"/>
        <item x="211"/>
        <item x="795"/>
        <item x="744"/>
        <item x="404"/>
        <item x="518"/>
        <item x="827"/>
        <item x="58"/>
        <item x="864"/>
        <item x="662"/>
        <item x="618"/>
        <item x="86"/>
        <item x="21"/>
        <item x="729"/>
        <item x="929"/>
        <item x="577"/>
        <item x="984"/>
        <item x="667"/>
        <item x="411"/>
        <item x="628"/>
        <item x="865"/>
        <item x="660"/>
        <item x="425"/>
        <item x="240"/>
        <item x="959"/>
        <item x="386"/>
        <item x="608"/>
        <item x="935"/>
        <item x="41"/>
        <item x="735"/>
        <item x="17"/>
        <item x="519"/>
        <item x="367"/>
        <item x="823"/>
        <item x="438"/>
        <item x="162"/>
        <item x="8"/>
        <item x="554"/>
        <item x="540"/>
        <item x="217"/>
        <item x="980"/>
        <item x="725"/>
        <item x="711"/>
        <item x="204"/>
        <item x="562"/>
        <item x="777"/>
        <item x="526"/>
        <item x="716"/>
        <item x="419"/>
        <item x="95"/>
        <item x="130"/>
        <item x="197"/>
        <item x="904"/>
        <item x="402"/>
        <item x="528"/>
        <item x="437"/>
        <item x="102"/>
        <item x="449"/>
        <item x="563"/>
        <item x="248"/>
        <item x="276"/>
        <item x="836"/>
        <item x="229"/>
        <item x="899"/>
        <item x="856"/>
        <item x="257"/>
        <item x="144"/>
        <item x="522"/>
        <item x="684"/>
        <item x="902"/>
        <item x="406"/>
        <item x="444"/>
        <item x="164"/>
        <item x="749"/>
        <item x="625"/>
        <item x="363"/>
        <item x="167"/>
        <item x="413"/>
        <item x="605"/>
        <item x="496"/>
        <item x="760"/>
        <item x="651"/>
        <item x="329"/>
        <item x="116"/>
        <item x="521"/>
        <item x="603"/>
        <item x="529"/>
        <item x="135"/>
        <item x="938"/>
        <item x="195"/>
        <item x="539"/>
        <item x="71"/>
        <item x="604"/>
        <item x="300"/>
        <item x="100"/>
        <item x="627"/>
        <item x="917"/>
        <item x="457"/>
        <item x="766"/>
        <item x="967"/>
        <item x="580"/>
        <item x="31"/>
        <item x="76"/>
        <item x="439"/>
        <item x="939"/>
        <item x="596"/>
        <item x="630"/>
        <item x="708"/>
        <item x="490"/>
        <item x="829"/>
        <item x="436"/>
        <item x="930"/>
        <item x="531"/>
        <item x="568"/>
        <item x="686"/>
        <item x="715"/>
        <item x="104"/>
        <item x="191"/>
        <item x="18"/>
        <item x="553"/>
        <item x="110"/>
        <item x="925"/>
        <item x="919"/>
        <item x="1"/>
        <item x="180"/>
        <item x="81"/>
        <item x="241"/>
        <item x="101"/>
        <item x="67"/>
        <item x="511"/>
        <item x="339"/>
        <item x="516"/>
        <item x="203"/>
        <item x="550"/>
        <item x="147"/>
        <item x="737"/>
        <item x="887"/>
        <item x="653"/>
        <item x="527"/>
        <item x="273"/>
        <item x="818"/>
        <item x="903"/>
        <item x="253"/>
        <item x="207"/>
        <item x="318"/>
        <item x="171"/>
        <item x="594"/>
        <item x="15"/>
        <item x="875"/>
        <item x="70"/>
        <item x="893"/>
        <item x="194"/>
        <item x="247"/>
        <item x="918"/>
        <item x="671"/>
        <item x="647"/>
        <item t="default"/>
      </items>
    </pivotField>
    <pivotField showAll="0" sortType="descending">
      <items count="3">
        <item x="1"/>
        <item x="0"/>
        <item t="default"/>
      </items>
    </pivotField>
    <pivotField showAll="0">
      <items count="43">
        <item x="38"/>
        <item x="24"/>
        <item x="16"/>
        <item x="27"/>
        <item x="39"/>
        <item x="26"/>
        <item x="5"/>
        <item x="35"/>
        <item x="41"/>
        <item x="22"/>
        <item x="37"/>
        <item x="28"/>
        <item x="32"/>
        <item x="31"/>
        <item x="17"/>
        <item x="25"/>
        <item x="18"/>
        <item x="33"/>
        <item x="2"/>
        <item x="11"/>
        <item x="6"/>
        <item x="20"/>
        <item x="10"/>
        <item x="4"/>
        <item x="40"/>
        <item x="30"/>
        <item x="21"/>
        <item x="19"/>
        <item x="36"/>
        <item x="34"/>
        <item x="9"/>
        <item x="14"/>
        <item x="0"/>
        <item x="1"/>
        <item x="15"/>
        <item x="7"/>
        <item x="12"/>
        <item x="8"/>
        <item x="29"/>
        <item x="3"/>
        <item x="23"/>
        <item x="13"/>
        <item t="default"/>
      </items>
    </pivotField>
    <pivotField axis="axisRow" showAll="0">
      <items count="23">
        <item x="8"/>
        <item x="1"/>
        <item x="12"/>
        <item x="15"/>
        <item x="19"/>
        <item x="17"/>
        <item x="16"/>
        <item x="2"/>
        <item x="11"/>
        <item x="4"/>
        <item x="0"/>
        <item x="10"/>
        <item x="20"/>
        <item x="3"/>
        <item x="9"/>
        <item x="14"/>
        <item x="18"/>
        <item x="13"/>
        <item x="21"/>
        <item x="6"/>
        <item x="7"/>
        <item x="5"/>
        <item t="default"/>
      </items>
    </pivotField>
    <pivotField showAll="0"/>
    <pivotField axis="axisCol" showAll="0">
      <items count="12">
        <item x="5"/>
        <item x="0"/>
        <item x="8"/>
        <item x="6"/>
        <item x="9"/>
        <item x="2"/>
        <item x="10"/>
        <item x="1"/>
        <item x="4"/>
        <item x="7"/>
        <item x="3"/>
        <item t="default"/>
      </items>
    </pivotField>
    <pivotField dataField="1" showAll="0"/>
    <pivotField showAll="0"/>
    <pivotField showAll="0"/>
    <pivotField showAll="0"/>
    <pivotField showAll="0"/>
    <pivotField showAll="0"/>
    <pivotField showAll="0"/>
    <pivotField showAll="0"/>
    <pivotField showAll="0"/>
    <pivotField showAll="0"/>
  </pivotFields>
  <rowFields count="1">
    <field x="4"/>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6"/>
  </colFields>
  <colItems count="12">
    <i>
      <x/>
    </i>
    <i>
      <x v="1"/>
    </i>
    <i>
      <x v="2"/>
    </i>
    <i>
      <x v="3"/>
    </i>
    <i>
      <x v="4"/>
    </i>
    <i>
      <x v="5"/>
    </i>
    <i>
      <x v="6"/>
    </i>
    <i>
      <x v="7"/>
    </i>
    <i>
      <x v="8"/>
    </i>
    <i>
      <x v="9"/>
    </i>
    <i>
      <x v="10"/>
    </i>
    <i t="grand">
      <x/>
    </i>
  </colItems>
  <dataFields count="1">
    <dataField name="Sum of Years_of_Experience" fld="7" baseField="4" baseItem="17"/>
  </dataFields>
  <chartFormats count="517">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 chart="0" format="5" series="1">
      <pivotArea type="data" outline="0" fieldPosition="0">
        <references count="2">
          <reference field="4294967294" count="1" selected="0">
            <x v="0"/>
          </reference>
          <reference field="6" count="1" selected="0">
            <x v="5"/>
          </reference>
        </references>
      </pivotArea>
    </chartFormat>
    <chartFormat chart="0" format="6" series="1">
      <pivotArea type="data" outline="0" fieldPosition="0">
        <references count="2">
          <reference field="4294967294" count="1" selected="0">
            <x v="0"/>
          </reference>
          <reference field="6" count="1" selected="0">
            <x v="6"/>
          </reference>
        </references>
      </pivotArea>
    </chartFormat>
    <chartFormat chart="0" format="7" series="1">
      <pivotArea type="data" outline="0" fieldPosition="0">
        <references count="2">
          <reference field="4294967294" count="1" selected="0">
            <x v="0"/>
          </reference>
          <reference field="6" count="1" selected="0">
            <x v="7"/>
          </reference>
        </references>
      </pivotArea>
    </chartFormat>
    <chartFormat chart="0" format="8" series="1">
      <pivotArea type="data" outline="0" fieldPosition="0">
        <references count="2">
          <reference field="4294967294" count="1" selected="0">
            <x v="0"/>
          </reference>
          <reference field="6" count="1" selected="0">
            <x v="8"/>
          </reference>
        </references>
      </pivotArea>
    </chartFormat>
    <chartFormat chart="0" format="9" series="1">
      <pivotArea type="data" outline="0" fieldPosition="0">
        <references count="2">
          <reference field="4294967294" count="1" selected="0">
            <x v="0"/>
          </reference>
          <reference field="6" count="1" selected="0">
            <x v="9"/>
          </reference>
        </references>
      </pivotArea>
    </chartFormat>
    <chartFormat chart="0" format="10" series="1">
      <pivotArea type="data" outline="0" fieldPosition="0">
        <references count="2">
          <reference field="4294967294" count="1" selected="0">
            <x v="0"/>
          </reference>
          <reference field="6" count="1" selected="0">
            <x v="10"/>
          </reference>
        </references>
      </pivotArea>
    </chartFormat>
    <chartFormat chart="1" format="11" series="1">
      <pivotArea type="data" outline="0" fieldPosition="0">
        <references count="2">
          <reference field="4294967294" count="1" selected="0">
            <x v="0"/>
          </reference>
          <reference field="6" count="1" selected="0">
            <x v="0"/>
          </reference>
        </references>
      </pivotArea>
    </chartFormat>
    <chartFormat chart="1" format="12">
      <pivotArea type="data" outline="0" fieldPosition="0">
        <references count="3">
          <reference field="4294967294" count="1" selected="0">
            <x v="0"/>
          </reference>
          <reference field="4" count="1" selected="0">
            <x v="0"/>
          </reference>
          <reference field="6" count="1" selected="0">
            <x v="0"/>
          </reference>
        </references>
      </pivotArea>
    </chartFormat>
    <chartFormat chart="1" format="13">
      <pivotArea type="data" outline="0" fieldPosition="0">
        <references count="3">
          <reference field="4294967294" count="1" selected="0">
            <x v="0"/>
          </reference>
          <reference field="4" count="1" selected="0">
            <x v="1"/>
          </reference>
          <reference field="6" count="1" selected="0">
            <x v="0"/>
          </reference>
        </references>
      </pivotArea>
    </chartFormat>
    <chartFormat chart="1" format="14">
      <pivotArea type="data" outline="0" fieldPosition="0">
        <references count="3">
          <reference field="4294967294" count="1" selected="0">
            <x v="0"/>
          </reference>
          <reference field="4" count="1" selected="0">
            <x v="2"/>
          </reference>
          <reference field="6" count="1" selected="0">
            <x v="0"/>
          </reference>
        </references>
      </pivotArea>
    </chartFormat>
    <chartFormat chart="1" format="15">
      <pivotArea type="data" outline="0" fieldPosition="0">
        <references count="3">
          <reference field="4294967294" count="1" selected="0">
            <x v="0"/>
          </reference>
          <reference field="4" count="1" selected="0">
            <x v="3"/>
          </reference>
          <reference field="6" count="1" selected="0">
            <x v="0"/>
          </reference>
        </references>
      </pivotArea>
    </chartFormat>
    <chartFormat chart="1" format="16">
      <pivotArea type="data" outline="0" fieldPosition="0">
        <references count="3">
          <reference field="4294967294" count="1" selected="0">
            <x v="0"/>
          </reference>
          <reference field="4" count="1" selected="0">
            <x v="4"/>
          </reference>
          <reference field="6" count="1" selected="0">
            <x v="0"/>
          </reference>
        </references>
      </pivotArea>
    </chartFormat>
    <chartFormat chart="1" format="17">
      <pivotArea type="data" outline="0" fieldPosition="0">
        <references count="3">
          <reference field="4294967294" count="1" selected="0">
            <x v="0"/>
          </reference>
          <reference field="4" count="1" selected="0">
            <x v="5"/>
          </reference>
          <reference field="6" count="1" selected="0">
            <x v="0"/>
          </reference>
        </references>
      </pivotArea>
    </chartFormat>
    <chartFormat chart="1" format="18">
      <pivotArea type="data" outline="0" fieldPosition="0">
        <references count="3">
          <reference field="4294967294" count="1" selected="0">
            <x v="0"/>
          </reference>
          <reference field="4" count="1" selected="0">
            <x v="6"/>
          </reference>
          <reference field="6" count="1" selected="0">
            <x v="0"/>
          </reference>
        </references>
      </pivotArea>
    </chartFormat>
    <chartFormat chart="1" format="19">
      <pivotArea type="data" outline="0" fieldPosition="0">
        <references count="3">
          <reference field="4294967294" count="1" selected="0">
            <x v="0"/>
          </reference>
          <reference field="4" count="1" selected="0">
            <x v="7"/>
          </reference>
          <reference field="6" count="1" selected="0">
            <x v="0"/>
          </reference>
        </references>
      </pivotArea>
    </chartFormat>
    <chartFormat chart="1" format="20">
      <pivotArea type="data" outline="0" fieldPosition="0">
        <references count="3">
          <reference field="4294967294" count="1" selected="0">
            <x v="0"/>
          </reference>
          <reference field="4" count="1" selected="0">
            <x v="8"/>
          </reference>
          <reference field="6" count="1" selected="0">
            <x v="0"/>
          </reference>
        </references>
      </pivotArea>
    </chartFormat>
    <chartFormat chart="1" format="21">
      <pivotArea type="data" outline="0" fieldPosition="0">
        <references count="3">
          <reference field="4294967294" count="1" selected="0">
            <x v="0"/>
          </reference>
          <reference field="4" count="1" selected="0">
            <x v="9"/>
          </reference>
          <reference field="6" count="1" selected="0">
            <x v="0"/>
          </reference>
        </references>
      </pivotArea>
    </chartFormat>
    <chartFormat chart="1" format="22">
      <pivotArea type="data" outline="0" fieldPosition="0">
        <references count="3">
          <reference field="4294967294" count="1" selected="0">
            <x v="0"/>
          </reference>
          <reference field="4" count="1" selected="0">
            <x v="10"/>
          </reference>
          <reference field="6" count="1" selected="0">
            <x v="0"/>
          </reference>
        </references>
      </pivotArea>
    </chartFormat>
    <chartFormat chart="1" format="23">
      <pivotArea type="data" outline="0" fieldPosition="0">
        <references count="3">
          <reference field="4294967294" count="1" selected="0">
            <x v="0"/>
          </reference>
          <reference field="4" count="1" selected="0">
            <x v="11"/>
          </reference>
          <reference field="6" count="1" selected="0">
            <x v="0"/>
          </reference>
        </references>
      </pivotArea>
    </chartFormat>
    <chartFormat chart="1" format="24">
      <pivotArea type="data" outline="0" fieldPosition="0">
        <references count="3">
          <reference field="4294967294" count="1" selected="0">
            <x v="0"/>
          </reference>
          <reference field="4" count="1" selected="0">
            <x v="12"/>
          </reference>
          <reference field="6" count="1" selected="0">
            <x v="0"/>
          </reference>
        </references>
      </pivotArea>
    </chartFormat>
    <chartFormat chart="1" format="25">
      <pivotArea type="data" outline="0" fieldPosition="0">
        <references count="3">
          <reference field="4294967294" count="1" selected="0">
            <x v="0"/>
          </reference>
          <reference field="4" count="1" selected="0">
            <x v="13"/>
          </reference>
          <reference field="6" count="1" selected="0">
            <x v="0"/>
          </reference>
        </references>
      </pivotArea>
    </chartFormat>
    <chartFormat chart="1" format="26">
      <pivotArea type="data" outline="0" fieldPosition="0">
        <references count="3">
          <reference field="4294967294" count="1" selected="0">
            <x v="0"/>
          </reference>
          <reference field="4" count="1" selected="0">
            <x v="14"/>
          </reference>
          <reference field="6" count="1" selected="0">
            <x v="0"/>
          </reference>
        </references>
      </pivotArea>
    </chartFormat>
    <chartFormat chart="1" format="27">
      <pivotArea type="data" outline="0" fieldPosition="0">
        <references count="3">
          <reference field="4294967294" count="1" selected="0">
            <x v="0"/>
          </reference>
          <reference field="4" count="1" selected="0">
            <x v="15"/>
          </reference>
          <reference field="6" count="1" selected="0">
            <x v="0"/>
          </reference>
        </references>
      </pivotArea>
    </chartFormat>
    <chartFormat chart="1" format="28">
      <pivotArea type="data" outline="0" fieldPosition="0">
        <references count="3">
          <reference field="4294967294" count="1" selected="0">
            <x v="0"/>
          </reference>
          <reference field="4" count="1" selected="0">
            <x v="16"/>
          </reference>
          <reference field="6" count="1" selected="0">
            <x v="0"/>
          </reference>
        </references>
      </pivotArea>
    </chartFormat>
    <chartFormat chart="1" format="29">
      <pivotArea type="data" outline="0" fieldPosition="0">
        <references count="3">
          <reference field="4294967294" count="1" selected="0">
            <x v="0"/>
          </reference>
          <reference field="4" count="1" selected="0">
            <x v="17"/>
          </reference>
          <reference field="6" count="1" selected="0">
            <x v="0"/>
          </reference>
        </references>
      </pivotArea>
    </chartFormat>
    <chartFormat chart="1" format="30">
      <pivotArea type="data" outline="0" fieldPosition="0">
        <references count="3">
          <reference field="4294967294" count="1" selected="0">
            <x v="0"/>
          </reference>
          <reference field="4" count="1" selected="0">
            <x v="18"/>
          </reference>
          <reference field="6" count="1" selected="0">
            <x v="0"/>
          </reference>
        </references>
      </pivotArea>
    </chartFormat>
    <chartFormat chart="1" format="31">
      <pivotArea type="data" outline="0" fieldPosition="0">
        <references count="3">
          <reference field="4294967294" count="1" selected="0">
            <x v="0"/>
          </reference>
          <reference field="4" count="1" selected="0">
            <x v="19"/>
          </reference>
          <reference field="6" count="1" selected="0">
            <x v="0"/>
          </reference>
        </references>
      </pivotArea>
    </chartFormat>
    <chartFormat chart="1" format="32">
      <pivotArea type="data" outline="0" fieldPosition="0">
        <references count="3">
          <reference field="4294967294" count="1" selected="0">
            <x v="0"/>
          </reference>
          <reference field="4" count="1" selected="0">
            <x v="20"/>
          </reference>
          <reference field="6" count="1" selected="0">
            <x v="0"/>
          </reference>
        </references>
      </pivotArea>
    </chartFormat>
    <chartFormat chart="1" format="33">
      <pivotArea type="data" outline="0" fieldPosition="0">
        <references count="3">
          <reference field="4294967294" count="1" selected="0">
            <x v="0"/>
          </reference>
          <reference field="4" count="1" selected="0">
            <x v="21"/>
          </reference>
          <reference field="6" count="1" selected="0">
            <x v="0"/>
          </reference>
        </references>
      </pivotArea>
    </chartFormat>
    <chartFormat chart="1" format="34" series="1">
      <pivotArea type="data" outline="0" fieldPosition="0">
        <references count="2">
          <reference field="4294967294" count="1" selected="0">
            <x v="0"/>
          </reference>
          <reference field="6" count="1" selected="0">
            <x v="1"/>
          </reference>
        </references>
      </pivotArea>
    </chartFormat>
    <chartFormat chart="1" format="35">
      <pivotArea type="data" outline="0" fieldPosition="0">
        <references count="3">
          <reference field="4294967294" count="1" selected="0">
            <x v="0"/>
          </reference>
          <reference field="4" count="1" selected="0">
            <x v="0"/>
          </reference>
          <reference field="6" count="1" selected="0">
            <x v="1"/>
          </reference>
        </references>
      </pivotArea>
    </chartFormat>
    <chartFormat chart="1" format="36">
      <pivotArea type="data" outline="0" fieldPosition="0">
        <references count="3">
          <reference field="4294967294" count="1" selected="0">
            <x v="0"/>
          </reference>
          <reference field="4" count="1" selected="0">
            <x v="1"/>
          </reference>
          <reference field="6" count="1" selected="0">
            <x v="1"/>
          </reference>
        </references>
      </pivotArea>
    </chartFormat>
    <chartFormat chart="1" format="37">
      <pivotArea type="data" outline="0" fieldPosition="0">
        <references count="3">
          <reference field="4294967294" count="1" selected="0">
            <x v="0"/>
          </reference>
          <reference field="4" count="1" selected="0">
            <x v="2"/>
          </reference>
          <reference field="6" count="1" selected="0">
            <x v="1"/>
          </reference>
        </references>
      </pivotArea>
    </chartFormat>
    <chartFormat chart="1" format="38">
      <pivotArea type="data" outline="0" fieldPosition="0">
        <references count="3">
          <reference field="4294967294" count="1" selected="0">
            <x v="0"/>
          </reference>
          <reference field="4" count="1" selected="0">
            <x v="3"/>
          </reference>
          <reference field="6" count="1" selected="0">
            <x v="1"/>
          </reference>
        </references>
      </pivotArea>
    </chartFormat>
    <chartFormat chart="1" format="39">
      <pivotArea type="data" outline="0" fieldPosition="0">
        <references count="3">
          <reference field="4294967294" count="1" selected="0">
            <x v="0"/>
          </reference>
          <reference field="4" count="1" selected="0">
            <x v="4"/>
          </reference>
          <reference field="6" count="1" selected="0">
            <x v="1"/>
          </reference>
        </references>
      </pivotArea>
    </chartFormat>
    <chartFormat chart="1" format="40">
      <pivotArea type="data" outline="0" fieldPosition="0">
        <references count="3">
          <reference field="4294967294" count="1" selected="0">
            <x v="0"/>
          </reference>
          <reference field="4" count="1" selected="0">
            <x v="5"/>
          </reference>
          <reference field="6" count="1" selected="0">
            <x v="1"/>
          </reference>
        </references>
      </pivotArea>
    </chartFormat>
    <chartFormat chart="1" format="41">
      <pivotArea type="data" outline="0" fieldPosition="0">
        <references count="3">
          <reference field="4294967294" count="1" selected="0">
            <x v="0"/>
          </reference>
          <reference field="4" count="1" selected="0">
            <x v="6"/>
          </reference>
          <reference field="6" count="1" selected="0">
            <x v="1"/>
          </reference>
        </references>
      </pivotArea>
    </chartFormat>
    <chartFormat chart="1" format="42">
      <pivotArea type="data" outline="0" fieldPosition="0">
        <references count="3">
          <reference field="4294967294" count="1" selected="0">
            <x v="0"/>
          </reference>
          <reference field="4" count="1" selected="0">
            <x v="7"/>
          </reference>
          <reference field="6" count="1" selected="0">
            <x v="1"/>
          </reference>
        </references>
      </pivotArea>
    </chartFormat>
    <chartFormat chart="1" format="43">
      <pivotArea type="data" outline="0" fieldPosition="0">
        <references count="3">
          <reference field="4294967294" count="1" selected="0">
            <x v="0"/>
          </reference>
          <reference field="4" count="1" selected="0">
            <x v="8"/>
          </reference>
          <reference field="6" count="1" selected="0">
            <x v="1"/>
          </reference>
        </references>
      </pivotArea>
    </chartFormat>
    <chartFormat chart="1" format="44">
      <pivotArea type="data" outline="0" fieldPosition="0">
        <references count="3">
          <reference field="4294967294" count="1" selected="0">
            <x v="0"/>
          </reference>
          <reference field="4" count="1" selected="0">
            <x v="9"/>
          </reference>
          <reference field="6" count="1" selected="0">
            <x v="1"/>
          </reference>
        </references>
      </pivotArea>
    </chartFormat>
    <chartFormat chart="1" format="45">
      <pivotArea type="data" outline="0" fieldPosition="0">
        <references count="3">
          <reference field="4294967294" count="1" selected="0">
            <x v="0"/>
          </reference>
          <reference field="4" count="1" selected="0">
            <x v="10"/>
          </reference>
          <reference field="6" count="1" selected="0">
            <x v="1"/>
          </reference>
        </references>
      </pivotArea>
    </chartFormat>
    <chartFormat chart="1" format="46">
      <pivotArea type="data" outline="0" fieldPosition="0">
        <references count="3">
          <reference field="4294967294" count="1" selected="0">
            <x v="0"/>
          </reference>
          <reference field="4" count="1" selected="0">
            <x v="11"/>
          </reference>
          <reference field="6" count="1" selected="0">
            <x v="1"/>
          </reference>
        </references>
      </pivotArea>
    </chartFormat>
    <chartFormat chart="1" format="47">
      <pivotArea type="data" outline="0" fieldPosition="0">
        <references count="3">
          <reference field="4294967294" count="1" selected="0">
            <x v="0"/>
          </reference>
          <reference field="4" count="1" selected="0">
            <x v="12"/>
          </reference>
          <reference field="6" count="1" selected="0">
            <x v="1"/>
          </reference>
        </references>
      </pivotArea>
    </chartFormat>
    <chartFormat chart="1" format="48">
      <pivotArea type="data" outline="0" fieldPosition="0">
        <references count="3">
          <reference field="4294967294" count="1" selected="0">
            <x v="0"/>
          </reference>
          <reference field="4" count="1" selected="0">
            <x v="13"/>
          </reference>
          <reference field="6" count="1" selected="0">
            <x v="1"/>
          </reference>
        </references>
      </pivotArea>
    </chartFormat>
    <chartFormat chart="1" format="49">
      <pivotArea type="data" outline="0" fieldPosition="0">
        <references count="3">
          <reference field="4294967294" count="1" selected="0">
            <x v="0"/>
          </reference>
          <reference field="4" count="1" selected="0">
            <x v="14"/>
          </reference>
          <reference field="6" count="1" selected="0">
            <x v="1"/>
          </reference>
        </references>
      </pivotArea>
    </chartFormat>
    <chartFormat chart="1" format="50">
      <pivotArea type="data" outline="0" fieldPosition="0">
        <references count="3">
          <reference field="4294967294" count="1" selected="0">
            <x v="0"/>
          </reference>
          <reference field="4" count="1" selected="0">
            <x v="15"/>
          </reference>
          <reference field="6" count="1" selected="0">
            <x v="1"/>
          </reference>
        </references>
      </pivotArea>
    </chartFormat>
    <chartFormat chart="1" format="51">
      <pivotArea type="data" outline="0" fieldPosition="0">
        <references count="3">
          <reference field="4294967294" count="1" selected="0">
            <x v="0"/>
          </reference>
          <reference field="4" count="1" selected="0">
            <x v="16"/>
          </reference>
          <reference field="6" count="1" selected="0">
            <x v="1"/>
          </reference>
        </references>
      </pivotArea>
    </chartFormat>
    <chartFormat chart="1" format="52">
      <pivotArea type="data" outline="0" fieldPosition="0">
        <references count="3">
          <reference field="4294967294" count="1" selected="0">
            <x v="0"/>
          </reference>
          <reference field="4" count="1" selected="0">
            <x v="17"/>
          </reference>
          <reference field="6" count="1" selected="0">
            <x v="1"/>
          </reference>
        </references>
      </pivotArea>
    </chartFormat>
    <chartFormat chart="1" format="53">
      <pivotArea type="data" outline="0" fieldPosition="0">
        <references count="3">
          <reference field="4294967294" count="1" selected="0">
            <x v="0"/>
          </reference>
          <reference field="4" count="1" selected="0">
            <x v="18"/>
          </reference>
          <reference field="6" count="1" selected="0">
            <x v="1"/>
          </reference>
        </references>
      </pivotArea>
    </chartFormat>
    <chartFormat chart="1" format="54">
      <pivotArea type="data" outline="0" fieldPosition="0">
        <references count="3">
          <reference field="4294967294" count="1" selected="0">
            <x v="0"/>
          </reference>
          <reference field="4" count="1" selected="0">
            <x v="19"/>
          </reference>
          <reference field="6" count="1" selected="0">
            <x v="1"/>
          </reference>
        </references>
      </pivotArea>
    </chartFormat>
    <chartFormat chart="1" format="55">
      <pivotArea type="data" outline="0" fieldPosition="0">
        <references count="3">
          <reference field="4294967294" count="1" selected="0">
            <x v="0"/>
          </reference>
          <reference field="4" count="1" selected="0">
            <x v="20"/>
          </reference>
          <reference field="6" count="1" selected="0">
            <x v="1"/>
          </reference>
        </references>
      </pivotArea>
    </chartFormat>
    <chartFormat chart="1" format="56">
      <pivotArea type="data" outline="0" fieldPosition="0">
        <references count="3">
          <reference field="4294967294" count="1" selected="0">
            <x v="0"/>
          </reference>
          <reference field="4" count="1" selected="0">
            <x v="21"/>
          </reference>
          <reference field="6" count="1" selected="0">
            <x v="1"/>
          </reference>
        </references>
      </pivotArea>
    </chartFormat>
    <chartFormat chart="1" format="57" series="1">
      <pivotArea type="data" outline="0" fieldPosition="0">
        <references count="2">
          <reference field="4294967294" count="1" selected="0">
            <x v="0"/>
          </reference>
          <reference field="6" count="1" selected="0">
            <x v="2"/>
          </reference>
        </references>
      </pivotArea>
    </chartFormat>
    <chartFormat chart="1" format="58">
      <pivotArea type="data" outline="0" fieldPosition="0">
        <references count="3">
          <reference field="4294967294" count="1" selected="0">
            <x v="0"/>
          </reference>
          <reference field="4" count="1" selected="0">
            <x v="0"/>
          </reference>
          <reference field="6" count="1" selected="0">
            <x v="2"/>
          </reference>
        </references>
      </pivotArea>
    </chartFormat>
    <chartFormat chart="1" format="59">
      <pivotArea type="data" outline="0" fieldPosition="0">
        <references count="3">
          <reference field="4294967294" count="1" selected="0">
            <x v="0"/>
          </reference>
          <reference field="4" count="1" selected="0">
            <x v="1"/>
          </reference>
          <reference field="6" count="1" selected="0">
            <x v="2"/>
          </reference>
        </references>
      </pivotArea>
    </chartFormat>
    <chartFormat chart="1" format="60">
      <pivotArea type="data" outline="0" fieldPosition="0">
        <references count="3">
          <reference field="4294967294" count="1" selected="0">
            <x v="0"/>
          </reference>
          <reference field="4" count="1" selected="0">
            <x v="2"/>
          </reference>
          <reference field="6" count="1" selected="0">
            <x v="2"/>
          </reference>
        </references>
      </pivotArea>
    </chartFormat>
    <chartFormat chart="1" format="61">
      <pivotArea type="data" outline="0" fieldPosition="0">
        <references count="3">
          <reference field="4294967294" count="1" selected="0">
            <x v="0"/>
          </reference>
          <reference field="4" count="1" selected="0">
            <x v="3"/>
          </reference>
          <reference field="6" count="1" selected="0">
            <x v="2"/>
          </reference>
        </references>
      </pivotArea>
    </chartFormat>
    <chartFormat chart="1" format="62">
      <pivotArea type="data" outline="0" fieldPosition="0">
        <references count="3">
          <reference field="4294967294" count="1" selected="0">
            <x v="0"/>
          </reference>
          <reference field="4" count="1" selected="0">
            <x v="4"/>
          </reference>
          <reference field="6" count="1" selected="0">
            <x v="2"/>
          </reference>
        </references>
      </pivotArea>
    </chartFormat>
    <chartFormat chart="1" format="63">
      <pivotArea type="data" outline="0" fieldPosition="0">
        <references count="3">
          <reference field="4294967294" count="1" selected="0">
            <x v="0"/>
          </reference>
          <reference field="4" count="1" selected="0">
            <x v="5"/>
          </reference>
          <reference field="6" count="1" selected="0">
            <x v="2"/>
          </reference>
        </references>
      </pivotArea>
    </chartFormat>
    <chartFormat chart="1" format="64">
      <pivotArea type="data" outline="0" fieldPosition="0">
        <references count="3">
          <reference field="4294967294" count="1" selected="0">
            <x v="0"/>
          </reference>
          <reference field="4" count="1" selected="0">
            <x v="6"/>
          </reference>
          <reference field="6" count="1" selected="0">
            <x v="2"/>
          </reference>
        </references>
      </pivotArea>
    </chartFormat>
    <chartFormat chart="1" format="65">
      <pivotArea type="data" outline="0" fieldPosition="0">
        <references count="3">
          <reference field="4294967294" count="1" selected="0">
            <x v="0"/>
          </reference>
          <reference field="4" count="1" selected="0">
            <x v="7"/>
          </reference>
          <reference field="6" count="1" selected="0">
            <x v="2"/>
          </reference>
        </references>
      </pivotArea>
    </chartFormat>
    <chartFormat chart="1" format="66">
      <pivotArea type="data" outline="0" fieldPosition="0">
        <references count="3">
          <reference field="4294967294" count="1" selected="0">
            <x v="0"/>
          </reference>
          <reference field="4" count="1" selected="0">
            <x v="8"/>
          </reference>
          <reference field="6" count="1" selected="0">
            <x v="2"/>
          </reference>
        </references>
      </pivotArea>
    </chartFormat>
    <chartFormat chart="1" format="67">
      <pivotArea type="data" outline="0" fieldPosition="0">
        <references count="3">
          <reference field="4294967294" count="1" selected="0">
            <x v="0"/>
          </reference>
          <reference field="4" count="1" selected="0">
            <x v="9"/>
          </reference>
          <reference field="6" count="1" selected="0">
            <x v="2"/>
          </reference>
        </references>
      </pivotArea>
    </chartFormat>
    <chartFormat chart="1" format="68">
      <pivotArea type="data" outline="0" fieldPosition="0">
        <references count="3">
          <reference field="4294967294" count="1" selected="0">
            <x v="0"/>
          </reference>
          <reference field="4" count="1" selected="0">
            <x v="10"/>
          </reference>
          <reference field="6" count="1" selected="0">
            <x v="2"/>
          </reference>
        </references>
      </pivotArea>
    </chartFormat>
    <chartFormat chart="1" format="69">
      <pivotArea type="data" outline="0" fieldPosition="0">
        <references count="3">
          <reference field="4294967294" count="1" selected="0">
            <x v="0"/>
          </reference>
          <reference field="4" count="1" selected="0">
            <x v="11"/>
          </reference>
          <reference field="6" count="1" selected="0">
            <x v="2"/>
          </reference>
        </references>
      </pivotArea>
    </chartFormat>
    <chartFormat chart="1" format="70">
      <pivotArea type="data" outline="0" fieldPosition="0">
        <references count="3">
          <reference field="4294967294" count="1" selected="0">
            <x v="0"/>
          </reference>
          <reference field="4" count="1" selected="0">
            <x v="12"/>
          </reference>
          <reference field="6" count="1" selected="0">
            <x v="2"/>
          </reference>
        </references>
      </pivotArea>
    </chartFormat>
    <chartFormat chart="1" format="71">
      <pivotArea type="data" outline="0" fieldPosition="0">
        <references count="3">
          <reference field="4294967294" count="1" selected="0">
            <x v="0"/>
          </reference>
          <reference field="4" count="1" selected="0">
            <x v="13"/>
          </reference>
          <reference field="6" count="1" selected="0">
            <x v="2"/>
          </reference>
        </references>
      </pivotArea>
    </chartFormat>
    <chartFormat chart="1" format="72">
      <pivotArea type="data" outline="0" fieldPosition="0">
        <references count="3">
          <reference field="4294967294" count="1" selected="0">
            <x v="0"/>
          </reference>
          <reference field="4" count="1" selected="0">
            <x v="14"/>
          </reference>
          <reference field="6" count="1" selected="0">
            <x v="2"/>
          </reference>
        </references>
      </pivotArea>
    </chartFormat>
    <chartFormat chart="1" format="73">
      <pivotArea type="data" outline="0" fieldPosition="0">
        <references count="3">
          <reference field="4294967294" count="1" selected="0">
            <x v="0"/>
          </reference>
          <reference field="4" count="1" selected="0">
            <x v="15"/>
          </reference>
          <reference field="6" count="1" selected="0">
            <x v="2"/>
          </reference>
        </references>
      </pivotArea>
    </chartFormat>
    <chartFormat chart="1" format="74">
      <pivotArea type="data" outline="0" fieldPosition="0">
        <references count="3">
          <reference field="4294967294" count="1" selected="0">
            <x v="0"/>
          </reference>
          <reference field="4" count="1" selected="0">
            <x v="16"/>
          </reference>
          <reference field="6" count="1" selected="0">
            <x v="2"/>
          </reference>
        </references>
      </pivotArea>
    </chartFormat>
    <chartFormat chart="1" format="75">
      <pivotArea type="data" outline="0" fieldPosition="0">
        <references count="3">
          <reference field="4294967294" count="1" selected="0">
            <x v="0"/>
          </reference>
          <reference field="4" count="1" selected="0">
            <x v="17"/>
          </reference>
          <reference field="6" count="1" selected="0">
            <x v="2"/>
          </reference>
        </references>
      </pivotArea>
    </chartFormat>
    <chartFormat chart="1" format="76">
      <pivotArea type="data" outline="0" fieldPosition="0">
        <references count="3">
          <reference field="4294967294" count="1" selected="0">
            <x v="0"/>
          </reference>
          <reference field="4" count="1" selected="0">
            <x v="18"/>
          </reference>
          <reference field="6" count="1" selected="0">
            <x v="2"/>
          </reference>
        </references>
      </pivotArea>
    </chartFormat>
    <chartFormat chart="1" format="77">
      <pivotArea type="data" outline="0" fieldPosition="0">
        <references count="3">
          <reference field="4294967294" count="1" selected="0">
            <x v="0"/>
          </reference>
          <reference field="4" count="1" selected="0">
            <x v="19"/>
          </reference>
          <reference field="6" count="1" selected="0">
            <x v="2"/>
          </reference>
        </references>
      </pivotArea>
    </chartFormat>
    <chartFormat chart="1" format="78">
      <pivotArea type="data" outline="0" fieldPosition="0">
        <references count="3">
          <reference field="4294967294" count="1" selected="0">
            <x v="0"/>
          </reference>
          <reference field="4" count="1" selected="0">
            <x v="20"/>
          </reference>
          <reference field="6" count="1" selected="0">
            <x v="2"/>
          </reference>
        </references>
      </pivotArea>
    </chartFormat>
    <chartFormat chart="1" format="79">
      <pivotArea type="data" outline="0" fieldPosition="0">
        <references count="3">
          <reference field="4294967294" count="1" selected="0">
            <x v="0"/>
          </reference>
          <reference field="4" count="1" selected="0">
            <x v="21"/>
          </reference>
          <reference field="6" count="1" selected="0">
            <x v="2"/>
          </reference>
        </references>
      </pivotArea>
    </chartFormat>
    <chartFormat chart="1" format="80" series="1">
      <pivotArea type="data" outline="0" fieldPosition="0">
        <references count="2">
          <reference field="4294967294" count="1" selected="0">
            <x v="0"/>
          </reference>
          <reference field="6" count="1" selected="0">
            <x v="3"/>
          </reference>
        </references>
      </pivotArea>
    </chartFormat>
    <chartFormat chart="1" format="81">
      <pivotArea type="data" outline="0" fieldPosition="0">
        <references count="3">
          <reference field="4294967294" count="1" selected="0">
            <x v="0"/>
          </reference>
          <reference field="4" count="1" selected="0">
            <x v="0"/>
          </reference>
          <reference field="6" count="1" selected="0">
            <x v="3"/>
          </reference>
        </references>
      </pivotArea>
    </chartFormat>
    <chartFormat chart="1" format="82">
      <pivotArea type="data" outline="0" fieldPosition="0">
        <references count="3">
          <reference field="4294967294" count="1" selected="0">
            <x v="0"/>
          </reference>
          <reference field="4" count="1" selected="0">
            <x v="1"/>
          </reference>
          <reference field="6" count="1" selected="0">
            <x v="3"/>
          </reference>
        </references>
      </pivotArea>
    </chartFormat>
    <chartFormat chart="1" format="83">
      <pivotArea type="data" outline="0" fieldPosition="0">
        <references count="3">
          <reference field="4294967294" count="1" selected="0">
            <x v="0"/>
          </reference>
          <reference field="4" count="1" selected="0">
            <x v="2"/>
          </reference>
          <reference field="6" count="1" selected="0">
            <x v="3"/>
          </reference>
        </references>
      </pivotArea>
    </chartFormat>
    <chartFormat chart="1" format="84">
      <pivotArea type="data" outline="0" fieldPosition="0">
        <references count="3">
          <reference field="4294967294" count="1" selected="0">
            <x v="0"/>
          </reference>
          <reference field="4" count="1" selected="0">
            <x v="3"/>
          </reference>
          <reference field="6" count="1" selected="0">
            <x v="3"/>
          </reference>
        </references>
      </pivotArea>
    </chartFormat>
    <chartFormat chart="1" format="85">
      <pivotArea type="data" outline="0" fieldPosition="0">
        <references count="3">
          <reference field="4294967294" count="1" selected="0">
            <x v="0"/>
          </reference>
          <reference field="4" count="1" selected="0">
            <x v="4"/>
          </reference>
          <reference field="6" count="1" selected="0">
            <x v="3"/>
          </reference>
        </references>
      </pivotArea>
    </chartFormat>
    <chartFormat chart="1" format="86">
      <pivotArea type="data" outline="0" fieldPosition="0">
        <references count="3">
          <reference field="4294967294" count="1" selected="0">
            <x v="0"/>
          </reference>
          <reference field="4" count="1" selected="0">
            <x v="5"/>
          </reference>
          <reference field="6" count="1" selected="0">
            <x v="3"/>
          </reference>
        </references>
      </pivotArea>
    </chartFormat>
    <chartFormat chart="1" format="87">
      <pivotArea type="data" outline="0" fieldPosition="0">
        <references count="3">
          <reference field="4294967294" count="1" selected="0">
            <x v="0"/>
          </reference>
          <reference field="4" count="1" selected="0">
            <x v="6"/>
          </reference>
          <reference field="6" count="1" selected="0">
            <x v="3"/>
          </reference>
        </references>
      </pivotArea>
    </chartFormat>
    <chartFormat chart="1" format="88">
      <pivotArea type="data" outline="0" fieldPosition="0">
        <references count="3">
          <reference field="4294967294" count="1" selected="0">
            <x v="0"/>
          </reference>
          <reference field="4" count="1" selected="0">
            <x v="7"/>
          </reference>
          <reference field="6" count="1" selected="0">
            <x v="3"/>
          </reference>
        </references>
      </pivotArea>
    </chartFormat>
    <chartFormat chart="1" format="89">
      <pivotArea type="data" outline="0" fieldPosition="0">
        <references count="3">
          <reference field="4294967294" count="1" selected="0">
            <x v="0"/>
          </reference>
          <reference field="4" count="1" selected="0">
            <x v="8"/>
          </reference>
          <reference field="6" count="1" selected="0">
            <x v="3"/>
          </reference>
        </references>
      </pivotArea>
    </chartFormat>
    <chartFormat chart="1" format="90">
      <pivotArea type="data" outline="0" fieldPosition="0">
        <references count="3">
          <reference field="4294967294" count="1" selected="0">
            <x v="0"/>
          </reference>
          <reference field="4" count="1" selected="0">
            <x v="9"/>
          </reference>
          <reference field="6" count="1" selected="0">
            <x v="3"/>
          </reference>
        </references>
      </pivotArea>
    </chartFormat>
    <chartFormat chart="1" format="91">
      <pivotArea type="data" outline="0" fieldPosition="0">
        <references count="3">
          <reference field="4294967294" count="1" selected="0">
            <x v="0"/>
          </reference>
          <reference field="4" count="1" selected="0">
            <x v="10"/>
          </reference>
          <reference field="6" count="1" selected="0">
            <x v="3"/>
          </reference>
        </references>
      </pivotArea>
    </chartFormat>
    <chartFormat chart="1" format="92">
      <pivotArea type="data" outline="0" fieldPosition="0">
        <references count="3">
          <reference field="4294967294" count="1" selected="0">
            <x v="0"/>
          </reference>
          <reference field="4" count="1" selected="0">
            <x v="11"/>
          </reference>
          <reference field="6" count="1" selected="0">
            <x v="3"/>
          </reference>
        </references>
      </pivotArea>
    </chartFormat>
    <chartFormat chart="1" format="93">
      <pivotArea type="data" outline="0" fieldPosition="0">
        <references count="3">
          <reference field="4294967294" count="1" selected="0">
            <x v="0"/>
          </reference>
          <reference field="4" count="1" selected="0">
            <x v="12"/>
          </reference>
          <reference field="6" count="1" selected="0">
            <x v="3"/>
          </reference>
        </references>
      </pivotArea>
    </chartFormat>
    <chartFormat chart="1" format="94">
      <pivotArea type="data" outline="0" fieldPosition="0">
        <references count="3">
          <reference field="4294967294" count="1" selected="0">
            <x v="0"/>
          </reference>
          <reference field="4" count="1" selected="0">
            <x v="13"/>
          </reference>
          <reference field="6" count="1" selected="0">
            <x v="3"/>
          </reference>
        </references>
      </pivotArea>
    </chartFormat>
    <chartFormat chart="1" format="95">
      <pivotArea type="data" outline="0" fieldPosition="0">
        <references count="3">
          <reference field="4294967294" count="1" selected="0">
            <x v="0"/>
          </reference>
          <reference field="4" count="1" selected="0">
            <x v="14"/>
          </reference>
          <reference field="6" count="1" selected="0">
            <x v="3"/>
          </reference>
        </references>
      </pivotArea>
    </chartFormat>
    <chartFormat chart="1" format="96">
      <pivotArea type="data" outline="0" fieldPosition="0">
        <references count="3">
          <reference field="4294967294" count="1" selected="0">
            <x v="0"/>
          </reference>
          <reference field="4" count="1" selected="0">
            <x v="15"/>
          </reference>
          <reference field="6" count="1" selected="0">
            <x v="3"/>
          </reference>
        </references>
      </pivotArea>
    </chartFormat>
    <chartFormat chart="1" format="97">
      <pivotArea type="data" outline="0" fieldPosition="0">
        <references count="3">
          <reference field="4294967294" count="1" selected="0">
            <x v="0"/>
          </reference>
          <reference field="4" count="1" selected="0">
            <x v="16"/>
          </reference>
          <reference field="6" count="1" selected="0">
            <x v="3"/>
          </reference>
        </references>
      </pivotArea>
    </chartFormat>
    <chartFormat chart="1" format="98">
      <pivotArea type="data" outline="0" fieldPosition="0">
        <references count="3">
          <reference field="4294967294" count="1" selected="0">
            <x v="0"/>
          </reference>
          <reference field="4" count="1" selected="0">
            <x v="17"/>
          </reference>
          <reference field="6" count="1" selected="0">
            <x v="3"/>
          </reference>
        </references>
      </pivotArea>
    </chartFormat>
    <chartFormat chart="1" format="99">
      <pivotArea type="data" outline="0" fieldPosition="0">
        <references count="3">
          <reference field="4294967294" count="1" selected="0">
            <x v="0"/>
          </reference>
          <reference field="4" count="1" selected="0">
            <x v="18"/>
          </reference>
          <reference field="6" count="1" selected="0">
            <x v="3"/>
          </reference>
        </references>
      </pivotArea>
    </chartFormat>
    <chartFormat chart="1" format="100">
      <pivotArea type="data" outline="0" fieldPosition="0">
        <references count="3">
          <reference field="4294967294" count="1" selected="0">
            <x v="0"/>
          </reference>
          <reference field="4" count="1" selected="0">
            <x v="19"/>
          </reference>
          <reference field="6" count="1" selected="0">
            <x v="3"/>
          </reference>
        </references>
      </pivotArea>
    </chartFormat>
    <chartFormat chart="1" format="101">
      <pivotArea type="data" outline="0" fieldPosition="0">
        <references count="3">
          <reference field="4294967294" count="1" selected="0">
            <x v="0"/>
          </reference>
          <reference field="4" count="1" selected="0">
            <x v="20"/>
          </reference>
          <reference field="6" count="1" selected="0">
            <x v="3"/>
          </reference>
        </references>
      </pivotArea>
    </chartFormat>
    <chartFormat chart="1" format="102">
      <pivotArea type="data" outline="0" fieldPosition="0">
        <references count="3">
          <reference field="4294967294" count="1" selected="0">
            <x v="0"/>
          </reference>
          <reference field="4" count="1" selected="0">
            <x v="21"/>
          </reference>
          <reference field="6" count="1" selected="0">
            <x v="3"/>
          </reference>
        </references>
      </pivotArea>
    </chartFormat>
    <chartFormat chart="1" format="103" series="1">
      <pivotArea type="data" outline="0" fieldPosition="0">
        <references count="2">
          <reference field="4294967294" count="1" selected="0">
            <x v="0"/>
          </reference>
          <reference field="6" count="1" selected="0">
            <x v="4"/>
          </reference>
        </references>
      </pivotArea>
    </chartFormat>
    <chartFormat chart="1" format="104">
      <pivotArea type="data" outline="0" fieldPosition="0">
        <references count="3">
          <reference field="4294967294" count="1" selected="0">
            <x v="0"/>
          </reference>
          <reference field="4" count="1" selected="0">
            <x v="0"/>
          </reference>
          <reference field="6" count="1" selected="0">
            <x v="4"/>
          </reference>
        </references>
      </pivotArea>
    </chartFormat>
    <chartFormat chart="1" format="105">
      <pivotArea type="data" outline="0" fieldPosition="0">
        <references count="3">
          <reference field="4294967294" count="1" selected="0">
            <x v="0"/>
          </reference>
          <reference field="4" count="1" selected="0">
            <x v="1"/>
          </reference>
          <reference field="6" count="1" selected="0">
            <x v="4"/>
          </reference>
        </references>
      </pivotArea>
    </chartFormat>
    <chartFormat chart="1" format="106">
      <pivotArea type="data" outline="0" fieldPosition="0">
        <references count="3">
          <reference field="4294967294" count="1" selected="0">
            <x v="0"/>
          </reference>
          <reference field="4" count="1" selected="0">
            <x v="2"/>
          </reference>
          <reference field="6" count="1" selected="0">
            <x v="4"/>
          </reference>
        </references>
      </pivotArea>
    </chartFormat>
    <chartFormat chart="1" format="107">
      <pivotArea type="data" outline="0" fieldPosition="0">
        <references count="3">
          <reference field="4294967294" count="1" selected="0">
            <x v="0"/>
          </reference>
          <reference field="4" count="1" selected="0">
            <x v="3"/>
          </reference>
          <reference field="6" count="1" selected="0">
            <x v="4"/>
          </reference>
        </references>
      </pivotArea>
    </chartFormat>
    <chartFormat chart="1" format="108">
      <pivotArea type="data" outline="0" fieldPosition="0">
        <references count="3">
          <reference field="4294967294" count="1" selected="0">
            <x v="0"/>
          </reference>
          <reference field="4" count="1" selected="0">
            <x v="4"/>
          </reference>
          <reference field="6" count="1" selected="0">
            <x v="4"/>
          </reference>
        </references>
      </pivotArea>
    </chartFormat>
    <chartFormat chart="1" format="109">
      <pivotArea type="data" outline="0" fieldPosition="0">
        <references count="3">
          <reference field="4294967294" count="1" selected="0">
            <x v="0"/>
          </reference>
          <reference field="4" count="1" selected="0">
            <x v="5"/>
          </reference>
          <reference field="6" count="1" selected="0">
            <x v="4"/>
          </reference>
        </references>
      </pivotArea>
    </chartFormat>
    <chartFormat chart="1" format="110">
      <pivotArea type="data" outline="0" fieldPosition="0">
        <references count="3">
          <reference field="4294967294" count="1" selected="0">
            <x v="0"/>
          </reference>
          <reference field="4" count="1" selected="0">
            <x v="6"/>
          </reference>
          <reference field="6" count="1" selected="0">
            <x v="4"/>
          </reference>
        </references>
      </pivotArea>
    </chartFormat>
    <chartFormat chart="1" format="111">
      <pivotArea type="data" outline="0" fieldPosition="0">
        <references count="3">
          <reference field="4294967294" count="1" selected="0">
            <x v="0"/>
          </reference>
          <reference field="4" count="1" selected="0">
            <x v="7"/>
          </reference>
          <reference field="6" count="1" selected="0">
            <x v="4"/>
          </reference>
        </references>
      </pivotArea>
    </chartFormat>
    <chartFormat chart="1" format="112">
      <pivotArea type="data" outline="0" fieldPosition="0">
        <references count="3">
          <reference field="4294967294" count="1" selected="0">
            <x v="0"/>
          </reference>
          <reference field="4" count="1" selected="0">
            <x v="8"/>
          </reference>
          <reference field="6" count="1" selected="0">
            <x v="4"/>
          </reference>
        </references>
      </pivotArea>
    </chartFormat>
    <chartFormat chart="1" format="113">
      <pivotArea type="data" outline="0" fieldPosition="0">
        <references count="3">
          <reference field="4294967294" count="1" selected="0">
            <x v="0"/>
          </reference>
          <reference field="4" count="1" selected="0">
            <x v="9"/>
          </reference>
          <reference field="6" count="1" selected="0">
            <x v="4"/>
          </reference>
        </references>
      </pivotArea>
    </chartFormat>
    <chartFormat chart="1" format="114">
      <pivotArea type="data" outline="0" fieldPosition="0">
        <references count="3">
          <reference field="4294967294" count="1" selected="0">
            <x v="0"/>
          </reference>
          <reference field="4" count="1" selected="0">
            <x v="10"/>
          </reference>
          <reference field="6" count="1" selected="0">
            <x v="4"/>
          </reference>
        </references>
      </pivotArea>
    </chartFormat>
    <chartFormat chart="1" format="115">
      <pivotArea type="data" outline="0" fieldPosition="0">
        <references count="3">
          <reference field="4294967294" count="1" selected="0">
            <x v="0"/>
          </reference>
          <reference field="4" count="1" selected="0">
            <x v="11"/>
          </reference>
          <reference field="6" count="1" selected="0">
            <x v="4"/>
          </reference>
        </references>
      </pivotArea>
    </chartFormat>
    <chartFormat chart="1" format="116">
      <pivotArea type="data" outline="0" fieldPosition="0">
        <references count="3">
          <reference field="4294967294" count="1" selected="0">
            <x v="0"/>
          </reference>
          <reference field="4" count="1" selected="0">
            <x v="12"/>
          </reference>
          <reference field="6" count="1" selected="0">
            <x v="4"/>
          </reference>
        </references>
      </pivotArea>
    </chartFormat>
    <chartFormat chart="1" format="117">
      <pivotArea type="data" outline="0" fieldPosition="0">
        <references count="3">
          <reference field="4294967294" count="1" selected="0">
            <x v="0"/>
          </reference>
          <reference field="4" count="1" selected="0">
            <x v="13"/>
          </reference>
          <reference field="6" count="1" selected="0">
            <x v="4"/>
          </reference>
        </references>
      </pivotArea>
    </chartFormat>
    <chartFormat chart="1" format="118">
      <pivotArea type="data" outline="0" fieldPosition="0">
        <references count="3">
          <reference field="4294967294" count="1" selected="0">
            <x v="0"/>
          </reference>
          <reference field="4" count="1" selected="0">
            <x v="14"/>
          </reference>
          <reference field="6" count="1" selected="0">
            <x v="4"/>
          </reference>
        </references>
      </pivotArea>
    </chartFormat>
    <chartFormat chart="1" format="119">
      <pivotArea type="data" outline="0" fieldPosition="0">
        <references count="3">
          <reference field="4294967294" count="1" selected="0">
            <x v="0"/>
          </reference>
          <reference field="4" count="1" selected="0">
            <x v="15"/>
          </reference>
          <reference field="6" count="1" selected="0">
            <x v="4"/>
          </reference>
        </references>
      </pivotArea>
    </chartFormat>
    <chartFormat chart="1" format="120">
      <pivotArea type="data" outline="0" fieldPosition="0">
        <references count="3">
          <reference field="4294967294" count="1" selected="0">
            <x v="0"/>
          </reference>
          <reference field="4" count="1" selected="0">
            <x v="16"/>
          </reference>
          <reference field="6" count="1" selected="0">
            <x v="4"/>
          </reference>
        </references>
      </pivotArea>
    </chartFormat>
    <chartFormat chart="1" format="121">
      <pivotArea type="data" outline="0" fieldPosition="0">
        <references count="3">
          <reference field="4294967294" count="1" selected="0">
            <x v="0"/>
          </reference>
          <reference field="4" count="1" selected="0">
            <x v="17"/>
          </reference>
          <reference field="6" count="1" selected="0">
            <x v="4"/>
          </reference>
        </references>
      </pivotArea>
    </chartFormat>
    <chartFormat chart="1" format="122">
      <pivotArea type="data" outline="0" fieldPosition="0">
        <references count="3">
          <reference field="4294967294" count="1" selected="0">
            <x v="0"/>
          </reference>
          <reference field="4" count="1" selected="0">
            <x v="18"/>
          </reference>
          <reference field="6" count="1" selected="0">
            <x v="4"/>
          </reference>
        </references>
      </pivotArea>
    </chartFormat>
    <chartFormat chart="1" format="123">
      <pivotArea type="data" outline="0" fieldPosition="0">
        <references count="3">
          <reference field="4294967294" count="1" selected="0">
            <x v="0"/>
          </reference>
          <reference field="4" count="1" selected="0">
            <x v="19"/>
          </reference>
          <reference field="6" count="1" selected="0">
            <x v="4"/>
          </reference>
        </references>
      </pivotArea>
    </chartFormat>
    <chartFormat chart="1" format="124">
      <pivotArea type="data" outline="0" fieldPosition="0">
        <references count="3">
          <reference field="4294967294" count="1" selected="0">
            <x v="0"/>
          </reference>
          <reference field="4" count="1" selected="0">
            <x v="20"/>
          </reference>
          <reference field="6" count="1" selected="0">
            <x v="4"/>
          </reference>
        </references>
      </pivotArea>
    </chartFormat>
    <chartFormat chart="1" format="125">
      <pivotArea type="data" outline="0" fieldPosition="0">
        <references count="3">
          <reference field="4294967294" count="1" selected="0">
            <x v="0"/>
          </reference>
          <reference field="4" count="1" selected="0">
            <x v="21"/>
          </reference>
          <reference field="6" count="1" selected="0">
            <x v="4"/>
          </reference>
        </references>
      </pivotArea>
    </chartFormat>
    <chartFormat chart="1" format="126" series="1">
      <pivotArea type="data" outline="0" fieldPosition="0">
        <references count="2">
          <reference field="4294967294" count="1" selected="0">
            <x v="0"/>
          </reference>
          <reference field="6" count="1" selected="0">
            <x v="5"/>
          </reference>
        </references>
      </pivotArea>
    </chartFormat>
    <chartFormat chart="1" format="127">
      <pivotArea type="data" outline="0" fieldPosition="0">
        <references count="3">
          <reference field="4294967294" count="1" selected="0">
            <x v="0"/>
          </reference>
          <reference field="4" count="1" selected="0">
            <x v="0"/>
          </reference>
          <reference field="6" count="1" selected="0">
            <x v="5"/>
          </reference>
        </references>
      </pivotArea>
    </chartFormat>
    <chartFormat chart="1" format="128">
      <pivotArea type="data" outline="0" fieldPosition="0">
        <references count="3">
          <reference field="4294967294" count="1" selected="0">
            <x v="0"/>
          </reference>
          <reference field="4" count="1" selected="0">
            <x v="1"/>
          </reference>
          <reference field="6" count="1" selected="0">
            <x v="5"/>
          </reference>
        </references>
      </pivotArea>
    </chartFormat>
    <chartFormat chart="1" format="129">
      <pivotArea type="data" outline="0" fieldPosition="0">
        <references count="3">
          <reference field="4294967294" count="1" selected="0">
            <x v="0"/>
          </reference>
          <reference field="4" count="1" selected="0">
            <x v="2"/>
          </reference>
          <reference field="6" count="1" selected="0">
            <x v="5"/>
          </reference>
        </references>
      </pivotArea>
    </chartFormat>
    <chartFormat chart="1" format="130">
      <pivotArea type="data" outline="0" fieldPosition="0">
        <references count="3">
          <reference field="4294967294" count="1" selected="0">
            <x v="0"/>
          </reference>
          <reference field="4" count="1" selected="0">
            <x v="3"/>
          </reference>
          <reference field="6" count="1" selected="0">
            <x v="5"/>
          </reference>
        </references>
      </pivotArea>
    </chartFormat>
    <chartFormat chart="1" format="131">
      <pivotArea type="data" outline="0" fieldPosition="0">
        <references count="3">
          <reference field="4294967294" count="1" selected="0">
            <x v="0"/>
          </reference>
          <reference field="4" count="1" selected="0">
            <x v="4"/>
          </reference>
          <reference field="6" count="1" selected="0">
            <x v="5"/>
          </reference>
        </references>
      </pivotArea>
    </chartFormat>
    <chartFormat chart="1" format="132">
      <pivotArea type="data" outline="0" fieldPosition="0">
        <references count="3">
          <reference field="4294967294" count="1" selected="0">
            <x v="0"/>
          </reference>
          <reference field="4" count="1" selected="0">
            <x v="5"/>
          </reference>
          <reference field="6" count="1" selected="0">
            <x v="5"/>
          </reference>
        </references>
      </pivotArea>
    </chartFormat>
    <chartFormat chart="1" format="133">
      <pivotArea type="data" outline="0" fieldPosition="0">
        <references count="3">
          <reference field="4294967294" count="1" selected="0">
            <x v="0"/>
          </reference>
          <reference field="4" count="1" selected="0">
            <x v="6"/>
          </reference>
          <reference field="6" count="1" selected="0">
            <x v="5"/>
          </reference>
        </references>
      </pivotArea>
    </chartFormat>
    <chartFormat chart="1" format="134">
      <pivotArea type="data" outline="0" fieldPosition="0">
        <references count="3">
          <reference field="4294967294" count="1" selected="0">
            <x v="0"/>
          </reference>
          <reference field="4" count="1" selected="0">
            <x v="7"/>
          </reference>
          <reference field="6" count="1" selected="0">
            <x v="5"/>
          </reference>
        </references>
      </pivotArea>
    </chartFormat>
    <chartFormat chart="1" format="135">
      <pivotArea type="data" outline="0" fieldPosition="0">
        <references count="3">
          <reference field="4294967294" count="1" selected="0">
            <x v="0"/>
          </reference>
          <reference field="4" count="1" selected="0">
            <x v="8"/>
          </reference>
          <reference field="6" count="1" selected="0">
            <x v="5"/>
          </reference>
        </references>
      </pivotArea>
    </chartFormat>
    <chartFormat chart="1" format="136">
      <pivotArea type="data" outline="0" fieldPosition="0">
        <references count="3">
          <reference field="4294967294" count="1" selected="0">
            <x v="0"/>
          </reference>
          <reference field="4" count="1" selected="0">
            <x v="9"/>
          </reference>
          <reference field="6" count="1" selected="0">
            <x v="5"/>
          </reference>
        </references>
      </pivotArea>
    </chartFormat>
    <chartFormat chart="1" format="137">
      <pivotArea type="data" outline="0" fieldPosition="0">
        <references count="3">
          <reference field="4294967294" count="1" selected="0">
            <x v="0"/>
          </reference>
          <reference field="4" count="1" selected="0">
            <x v="10"/>
          </reference>
          <reference field="6" count="1" selected="0">
            <x v="5"/>
          </reference>
        </references>
      </pivotArea>
    </chartFormat>
    <chartFormat chart="1" format="138">
      <pivotArea type="data" outline="0" fieldPosition="0">
        <references count="3">
          <reference field="4294967294" count="1" selected="0">
            <x v="0"/>
          </reference>
          <reference field="4" count="1" selected="0">
            <x v="11"/>
          </reference>
          <reference field="6" count="1" selected="0">
            <x v="5"/>
          </reference>
        </references>
      </pivotArea>
    </chartFormat>
    <chartFormat chart="1" format="139">
      <pivotArea type="data" outline="0" fieldPosition="0">
        <references count="3">
          <reference field="4294967294" count="1" selected="0">
            <x v="0"/>
          </reference>
          <reference field="4" count="1" selected="0">
            <x v="12"/>
          </reference>
          <reference field="6" count="1" selected="0">
            <x v="5"/>
          </reference>
        </references>
      </pivotArea>
    </chartFormat>
    <chartFormat chart="1" format="140">
      <pivotArea type="data" outline="0" fieldPosition="0">
        <references count="3">
          <reference field="4294967294" count="1" selected="0">
            <x v="0"/>
          </reference>
          <reference field="4" count="1" selected="0">
            <x v="13"/>
          </reference>
          <reference field="6" count="1" selected="0">
            <x v="5"/>
          </reference>
        </references>
      </pivotArea>
    </chartFormat>
    <chartFormat chart="1" format="141">
      <pivotArea type="data" outline="0" fieldPosition="0">
        <references count="3">
          <reference field="4294967294" count="1" selected="0">
            <x v="0"/>
          </reference>
          <reference field="4" count="1" selected="0">
            <x v="14"/>
          </reference>
          <reference field="6" count="1" selected="0">
            <x v="5"/>
          </reference>
        </references>
      </pivotArea>
    </chartFormat>
    <chartFormat chart="1" format="142">
      <pivotArea type="data" outline="0" fieldPosition="0">
        <references count="3">
          <reference field="4294967294" count="1" selected="0">
            <x v="0"/>
          </reference>
          <reference field="4" count="1" selected="0">
            <x v="15"/>
          </reference>
          <reference field="6" count="1" selected="0">
            <x v="5"/>
          </reference>
        </references>
      </pivotArea>
    </chartFormat>
    <chartFormat chart="1" format="143">
      <pivotArea type="data" outline="0" fieldPosition="0">
        <references count="3">
          <reference field="4294967294" count="1" selected="0">
            <x v="0"/>
          </reference>
          <reference field="4" count="1" selected="0">
            <x v="16"/>
          </reference>
          <reference field="6" count="1" selected="0">
            <x v="5"/>
          </reference>
        </references>
      </pivotArea>
    </chartFormat>
    <chartFormat chart="1" format="144">
      <pivotArea type="data" outline="0" fieldPosition="0">
        <references count="3">
          <reference field="4294967294" count="1" selected="0">
            <x v="0"/>
          </reference>
          <reference field="4" count="1" selected="0">
            <x v="17"/>
          </reference>
          <reference field="6" count="1" selected="0">
            <x v="5"/>
          </reference>
        </references>
      </pivotArea>
    </chartFormat>
    <chartFormat chart="1" format="145">
      <pivotArea type="data" outline="0" fieldPosition="0">
        <references count="3">
          <reference field="4294967294" count="1" selected="0">
            <x v="0"/>
          </reference>
          <reference field="4" count="1" selected="0">
            <x v="18"/>
          </reference>
          <reference field="6" count="1" selected="0">
            <x v="5"/>
          </reference>
        </references>
      </pivotArea>
    </chartFormat>
    <chartFormat chart="1" format="146">
      <pivotArea type="data" outline="0" fieldPosition="0">
        <references count="3">
          <reference field="4294967294" count="1" selected="0">
            <x v="0"/>
          </reference>
          <reference field="4" count="1" selected="0">
            <x v="19"/>
          </reference>
          <reference field="6" count="1" selected="0">
            <x v="5"/>
          </reference>
        </references>
      </pivotArea>
    </chartFormat>
    <chartFormat chart="1" format="147">
      <pivotArea type="data" outline="0" fieldPosition="0">
        <references count="3">
          <reference field="4294967294" count="1" selected="0">
            <x v="0"/>
          </reference>
          <reference field="4" count="1" selected="0">
            <x v="20"/>
          </reference>
          <reference field="6" count="1" selected="0">
            <x v="5"/>
          </reference>
        </references>
      </pivotArea>
    </chartFormat>
    <chartFormat chart="1" format="148">
      <pivotArea type="data" outline="0" fieldPosition="0">
        <references count="3">
          <reference field="4294967294" count="1" selected="0">
            <x v="0"/>
          </reference>
          <reference field="4" count="1" selected="0">
            <x v="21"/>
          </reference>
          <reference field="6" count="1" selected="0">
            <x v="5"/>
          </reference>
        </references>
      </pivotArea>
    </chartFormat>
    <chartFormat chart="1" format="149" series="1">
      <pivotArea type="data" outline="0" fieldPosition="0">
        <references count="2">
          <reference field="4294967294" count="1" selected="0">
            <x v="0"/>
          </reference>
          <reference field="6" count="1" selected="0">
            <x v="6"/>
          </reference>
        </references>
      </pivotArea>
    </chartFormat>
    <chartFormat chart="1" format="150">
      <pivotArea type="data" outline="0" fieldPosition="0">
        <references count="3">
          <reference field="4294967294" count="1" selected="0">
            <x v="0"/>
          </reference>
          <reference field="4" count="1" selected="0">
            <x v="0"/>
          </reference>
          <reference field="6" count="1" selected="0">
            <x v="6"/>
          </reference>
        </references>
      </pivotArea>
    </chartFormat>
    <chartFormat chart="1" format="151">
      <pivotArea type="data" outline="0" fieldPosition="0">
        <references count="3">
          <reference field="4294967294" count="1" selected="0">
            <x v="0"/>
          </reference>
          <reference field="4" count="1" selected="0">
            <x v="1"/>
          </reference>
          <reference field="6" count="1" selected="0">
            <x v="6"/>
          </reference>
        </references>
      </pivotArea>
    </chartFormat>
    <chartFormat chart="1" format="152">
      <pivotArea type="data" outline="0" fieldPosition="0">
        <references count="3">
          <reference field="4294967294" count="1" selected="0">
            <x v="0"/>
          </reference>
          <reference field="4" count="1" selected="0">
            <x v="2"/>
          </reference>
          <reference field="6" count="1" selected="0">
            <x v="6"/>
          </reference>
        </references>
      </pivotArea>
    </chartFormat>
    <chartFormat chart="1" format="153">
      <pivotArea type="data" outline="0" fieldPosition="0">
        <references count="3">
          <reference field="4294967294" count="1" selected="0">
            <x v="0"/>
          </reference>
          <reference field="4" count="1" selected="0">
            <x v="3"/>
          </reference>
          <reference field="6" count="1" selected="0">
            <x v="6"/>
          </reference>
        </references>
      </pivotArea>
    </chartFormat>
    <chartFormat chart="1" format="154">
      <pivotArea type="data" outline="0" fieldPosition="0">
        <references count="3">
          <reference field="4294967294" count="1" selected="0">
            <x v="0"/>
          </reference>
          <reference field="4" count="1" selected="0">
            <x v="4"/>
          </reference>
          <reference field="6" count="1" selected="0">
            <x v="6"/>
          </reference>
        </references>
      </pivotArea>
    </chartFormat>
    <chartFormat chart="1" format="155">
      <pivotArea type="data" outline="0" fieldPosition="0">
        <references count="3">
          <reference field="4294967294" count="1" selected="0">
            <x v="0"/>
          </reference>
          <reference field="4" count="1" selected="0">
            <x v="5"/>
          </reference>
          <reference field="6" count="1" selected="0">
            <x v="6"/>
          </reference>
        </references>
      </pivotArea>
    </chartFormat>
    <chartFormat chart="1" format="156">
      <pivotArea type="data" outline="0" fieldPosition="0">
        <references count="3">
          <reference field="4294967294" count="1" selected="0">
            <x v="0"/>
          </reference>
          <reference field="4" count="1" selected="0">
            <x v="6"/>
          </reference>
          <reference field="6" count="1" selected="0">
            <x v="6"/>
          </reference>
        </references>
      </pivotArea>
    </chartFormat>
    <chartFormat chart="1" format="157">
      <pivotArea type="data" outline="0" fieldPosition="0">
        <references count="3">
          <reference field="4294967294" count="1" selected="0">
            <x v="0"/>
          </reference>
          <reference field="4" count="1" selected="0">
            <x v="7"/>
          </reference>
          <reference field="6" count="1" selected="0">
            <x v="6"/>
          </reference>
        </references>
      </pivotArea>
    </chartFormat>
    <chartFormat chart="1" format="158">
      <pivotArea type="data" outline="0" fieldPosition="0">
        <references count="3">
          <reference field="4294967294" count="1" selected="0">
            <x v="0"/>
          </reference>
          <reference field="4" count="1" selected="0">
            <x v="8"/>
          </reference>
          <reference field="6" count="1" selected="0">
            <x v="6"/>
          </reference>
        </references>
      </pivotArea>
    </chartFormat>
    <chartFormat chart="1" format="159">
      <pivotArea type="data" outline="0" fieldPosition="0">
        <references count="3">
          <reference field="4294967294" count="1" selected="0">
            <x v="0"/>
          </reference>
          <reference field="4" count="1" selected="0">
            <x v="9"/>
          </reference>
          <reference field="6" count="1" selected="0">
            <x v="6"/>
          </reference>
        </references>
      </pivotArea>
    </chartFormat>
    <chartFormat chart="1" format="160">
      <pivotArea type="data" outline="0" fieldPosition="0">
        <references count="3">
          <reference field="4294967294" count="1" selected="0">
            <x v="0"/>
          </reference>
          <reference field="4" count="1" selected="0">
            <x v="10"/>
          </reference>
          <reference field="6" count="1" selected="0">
            <x v="6"/>
          </reference>
        </references>
      </pivotArea>
    </chartFormat>
    <chartFormat chart="1" format="161">
      <pivotArea type="data" outline="0" fieldPosition="0">
        <references count="3">
          <reference field="4294967294" count="1" selected="0">
            <x v="0"/>
          </reference>
          <reference field="4" count="1" selected="0">
            <x v="11"/>
          </reference>
          <reference field="6" count="1" selected="0">
            <x v="6"/>
          </reference>
        </references>
      </pivotArea>
    </chartFormat>
    <chartFormat chart="1" format="162">
      <pivotArea type="data" outline="0" fieldPosition="0">
        <references count="3">
          <reference field="4294967294" count="1" selected="0">
            <x v="0"/>
          </reference>
          <reference field="4" count="1" selected="0">
            <x v="12"/>
          </reference>
          <reference field="6" count="1" selected="0">
            <x v="6"/>
          </reference>
        </references>
      </pivotArea>
    </chartFormat>
    <chartFormat chart="1" format="163">
      <pivotArea type="data" outline="0" fieldPosition="0">
        <references count="3">
          <reference field="4294967294" count="1" selected="0">
            <x v="0"/>
          </reference>
          <reference field="4" count="1" selected="0">
            <x v="13"/>
          </reference>
          <reference field="6" count="1" selected="0">
            <x v="6"/>
          </reference>
        </references>
      </pivotArea>
    </chartFormat>
    <chartFormat chart="1" format="164">
      <pivotArea type="data" outline="0" fieldPosition="0">
        <references count="3">
          <reference field="4294967294" count="1" selected="0">
            <x v="0"/>
          </reference>
          <reference field="4" count="1" selected="0">
            <x v="14"/>
          </reference>
          <reference field="6" count="1" selected="0">
            <x v="6"/>
          </reference>
        </references>
      </pivotArea>
    </chartFormat>
    <chartFormat chart="1" format="165">
      <pivotArea type="data" outline="0" fieldPosition="0">
        <references count="3">
          <reference field="4294967294" count="1" selected="0">
            <x v="0"/>
          </reference>
          <reference field="4" count="1" selected="0">
            <x v="15"/>
          </reference>
          <reference field="6" count="1" selected="0">
            <x v="6"/>
          </reference>
        </references>
      </pivotArea>
    </chartFormat>
    <chartFormat chart="1" format="166">
      <pivotArea type="data" outline="0" fieldPosition="0">
        <references count="3">
          <reference field="4294967294" count="1" selected="0">
            <x v="0"/>
          </reference>
          <reference field="4" count="1" selected="0">
            <x v="16"/>
          </reference>
          <reference field="6" count="1" selected="0">
            <x v="6"/>
          </reference>
        </references>
      </pivotArea>
    </chartFormat>
    <chartFormat chart="1" format="167">
      <pivotArea type="data" outline="0" fieldPosition="0">
        <references count="3">
          <reference field="4294967294" count="1" selected="0">
            <x v="0"/>
          </reference>
          <reference field="4" count="1" selected="0">
            <x v="17"/>
          </reference>
          <reference field="6" count="1" selected="0">
            <x v="6"/>
          </reference>
        </references>
      </pivotArea>
    </chartFormat>
    <chartFormat chart="1" format="168">
      <pivotArea type="data" outline="0" fieldPosition="0">
        <references count="3">
          <reference field="4294967294" count="1" selected="0">
            <x v="0"/>
          </reference>
          <reference field="4" count="1" selected="0">
            <x v="18"/>
          </reference>
          <reference field="6" count="1" selected="0">
            <x v="6"/>
          </reference>
        </references>
      </pivotArea>
    </chartFormat>
    <chartFormat chart="1" format="169">
      <pivotArea type="data" outline="0" fieldPosition="0">
        <references count="3">
          <reference field="4294967294" count="1" selected="0">
            <x v="0"/>
          </reference>
          <reference field="4" count="1" selected="0">
            <x v="19"/>
          </reference>
          <reference field="6" count="1" selected="0">
            <x v="6"/>
          </reference>
        </references>
      </pivotArea>
    </chartFormat>
    <chartFormat chart="1" format="170">
      <pivotArea type="data" outline="0" fieldPosition="0">
        <references count="3">
          <reference field="4294967294" count="1" selected="0">
            <x v="0"/>
          </reference>
          <reference field="4" count="1" selected="0">
            <x v="20"/>
          </reference>
          <reference field="6" count="1" selected="0">
            <x v="6"/>
          </reference>
        </references>
      </pivotArea>
    </chartFormat>
    <chartFormat chart="1" format="171">
      <pivotArea type="data" outline="0" fieldPosition="0">
        <references count="3">
          <reference field="4294967294" count="1" selected="0">
            <x v="0"/>
          </reference>
          <reference field="4" count="1" selected="0">
            <x v="21"/>
          </reference>
          <reference field="6" count="1" selected="0">
            <x v="6"/>
          </reference>
        </references>
      </pivotArea>
    </chartFormat>
    <chartFormat chart="1" format="172" series="1">
      <pivotArea type="data" outline="0" fieldPosition="0">
        <references count="2">
          <reference field="4294967294" count="1" selected="0">
            <x v="0"/>
          </reference>
          <reference field="6" count="1" selected="0">
            <x v="7"/>
          </reference>
        </references>
      </pivotArea>
    </chartFormat>
    <chartFormat chart="1" format="173">
      <pivotArea type="data" outline="0" fieldPosition="0">
        <references count="3">
          <reference field="4294967294" count="1" selected="0">
            <x v="0"/>
          </reference>
          <reference field="4" count="1" selected="0">
            <x v="0"/>
          </reference>
          <reference field="6" count="1" selected="0">
            <x v="7"/>
          </reference>
        </references>
      </pivotArea>
    </chartFormat>
    <chartFormat chart="1" format="174">
      <pivotArea type="data" outline="0" fieldPosition="0">
        <references count="3">
          <reference field="4294967294" count="1" selected="0">
            <x v="0"/>
          </reference>
          <reference field="4" count="1" selected="0">
            <x v="1"/>
          </reference>
          <reference field="6" count="1" selected="0">
            <x v="7"/>
          </reference>
        </references>
      </pivotArea>
    </chartFormat>
    <chartFormat chart="1" format="175">
      <pivotArea type="data" outline="0" fieldPosition="0">
        <references count="3">
          <reference field="4294967294" count="1" selected="0">
            <x v="0"/>
          </reference>
          <reference field="4" count="1" selected="0">
            <x v="2"/>
          </reference>
          <reference field="6" count="1" selected="0">
            <x v="7"/>
          </reference>
        </references>
      </pivotArea>
    </chartFormat>
    <chartFormat chart="1" format="176">
      <pivotArea type="data" outline="0" fieldPosition="0">
        <references count="3">
          <reference field="4294967294" count="1" selected="0">
            <x v="0"/>
          </reference>
          <reference field="4" count="1" selected="0">
            <x v="3"/>
          </reference>
          <reference field="6" count="1" selected="0">
            <x v="7"/>
          </reference>
        </references>
      </pivotArea>
    </chartFormat>
    <chartFormat chart="1" format="177">
      <pivotArea type="data" outline="0" fieldPosition="0">
        <references count="3">
          <reference field="4294967294" count="1" selected="0">
            <x v="0"/>
          </reference>
          <reference field="4" count="1" selected="0">
            <x v="4"/>
          </reference>
          <reference field="6" count="1" selected="0">
            <x v="7"/>
          </reference>
        </references>
      </pivotArea>
    </chartFormat>
    <chartFormat chart="1" format="178">
      <pivotArea type="data" outline="0" fieldPosition="0">
        <references count="3">
          <reference field="4294967294" count="1" selected="0">
            <x v="0"/>
          </reference>
          <reference field="4" count="1" selected="0">
            <x v="5"/>
          </reference>
          <reference field="6" count="1" selected="0">
            <x v="7"/>
          </reference>
        </references>
      </pivotArea>
    </chartFormat>
    <chartFormat chart="1" format="179">
      <pivotArea type="data" outline="0" fieldPosition="0">
        <references count="3">
          <reference field="4294967294" count="1" selected="0">
            <x v="0"/>
          </reference>
          <reference field="4" count="1" selected="0">
            <x v="6"/>
          </reference>
          <reference field="6" count="1" selected="0">
            <x v="7"/>
          </reference>
        </references>
      </pivotArea>
    </chartFormat>
    <chartFormat chart="1" format="180">
      <pivotArea type="data" outline="0" fieldPosition="0">
        <references count="3">
          <reference field="4294967294" count="1" selected="0">
            <x v="0"/>
          </reference>
          <reference field="4" count="1" selected="0">
            <x v="7"/>
          </reference>
          <reference field="6" count="1" selected="0">
            <x v="7"/>
          </reference>
        </references>
      </pivotArea>
    </chartFormat>
    <chartFormat chart="1" format="181">
      <pivotArea type="data" outline="0" fieldPosition="0">
        <references count="3">
          <reference field="4294967294" count="1" selected="0">
            <x v="0"/>
          </reference>
          <reference field="4" count="1" selected="0">
            <x v="8"/>
          </reference>
          <reference field="6" count="1" selected="0">
            <x v="7"/>
          </reference>
        </references>
      </pivotArea>
    </chartFormat>
    <chartFormat chart="1" format="182">
      <pivotArea type="data" outline="0" fieldPosition="0">
        <references count="3">
          <reference field="4294967294" count="1" selected="0">
            <x v="0"/>
          </reference>
          <reference field="4" count="1" selected="0">
            <x v="9"/>
          </reference>
          <reference field="6" count="1" selected="0">
            <x v="7"/>
          </reference>
        </references>
      </pivotArea>
    </chartFormat>
    <chartFormat chart="1" format="183">
      <pivotArea type="data" outline="0" fieldPosition="0">
        <references count="3">
          <reference field="4294967294" count="1" selected="0">
            <x v="0"/>
          </reference>
          <reference field="4" count="1" selected="0">
            <x v="10"/>
          </reference>
          <reference field="6" count="1" selected="0">
            <x v="7"/>
          </reference>
        </references>
      </pivotArea>
    </chartFormat>
    <chartFormat chart="1" format="184">
      <pivotArea type="data" outline="0" fieldPosition="0">
        <references count="3">
          <reference field="4294967294" count="1" selected="0">
            <x v="0"/>
          </reference>
          <reference field="4" count="1" selected="0">
            <x v="11"/>
          </reference>
          <reference field="6" count="1" selected="0">
            <x v="7"/>
          </reference>
        </references>
      </pivotArea>
    </chartFormat>
    <chartFormat chart="1" format="185">
      <pivotArea type="data" outline="0" fieldPosition="0">
        <references count="3">
          <reference field="4294967294" count="1" selected="0">
            <x v="0"/>
          </reference>
          <reference field="4" count="1" selected="0">
            <x v="12"/>
          </reference>
          <reference field="6" count="1" selected="0">
            <x v="7"/>
          </reference>
        </references>
      </pivotArea>
    </chartFormat>
    <chartFormat chart="1" format="186">
      <pivotArea type="data" outline="0" fieldPosition="0">
        <references count="3">
          <reference field="4294967294" count="1" selected="0">
            <x v="0"/>
          </reference>
          <reference field="4" count="1" selected="0">
            <x v="13"/>
          </reference>
          <reference field="6" count="1" selected="0">
            <x v="7"/>
          </reference>
        </references>
      </pivotArea>
    </chartFormat>
    <chartFormat chart="1" format="187">
      <pivotArea type="data" outline="0" fieldPosition="0">
        <references count="3">
          <reference field="4294967294" count="1" selected="0">
            <x v="0"/>
          </reference>
          <reference field="4" count="1" selected="0">
            <x v="14"/>
          </reference>
          <reference field="6" count="1" selected="0">
            <x v="7"/>
          </reference>
        </references>
      </pivotArea>
    </chartFormat>
    <chartFormat chart="1" format="188">
      <pivotArea type="data" outline="0" fieldPosition="0">
        <references count="3">
          <reference field="4294967294" count="1" selected="0">
            <x v="0"/>
          </reference>
          <reference field="4" count="1" selected="0">
            <x v="15"/>
          </reference>
          <reference field="6" count="1" selected="0">
            <x v="7"/>
          </reference>
        </references>
      </pivotArea>
    </chartFormat>
    <chartFormat chart="1" format="189">
      <pivotArea type="data" outline="0" fieldPosition="0">
        <references count="3">
          <reference field="4294967294" count="1" selected="0">
            <x v="0"/>
          </reference>
          <reference field="4" count="1" selected="0">
            <x v="16"/>
          </reference>
          <reference field="6" count="1" selected="0">
            <x v="7"/>
          </reference>
        </references>
      </pivotArea>
    </chartFormat>
    <chartFormat chart="1" format="190">
      <pivotArea type="data" outline="0" fieldPosition="0">
        <references count="3">
          <reference field="4294967294" count="1" selected="0">
            <x v="0"/>
          </reference>
          <reference field="4" count="1" selected="0">
            <x v="17"/>
          </reference>
          <reference field="6" count="1" selected="0">
            <x v="7"/>
          </reference>
        </references>
      </pivotArea>
    </chartFormat>
    <chartFormat chart="1" format="191">
      <pivotArea type="data" outline="0" fieldPosition="0">
        <references count="3">
          <reference field="4294967294" count="1" selected="0">
            <x v="0"/>
          </reference>
          <reference field="4" count="1" selected="0">
            <x v="18"/>
          </reference>
          <reference field="6" count="1" selected="0">
            <x v="7"/>
          </reference>
        </references>
      </pivotArea>
    </chartFormat>
    <chartFormat chart="1" format="192">
      <pivotArea type="data" outline="0" fieldPosition="0">
        <references count="3">
          <reference field="4294967294" count="1" selected="0">
            <x v="0"/>
          </reference>
          <reference field="4" count="1" selected="0">
            <x v="19"/>
          </reference>
          <reference field="6" count="1" selected="0">
            <x v="7"/>
          </reference>
        </references>
      </pivotArea>
    </chartFormat>
    <chartFormat chart="1" format="193">
      <pivotArea type="data" outline="0" fieldPosition="0">
        <references count="3">
          <reference field="4294967294" count="1" selected="0">
            <x v="0"/>
          </reference>
          <reference field="4" count="1" selected="0">
            <x v="20"/>
          </reference>
          <reference field="6" count="1" selected="0">
            <x v="7"/>
          </reference>
        </references>
      </pivotArea>
    </chartFormat>
    <chartFormat chart="1" format="194">
      <pivotArea type="data" outline="0" fieldPosition="0">
        <references count="3">
          <reference field="4294967294" count="1" selected="0">
            <x v="0"/>
          </reference>
          <reference field="4" count="1" selected="0">
            <x v="21"/>
          </reference>
          <reference field="6" count="1" selected="0">
            <x v="7"/>
          </reference>
        </references>
      </pivotArea>
    </chartFormat>
    <chartFormat chart="1" format="195" series="1">
      <pivotArea type="data" outline="0" fieldPosition="0">
        <references count="2">
          <reference field="4294967294" count="1" selected="0">
            <x v="0"/>
          </reference>
          <reference field="6" count="1" selected="0">
            <x v="8"/>
          </reference>
        </references>
      </pivotArea>
    </chartFormat>
    <chartFormat chart="1" format="196">
      <pivotArea type="data" outline="0" fieldPosition="0">
        <references count="3">
          <reference field="4294967294" count="1" selected="0">
            <x v="0"/>
          </reference>
          <reference field="4" count="1" selected="0">
            <x v="0"/>
          </reference>
          <reference field="6" count="1" selected="0">
            <x v="8"/>
          </reference>
        </references>
      </pivotArea>
    </chartFormat>
    <chartFormat chart="1" format="197">
      <pivotArea type="data" outline="0" fieldPosition="0">
        <references count="3">
          <reference field="4294967294" count="1" selected="0">
            <x v="0"/>
          </reference>
          <reference field="4" count="1" selected="0">
            <x v="1"/>
          </reference>
          <reference field="6" count="1" selected="0">
            <x v="8"/>
          </reference>
        </references>
      </pivotArea>
    </chartFormat>
    <chartFormat chart="1" format="198">
      <pivotArea type="data" outline="0" fieldPosition="0">
        <references count="3">
          <reference field="4294967294" count="1" selected="0">
            <x v="0"/>
          </reference>
          <reference field="4" count="1" selected="0">
            <x v="2"/>
          </reference>
          <reference field="6" count="1" selected="0">
            <x v="8"/>
          </reference>
        </references>
      </pivotArea>
    </chartFormat>
    <chartFormat chart="1" format="199">
      <pivotArea type="data" outline="0" fieldPosition="0">
        <references count="3">
          <reference field="4294967294" count="1" selected="0">
            <x v="0"/>
          </reference>
          <reference field="4" count="1" selected="0">
            <x v="3"/>
          </reference>
          <reference field="6" count="1" selected="0">
            <x v="8"/>
          </reference>
        </references>
      </pivotArea>
    </chartFormat>
    <chartFormat chart="1" format="200">
      <pivotArea type="data" outline="0" fieldPosition="0">
        <references count="3">
          <reference field="4294967294" count="1" selected="0">
            <x v="0"/>
          </reference>
          <reference field="4" count="1" selected="0">
            <x v="4"/>
          </reference>
          <reference field="6" count="1" selected="0">
            <x v="8"/>
          </reference>
        </references>
      </pivotArea>
    </chartFormat>
    <chartFormat chart="1" format="201">
      <pivotArea type="data" outline="0" fieldPosition="0">
        <references count="3">
          <reference field="4294967294" count="1" selected="0">
            <x v="0"/>
          </reference>
          <reference field="4" count="1" selected="0">
            <x v="5"/>
          </reference>
          <reference field="6" count="1" selected="0">
            <x v="8"/>
          </reference>
        </references>
      </pivotArea>
    </chartFormat>
    <chartFormat chart="1" format="202">
      <pivotArea type="data" outline="0" fieldPosition="0">
        <references count="3">
          <reference field="4294967294" count="1" selected="0">
            <x v="0"/>
          </reference>
          <reference field="4" count="1" selected="0">
            <x v="6"/>
          </reference>
          <reference field="6" count="1" selected="0">
            <x v="8"/>
          </reference>
        </references>
      </pivotArea>
    </chartFormat>
    <chartFormat chart="1" format="203">
      <pivotArea type="data" outline="0" fieldPosition="0">
        <references count="3">
          <reference field="4294967294" count="1" selected="0">
            <x v="0"/>
          </reference>
          <reference field="4" count="1" selected="0">
            <x v="7"/>
          </reference>
          <reference field="6" count="1" selected="0">
            <x v="8"/>
          </reference>
        </references>
      </pivotArea>
    </chartFormat>
    <chartFormat chart="1" format="204">
      <pivotArea type="data" outline="0" fieldPosition="0">
        <references count="3">
          <reference field="4294967294" count="1" selected="0">
            <x v="0"/>
          </reference>
          <reference field="4" count="1" selected="0">
            <x v="8"/>
          </reference>
          <reference field="6" count="1" selected="0">
            <x v="8"/>
          </reference>
        </references>
      </pivotArea>
    </chartFormat>
    <chartFormat chart="1" format="205">
      <pivotArea type="data" outline="0" fieldPosition="0">
        <references count="3">
          <reference field="4294967294" count="1" selected="0">
            <x v="0"/>
          </reference>
          <reference field="4" count="1" selected="0">
            <x v="9"/>
          </reference>
          <reference field="6" count="1" selected="0">
            <x v="8"/>
          </reference>
        </references>
      </pivotArea>
    </chartFormat>
    <chartFormat chart="1" format="206">
      <pivotArea type="data" outline="0" fieldPosition="0">
        <references count="3">
          <reference field="4294967294" count="1" selected="0">
            <x v="0"/>
          </reference>
          <reference field="4" count="1" selected="0">
            <x v="10"/>
          </reference>
          <reference field="6" count="1" selected="0">
            <x v="8"/>
          </reference>
        </references>
      </pivotArea>
    </chartFormat>
    <chartFormat chart="1" format="207">
      <pivotArea type="data" outline="0" fieldPosition="0">
        <references count="3">
          <reference field="4294967294" count="1" selected="0">
            <x v="0"/>
          </reference>
          <reference field="4" count="1" selected="0">
            <x v="11"/>
          </reference>
          <reference field="6" count="1" selected="0">
            <x v="8"/>
          </reference>
        </references>
      </pivotArea>
    </chartFormat>
    <chartFormat chart="1" format="208">
      <pivotArea type="data" outline="0" fieldPosition="0">
        <references count="3">
          <reference field="4294967294" count="1" selected="0">
            <x v="0"/>
          </reference>
          <reference field="4" count="1" selected="0">
            <x v="12"/>
          </reference>
          <reference field="6" count="1" selected="0">
            <x v="8"/>
          </reference>
        </references>
      </pivotArea>
    </chartFormat>
    <chartFormat chart="1" format="209">
      <pivotArea type="data" outline="0" fieldPosition="0">
        <references count="3">
          <reference field="4294967294" count="1" selected="0">
            <x v="0"/>
          </reference>
          <reference field="4" count="1" selected="0">
            <x v="13"/>
          </reference>
          <reference field="6" count="1" selected="0">
            <x v="8"/>
          </reference>
        </references>
      </pivotArea>
    </chartFormat>
    <chartFormat chart="1" format="210">
      <pivotArea type="data" outline="0" fieldPosition="0">
        <references count="3">
          <reference field="4294967294" count="1" selected="0">
            <x v="0"/>
          </reference>
          <reference field="4" count="1" selected="0">
            <x v="14"/>
          </reference>
          <reference field="6" count="1" selected="0">
            <x v="8"/>
          </reference>
        </references>
      </pivotArea>
    </chartFormat>
    <chartFormat chart="1" format="211">
      <pivotArea type="data" outline="0" fieldPosition="0">
        <references count="3">
          <reference field="4294967294" count="1" selected="0">
            <x v="0"/>
          </reference>
          <reference field="4" count="1" selected="0">
            <x v="15"/>
          </reference>
          <reference field="6" count="1" selected="0">
            <x v="8"/>
          </reference>
        </references>
      </pivotArea>
    </chartFormat>
    <chartFormat chart="1" format="212">
      <pivotArea type="data" outline="0" fieldPosition="0">
        <references count="3">
          <reference field="4294967294" count="1" selected="0">
            <x v="0"/>
          </reference>
          <reference field="4" count="1" selected="0">
            <x v="16"/>
          </reference>
          <reference field="6" count="1" selected="0">
            <x v="8"/>
          </reference>
        </references>
      </pivotArea>
    </chartFormat>
    <chartFormat chart="1" format="213">
      <pivotArea type="data" outline="0" fieldPosition="0">
        <references count="3">
          <reference field="4294967294" count="1" selected="0">
            <x v="0"/>
          </reference>
          <reference field="4" count="1" selected="0">
            <x v="17"/>
          </reference>
          <reference field="6" count="1" selected="0">
            <x v="8"/>
          </reference>
        </references>
      </pivotArea>
    </chartFormat>
    <chartFormat chart="1" format="214">
      <pivotArea type="data" outline="0" fieldPosition="0">
        <references count="3">
          <reference field="4294967294" count="1" selected="0">
            <x v="0"/>
          </reference>
          <reference field="4" count="1" selected="0">
            <x v="18"/>
          </reference>
          <reference field="6" count="1" selected="0">
            <x v="8"/>
          </reference>
        </references>
      </pivotArea>
    </chartFormat>
    <chartFormat chart="1" format="215">
      <pivotArea type="data" outline="0" fieldPosition="0">
        <references count="3">
          <reference field="4294967294" count="1" selected="0">
            <x v="0"/>
          </reference>
          <reference field="4" count="1" selected="0">
            <x v="19"/>
          </reference>
          <reference field="6" count="1" selected="0">
            <x v="8"/>
          </reference>
        </references>
      </pivotArea>
    </chartFormat>
    <chartFormat chart="1" format="216">
      <pivotArea type="data" outline="0" fieldPosition="0">
        <references count="3">
          <reference field="4294967294" count="1" selected="0">
            <x v="0"/>
          </reference>
          <reference field="4" count="1" selected="0">
            <x v="20"/>
          </reference>
          <reference field="6" count="1" selected="0">
            <x v="8"/>
          </reference>
        </references>
      </pivotArea>
    </chartFormat>
    <chartFormat chart="1" format="217">
      <pivotArea type="data" outline="0" fieldPosition="0">
        <references count="3">
          <reference field="4294967294" count="1" selected="0">
            <x v="0"/>
          </reference>
          <reference field="4" count="1" selected="0">
            <x v="21"/>
          </reference>
          <reference field="6" count="1" selected="0">
            <x v="8"/>
          </reference>
        </references>
      </pivotArea>
    </chartFormat>
    <chartFormat chart="1" format="218" series="1">
      <pivotArea type="data" outline="0" fieldPosition="0">
        <references count="2">
          <reference field="4294967294" count="1" selected="0">
            <x v="0"/>
          </reference>
          <reference field="6" count="1" selected="0">
            <x v="9"/>
          </reference>
        </references>
      </pivotArea>
    </chartFormat>
    <chartFormat chart="1" format="219">
      <pivotArea type="data" outline="0" fieldPosition="0">
        <references count="3">
          <reference field="4294967294" count="1" selected="0">
            <x v="0"/>
          </reference>
          <reference field="4" count="1" selected="0">
            <x v="0"/>
          </reference>
          <reference field="6" count="1" selected="0">
            <x v="9"/>
          </reference>
        </references>
      </pivotArea>
    </chartFormat>
    <chartFormat chart="1" format="220">
      <pivotArea type="data" outline="0" fieldPosition="0">
        <references count="3">
          <reference field="4294967294" count="1" selected="0">
            <x v="0"/>
          </reference>
          <reference field="4" count="1" selected="0">
            <x v="1"/>
          </reference>
          <reference field="6" count="1" selected="0">
            <x v="9"/>
          </reference>
        </references>
      </pivotArea>
    </chartFormat>
    <chartFormat chart="1" format="221">
      <pivotArea type="data" outline="0" fieldPosition="0">
        <references count="3">
          <reference field="4294967294" count="1" selected="0">
            <x v="0"/>
          </reference>
          <reference field="4" count="1" selected="0">
            <x v="2"/>
          </reference>
          <reference field="6" count="1" selected="0">
            <x v="9"/>
          </reference>
        </references>
      </pivotArea>
    </chartFormat>
    <chartFormat chart="1" format="222">
      <pivotArea type="data" outline="0" fieldPosition="0">
        <references count="3">
          <reference field="4294967294" count="1" selected="0">
            <x v="0"/>
          </reference>
          <reference field="4" count="1" selected="0">
            <x v="3"/>
          </reference>
          <reference field="6" count="1" selected="0">
            <x v="9"/>
          </reference>
        </references>
      </pivotArea>
    </chartFormat>
    <chartFormat chart="1" format="223">
      <pivotArea type="data" outline="0" fieldPosition="0">
        <references count="3">
          <reference field="4294967294" count="1" selected="0">
            <x v="0"/>
          </reference>
          <reference field="4" count="1" selected="0">
            <x v="4"/>
          </reference>
          <reference field="6" count="1" selected="0">
            <x v="9"/>
          </reference>
        </references>
      </pivotArea>
    </chartFormat>
    <chartFormat chart="1" format="224">
      <pivotArea type="data" outline="0" fieldPosition="0">
        <references count="3">
          <reference field="4294967294" count="1" selected="0">
            <x v="0"/>
          </reference>
          <reference field="4" count="1" selected="0">
            <x v="5"/>
          </reference>
          <reference field="6" count="1" selected="0">
            <x v="9"/>
          </reference>
        </references>
      </pivotArea>
    </chartFormat>
    <chartFormat chart="1" format="225">
      <pivotArea type="data" outline="0" fieldPosition="0">
        <references count="3">
          <reference field="4294967294" count="1" selected="0">
            <x v="0"/>
          </reference>
          <reference field="4" count="1" selected="0">
            <x v="6"/>
          </reference>
          <reference field="6" count="1" selected="0">
            <x v="9"/>
          </reference>
        </references>
      </pivotArea>
    </chartFormat>
    <chartFormat chart="1" format="226">
      <pivotArea type="data" outline="0" fieldPosition="0">
        <references count="3">
          <reference field="4294967294" count="1" selected="0">
            <x v="0"/>
          </reference>
          <reference field="4" count="1" selected="0">
            <x v="7"/>
          </reference>
          <reference field="6" count="1" selected="0">
            <x v="9"/>
          </reference>
        </references>
      </pivotArea>
    </chartFormat>
    <chartFormat chart="1" format="227">
      <pivotArea type="data" outline="0" fieldPosition="0">
        <references count="3">
          <reference field="4294967294" count="1" selected="0">
            <x v="0"/>
          </reference>
          <reference field="4" count="1" selected="0">
            <x v="8"/>
          </reference>
          <reference field="6" count="1" selected="0">
            <x v="9"/>
          </reference>
        </references>
      </pivotArea>
    </chartFormat>
    <chartFormat chart="1" format="228">
      <pivotArea type="data" outline="0" fieldPosition="0">
        <references count="3">
          <reference field="4294967294" count="1" selected="0">
            <x v="0"/>
          </reference>
          <reference field="4" count="1" selected="0">
            <x v="9"/>
          </reference>
          <reference field="6" count="1" selected="0">
            <x v="9"/>
          </reference>
        </references>
      </pivotArea>
    </chartFormat>
    <chartFormat chart="1" format="229">
      <pivotArea type="data" outline="0" fieldPosition="0">
        <references count="3">
          <reference field="4294967294" count="1" selected="0">
            <x v="0"/>
          </reference>
          <reference field="4" count="1" selected="0">
            <x v="10"/>
          </reference>
          <reference field="6" count="1" selected="0">
            <x v="9"/>
          </reference>
        </references>
      </pivotArea>
    </chartFormat>
    <chartFormat chart="1" format="230">
      <pivotArea type="data" outline="0" fieldPosition="0">
        <references count="3">
          <reference field="4294967294" count="1" selected="0">
            <x v="0"/>
          </reference>
          <reference field="4" count="1" selected="0">
            <x v="11"/>
          </reference>
          <reference field="6" count="1" selected="0">
            <x v="9"/>
          </reference>
        </references>
      </pivotArea>
    </chartFormat>
    <chartFormat chart="1" format="231">
      <pivotArea type="data" outline="0" fieldPosition="0">
        <references count="3">
          <reference field="4294967294" count="1" selected="0">
            <x v="0"/>
          </reference>
          <reference field="4" count="1" selected="0">
            <x v="12"/>
          </reference>
          <reference field="6" count="1" selected="0">
            <x v="9"/>
          </reference>
        </references>
      </pivotArea>
    </chartFormat>
    <chartFormat chart="1" format="232">
      <pivotArea type="data" outline="0" fieldPosition="0">
        <references count="3">
          <reference field="4294967294" count="1" selected="0">
            <x v="0"/>
          </reference>
          <reference field="4" count="1" selected="0">
            <x v="13"/>
          </reference>
          <reference field="6" count="1" selected="0">
            <x v="9"/>
          </reference>
        </references>
      </pivotArea>
    </chartFormat>
    <chartFormat chart="1" format="233">
      <pivotArea type="data" outline="0" fieldPosition="0">
        <references count="3">
          <reference field="4294967294" count="1" selected="0">
            <x v="0"/>
          </reference>
          <reference field="4" count="1" selected="0">
            <x v="14"/>
          </reference>
          <reference field="6" count="1" selected="0">
            <x v="9"/>
          </reference>
        </references>
      </pivotArea>
    </chartFormat>
    <chartFormat chart="1" format="234">
      <pivotArea type="data" outline="0" fieldPosition="0">
        <references count="3">
          <reference field="4294967294" count="1" selected="0">
            <x v="0"/>
          </reference>
          <reference field="4" count="1" selected="0">
            <x v="15"/>
          </reference>
          <reference field="6" count="1" selected="0">
            <x v="9"/>
          </reference>
        </references>
      </pivotArea>
    </chartFormat>
    <chartFormat chart="1" format="235">
      <pivotArea type="data" outline="0" fieldPosition="0">
        <references count="3">
          <reference field="4294967294" count="1" selected="0">
            <x v="0"/>
          </reference>
          <reference field="4" count="1" selected="0">
            <x v="16"/>
          </reference>
          <reference field="6" count="1" selected="0">
            <x v="9"/>
          </reference>
        </references>
      </pivotArea>
    </chartFormat>
    <chartFormat chart="1" format="236">
      <pivotArea type="data" outline="0" fieldPosition="0">
        <references count="3">
          <reference field="4294967294" count="1" selected="0">
            <x v="0"/>
          </reference>
          <reference field="4" count="1" selected="0">
            <x v="17"/>
          </reference>
          <reference field="6" count="1" selected="0">
            <x v="9"/>
          </reference>
        </references>
      </pivotArea>
    </chartFormat>
    <chartFormat chart="1" format="237">
      <pivotArea type="data" outline="0" fieldPosition="0">
        <references count="3">
          <reference field="4294967294" count="1" selected="0">
            <x v="0"/>
          </reference>
          <reference field="4" count="1" selected="0">
            <x v="18"/>
          </reference>
          <reference field="6" count="1" selected="0">
            <x v="9"/>
          </reference>
        </references>
      </pivotArea>
    </chartFormat>
    <chartFormat chart="1" format="238">
      <pivotArea type="data" outline="0" fieldPosition="0">
        <references count="3">
          <reference field="4294967294" count="1" selected="0">
            <x v="0"/>
          </reference>
          <reference field="4" count="1" selected="0">
            <x v="19"/>
          </reference>
          <reference field="6" count="1" selected="0">
            <x v="9"/>
          </reference>
        </references>
      </pivotArea>
    </chartFormat>
    <chartFormat chart="1" format="239">
      <pivotArea type="data" outline="0" fieldPosition="0">
        <references count="3">
          <reference field="4294967294" count="1" selected="0">
            <x v="0"/>
          </reference>
          <reference field="4" count="1" selected="0">
            <x v="20"/>
          </reference>
          <reference field="6" count="1" selected="0">
            <x v="9"/>
          </reference>
        </references>
      </pivotArea>
    </chartFormat>
    <chartFormat chart="1" format="240">
      <pivotArea type="data" outline="0" fieldPosition="0">
        <references count="3">
          <reference field="4294967294" count="1" selected="0">
            <x v="0"/>
          </reference>
          <reference field="4" count="1" selected="0">
            <x v="21"/>
          </reference>
          <reference field="6" count="1" selected="0">
            <x v="9"/>
          </reference>
        </references>
      </pivotArea>
    </chartFormat>
    <chartFormat chart="1" format="241" series="1">
      <pivotArea type="data" outline="0" fieldPosition="0">
        <references count="2">
          <reference field="4294967294" count="1" selected="0">
            <x v="0"/>
          </reference>
          <reference field="6" count="1" selected="0">
            <x v="10"/>
          </reference>
        </references>
      </pivotArea>
    </chartFormat>
    <chartFormat chart="1" format="242">
      <pivotArea type="data" outline="0" fieldPosition="0">
        <references count="3">
          <reference field="4294967294" count="1" selected="0">
            <x v="0"/>
          </reference>
          <reference field="4" count="1" selected="0">
            <x v="0"/>
          </reference>
          <reference field="6" count="1" selected="0">
            <x v="10"/>
          </reference>
        </references>
      </pivotArea>
    </chartFormat>
    <chartFormat chart="1" format="243">
      <pivotArea type="data" outline="0" fieldPosition="0">
        <references count="3">
          <reference field="4294967294" count="1" selected="0">
            <x v="0"/>
          </reference>
          <reference field="4" count="1" selected="0">
            <x v="1"/>
          </reference>
          <reference field="6" count="1" selected="0">
            <x v="10"/>
          </reference>
        </references>
      </pivotArea>
    </chartFormat>
    <chartFormat chart="1" format="244">
      <pivotArea type="data" outline="0" fieldPosition="0">
        <references count="3">
          <reference field="4294967294" count="1" selected="0">
            <x v="0"/>
          </reference>
          <reference field="4" count="1" selected="0">
            <x v="2"/>
          </reference>
          <reference field="6" count="1" selected="0">
            <x v="10"/>
          </reference>
        </references>
      </pivotArea>
    </chartFormat>
    <chartFormat chart="1" format="245">
      <pivotArea type="data" outline="0" fieldPosition="0">
        <references count="3">
          <reference field="4294967294" count="1" selected="0">
            <x v="0"/>
          </reference>
          <reference field="4" count="1" selected="0">
            <x v="3"/>
          </reference>
          <reference field="6" count="1" selected="0">
            <x v="10"/>
          </reference>
        </references>
      </pivotArea>
    </chartFormat>
    <chartFormat chart="1" format="246">
      <pivotArea type="data" outline="0" fieldPosition="0">
        <references count="3">
          <reference field="4294967294" count="1" selected="0">
            <x v="0"/>
          </reference>
          <reference field="4" count="1" selected="0">
            <x v="4"/>
          </reference>
          <reference field="6" count="1" selected="0">
            <x v="10"/>
          </reference>
        </references>
      </pivotArea>
    </chartFormat>
    <chartFormat chart="1" format="247">
      <pivotArea type="data" outline="0" fieldPosition="0">
        <references count="3">
          <reference field="4294967294" count="1" selected="0">
            <x v="0"/>
          </reference>
          <reference field="4" count="1" selected="0">
            <x v="5"/>
          </reference>
          <reference field="6" count="1" selected="0">
            <x v="10"/>
          </reference>
        </references>
      </pivotArea>
    </chartFormat>
    <chartFormat chart="1" format="248">
      <pivotArea type="data" outline="0" fieldPosition="0">
        <references count="3">
          <reference field="4294967294" count="1" selected="0">
            <x v="0"/>
          </reference>
          <reference field="4" count="1" selected="0">
            <x v="6"/>
          </reference>
          <reference field="6" count="1" selected="0">
            <x v="10"/>
          </reference>
        </references>
      </pivotArea>
    </chartFormat>
    <chartFormat chart="1" format="249">
      <pivotArea type="data" outline="0" fieldPosition="0">
        <references count="3">
          <reference field="4294967294" count="1" selected="0">
            <x v="0"/>
          </reference>
          <reference field="4" count="1" selected="0">
            <x v="7"/>
          </reference>
          <reference field="6" count="1" selected="0">
            <x v="10"/>
          </reference>
        </references>
      </pivotArea>
    </chartFormat>
    <chartFormat chart="1" format="250">
      <pivotArea type="data" outline="0" fieldPosition="0">
        <references count="3">
          <reference field="4294967294" count="1" selected="0">
            <x v="0"/>
          </reference>
          <reference field="4" count="1" selected="0">
            <x v="8"/>
          </reference>
          <reference field="6" count="1" selected="0">
            <x v="10"/>
          </reference>
        </references>
      </pivotArea>
    </chartFormat>
    <chartFormat chart="1" format="251">
      <pivotArea type="data" outline="0" fieldPosition="0">
        <references count="3">
          <reference field="4294967294" count="1" selected="0">
            <x v="0"/>
          </reference>
          <reference field="4" count="1" selected="0">
            <x v="9"/>
          </reference>
          <reference field="6" count="1" selected="0">
            <x v="10"/>
          </reference>
        </references>
      </pivotArea>
    </chartFormat>
    <chartFormat chart="1" format="252">
      <pivotArea type="data" outline="0" fieldPosition="0">
        <references count="3">
          <reference field="4294967294" count="1" selected="0">
            <x v="0"/>
          </reference>
          <reference field="4" count="1" selected="0">
            <x v="10"/>
          </reference>
          <reference field="6" count="1" selected="0">
            <x v="10"/>
          </reference>
        </references>
      </pivotArea>
    </chartFormat>
    <chartFormat chart="1" format="253">
      <pivotArea type="data" outline="0" fieldPosition="0">
        <references count="3">
          <reference field="4294967294" count="1" selected="0">
            <x v="0"/>
          </reference>
          <reference field="4" count="1" selected="0">
            <x v="11"/>
          </reference>
          <reference field="6" count="1" selected="0">
            <x v="10"/>
          </reference>
        </references>
      </pivotArea>
    </chartFormat>
    <chartFormat chart="1" format="254">
      <pivotArea type="data" outline="0" fieldPosition="0">
        <references count="3">
          <reference field="4294967294" count="1" selected="0">
            <x v="0"/>
          </reference>
          <reference field="4" count="1" selected="0">
            <x v="12"/>
          </reference>
          <reference field="6" count="1" selected="0">
            <x v="10"/>
          </reference>
        </references>
      </pivotArea>
    </chartFormat>
    <chartFormat chart="1" format="255">
      <pivotArea type="data" outline="0" fieldPosition="0">
        <references count="3">
          <reference field="4294967294" count="1" selected="0">
            <x v="0"/>
          </reference>
          <reference field="4" count="1" selected="0">
            <x v="13"/>
          </reference>
          <reference field="6" count="1" selected="0">
            <x v="10"/>
          </reference>
        </references>
      </pivotArea>
    </chartFormat>
    <chartFormat chart="1" format="256">
      <pivotArea type="data" outline="0" fieldPosition="0">
        <references count="3">
          <reference field="4294967294" count="1" selected="0">
            <x v="0"/>
          </reference>
          <reference field="4" count="1" selected="0">
            <x v="14"/>
          </reference>
          <reference field="6" count="1" selected="0">
            <x v="10"/>
          </reference>
        </references>
      </pivotArea>
    </chartFormat>
    <chartFormat chart="1" format="257">
      <pivotArea type="data" outline="0" fieldPosition="0">
        <references count="3">
          <reference field="4294967294" count="1" selected="0">
            <x v="0"/>
          </reference>
          <reference field="4" count="1" selected="0">
            <x v="15"/>
          </reference>
          <reference field="6" count="1" selected="0">
            <x v="10"/>
          </reference>
        </references>
      </pivotArea>
    </chartFormat>
    <chartFormat chart="1" format="258">
      <pivotArea type="data" outline="0" fieldPosition="0">
        <references count="3">
          <reference field="4294967294" count="1" selected="0">
            <x v="0"/>
          </reference>
          <reference field="4" count="1" selected="0">
            <x v="16"/>
          </reference>
          <reference field="6" count="1" selected="0">
            <x v="10"/>
          </reference>
        </references>
      </pivotArea>
    </chartFormat>
    <chartFormat chart="1" format="259">
      <pivotArea type="data" outline="0" fieldPosition="0">
        <references count="3">
          <reference field="4294967294" count="1" selected="0">
            <x v="0"/>
          </reference>
          <reference field="4" count="1" selected="0">
            <x v="17"/>
          </reference>
          <reference field="6" count="1" selected="0">
            <x v="10"/>
          </reference>
        </references>
      </pivotArea>
    </chartFormat>
    <chartFormat chart="1" format="260">
      <pivotArea type="data" outline="0" fieldPosition="0">
        <references count="3">
          <reference field="4294967294" count="1" selected="0">
            <x v="0"/>
          </reference>
          <reference field="4" count="1" selected="0">
            <x v="18"/>
          </reference>
          <reference field="6" count="1" selected="0">
            <x v="10"/>
          </reference>
        </references>
      </pivotArea>
    </chartFormat>
    <chartFormat chart="1" format="261">
      <pivotArea type="data" outline="0" fieldPosition="0">
        <references count="3">
          <reference field="4294967294" count="1" selected="0">
            <x v="0"/>
          </reference>
          <reference field="4" count="1" selected="0">
            <x v="19"/>
          </reference>
          <reference field="6" count="1" selected="0">
            <x v="10"/>
          </reference>
        </references>
      </pivotArea>
    </chartFormat>
    <chartFormat chart="1" format="262">
      <pivotArea type="data" outline="0" fieldPosition="0">
        <references count="3">
          <reference field="4294967294" count="1" selected="0">
            <x v="0"/>
          </reference>
          <reference field="4" count="1" selected="0">
            <x v="20"/>
          </reference>
          <reference field="6" count="1" selected="0">
            <x v="10"/>
          </reference>
        </references>
      </pivotArea>
    </chartFormat>
    <chartFormat chart="1" format="263">
      <pivotArea type="data" outline="0" fieldPosition="0">
        <references count="3">
          <reference field="4294967294" count="1" selected="0">
            <x v="0"/>
          </reference>
          <reference field="4" count="1" selected="0">
            <x v="21"/>
          </reference>
          <reference field="6" count="1" selected="0">
            <x v="10"/>
          </reference>
        </references>
      </pivotArea>
    </chartFormat>
    <chartFormat chart="2" format="264" series="1">
      <pivotArea type="data" outline="0" fieldPosition="0">
        <references count="2">
          <reference field="4294967294" count="1" selected="0">
            <x v="0"/>
          </reference>
          <reference field="6" count="1" selected="0">
            <x v="0"/>
          </reference>
        </references>
      </pivotArea>
    </chartFormat>
    <chartFormat chart="2" format="265">
      <pivotArea type="data" outline="0" fieldPosition="0">
        <references count="3">
          <reference field="4294967294" count="1" selected="0">
            <x v="0"/>
          </reference>
          <reference field="4" count="1" selected="0">
            <x v="0"/>
          </reference>
          <reference field="6" count="1" selected="0">
            <x v="0"/>
          </reference>
        </references>
      </pivotArea>
    </chartFormat>
    <chartFormat chart="2" format="266">
      <pivotArea type="data" outline="0" fieldPosition="0">
        <references count="3">
          <reference field="4294967294" count="1" selected="0">
            <x v="0"/>
          </reference>
          <reference field="4" count="1" selected="0">
            <x v="1"/>
          </reference>
          <reference field="6" count="1" selected="0">
            <x v="0"/>
          </reference>
        </references>
      </pivotArea>
    </chartFormat>
    <chartFormat chart="2" format="267">
      <pivotArea type="data" outline="0" fieldPosition="0">
        <references count="3">
          <reference field="4294967294" count="1" selected="0">
            <x v="0"/>
          </reference>
          <reference field="4" count="1" selected="0">
            <x v="2"/>
          </reference>
          <reference field="6" count="1" selected="0">
            <x v="0"/>
          </reference>
        </references>
      </pivotArea>
    </chartFormat>
    <chartFormat chart="2" format="268">
      <pivotArea type="data" outline="0" fieldPosition="0">
        <references count="3">
          <reference field="4294967294" count="1" selected="0">
            <x v="0"/>
          </reference>
          <reference field="4" count="1" selected="0">
            <x v="3"/>
          </reference>
          <reference field="6" count="1" selected="0">
            <x v="0"/>
          </reference>
        </references>
      </pivotArea>
    </chartFormat>
    <chartFormat chart="2" format="269">
      <pivotArea type="data" outline="0" fieldPosition="0">
        <references count="3">
          <reference field="4294967294" count="1" selected="0">
            <x v="0"/>
          </reference>
          <reference field="4" count="1" selected="0">
            <x v="4"/>
          </reference>
          <reference field="6" count="1" selected="0">
            <x v="0"/>
          </reference>
        </references>
      </pivotArea>
    </chartFormat>
    <chartFormat chart="2" format="270">
      <pivotArea type="data" outline="0" fieldPosition="0">
        <references count="3">
          <reference field="4294967294" count="1" selected="0">
            <x v="0"/>
          </reference>
          <reference field="4" count="1" selected="0">
            <x v="5"/>
          </reference>
          <reference field="6" count="1" selected="0">
            <x v="0"/>
          </reference>
        </references>
      </pivotArea>
    </chartFormat>
    <chartFormat chart="2" format="271">
      <pivotArea type="data" outline="0" fieldPosition="0">
        <references count="3">
          <reference field="4294967294" count="1" selected="0">
            <x v="0"/>
          </reference>
          <reference field="4" count="1" selected="0">
            <x v="6"/>
          </reference>
          <reference field="6" count="1" selected="0">
            <x v="0"/>
          </reference>
        </references>
      </pivotArea>
    </chartFormat>
    <chartFormat chart="2" format="272">
      <pivotArea type="data" outline="0" fieldPosition="0">
        <references count="3">
          <reference field="4294967294" count="1" selected="0">
            <x v="0"/>
          </reference>
          <reference field="4" count="1" selected="0">
            <x v="7"/>
          </reference>
          <reference field="6" count="1" selected="0">
            <x v="0"/>
          </reference>
        </references>
      </pivotArea>
    </chartFormat>
    <chartFormat chart="2" format="273">
      <pivotArea type="data" outline="0" fieldPosition="0">
        <references count="3">
          <reference field="4294967294" count="1" selected="0">
            <x v="0"/>
          </reference>
          <reference field="4" count="1" selected="0">
            <x v="8"/>
          </reference>
          <reference field="6" count="1" selected="0">
            <x v="0"/>
          </reference>
        </references>
      </pivotArea>
    </chartFormat>
    <chartFormat chart="2" format="274">
      <pivotArea type="data" outline="0" fieldPosition="0">
        <references count="3">
          <reference field="4294967294" count="1" selected="0">
            <x v="0"/>
          </reference>
          <reference field="4" count="1" selected="0">
            <x v="9"/>
          </reference>
          <reference field="6" count="1" selected="0">
            <x v="0"/>
          </reference>
        </references>
      </pivotArea>
    </chartFormat>
    <chartFormat chart="2" format="275">
      <pivotArea type="data" outline="0" fieldPosition="0">
        <references count="3">
          <reference field="4294967294" count="1" selected="0">
            <x v="0"/>
          </reference>
          <reference field="4" count="1" selected="0">
            <x v="10"/>
          </reference>
          <reference field="6" count="1" selected="0">
            <x v="0"/>
          </reference>
        </references>
      </pivotArea>
    </chartFormat>
    <chartFormat chart="2" format="276">
      <pivotArea type="data" outline="0" fieldPosition="0">
        <references count="3">
          <reference field="4294967294" count="1" selected="0">
            <x v="0"/>
          </reference>
          <reference field="4" count="1" selected="0">
            <x v="11"/>
          </reference>
          <reference field="6" count="1" selected="0">
            <x v="0"/>
          </reference>
        </references>
      </pivotArea>
    </chartFormat>
    <chartFormat chart="2" format="277">
      <pivotArea type="data" outline="0" fieldPosition="0">
        <references count="3">
          <reference field="4294967294" count="1" selected="0">
            <x v="0"/>
          </reference>
          <reference field="4" count="1" selected="0">
            <x v="12"/>
          </reference>
          <reference field="6" count="1" selected="0">
            <x v="0"/>
          </reference>
        </references>
      </pivotArea>
    </chartFormat>
    <chartFormat chart="2" format="278">
      <pivotArea type="data" outline="0" fieldPosition="0">
        <references count="3">
          <reference field="4294967294" count="1" selected="0">
            <x v="0"/>
          </reference>
          <reference field="4" count="1" selected="0">
            <x v="13"/>
          </reference>
          <reference field="6" count="1" selected="0">
            <x v="0"/>
          </reference>
        </references>
      </pivotArea>
    </chartFormat>
    <chartFormat chart="2" format="279">
      <pivotArea type="data" outline="0" fieldPosition="0">
        <references count="3">
          <reference field="4294967294" count="1" selected="0">
            <x v="0"/>
          </reference>
          <reference field="4" count="1" selected="0">
            <x v="14"/>
          </reference>
          <reference field="6" count="1" selected="0">
            <x v="0"/>
          </reference>
        </references>
      </pivotArea>
    </chartFormat>
    <chartFormat chart="2" format="280">
      <pivotArea type="data" outline="0" fieldPosition="0">
        <references count="3">
          <reference field="4294967294" count="1" selected="0">
            <x v="0"/>
          </reference>
          <reference field="4" count="1" selected="0">
            <x v="15"/>
          </reference>
          <reference field="6" count="1" selected="0">
            <x v="0"/>
          </reference>
        </references>
      </pivotArea>
    </chartFormat>
    <chartFormat chart="2" format="281">
      <pivotArea type="data" outline="0" fieldPosition="0">
        <references count="3">
          <reference field="4294967294" count="1" selected="0">
            <x v="0"/>
          </reference>
          <reference field="4" count="1" selected="0">
            <x v="16"/>
          </reference>
          <reference field="6" count="1" selected="0">
            <x v="0"/>
          </reference>
        </references>
      </pivotArea>
    </chartFormat>
    <chartFormat chart="2" format="282">
      <pivotArea type="data" outline="0" fieldPosition="0">
        <references count="3">
          <reference field="4294967294" count="1" selected="0">
            <x v="0"/>
          </reference>
          <reference field="4" count="1" selected="0">
            <x v="17"/>
          </reference>
          <reference field="6" count="1" selected="0">
            <x v="0"/>
          </reference>
        </references>
      </pivotArea>
    </chartFormat>
    <chartFormat chart="2" format="283">
      <pivotArea type="data" outline="0" fieldPosition="0">
        <references count="3">
          <reference field="4294967294" count="1" selected="0">
            <x v="0"/>
          </reference>
          <reference field="4" count="1" selected="0">
            <x v="18"/>
          </reference>
          <reference field="6" count="1" selected="0">
            <x v="0"/>
          </reference>
        </references>
      </pivotArea>
    </chartFormat>
    <chartFormat chart="2" format="284">
      <pivotArea type="data" outline="0" fieldPosition="0">
        <references count="3">
          <reference field="4294967294" count="1" selected="0">
            <x v="0"/>
          </reference>
          <reference field="4" count="1" selected="0">
            <x v="19"/>
          </reference>
          <reference field="6" count="1" selected="0">
            <x v="0"/>
          </reference>
        </references>
      </pivotArea>
    </chartFormat>
    <chartFormat chart="2" format="285">
      <pivotArea type="data" outline="0" fieldPosition="0">
        <references count="3">
          <reference field="4294967294" count="1" selected="0">
            <x v="0"/>
          </reference>
          <reference field="4" count="1" selected="0">
            <x v="20"/>
          </reference>
          <reference field="6" count="1" selected="0">
            <x v="0"/>
          </reference>
        </references>
      </pivotArea>
    </chartFormat>
    <chartFormat chart="2" format="286">
      <pivotArea type="data" outline="0" fieldPosition="0">
        <references count="3">
          <reference field="4294967294" count="1" selected="0">
            <x v="0"/>
          </reference>
          <reference field="4" count="1" selected="0">
            <x v="21"/>
          </reference>
          <reference field="6" count="1" selected="0">
            <x v="0"/>
          </reference>
        </references>
      </pivotArea>
    </chartFormat>
    <chartFormat chart="2" format="287" series="1">
      <pivotArea type="data" outline="0" fieldPosition="0">
        <references count="2">
          <reference field="4294967294" count="1" selected="0">
            <x v="0"/>
          </reference>
          <reference field="6" count="1" selected="0">
            <x v="1"/>
          </reference>
        </references>
      </pivotArea>
    </chartFormat>
    <chartFormat chart="2" format="288">
      <pivotArea type="data" outline="0" fieldPosition="0">
        <references count="3">
          <reference field="4294967294" count="1" selected="0">
            <x v="0"/>
          </reference>
          <reference field="4" count="1" selected="0">
            <x v="0"/>
          </reference>
          <reference field="6" count="1" selected="0">
            <x v="1"/>
          </reference>
        </references>
      </pivotArea>
    </chartFormat>
    <chartFormat chart="2" format="289">
      <pivotArea type="data" outline="0" fieldPosition="0">
        <references count="3">
          <reference field="4294967294" count="1" selected="0">
            <x v="0"/>
          </reference>
          <reference field="4" count="1" selected="0">
            <x v="1"/>
          </reference>
          <reference field="6" count="1" selected="0">
            <x v="1"/>
          </reference>
        </references>
      </pivotArea>
    </chartFormat>
    <chartFormat chart="2" format="290">
      <pivotArea type="data" outline="0" fieldPosition="0">
        <references count="3">
          <reference field="4294967294" count="1" selected="0">
            <x v="0"/>
          </reference>
          <reference field="4" count="1" selected="0">
            <x v="2"/>
          </reference>
          <reference field="6" count="1" selected="0">
            <x v="1"/>
          </reference>
        </references>
      </pivotArea>
    </chartFormat>
    <chartFormat chart="2" format="291">
      <pivotArea type="data" outline="0" fieldPosition="0">
        <references count="3">
          <reference field="4294967294" count="1" selected="0">
            <x v="0"/>
          </reference>
          <reference field="4" count="1" selected="0">
            <x v="3"/>
          </reference>
          <reference field="6" count="1" selected="0">
            <x v="1"/>
          </reference>
        </references>
      </pivotArea>
    </chartFormat>
    <chartFormat chart="2" format="292">
      <pivotArea type="data" outline="0" fieldPosition="0">
        <references count="3">
          <reference field="4294967294" count="1" selected="0">
            <x v="0"/>
          </reference>
          <reference field="4" count="1" selected="0">
            <x v="4"/>
          </reference>
          <reference field="6" count="1" selected="0">
            <x v="1"/>
          </reference>
        </references>
      </pivotArea>
    </chartFormat>
    <chartFormat chart="2" format="293">
      <pivotArea type="data" outline="0" fieldPosition="0">
        <references count="3">
          <reference field="4294967294" count="1" selected="0">
            <x v="0"/>
          </reference>
          <reference field="4" count="1" selected="0">
            <x v="5"/>
          </reference>
          <reference field="6" count="1" selected="0">
            <x v="1"/>
          </reference>
        </references>
      </pivotArea>
    </chartFormat>
    <chartFormat chart="2" format="294">
      <pivotArea type="data" outline="0" fieldPosition="0">
        <references count="3">
          <reference field="4294967294" count="1" selected="0">
            <x v="0"/>
          </reference>
          <reference field="4" count="1" selected="0">
            <x v="6"/>
          </reference>
          <reference field="6" count="1" selected="0">
            <x v="1"/>
          </reference>
        </references>
      </pivotArea>
    </chartFormat>
    <chartFormat chart="2" format="295">
      <pivotArea type="data" outline="0" fieldPosition="0">
        <references count="3">
          <reference field="4294967294" count="1" selected="0">
            <x v="0"/>
          </reference>
          <reference field="4" count="1" selected="0">
            <x v="7"/>
          </reference>
          <reference field="6" count="1" selected="0">
            <x v="1"/>
          </reference>
        </references>
      </pivotArea>
    </chartFormat>
    <chartFormat chart="2" format="296">
      <pivotArea type="data" outline="0" fieldPosition="0">
        <references count="3">
          <reference field="4294967294" count="1" selected="0">
            <x v="0"/>
          </reference>
          <reference field="4" count="1" selected="0">
            <x v="8"/>
          </reference>
          <reference field="6" count="1" selected="0">
            <x v="1"/>
          </reference>
        </references>
      </pivotArea>
    </chartFormat>
    <chartFormat chart="2" format="297">
      <pivotArea type="data" outline="0" fieldPosition="0">
        <references count="3">
          <reference field="4294967294" count="1" selected="0">
            <x v="0"/>
          </reference>
          <reference field="4" count="1" selected="0">
            <x v="9"/>
          </reference>
          <reference field="6" count="1" selected="0">
            <x v="1"/>
          </reference>
        </references>
      </pivotArea>
    </chartFormat>
    <chartFormat chart="2" format="298">
      <pivotArea type="data" outline="0" fieldPosition="0">
        <references count="3">
          <reference field="4294967294" count="1" selected="0">
            <x v="0"/>
          </reference>
          <reference field="4" count="1" selected="0">
            <x v="10"/>
          </reference>
          <reference field="6" count="1" selected="0">
            <x v="1"/>
          </reference>
        </references>
      </pivotArea>
    </chartFormat>
    <chartFormat chart="2" format="299">
      <pivotArea type="data" outline="0" fieldPosition="0">
        <references count="3">
          <reference field="4294967294" count="1" selected="0">
            <x v="0"/>
          </reference>
          <reference field="4" count="1" selected="0">
            <x v="11"/>
          </reference>
          <reference field="6" count="1" selected="0">
            <x v="1"/>
          </reference>
        </references>
      </pivotArea>
    </chartFormat>
    <chartFormat chart="2" format="300">
      <pivotArea type="data" outline="0" fieldPosition="0">
        <references count="3">
          <reference field="4294967294" count="1" selected="0">
            <x v="0"/>
          </reference>
          <reference field="4" count="1" selected="0">
            <x v="12"/>
          </reference>
          <reference field="6" count="1" selected="0">
            <x v="1"/>
          </reference>
        </references>
      </pivotArea>
    </chartFormat>
    <chartFormat chart="2" format="301">
      <pivotArea type="data" outline="0" fieldPosition="0">
        <references count="3">
          <reference field="4294967294" count="1" selected="0">
            <x v="0"/>
          </reference>
          <reference field="4" count="1" selected="0">
            <x v="13"/>
          </reference>
          <reference field="6" count="1" selected="0">
            <x v="1"/>
          </reference>
        </references>
      </pivotArea>
    </chartFormat>
    <chartFormat chart="2" format="302">
      <pivotArea type="data" outline="0" fieldPosition="0">
        <references count="3">
          <reference field="4294967294" count="1" selected="0">
            <x v="0"/>
          </reference>
          <reference field="4" count="1" selected="0">
            <x v="14"/>
          </reference>
          <reference field="6" count="1" selected="0">
            <x v="1"/>
          </reference>
        </references>
      </pivotArea>
    </chartFormat>
    <chartFormat chart="2" format="303">
      <pivotArea type="data" outline="0" fieldPosition="0">
        <references count="3">
          <reference field="4294967294" count="1" selected="0">
            <x v="0"/>
          </reference>
          <reference field="4" count="1" selected="0">
            <x v="15"/>
          </reference>
          <reference field="6" count="1" selected="0">
            <x v="1"/>
          </reference>
        </references>
      </pivotArea>
    </chartFormat>
    <chartFormat chart="2" format="304">
      <pivotArea type="data" outline="0" fieldPosition="0">
        <references count="3">
          <reference field="4294967294" count="1" selected="0">
            <x v="0"/>
          </reference>
          <reference field="4" count="1" selected="0">
            <x v="16"/>
          </reference>
          <reference field="6" count="1" selected="0">
            <x v="1"/>
          </reference>
        </references>
      </pivotArea>
    </chartFormat>
    <chartFormat chart="2" format="305">
      <pivotArea type="data" outline="0" fieldPosition="0">
        <references count="3">
          <reference field="4294967294" count="1" selected="0">
            <x v="0"/>
          </reference>
          <reference field="4" count="1" selected="0">
            <x v="17"/>
          </reference>
          <reference field="6" count="1" selected="0">
            <x v="1"/>
          </reference>
        </references>
      </pivotArea>
    </chartFormat>
    <chartFormat chart="2" format="306">
      <pivotArea type="data" outline="0" fieldPosition="0">
        <references count="3">
          <reference field="4294967294" count="1" selected="0">
            <x v="0"/>
          </reference>
          <reference field="4" count="1" selected="0">
            <x v="18"/>
          </reference>
          <reference field="6" count="1" selected="0">
            <x v="1"/>
          </reference>
        </references>
      </pivotArea>
    </chartFormat>
    <chartFormat chart="2" format="307">
      <pivotArea type="data" outline="0" fieldPosition="0">
        <references count="3">
          <reference field="4294967294" count="1" selected="0">
            <x v="0"/>
          </reference>
          <reference field="4" count="1" selected="0">
            <x v="19"/>
          </reference>
          <reference field="6" count="1" selected="0">
            <x v="1"/>
          </reference>
        </references>
      </pivotArea>
    </chartFormat>
    <chartFormat chart="2" format="308">
      <pivotArea type="data" outline="0" fieldPosition="0">
        <references count="3">
          <reference field="4294967294" count="1" selected="0">
            <x v="0"/>
          </reference>
          <reference field="4" count="1" selected="0">
            <x v="20"/>
          </reference>
          <reference field="6" count="1" selected="0">
            <x v="1"/>
          </reference>
        </references>
      </pivotArea>
    </chartFormat>
    <chartFormat chart="2" format="309">
      <pivotArea type="data" outline="0" fieldPosition="0">
        <references count="3">
          <reference field="4294967294" count="1" selected="0">
            <x v="0"/>
          </reference>
          <reference field="4" count="1" selected="0">
            <x v="21"/>
          </reference>
          <reference field="6" count="1" selected="0">
            <x v="1"/>
          </reference>
        </references>
      </pivotArea>
    </chartFormat>
    <chartFormat chart="2" format="310" series="1">
      <pivotArea type="data" outline="0" fieldPosition="0">
        <references count="2">
          <reference field="4294967294" count="1" selected="0">
            <x v="0"/>
          </reference>
          <reference field="6" count="1" selected="0">
            <x v="2"/>
          </reference>
        </references>
      </pivotArea>
    </chartFormat>
    <chartFormat chart="2" format="311">
      <pivotArea type="data" outline="0" fieldPosition="0">
        <references count="3">
          <reference field="4294967294" count="1" selected="0">
            <x v="0"/>
          </reference>
          <reference field="4" count="1" selected="0">
            <x v="0"/>
          </reference>
          <reference field="6" count="1" selected="0">
            <x v="2"/>
          </reference>
        </references>
      </pivotArea>
    </chartFormat>
    <chartFormat chart="2" format="312">
      <pivotArea type="data" outline="0" fieldPosition="0">
        <references count="3">
          <reference field="4294967294" count="1" selected="0">
            <x v="0"/>
          </reference>
          <reference field="4" count="1" selected="0">
            <x v="1"/>
          </reference>
          <reference field="6" count="1" selected="0">
            <x v="2"/>
          </reference>
        </references>
      </pivotArea>
    </chartFormat>
    <chartFormat chart="2" format="313">
      <pivotArea type="data" outline="0" fieldPosition="0">
        <references count="3">
          <reference field="4294967294" count="1" selected="0">
            <x v="0"/>
          </reference>
          <reference field="4" count="1" selected="0">
            <x v="2"/>
          </reference>
          <reference field="6" count="1" selected="0">
            <x v="2"/>
          </reference>
        </references>
      </pivotArea>
    </chartFormat>
    <chartFormat chart="2" format="314">
      <pivotArea type="data" outline="0" fieldPosition="0">
        <references count="3">
          <reference field="4294967294" count="1" selected="0">
            <x v="0"/>
          </reference>
          <reference field="4" count="1" selected="0">
            <x v="3"/>
          </reference>
          <reference field="6" count="1" selected="0">
            <x v="2"/>
          </reference>
        </references>
      </pivotArea>
    </chartFormat>
    <chartFormat chart="2" format="315">
      <pivotArea type="data" outline="0" fieldPosition="0">
        <references count="3">
          <reference field="4294967294" count="1" selected="0">
            <x v="0"/>
          </reference>
          <reference field="4" count="1" selected="0">
            <x v="4"/>
          </reference>
          <reference field="6" count="1" selected="0">
            <x v="2"/>
          </reference>
        </references>
      </pivotArea>
    </chartFormat>
    <chartFormat chart="2" format="316">
      <pivotArea type="data" outline="0" fieldPosition="0">
        <references count="3">
          <reference field="4294967294" count="1" selected="0">
            <x v="0"/>
          </reference>
          <reference field="4" count="1" selected="0">
            <x v="5"/>
          </reference>
          <reference field="6" count="1" selected="0">
            <x v="2"/>
          </reference>
        </references>
      </pivotArea>
    </chartFormat>
    <chartFormat chart="2" format="317">
      <pivotArea type="data" outline="0" fieldPosition="0">
        <references count="3">
          <reference field="4294967294" count="1" selected="0">
            <x v="0"/>
          </reference>
          <reference field="4" count="1" selected="0">
            <x v="6"/>
          </reference>
          <reference field="6" count="1" selected="0">
            <x v="2"/>
          </reference>
        </references>
      </pivotArea>
    </chartFormat>
    <chartFormat chart="2" format="318">
      <pivotArea type="data" outline="0" fieldPosition="0">
        <references count="3">
          <reference field="4294967294" count="1" selected="0">
            <x v="0"/>
          </reference>
          <reference field="4" count="1" selected="0">
            <x v="7"/>
          </reference>
          <reference field="6" count="1" selected="0">
            <x v="2"/>
          </reference>
        </references>
      </pivotArea>
    </chartFormat>
    <chartFormat chart="2" format="319">
      <pivotArea type="data" outline="0" fieldPosition="0">
        <references count="3">
          <reference field="4294967294" count="1" selected="0">
            <x v="0"/>
          </reference>
          <reference field="4" count="1" selected="0">
            <x v="8"/>
          </reference>
          <reference field="6" count="1" selected="0">
            <x v="2"/>
          </reference>
        </references>
      </pivotArea>
    </chartFormat>
    <chartFormat chart="2" format="320">
      <pivotArea type="data" outline="0" fieldPosition="0">
        <references count="3">
          <reference field="4294967294" count="1" selected="0">
            <x v="0"/>
          </reference>
          <reference field="4" count="1" selected="0">
            <x v="9"/>
          </reference>
          <reference field="6" count="1" selected="0">
            <x v="2"/>
          </reference>
        </references>
      </pivotArea>
    </chartFormat>
    <chartFormat chart="2" format="321">
      <pivotArea type="data" outline="0" fieldPosition="0">
        <references count="3">
          <reference field="4294967294" count="1" selected="0">
            <x v="0"/>
          </reference>
          <reference field="4" count="1" selected="0">
            <x v="10"/>
          </reference>
          <reference field="6" count="1" selected="0">
            <x v="2"/>
          </reference>
        </references>
      </pivotArea>
    </chartFormat>
    <chartFormat chart="2" format="322">
      <pivotArea type="data" outline="0" fieldPosition="0">
        <references count="3">
          <reference field="4294967294" count="1" selected="0">
            <x v="0"/>
          </reference>
          <reference field="4" count="1" selected="0">
            <x v="11"/>
          </reference>
          <reference field="6" count="1" selected="0">
            <x v="2"/>
          </reference>
        </references>
      </pivotArea>
    </chartFormat>
    <chartFormat chart="2" format="323">
      <pivotArea type="data" outline="0" fieldPosition="0">
        <references count="3">
          <reference field="4294967294" count="1" selected="0">
            <x v="0"/>
          </reference>
          <reference field="4" count="1" selected="0">
            <x v="12"/>
          </reference>
          <reference field="6" count="1" selected="0">
            <x v="2"/>
          </reference>
        </references>
      </pivotArea>
    </chartFormat>
    <chartFormat chart="2" format="324">
      <pivotArea type="data" outline="0" fieldPosition="0">
        <references count="3">
          <reference field="4294967294" count="1" selected="0">
            <x v="0"/>
          </reference>
          <reference field="4" count="1" selected="0">
            <x v="13"/>
          </reference>
          <reference field="6" count="1" selected="0">
            <x v="2"/>
          </reference>
        </references>
      </pivotArea>
    </chartFormat>
    <chartFormat chart="2" format="325">
      <pivotArea type="data" outline="0" fieldPosition="0">
        <references count="3">
          <reference field="4294967294" count="1" selected="0">
            <x v="0"/>
          </reference>
          <reference field="4" count="1" selected="0">
            <x v="14"/>
          </reference>
          <reference field="6" count="1" selected="0">
            <x v="2"/>
          </reference>
        </references>
      </pivotArea>
    </chartFormat>
    <chartFormat chart="2" format="326">
      <pivotArea type="data" outline="0" fieldPosition="0">
        <references count="3">
          <reference field="4294967294" count="1" selected="0">
            <x v="0"/>
          </reference>
          <reference field="4" count="1" selected="0">
            <x v="15"/>
          </reference>
          <reference field="6" count="1" selected="0">
            <x v="2"/>
          </reference>
        </references>
      </pivotArea>
    </chartFormat>
    <chartFormat chart="2" format="327">
      <pivotArea type="data" outline="0" fieldPosition="0">
        <references count="3">
          <reference field="4294967294" count="1" selected="0">
            <x v="0"/>
          </reference>
          <reference field="4" count="1" selected="0">
            <x v="16"/>
          </reference>
          <reference field="6" count="1" selected="0">
            <x v="2"/>
          </reference>
        </references>
      </pivotArea>
    </chartFormat>
    <chartFormat chart="2" format="328">
      <pivotArea type="data" outline="0" fieldPosition="0">
        <references count="3">
          <reference field="4294967294" count="1" selected="0">
            <x v="0"/>
          </reference>
          <reference field="4" count="1" selected="0">
            <x v="17"/>
          </reference>
          <reference field="6" count="1" selected="0">
            <x v="2"/>
          </reference>
        </references>
      </pivotArea>
    </chartFormat>
    <chartFormat chart="2" format="329">
      <pivotArea type="data" outline="0" fieldPosition="0">
        <references count="3">
          <reference field="4294967294" count="1" selected="0">
            <x v="0"/>
          </reference>
          <reference field="4" count="1" selected="0">
            <x v="18"/>
          </reference>
          <reference field="6" count="1" selected="0">
            <x v="2"/>
          </reference>
        </references>
      </pivotArea>
    </chartFormat>
    <chartFormat chart="2" format="330">
      <pivotArea type="data" outline="0" fieldPosition="0">
        <references count="3">
          <reference field="4294967294" count="1" selected="0">
            <x v="0"/>
          </reference>
          <reference field="4" count="1" selected="0">
            <x v="19"/>
          </reference>
          <reference field="6" count="1" selected="0">
            <x v="2"/>
          </reference>
        </references>
      </pivotArea>
    </chartFormat>
    <chartFormat chart="2" format="331">
      <pivotArea type="data" outline="0" fieldPosition="0">
        <references count="3">
          <reference field="4294967294" count="1" selected="0">
            <x v="0"/>
          </reference>
          <reference field="4" count="1" selected="0">
            <x v="20"/>
          </reference>
          <reference field="6" count="1" selected="0">
            <x v="2"/>
          </reference>
        </references>
      </pivotArea>
    </chartFormat>
    <chartFormat chart="2" format="332">
      <pivotArea type="data" outline="0" fieldPosition="0">
        <references count="3">
          <reference field="4294967294" count="1" selected="0">
            <x v="0"/>
          </reference>
          <reference field="4" count="1" selected="0">
            <x v="21"/>
          </reference>
          <reference field="6" count="1" selected="0">
            <x v="2"/>
          </reference>
        </references>
      </pivotArea>
    </chartFormat>
    <chartFormat chart="2" format="333" series="1">
      <pivotArea type="data" outline="0" fieldPosition="0">
        <references count="2">
          <reference field="4294967294" count="1" selected="0">
            <x v="0"/>
          </reference>
          <reference field="6" count="1" selected="0">
            <x v="3"/>
          </reference>
        </references>
      </pivotArea>
    </chartFormat>
    <chartFormat chart="2" format="334">
      <pivotArea type="data" outline="0" fieldPosition="0">
        <references count="3">
          <reference field="4294967294" count="1" selected="0">
            <x v="0"/>
          </reference>
          <reference field="4" count="1" selected="0">
            <x v="0"/>
          </reference>
          <reference field="6" count="1" selected="0">
            <x v="3"/>
          </reference>
        </references>
      </pivotArea>
    </chartFormat>
    <chartFormat chart="2" format="335">
      <pivotArea type="data" outline="0" fieldPosition="0">
        <references count="3">
          <reference field="4294967294" count="1" selected="0">
            <x v="0"/>
          </reference>
          <reference field="4" count="1" selected="0">
            <x v="1"/>
          </reference>
          <reference field="6" count="1" selected="0">
            <x v="3"/>
          </reference>
        </references>
      </pivotArea>
    </chartFormat>
    <chartFormat chart="2" format="336">
      <pivotArea type="data" outline="0" fieldPosition="0">
        <references count="3">
          <reference field="4294967294" count="1" selected="0">
            <x v="0"/>
          </reference>
          <reference field="4" count="1" selected="0">
            <x v="2"/>
          </reference>
          <reference field="6" count="1" selected="0">
            <x v="3"/>
          </reference>
        </references>
      </pivotArea>
    </chartFormat>
    <chartFormat chart="2" format="337">
      <pivotArea type="data" outline="0" fieldPosition="0">
        <references count="3">
          <reference field="4294967294" count="1" selected="0">
            <x v="0"/>
          </reference>
          <reference field="4" count="1" selected="0">
            <x v="3"/>
          </reference>
          <reference field="6" count="1" selected="0">
            <x v="3"/>
          </reference>
        </references>
      </pivotArea>
    </chartFormat>
    <chartFormat chart="2" format="338">
      <pivotArea type="data" outline="0" fieldPosition="0">
        <references count="3">
          <reference field="4294967294" count="1" selected="0">
            <x v="0"/>
          </reference>
          <reference field="4" count="1" selected="0">
            <x v="4"/>
          </reference>
          <reference field="6" count="1" selected="0">
            <x v="3"/>
          </reference>
        </references>
      </pivotArea>
    </chartFormat>
    <chartFormat chart="2" format="339">
      <pivotArea type="data" outline="0" fieldPosition="0">
        <references count="3">
          <reference field="4294967294" count="1" selected="0">
            <x v="0"/>
          </reference>
          <reference field="4" count="1" selected="0">
            <x v="5"/>
          </reference>
          <reference field="6" count="1" selected="0">
            <x v="3"/>
          </reference>
        </references>
      </pivotArea>
    </chartFormat>
    <chartFormat chart="2" format="340">
      <pivotArea type="data" outline="0" fieldPosition="0">
        <references count="3">
          <reference field="4294967294" count="1" selected="0">
            <x v="0"/>
          </reference>
          <reference field="4" count="1" selected="0">
            <x v="6"/>
          </reference>
          <reference field="6" count="1" selected="0">
            <x v="3"/>
          </reference>
        </references>
      </pivotArea>
    </chartFormat>
    <chartFormat chart="2" format="341">
      <pivotArea type="data" outline="0" fieldPosition="0">
        <references count="3">
          <reference field="4294967294" count="1" selected="0">
            <x v="0"/>
          </reference>
          <reference field="4" count="1" selected="0">
            <x v="7"/>
          </reference>
          <reference field="6" count="1" selected="0">
            <x v="3"/>
          </reference>
        </references>
      </pivotArea>
    </chartFormat>
    <chartFormat chart="2" format="342">
      <pivotArea type="data" outline="0" fieldPosition="0">
        <references count="3">
          <reference field="4294967294" count="1" selected="0">
            <x v="0"/>
          </reference>
          <reference field="4" count="1" selected="0">
            <x v="8"/>
          </reference>
          <reference field="6" count="1" selected="0">
            <x v="3"/>
          </reference>
        </references>
      </pivotArea>
    </chartFormat>
    <chartFormat chart="2" format="343">
      <pivotArea type="data" outline="0" fieldPosition="0">
        <references count="3">
          <reference field="4294967294" count="1" selected="0">
            <x v="0"/>
          </reference>
          <reference field="4" count="1" selected="0">
            <x v="9"/>
          </reference>
          <reference field="6" count="1" selected="0">
            <x v="3"/>
          </reference>
        </references>
      </pivotArea>
    </chartFormat>
    <chartFormat chart="2" format="344">
      <pivotArea type="data" outline="0" fieldPosition="0">
        <references count="3">
          <reference field="4294967294" count="1" selected="0">
            <x v="0"/>
          </reference>
          <reference field="4" count="1" selected="0">
            <x v="10"/>
          </reference>
          <reference field="6" count="1" selected="0">
            <x v="3"/>
          </reference>
        </references>
      </pivotArea>
    </chartFormat>
    <chartFormat chart="2" format="345">
      <pivotArea type="data" outline="0" fieldPosition="0">
        <references count="3">
          <reference field="4294967294" count="1" selected="0">
            <x v="0"/>
          </reference>
          <reference field="4" count="1" selected="0">
            <x v="11"/>
          </reference>
          <reference field="6" count="1" selected="0">
            <x v="3"/>
          </reference>
        </references>
      </pivotArea>
    </chartFormat>
    <chartFormat chart="2" format="346">
      <pivotArea type="data" outline="0" fieldPosition="0">
        <references count="3">
          <reference field="4294967294" count="1" selected="0">
            <x v="0"/>
          </reference>
          <reference field="4" count="1" selected="0">
            <x v="12"/>
          </reference>
          <reference field="6" count="1" selected="0">
            <x v="3"/>
          </reference>
        </references>
      </pivotArea>
    </chartFormat>
    <chartFormat chart="2" format="347">
      <pivotArea type="data" outline="0" fieldPosition="0">
        <references count="3">
          <reference field="4294967294" count="1" selected="0">
            <x v="0"/>
          </reference>
          <reference field="4" count="1" selected="0">
            <x v="13"/>
          </reference>
          <reference field="6" count="1" selected="0">
            <x v="3"/>
          </reference>
        </references>
      </pivotArea>
    </chartFormat>
    <chartFormat chart="2" format="348">
      <pivotArea type="data" outline="0" fieldPosition="0">
        <references count="3">
          <reference field="4294967294" count="1" selected="0">
            <x v="0"/>
          </reference>
          <reference field="4" count="1" selected="0">
            <x v="14"/>
          </reference>
          <reference field="6" count="1" selected="0">
            <x v="3"/>
          </reference>
        </references>
      </pivotArea>
    </chartFormat>
    <chartFormat chart="2" format="349">
      <pivotArea type="data" outline="0" fieldPosition="0">
        <references count="3">
          <reference field="4294967294" count="1" selected="0">
            <x v="0"/>
          </reference>
          <reference field="4" count="1" selected="0">
            <x v="15"/>
          </reference>
          <reference field="6" count="1" selected="0">
            <x v="3"/>
          </reference>
        </references>
      </pivotArea>
    </chartFormat>
    <chartFormat chart="2" format="350">
      <pivotArea type="data" outline="0" fieldPosition="0">
        <references count="3">
          <reference field="4294967294" count="1" selected="0">
            <x v="0"/>
          </reference>
          <reference field="4" count="1" selected="0">
            <x v="16"/>
          </reference>
          <reference field="6" count="1" selected="0">
            <x v="3"/>
          </reference>
        </references>
      </pivotArea>
    </chartFormat>
    <chartFormat chart="2" format="351">
      <pivotArea type="data" outline="0" fieldPosition="0">
        <references count="3">
          <reference field="4294967294" count="1" selected="0">
            <x v="0"/>
          </reference>
          <reference field="4" count="1" selected="0">
            <x v="17"/>
          </reference>
          <reference field="6" count="1" selected="0">
            <x v="3"/>
          </reference>
        </references>
      </pivotArea>
    </chartFormat>
    <chartFormat chart="2" format="352">
      <pivotArea type="data" outline="0" fieldPosition="0">
        <references count="3">
          <reference field="4294967294" count="1" selected="0">
            <x v="0"/>
          </reference>
          <reference field="4" count="1" selected="0">
            <x v="18"/>
          </reference>
          <reference field="6" count="1" selected="0">
            <x v="3"/>
          </reference>
        </references>
      </pivotArea>
    </chartFormat>
    <chartFormat chart="2" format="353">
      <pivotArea type="data" outline="0" fieldPosition="0">
        <references count="3">
          <reference field="4294967294" count="1" selected="0">
            <x v="0"/>
          </reference>
          <reference field="4" count="1" selected="0">
            <x v="19"/>
          </reference>
          <reference field="6" count="1" selected="0">
            <x v="3"/>
          </reference>
        </references>
      </pivotArea>
    </chartFormat>
    <chartFormat chart="2" format="354">
      <pivotArea type="data" outline="0" fieldPosition="0">
        <references count="3">
          <reference field="4294967294" count="1" selected="0">
            <x v="0"/>
          </reference>
          <reference field="4" count="1" selected="0">
            <x v="20"/>
          </reference>
          <reference field="6" count="1" selected="0">
            <x v="3"/>
          </reference>
        </references>
      </pivotArea>
    </chartFormat>
    <chartFormat chart="2" format="355">
      <pivotArea type="data" outline="0" fieldPosition="0">
        <references count="3">
          <reference field="4294967294" count="1" selected="0">
            <x v="0"/>
          </reference>
          <reference field="4" count="1" selected="0">
            <x v="21"/>
          </reference>
          <reference field="6" count="1" selected="0">
            <x v="3"/>
          </reference>
        </references>
      </pivotArea>
    </chartFormat>
    <chartFormat chart="2" format="356" series="1">
      <pivotArea type="data" outline="0" fieldPosition="0">
        <references count="2">
          <reference field="4294967294" count="1" selected="0">
            <x v="0"/>
          </reference>
          <reference field="6" count="1" selected="0">
            <x v="4"/>
          </reference>
        </references>
      </pivotArea>
    </chartFormat>
    <chartFormat chart="2" format="357">
      <pivotArea type="data" outline="0" fieldPosition="0">
        <references count="3">
          <reference field="4294967294" count="1" selected="0">
            <x v="0"/>
          </reference>
          <reference field="4" count="1" selected="0">
            <x v="0"/>
          </reference>
          <reference field="6" count="1" selected="0">
            <x v="4"/>
          </reference>
        </references>
      </pivotArea>
    </chartFormat>
    <chartFormat chart="2" format="358">
      <pivotArea type="data" outline="0" fieldPosition="0">
        <references count="3">
          <reference field="4294967294" count="1" selected="0">
            <x v="0"/>
          </reference>
          <reference field="4" count="1" selected="0">
            <x v="1"/>
          </reference>
          <reference field="6" count="1" selected="0">
            <x v="4"/>
          </reference>
        </references>
      </pivotArea>
    </chartFormat>
    <chartFormat chart="2" format="359">
      <pivotArea type="data" outline="0" fieldPosition="0">
        <references count="3">
          <reference field="4294967294" count="1" selected="0">
            <x v="0"/>
          </reference>
          <reference field="4" count="1" selected="0">
            <x v="2"/>
          </reference>
          <reference field="6" count="1" selected="0">
            <x v="4"/>
          </reference>
        </references>
      </pivotArea>
    </chartFormat>
    <chartFormat chart="2" format="360">
      <pivotArea type="data" outline="0" fieldPosition="0">
        <references count="3">
          <reference field="4294967294" count="1" selected="0">
            <x v="0"/>
          </reference>
          <reference field="4" count="1" selected="0">
            <x v="3"/>
          </reference>
          <reference field="6" count="1" selected="0">
            <x v="4"/>
          </reference>
        </references>
      </pivotArea>
    </chartFormat>
    <chartFormat chart="2" format="361">
      <pivotArea type="data" outline="0" fieldPosition="0">
        <references count="3">
          <reference field="4294967294" count="1" selected="0">
            <x v="0"/>
          </reference>
          <reference field="4" count="1" selected="0">
            <x v="4"/>
          </reference>
          <reference field="6" count="1" selected="0">
            <x v="4"/>
          </reference>
        </references>
      </pivotArea>
    </chartFormat>
    <chartFormat chart="2" format="362">
      <pivotArea type="data" outline="0" fieldPosition="0">
        <references count="3">
          <reference field="4294967294" count="1" selected="0">
            <x v="0"/>
          </reference>
          <reference field="4" count="1" selected="0">
            <x v="5"/>
          </reference>
          <reference field="6" count="1" selected="0">
            <x v="4"/>
          </reference>
        </references>
      </pivotArea>
    </chartFormat>
    <chartFormat chart="2" format="363">
      <pivotArea type="data" outline="0" fieldPosition="0">
        <references count="3">
          <reference field="4294967294" count="1" selected="0">
            <x v="0"/>
          </reference>
          <reference field="4" count="1" selected="0">
            <x v="6"/>
          </reference>
          <reference field="6" count="1" selected="0">
            <x v="4"/>
          </reference>
        </references>
      </pivotArea>
    </chartFormat>
    <chartFormat chart="2" format="364">
      <pivotArea type="data" outline="0" fieldPosition="0">
        <references count="3">
          <reference field="4294967294" count="1" selected="0">
            <x v="0"/>
          </reference>
          <reference field="4" count="1" selected="0">
            <x v="7"/>
          </reference>
          <reference field="6" count="1" selected="0">
            <x v="4"/>
          </reference>
        </references>
      </pivotArea>
    </chartFormat>
    <chartFormat chart="2" format="365">
      <pivotArea type="data" outline="0" fieldPosition="0">
        <references count="3">
          <reference field="4294967294" count="1" selected="0">
            <x v="0"/>
          </reference>
          <reference field="4" count="1" selected="0">
            <x v="8"/>
          </reference>
          <reference field="6" count="1" selected="0">
            <x v="4"/>
          </reference>
        </references>
      </pivotArea>
    </chartFormat>
    <chartFormat chart="2" format="366">
      <pivotArea type="data" outline="0" fieldPosition="0">
        <references count="3">
          <reference field="4294967294" count="1" selected="0">
            <x v="0"/>
          </reference>
          <reference field="4" count="1" selected="0">
            <x v="9"/>
          </reference>
          <reference field="6" count="1" selected="0">
            <x v="4"/>
          </reference>
        </references>
      </pivotArea>
    </chartFormat>
    <chartFormat chart="2" format="367">
      <pivotArea type="data" outline="0" fieldPosition="0">
        <references count="3">
          <reference field="4294967294" count="1" selected="0">
            <x v="0"/>
          </reference>
          <reference field="4" count="1" selected="0">
            <x v="10"/>
          </reference>
          <reference field="6" count="1" selected="0">
            <x v="4"/>
          </reference>
        </references>
      </pivotArea>
    </chartFormat>
    <chartFormat chart="2" format="368">
      <pivotArea type="data" outline="0" fieldPosition="0">
        <references count="3">
          <reference field="4294967294" count="1" selected="0">
            <x v="0"/>
          </reference>
          <reference field="4" count="1" selected="0">
            <x v="11"/>
          </reference>
          <reference field="6" count="1" selected="0">
            <x v="4"/>
          </reference>
        </references>
      </pivotArea>
    </chartFormat>
    <chartFormat chart="2" format="369">
      <pivotArea type="data" outline="0" fieldPosition="0">
        <references count="3">
          <reference field="4294967294" count="1" selected="0">
            <x v="0"/>
          </reference>
          <reference field="4" count="1" selected="0">
            <x v="12"/>
          </reference>
          <reference field="6" count="1" selected="0">
            <x v="4"/>
          </reference>
        </references>
      </pivotArea>
    </chartFormat>
    <chartFormat chart="2" format="370">
      <pivotArea type="data" outline="0" fieldPosition="0">
        <references count="3">
          <reference field="4294967294" count="1" selected="0">
            <x v="0"/>
          </reference>
          <reference field="4" count="1" selected="0">
            <x v="13"/>
          </reference>
          <reference field="6" count="1" selected="0">
            <x v="4"/>
          </reference>
        </references>
      </pivotArea>
    </chartFormat>
    <chartFormat chart="2" format="371">
      <pivotArea type="data" outline="0" fieldPosition="0">
        <references count="3">
          <reference field="4294967294" count="1" selected="0">
            <x v="0"/>
          </reference>
          <reference field="4" count="1" selected="0">
            <x v="14"/>
          </reference>
          <reference field="6" count="1" selected="0">
            <x v="4"/>
          </reference>
        </references>
      </pivotArea>
    </chartFormat>
    <chartFormat chart="2" format="372">
      <pivotArea type="data" outline="0" fieldPosition="0">
        <references count="3">
          <reference field="4294967294" count="1" selected="0">
            <x v="0"/>
          </reference>
          <reference field="4" count="1" selected="0">
            <x v="15"/>
          </reference>
          <reference field="6" count="1" selected="0">
            <x v="4"/>
          </reference>
        </references>
      </pivotArea>
    </chartFormat>
    <chartFormat chart="2" format="373">
      <pivotArea type="data" outline="0" fieldPosition="0">
        <references count="3">
          <reference field="4294967294" count="1" selected="0">
            <x v="0"/>
          </reference>
          <reference field="4" count="1" selected="0">
            <x v="16"/>
          </reference>
          <reference field="6" count="1" selected="0">
            <x v="4"/>
          </reference>
        </references>
      </pivotArea>
    </chartFormat>
    <chartFormat chart="2" format="374">
      <pivotArea type="data" outline="0" fieldPosition="0">
        <references count="3">
          <reference field="4294967294" count="1" selected="0">
            <x v="0"/>
          </reference>
          <reference field="4" count="1" selected="0">
            <x v="17"/>
          </reference>
          <reference field="6" count="1" selected="0">
            <x v="4"/>
          </reference>
        </references>
      </pivotArea>
    </chartFormat>
    <chartFormat chart="2" format="375">
      <pivotArea type="data" outline="0" fieldPosition="0">
        <references count="3">
          <reference field="4294967294" count="1" selected="0">
            <x v="0"/>
          </reference>
          <reference field="4" count="1" selected="0">
            <x v="18"/>
          </reference>
          <reference field="6" count="1" selected="0">
            <x v="4"/>
          </reference>
        </references>
      </pivotArea>
    </chartFormat>
    <chartFormat chart="2" format="376">
      <pivotArea type="data" outline="0" fieldPosition="0">
        <references count="3">
          <reference field="4294967294" count="1" selected="0">
            <x v="0"/>
          </reference>
          <reference field="4" count="1" selected="0">
            <x v="19"/>
          </reference>
          <reference field="6" count="1" selected="0">
            <x v="4"/>
          </reference>
        </references>
      </pivotArea>
    </chartFormat>
    <chartFormat chart="2" format="377">
      <pivotArea type="data" outline="0" fieldPosition="0">
        <references count="3">
          <reference field="4294967294" count="1" selected="0">
            <x v="0"/>
          </reference>
          <reference field="4" count="1" selected="0">
            <x v="20"/>
          </reference>
          <reference field="6" count="1" selected="0">
            <x v="4"/>
          </reference>
        </references>
      </pivotArea>
    </chartFormat>
    <chartFormat chart="2" format="378">
      <pivotArea type="data" outline="0" fieldPosition="0">
        <references count="3">
          <reference field="4294967294" count="1" selected="0">
            <x v="0"/>
          </reference>
          <reference field="4" count="1" selected="0">
            <x v="21"/>
          </reference>
          <reference field="6" count="1" selected="0">
            <x v="4"/>
          </reference>
        </references>
      </pivotArea>
    </chartFormat>
    <chartFormat chart="2" format="379" series="1">
      <pivotArea type="data" outline="0" fieldPosition="0">
        <references count="2">
          <reference field="4294967294" count="1" selected="0">
            <x v="0"/>
          </reference>
          <reference field="6" count="1" selected="0">
            <x v="5"/>
          </reference>
        </references>
      </pivotArea>
    </chartFormat>
    <chartFormat chart="2" format="380">
      <pivotArea type="data" outline="0" fieldPosition="0">
        <references count="3">
          <reference field="4294967294" count="1" selected="0">
            <x v="0"/>
          </reference>
          <reference field="4" count="1" selected="0">
            <x v="0"/>
          </reference>
          <reference field="6" count="1" selected="0">
            <x v="5"/>
          </reference>
        </references>
      </pivotArea>
    </chartFormat>
    <chartFormat chart="2" format="381">
      <pivotArea type="data" outline="0" fieldPosition="0">
        <references count="3">
          <reference field="4294967294" count="1" selected="0">
            <x v="0"/>
          </reference>
          <reference field="4" count="1" selected="0">
            <x v="1"/>
          </reference>
          <reference field="6" count="1" selected="0">
            <x v="5"/>
          </reference>
        </references>
      </pivotArea>
    </chartFormat>
    <chartFormat chart="2" format="382">
      <pivotArea type="data" outline="0" fieldPosition="0">
        <references count="3">
          <reference field="4294967294" count="1" selected="0">
            <x v="0"/>
          </reference>
          <reference field="4" count="1" selected="0">
            <x v="2"/>
          </reference>
          <reference field="6" count="1" selected="0">
            <x v="5"/>
          </reference>
        </references>
      </pivotArea>
    </chartFormat>
    <chartFormat chart="2" format="383">
      <pivotArea type="data" outline="0" fieldPosition="0">
        <references count="3">
          <reference field="4294967294" count="1" selected="0">
            <x v="0"/>
          </reference>
          <reference field="4" count="1" selected="0">
            <x v="3"/>
          </reference>
          <reference field="6" count="1" selected="0">
            <x v="5"/>
          </reference>
        </references>
      </pivotArea>
    </chartFormat>
    <chartFormat chart="2" format="384">
      <pivotArea type="data" outline="0" fieldPosition="0">
        <references count="3">
          <reference field="4294967294" count="1" selected="0">
            <x v="0"/>
          </reference>
          <reference field="4" count="1" selected="0">
            <x v="4"/>
          </reference>
          <reference field="6" count="1" selected="0">
            <x v="5"/>
          </reference>
        </references>
      </pivotArea>
    </chartFormat>
    <chartFormat chart="2" format="385">
      <pivotArea type="data" outline="0" fieldPosition="0">
        <references count="3">
          <reference field="4294967294" count="1" selected="0">
            <x v="0"/>
          </reference>
          <reference field="4" count="1" selected="0">
            <x v="5"/>
          </reference>
          <reference field="6" count="1" selected="0">
            <x v="5"/>
          </reference>
        </references>
      </pivotArea>
    </chartFormat>
    <chartFormat chart="2" format="386">
      <pivotArea type="data" outline="0" fieldPosition="0">
        <references count="3">
          <reference field="4294967294" count="1" selected="0">
            <x v="0"/>
          </reference>
          <reference field="4" count="1" selected="0">
            <x v="6"/>
          </reference>
          <reference field="6" count="1" selected="0">
            <x v="5"/>
          </reference>
        </references>
      </pivotArea>
    </chartFormat>
    <chartFormat chart="2" format="387">
      <pivotArea type="data" outline="0" fieldPosition="0">
        <references count="3">
          <reference field="4294967294" count="1" selected="0">
            <x v="0"/>
          </reference>
          <reference field="4" count="1" selected="0">
            <x v="7"/>
          </reference>
          <reference field="6" count="1" selected="0">
            <x v="5"/>
          </reference>
        </references>
      </pivotArea>
    </chartFormat>
    <chartFormat chart="2" format="388">
      <pivotArea type="data" outline="0" fieldPosition="0">
        <references count="3">
          <reference field="4294967294" count="1" selected="0">
            <x v="0"/>
          </reference>
          <reference field="4" count="1" selected="0">
            <x v="8"/>
          </reference>
          <reference field="6" count="1" selected="0">
            <x v="5"/>
          </reference>
        </references>
      </pivotArea>
    </chartFormat>
    <chartFormat chart="2" format="389">
      <pivotArea type="data" outline="0" fieldPosition="0">
        <references count="3">
          <reference field="4294967294" count="1" selected="0">
            <x v="0"/>
          </reference>
          <reference field="4" count="1" selected="0">
            <x v="9"/>
          </reference>
          <reference field="6" count="1" selected="0">
            <x v="5"/>
          </reference>
        </references>
      </pivotArea>
    </chartFormat>
    <chartFormat chart="2" format="390">
      <pivotArea type="data" outline="0" fieldPosition="0">
        <references count="3">
          <reference field="4294967294" count="1" selected="0">
            <x v="0"/>
          </reference>
          <reference field="4" count="1" selected="0">
            <x v="10"/>
          </reference>
          <reference field="6" count="1" selected="0">
            <x v="5"/>
          </reference>
        </references>
      </pivotArea>
    </chartFormat>
    <chartFormat chart="2" format="391">
      <pivotArea type="data" outline="0" fieldPosition="0">
        <references count="3">
          <reference field="4294967294" count="1" selected="0">
            <x v="0"/>
          </reference>
          <reference field="4" count="1" selected="0">
            <x v="11"/>
          </reference>
          <reference field="6" count="1" selected="0">
            <x v="5"/>
          </reference>
        </references>
      </pivotArea>
    </chartFormat>
    <chartFormat chart="2" format="392">
      <pivotArea type="data" outline="0" fieldPosition="0">
        <references count="3">
          <reference field="4294967294" count="1" selected="0">
            <x v="0"/>
          </reference>
          <reference field="4" count="1" selected="0">
            <x v="12"/>
          </reference>
          <reference field="6" count="1" selected="0">
            <x v="5"/>
          </reference>
        </references>
      </pivotArea>
    </chartFormat>
    <chartFormat chart="2" format="393">
      <pivotArea type="data" outline="0" fieldPosition="0">
        <references count="3">
          <reference field="4294967294" count="1" selected="0">
            <x v="0"/>
          </reference>
          <reference field="4" count="1" selected="0">
            <x v="13"/>
          </reference>
          <reference field="6" count="1" selected="0">
            <x v="5"/>
          </reference>
        </references>
      </pivotArea>
    </chartFormat>
    <chartFormat chart="2" format="394">
      <pivotArea type="data" outline="0" fieldPosition="0">
        <references count="3">
          <reference field="4294967294" count="1" selected="0">
            <x v="0"/>
          </reference>
          <reference field="4" count="1" selected="0">
            <x v="14"/>
          </reference>
          <reference field="6" count="1" selected="0">
            <x v="5"/>
          </reference>
        </references>
      </pivotArea>
    </chartFormat>
    <chartFormat chart="2" format="395">
      <pivotArea type="data" outline="0" fieldPosition="0">
        <references count="3">
          <reference field="4294967294" count="1" selected="0">
            <x v="0"/>
          </reference>
          <reference field="4" count="1" selected="0">
            <x v="15"/>
          </reference>
          <reference field="6" count="1" selected="0">
            <x v="5"/>
          </reference>
        </references>
      </pivotArea>
    </chartFormat>
    <chartFormat chart="2" format="396">
      <pivotArea type="data" outline="0" fieldPosition="0">
        <references count="3">
          <reference field="4294967294" count="1" selected="0">
            <x v="0"/>
          </reference>
          <reference field="4" count="1" selected="0">
            <x v="16"/>
          </reference>
          <reference field="6" count="1" selected="0">
            <x v="5"/>
          </reference>
        </references>
      </pivotArea>
    </chartFormat>
    <chartFormat chart="2" format="397">
      <pivotArea type="data" outline="0" fieldPosition="0">
        <references count="3">
          <reference field="4294967294" count="1" selected="0">
            <x v="0"/>
          </reference>
          <reference field="4" count="1" selected="0">
            <x v="17"/>
          </reference>
          <reference field="6" count="1" selected="0">
            <x v="5"/>
          </reference>
        </references>
      </pivotArea>
    </chartFormat>
    <chartFormat chart="2" format="398">
      <pivotArea type="data" outline="0" fieldPosition="0">
        <references count="3">
          <reference field="4294967294" count="1" selected="0">
            <x v="0"/>
          </reference>
          <reference field="4" count="1" selected="0">
            <x v="18"/>
          </reference>
          <reference field="6" count="1" selected="0">
            <x v="5"/>
          </reference>
        </references>
      </pivotArea>
    </chartFormat>
    <chartFormat chart="2" format="399">
      <pivotArea type="data" outline="0" fieldPosition="0">
        <references count="3">
          <reference field="4294967294" count="1" selected="0">
            <x v="0"/>
          </reference>
          <reference field="4" count="1" selected="0">
            <x v="19"/>
          </reference>
          <reference field="6" count="1" selected="0">
            <x v="5"/>
          </reference>
        </references>
      </pivotArea>
    </chartFormat>
    <chartFormat chart="2" format="400">
      <pivotArea type="data" outline="0" fieldPosition="0">
        <references count="3">
          <reference field="4294967294" count="1" selected="0">
            <x v="0"/>
          </reference>
          <reference field="4" count="1" selected="0">
            <x v="20"/>
          </reference>
          <reference field="6" count="1" selected="0">
            <x v="5"/>
          </reference>
        </references>
      </pivotArea>
    </chartFormat>
    <chartFormat chart="2" format="401">
      <pivotArea type="data" outline="0" fieldPosition="0">
        <references count="3">
          <reference field="4294967294" count="1" selected="0">
            <x v="0"/>
          </reference>
          <reference field="4" count="1" selected="0">
            <x v="21"/>
          </reference>
          <reference field="6" count="1" selected="0">
            <x v="5"/>
          </reference>
        </references>
      </pivotArea>
    </chartFormat>
    <chartFormat chart="2" format="402" series="1">
      <pivotArea type="data" outline="0" fieldPosition="0">
        <references count="2">
          <reference field="4294967294" count="1" selected="0">
            <x v="0"/>
          </reference>
          <reference field="6" count="1" selected="0">
            <x v="6"/>
          </reference>
        </references>
      </pivotArea>
    </chartFormat>
    <chartFormat chart="2" format="403">
      <pivotArea type="data" outline="0" fieldPosition="0">
        <references count="3">
          <reference field="4294967294" count="1" selected="0">
            <x v="0"/>
          </reference>
          <reference field="4" count="1" selected="0">
            <x v="0"/>
          </reference>
          <reference field="6" count="1" selected="0">
            <x v="6"/>
          </reference>
        </references>
      </pivotArea>
    </chartFormat>
    <chartFormat chart="2" format="404">
      <pivotArea type="data" outline="0" fieldPosition="0">
        <references count="3">
          <reference field="4294967294" count="1" selected="0">
            <x v="0"/>
          </reference>
          <reference field="4" count="1" selected="0">
            <x v="1"/>
          </reference>
          <reference field="6" count="1" selected="0">
            <x v="6"/>
          </reference>
        </references>
      </pivotArea>
    </chartFormat>
    <chartFormat chart="2" format="405">
      <pivotArea type="data" outline="0" fieldPosition="0">
        <references count="3">
          <reference field="4294967294" count="1" selected="0">
            <x v="0"/>
          </reference>
          <reference field="4" count="1" selected="0">
            <x v="2"/>
          </reference>
          <reference field="6" count="1" selected="0">
            <x v="6"/>
          </reference>
        </references>
      </pivotArea>
    </chartFormat>
    <chartFormat chart="2" format="406">
      <pivotArea type="data" outline="0" fieldPosition="0">
        <references count="3">
          <reference field="4294967294" count="1" selected="0">
            <x v="0"/>
          </reference>
          <reference field="4" count="1" selected="0">
            <x v="3"/>
          </reference>
          <reference field="6" count="1" selected="0">
            <x v="6"/>
          </reference>
        </references>
      </pivotArea>
    </chartFormat>
    <chartFormat chart="2" format="407">
      <pivotArea type="data" outline="0" fieldPosition="0">
        <references count="3">
          <reference field="4294967294" count="1" selected="0">
            <x v="0"/>
          </reference>
          <reference field="4" count="1" selected="0">
            <x v="4"/>
          </reference>
          <reference field="6" count="1" selected="0">
            <x v="6"/>
          </reference>
        </references>
      </pivotArea>
    </chartFormat>
    <chartFormat chart="2" format="408">
      <pivotArea type="data" outline="0" fieldPosition="0">
        <references count="3">
          <reference field="4294967294" count="1" selected="0">
            <x v="0"/>
          </reference>
          <reference field="4" count="1" selected="0">
            <x v="5"/>
          </reference>
          <reference field="6" count="1" selected="0">
            <x v="6"/>
          </reference>
        </references>
      </pivotArea>
    </chartFormat>
    <chartFormat chart="2" format="409">
      <pivotArea type="data" outline="0" fieldPosition="0">
        <references count="3">
          <reference field="4294967294" count="1" selected="0">
            <x v="0"/>
          </reference>
          <reference field="4" count="1" selected="0">
            <x v="6"/>
          </reference>
          <reference field="6" count="1" selected="0">
            <x v="6"/>
          </reference>
        </references>
      </pivotArea>
    </chartFormat>
    <chartFormat chart="2" format="410">
      <pivotArea type="data" outline="0" fieldPosition="0">
        <references count="3">
          <reference field="4294967294" count="1" selected="0">
            <x v="0"/>
          </reference>
          <reference field="4" count="1" selected="0">
            <x v="7"/>
          </reference>
          <reference field="6" count="1" selected="0">
            <x v="6"/>
          </reference>
        </references>
      </pivotArea>
    </chartFormat>
    <chartFormat chart="2" format="411">
      <pivotArea type="data" outline="0" fieldPosition="0">
        <references count="3">
          <reference field="4294967294" count="1" selected="0">
            <x v="0"/>
          </reference>
          <reference field="4" count="1" selected="0">
            <x v="8"/>
          </reference>
          <reference field="6" count="1" selected="0">
            <x v="6"/>
          </reference>
        </references>
      </pivotArea>
    </chartFormat>
    <chartFormat chart="2" format="412">
      <pivotArea type="data" outline="0" fieldPosition="0">
        <references count="3">
          <reference field="4294967294" count="1" selected="0">
            <x v="0"/>
          </reference>
          <reference field="4" count="1" selected="0">
            <x v="9"/>
          </reference>
          <reference field="6" count="1" selected="0">
            <x v="6"/>
          </reference>
        </references>
      </pivotArea>
    </chartFormat>
    <chartFormat chart="2" format="413">
      <pivotArea type="data" outline="0" fieldPosition="0">
        <references count="3">
          <reference field="4294967294" count="1" selected="0">
            <x v="0"/>
          </reference>
          <reference field="4" count="1" selected="0">
            <x v="10"/>
          </reference>
          <reference field="6" count="1" selected="0">
            <x v="6"/>
          </reference>
        </references>
      </pivotArea>
    </chartFormat>
    <chartFormat chart="2" format="414">
      <pivotArea type="data" outline="0" fieldPosition="0">
        <references count="3">
          <reference field="4294967294" count="1" selected="0">
            <x v="0"/>
          </reference>
          <reference field="4" count="1" selected="0">
            <x v="11"/>
          </reference>
          <reference field="6" count="1" selected="0">
            <x v="6"/>
          </reference>
        </references>
      </pivotArea>
    </chartFormat>
    <chartFormat chart="2" format="415">
      <pivotArea type="data" outline="0" fieldPosition="0">
        <references count="3">
          <reference field="4294967294" count="1" selected="0">
            <x v="0"/>
          </reference>
          <reference field="4" count="1" selected="0">
            <x v="12"/>
          </reference>
          <reference field="6" count="1" selected="0">
            <x v="6"/>
          </reference>
        </references>
      </pivotArea>
    </chartFormat>
    <chartFormat chart="2" format="416">
      <pivotArea type="data" outline="0" fieldPosition="0">
        <references count="3">
          <reference field="4294967294" count="1" selected="0">
            <x v="0"/>
          </reference>
          <reference field="4" count="1" selected="0">
            <x v="13"/>
          </reference>
          <reference field="6" count="1" selected="0">
            <x v="6"/>
          </reference>
        </references>
      </pivotArea>
    </chartFormat>
    <chartFormat chart="2" format="417">
      <pivotArea type="data" outline="0" fieldPosition="0">
        <references count="3">
          <reference field="4294967294" count="1" selected="0">
            <x v="0"/>
          </reference>
          <reference field="4" count="1" selected="0">
            <x v="14"/>
          </reference>
          <reference field="6" count="1" selected="0">
            <x v="6"/>
          </reference>
        </references>
      </pivotArea>
    </chartFormat>
    <chartFormat chart="2" format="418">
      <pivotArea type="data" outline="0" fieldPosition="0">
        <references count="3">
          <reference field="4294967294" count="1" selected="0">
            <x v="0"/>
          </reference>
          <reference field="4" count="1" selected="0">
            <x v="15"/>
          </reference>
          <reference field="6" count="1" selected="0">
            <x v="6"/>
          </reference>
        </references>
      </pivotArea>
    </chartFormat>
    <chartFormat chart="2" format="419">
      <pivotArea type="data" outline="0" fieldPosition="0">
        <references count="3">
          <reference field="4294967294" count="1" selected="0">
            <x v="0"/>
          </reference>
          <reference field="4" count="1" selected="0">
            <x v="16"/>
          </reference>
          <reference field="6" count="1" selected="0">
            <x v="6"/>
          </reference>
        </references>
      </pivotArea>
    </chartFormat>
    <chartFormat chart="2" format="420">
      <pivotArea type="data" outline="0" fieldPosition="0">
        <references count="3">
          <reference field="4294967294" count="1" selected="0">
            <x v="0"/>
          </reference>
          <reference field="4" count="1" selected="0">
            <x v="17"/>
          </reference>
          <reference field="6" count="1" selected="0">
            <x v="6"/>
          </reference>
        </references>
      </pivotArea>
    </chartFormat>
    <chartFormat chart="2" format="421">
      <pivotArea type="data" outline="0" fieldPosition="0">
        <references count="3">
          <reference field="4294967294" count="1" selected="0">
            <x v="0"/>
          </reference>
          <reference field="4" count="1" selected="0">
            <x v="18"/>
          </reference>
          <reference field="6" count="1" selected="0">
            <x v="6"/>
          </reference>
        </references>
      </pivotArea>
    </chartFormat>
    <chartFormat chart="2" format="422">
      <pivotArea type="data" outline="0" fieldPosition="0">
        <references count="3">
          <reference field="4294967294" count="1" selected="0">
            <x v="0"/>
          </reference>
          <reference field="4" count="1" selected="0">
            <x v="19"/>
          </reference>
          <reference field="6" count="1" selected="0">
            <x v="6"/>
          </reference>
        </references>
      </pivotArea>
    </chartFormat>
    <chartFormat chart="2" format="423">
      <pivotArea type="data" outline="0" fieldPosition="0">
        <references count="3">
          <reference field="4294967294" count="1" selected="0">
            <x v="0"/>
          </reference>
          <reference field="4" count="1" selected="0">
            <x v="20"/>
          </reference>
          <reference field="6" count="1" selected="0">
            <x v="6"/>
          </reference>
        </references>
      </pivotArea>
    </chartFormat>
    <chartFormat chart="2" format="424">
      <pivotArea type="data" outline="0" fieldPosition="0">
        <references count="3">
          <reference field="4294967294" count="1" selected="0">
            <x v="0"/>
          </reference>
          <reference field="4" count="1" selected="0">
            <x v="21"/>
          </reference>
          <reference field="6" count="1" selected="0">
            <x v="6"/>
          </reference>
        </references>
      </pivotArea>
    </chartFormat>
    <chartFormat chart="2" format="425" series="1">
      <pivotArea type="data" outline="0" fieldPosition="0">
        <references count="2">
          <reference field="4294967294" count="1" selected="0">
            <x v="0"/>
          </reference>
          <reference field="6" count="1" selected="0">
            <x v="7"/>
          </reference>
        </references>
      </pivotArea>
    </chartFormat>
    <chartFormat chart="2" format="426">
      <pivotArea type="data" outline="0" fieldPosition="0">
        <references count="3">
          <reference field="4294967294" count="1" selected="0">
            <x v="0"/>
          </reference>
          <reference field="4" count="1" selected="0">
            <x v="0"/>
          </reference>
          <reference field="6" count="1" selected="0">
            <x v="7"/>
          </reference>
        </references>
      </pivotArea>
    </chartFormat>
    <chartFormat chart="2" format="427">
      <pivotArea type="data" outline="0" fieldPosition="0">
        <references count="3">
          <reference field="4294967294" count="1" selected="0">
            <x v="0"/>
          </reference>
          <reference field="4" count="1" selected="0">
            <x v="1"/>
          </reference>
          <reference field="6" count="1" selected="0">
            <x v="7"/>
          </reference>
        </references>
      </pivotArea>
    </chartFormat>
    <chartFormat chart="2" format="428">
      <pivotArea type="data" outline="0" fieldPosition="0">
        <references count="3">
          <reference field="4294967294" count="1" selected="0">
            <x v="0"/>
          </reference>
          <reference field="4" count="1" selected="0">
            <x v="2"/>
          </reference>
          <reference field="6" count="1" selected="0">
            <x v="7"/>
          </reference>
        </references>
      </pivotArea>
    </chartFormat>
    <chartFormat chart="2" format="429">
      <pivotArea type="data" outline="0" fieldPosition="0">
        <references count="3">
          <reference field="4294967294" count="1" selected="0">
            <x v="0"/>
          </reference>
          <reference field="4" count="1" selected="0">
            <x v="3"/>
          </reference>
          <reference field="6" count="1" selected="0">
            <x v="7"/>
          </reference>
        </references>
      </pivotArea>
    </chartFormat>
    <chartFormat chart="2" format="430">
      <pivotArea type="data" outline="0" fieldPosition="0">
        <references count="3">
          <reference field="4294967294" count="1" selected="0">
            <x v="0"/>
          </reference>
          <reference field="4" count="1" selected="0">
            <x v="4"/>
          </reference>
          <reference field="6" count="1" selected="0">
            <x v="7"/>
          </reference>
        </references>
      </pivotArea>
    </chartFormat>
    <chartFormat chart="2" format="431">
      <pivotArea type="data" outline="0" fieldPosition="0">
        <references count="3">
          <reference field="4294967294" count="1" selected="0">
            <x v="0"/>
          </reference>
          <reference field="4" count="1" selected="0">
            <x v="5"/>
          </reference>
          <reference field="6" count="1" selected="0">
            <x v="7"/>
          </reference>
        </references>
      </pivotArea>
    </chartFormat>
    <chartFormat chart="2" format="432">
      <pivotArea type="data" outline="0" fieldPosition="0">
        <references count="3">
          <reference field="4294967294" count="1" selected="0">
            <x v="0"/>
          </reference>
          <reference field="4" count="1" selected="0">
            <x v="6"/>
          </reference>
          <reference field="6" count="1" selected="0">
            <x v="7"/>
          </reference>
        </references>
      </pivotArea>
    </chartFormat>
    <chartFormat chart="2" format="433">
      <pivotArea type="data" outline="0" fieldPosition="0">
        <references count="3">
          <reference field="4294967294" count="1" selected="0">
            <x v="0"/>
          </reference>
          <reference field="4" count="1" selected="0">
            <x v="7"/>
          </reference>
          <reference field="6" count="1" selected="0">
            <x v="7"/>
          </reference>
        </references>
      </pivotArea>
    </chartFormat>
    <chartFormat chart="2" format="434">
      <pivotArea type="data" outline="0" fieldPosition="0">
        <references count="3">
          <reference field="4294967294" count="1" selected="0">
            <x v="0"/>
          </reference>
          <reference field="4" count="1" selected="0">
            <x v="8"/>
          </reference>
          <reference field="6" count="1" selected="0">
            <x v="7"/>
          </reference>
        </references>
      </pivotArea>
    </chartFormat>
    <chartFormat chart="2" format="435">
      <pivotArea type="data" outline="0" fieldPosition="0">
        <references count="3">
          <reference field="4294967294" count="1" selected="0">
            <x v="0"/>
          </reference>
          <reference field="4" count="1" selected="0">
            <x v="9"/>
          </reference>
          <reference field="6" count="1" selected="0">
            <x v="7"/>
          </reference>
        </references>
      </pivotArea>
    </chartFormat>
    <chartFormat chart="2" format="436">
      <pivotArea type="data" outline="0" fieldPosition="0">
        <references count="3">
          <reference field="4294967294" count="1" selected="0">
            <x v="0"/>
          </reference>
          <reference field="4" count="1" selected="0">
            <x v="10"/>
          </reference>
          <reference field="6" count="1" selected="0">
            <x v="7"/>
          </reference>
        </references>
      </pivotArea>
    </chartFormat>
    <chartFormat chart="2" format="437">
      <pivotArea type="data" outline="0" fieldPosition="0">
        <references count="3">
          <reference field="4294967294" count="1" selected="0">
            <x v="0"/>
          </reference>
          <reference field="4" count="1" selected="0">
            <x v="11"/>
          </reference>
          <reference field="6" count="1" selected="0">
            <x v="7"/>
          </reference>
        </references>
      </pivotArea>
    </chartFormat>
    <chartFormat chart="2" format="438">
      <pivotArea type="data" outline="0" fieldPosition="0">
        <references count="3">
          <reference field="4294967294" count="1" selected="0">
            <x v="0"/>
          </reference>
          <reference field="4" count="1" selected="0">
            <x v="12"/>
          </reference>
          <reference field="6" count="1" selected="0">
            <x v="7"/>
          </reference>
        </references>
      </pivotArea>
    </chartFormat>
    <chartFormat chart="2" format="439">
      <pivotArea type="data" outline="0" fieldPosition="0">
        <references count="3">
          <reference field="4294967294" count="1" selected="0">
            <x v="0"/>
          </reference>
          <reference field="4" count="1" selected="0">
            <x v="13"/>
          </reference>
          <reference field="6" count="1" selected="0">
            <x v="7"/>
          </reference>
        </references>
      </pivotArea>
    </chartFormat>
    <chartFormat chart="2" format="440">
      <pivotArea type="data" outline="0" fieldPosition="0">
        <references count="3">
          <reference field="4294967294" count="1" selected="0">
            <x v="0"/>
          </reference>
          <reference field="4" count="1" selected="0">
            <x v="14"/>
          </reference>
          <reference field="6" count="1" selected="0">
            <x v="7"/>
          </reference>
        </references>
      </pivotArea>
    </chartFormat>
    <chartFormat chart="2" format="441">
      <pivotArea type="data" outline="0" fieldPosition="0">
        <references count="3">
          <reference field="4294967294" count="1" selected="0">
            <x v="0"/>
          </reference>
          <reference field="4" count="1" selected="0">
            <x v="15"/>
          </reference>
          <reference field="6" count="1" selected="0">
            <x v="7"/>
          </reference>
        </references>
      </pivotArea>
    </chartFormat>
    <chartFormat chart="2" format="442">
      <pivotArea type="data" outline="0" fieldPosition="0">
        <references count="3">
          <reference field="4294967294" count="1" selected="0">
            <x v="0"/>
          </reference>
          <reference field="4" count="1" selected="0">
            <x v="16"/>
          </reference>
          <reference field="6" count="1" selected="0">
            <x v="7"/>
          </reference>
        </references>
      </pivotArea>
    </chartFormat>
    <chartFormat chart="2" format="443">
      <pivotArea type="data" outline="0" fieldPosition="0">
        <references count="3">
          <reference field="4294967294" count="1" selected="0">
            <x v="0"/>
          </reference>
          <reference field="4" count="1" selected="0">
            <x v="17"/>
          </reference>
          <reference field="6" count="1" selected="0">
            <x v="7"/>
          </reference>
        </references>
      </pivotArea>
    </chartFormat>
    <chartFormat chart="2" format="444">
      <pivotArea type="data" outline="0" fieldPosition="0">
        <references count="3">
          <reference field="4294967294" count="1" selected="0">
            <x v="0"/>
          </reference>
          <reference field="4" count="1" selected="0">
            <x v="18"/>
          </reference>
          <reference field="6" count="1" selected="0">
            <x v="7"/>
          </reference>
        </references>
      </pivotArea>
    </chartFormat>
    <chartFormat chart="2" format="445">
      <pivotArea type="data" outline="0" fieldPosition="0">
        <references count="3">
          <reference field="4294967294" count="1" selected="0">
            <x v="0"/>
          </reference>
          <reference field="4" count="1" selected="0">
            <x v="19"/>
          </reference>
          <reference field="6" count="1" selected="0">
            <x v="7"/>
          </reference>
        </references>
      </pivotArea>
    </chartFormat>
    <chartFormat chart="2" format="446">
      <pivotArea type="data" outline="0" fieldPosition="0">
        <references count="3">
          <reference field="4294967294" count="1" selected="0">
            <x v="0"/>
          </reference>
          <reference field="4" count="1" selected="0">
            <x v="20"/>
          </reference>
          <reference field="6" count="1" selected="0">
            <x v="7"/>
          </reference>
        </references>
      </pivotArea>
    </chartFormat>
    <chartFormat chart="2" format="447">
      <pivotArea type="data" outline="0" fieldPosition="0">
        <references count="3">
          <reference field="4294967294" count="1" selected="0">
            <x v="0"/>
          </reference>
          <reference field="4" count="1" selected="0">
            <x v="21"/>
          </reference>
          <reference field="6" count="1" selected="0">
            <x v="7"/>
          </reference>
        </references>
      </pivotArea>
    </chartFormat>
    <chartFormat chart="2" format="448" series="1">
      <pivotArea type="data" outline="0" fieldPosition="0">
        <references count="2">
          <reference field="4294967294" count="1" selected="0">
            <x v="0"/>
          </reference>
          <reference field="6" count="1" selected="0">
            <x v="8"/>
          </reference>
        </references>
      </pivotArea>
    </chartFormat>
    <chartFormat chart="2" format="449">
      <pivotArea type="data" outline="0" fieldPosition="0">
        <references count="3">
          <reference field="4294967294" count="1" selected="0">
            <x v="0"/>
          </reference>
          <reference field="4" count="1" selected="0">
            <x v="0"/>
          </reference>
          <reference field="6" count="1" selected="0">
            <x v="8"/>
          </reference>
        </references>
      </pivotArea>
    </chartFormat>
    <chartFormat chart="2" format="450">
      <pivotArea type="data" outline="0" fieldPosition="0">
        <references count="3">
          <reference field="4294967294" count="1" selected="0">
            <x v="0"/>
          </reference>
          <reference field="4" count="1" selected="0">
            <x v="1"/>
          </reference>
          <reference field="6" count="1" selected="0">
            <x v="8"/>
          </reference>
        </references>
      </pivotArea>
    </chartFormat>
    <chartFormat chart="2" format="451">
      <pivotArea type="data" outline="0" fieldPosition="0">
        <references count="3">
          <reference field="4294967294" count="1" selected="0">
            <x v="0"/>
          </reference>
          <reference field="4" count="1" selected="0">
            <x v="2"/>
          </reference>
          <reference field="6" count="1" selected="0">
            <x v="8"/>
          </reference>
        </references>
      </pivotArea>
    </chartFormat>
    <chartFormat chart="2" format="452">
      <pivotArea type="data" outline="0" fieldPosition="0">
        <references count="3">
          <reference field="4294967294" count="1" selected="0">
            <x v="0"/>
          </reference>
          <reference field="4" count="1" selected="0">
            <x v="3"/>
          </reference>
          <reference field="6" count="1" selected="0">
            <x v="8"/>
          </reference>
        </references>
      </pivotArea>
    </chartFormat>
    <chartFormat chart="2" format="453">
      <pivotArea type="data" outline="0" fieldPosition="0">
        <references count="3">
          <reference field="4294967294" count="1" selected="0">
            <x v="0"/>
          </reference>
          <reference field="4" count="1" selected="0">
            <x v="4"/>
          </reference>
          <reference field="6" count="1" selected="0">
            <x v="8"/>
          </reference>
        </references>
      </pivotArea>
    </chartFormat>
    <chartFormat chart="2" format="454">
      <pivotArea type="data" outline="0" fieldPosition="0">
        <references count="3">
          <reference field="4294967294" count="1" selected="0">
            <x v="0"/>
          </reference>
          <reference field="4" count="1" selected="0">
            <x v="5"/>
          </reference>
          <reference field="6" count="1" selected="0">
            <x v="8"/>
          </reference>
        </references>
      </pivotArea>
    </chartFormat>
    <chartFormat chart="2" format="455">
      <pivotArea type="data" outline="0" fieldPosition="0">
        <references count="3">
          <reference field="4294967294" count="1" selected="0">
            <x v="0"/>
          </reference>
          <reference field="4" count="1" selected="0">
            <x v="6"/>
          </reference>
          <reference field="6" count="1" selected="0">
            <x v="8"/>
          </reference>
        </references>
      </pivotArea>
    </chartFormat>
    <chartFormat chart="2" format="456">
      <pivotArea type="data" outline="0" fieldPosition="0">
        <references count="3">
          <reference field="4294967294" count="1" selected="0">
            <x v="0"/>
          </reference>
          <reference field="4" count="1" selected="0">
            <x v="7"/>
          </reference>
          <reference field="6" count="1" selected="0">
            <x v="8"/>
          </reference>
        </references>
      </pivotArea>
    </chartFormat>
    <chartFormat chart="2" format="457">
      <pivotArea type="data" outline="0" fieldPosition="0">
        <references count="3">
          <reference field="4294967294" count="1" selected="0">
            <x v="0"/>
          </reference>
          <reference field="4" count="1" selected="0">
            <x v="8"/>
          </reference>
          <reference field="6" count="1" selected="0">
            <x v="8"/>
          </reference>
        </references>
      </pivotArea>
    </chartFormat>
    <chartFormat chart="2" format="458">
      <pivotArea type="data" outline="0" fieldPosition="0">
        <references count="3">
          <reference field="4294967294" count="1" selected="0">
            <x v="0"/>
          </reference>
          <reference field="4" count="1" selected="0">
            <x v="9"/>
          </reference>
          <reference field="6" count="1" selected="0">
            <x v="8"/>
          </reference>
        </references>
      </pivotArea>
    </chartFormat>
    <chartFormat chart="2" format="459">
      <pivotArea type="data" outline="0" fieldPosition="0">
        <references count="3">
          <reference field="4294967294" count="1" selected="0">
            <x v="0"/>
          </reference>
          <reference field="4" count="1" selected="0">
            <x v="10"/>
          </reference>
          <reference field="6" count="1" selected="0">
            <x v="8"/>
          </reference>
        </references>
      </pivotArea>
    </chartFormat>
    <chartFormat chart="2" format="460">
      <pivotArea type="data" outline="0" fieldPosition="0">
        <references count="3">
          <reference field="4294967294" count="1" selected="0">
            <x v="0"/>
          </reference>
          <reference field="4" count="1" selected="0">
            <x v="11"/>
          </reference>
          <reference field="6" count="1" selected="0">
            <x v="8"/>
          </reference>
        </references>
      </pivotArea>
    </chartFormat>
    <chartFormat chart="2" format="461">
      <pivotArea type="data" outline="0" fieldPosition="0">
        <references count="3">
          <reference field="4294967294" count="1" selected="0">
            <x v="0"/>
          </reference>
          <reference field="4" count="1" selected="0">
            <x v="12"/>
          </reference>
          <reference field="6" count="1" selected="0">
            <x v="8"/>
          </reference>
        </references>
      </pivotArea>
    </chartFormat>
    <chartFormat chart="2" format="462">
      <pivotArea type="data" outline="0" fieldPosition="0">
        <references count="3">
          <reference field="4294967294" count="1" selected="0">
            <x v="0"/>
          </reference>
          <reference field="4" count="1" selected="0">
            <x v="13"/>
          </reference>
          <reference field="6" count="1" selected="0">
            <x v="8"/>
          </reference>
        </references>
      </pivotArea>
    </chartFormat>
    <chartFormat chart="2" format="463">
      <pivotArea type="data" outline="0" fieldPosition="0">
        <references count="3">
          <reference field="4294967294" count="1" selected="0">
            <x v="0"/>
          </reference>
          <reference field="4" count="1" selected="0">
            <x v="14"/>
          </reference>
          <reference field="6" count="1" selected="0">
            <x v="8"/>
          </reference>
        </references>
      </pivotArea>
    </chartFormat>
    <chartFormat chart="2" format="464">
      <pivotArea type="data" outline="0" fieldPosition="0">
        <references count="3">
          <reference field="4294967294" count="1" selected="0">
            <x v="0"/>
          </reference>
          <reference field="4" count="1" selected="0">
            <x v="15"/>
          </reference>
          <reference field="6" count="1" selected="0">
            <x v="8"/>
          </reference>
        </references>
      </pivotArea>
    </chartFormat>
    <chartFormat chart="2" format="465">
      <pivotArea type="data" outline="0" fieldPosition="0">
        <references count="3">
          <reference field="4294967294" count="1" selected="0">
            <x v="0"/>
          </reference>
          <reference field="4" count="1" selected="0">
            <x v="16"/>
          </reference>
          <reference field="6" count="1" selected="0">
            <x v="8"/>
          </reference>
        </references>
      </pivotArea>
    </chartFormat>
    <chartFormat chart="2" format="466">
      <pivotArea type="data" outline="0" fieldPosition="0">
        <references count="3">
          <reference field="4294967294" count="1" selected="0">
            <x v="0"/>
          </reference>
          <reference field="4" count="1" selected="0">
            <x v="17"/>
          </reference>
          <reference field="6" count="1" selected="0">
            <x v="8"/>
          </reference>
        </references>
      </pivotArea>
    </chartFormat>
    <chartFormat chart="2" format="467">
      <pivotArea type="data" outline="0" fieldPosition="0">
        <references count="3">
          <reference field="4294967294" count="1" selected="0">
            <x v="0"/>
          </reference>
          <reference field="4" count="1" selected="0">
            <x v="18"/>
          </reference>
          <reference field="6" count="1" selected="0">
            <x v="8"/>
          </reference>
        </references>
      </pivotArea>
    </chartFormat>
    <chartFormat chart="2" format="468">
      <pivotArea type="data" outline="0" fieldPosition="0">
        <references count="3">
          <reference field="4294967294" count="1" selected="0">
            <x v="0"/>
          </reference>
          <reference field="4" count="1" selected="0">
            <x v="19"/>
          </reference>
          <reference field="6" count="1" selected="0">
            <x v="8"/>
          </reference>
        </references>
      </pivotArea>
    </chartFormat>
    <chartFormat chart="2" format="469">
      <pivotArea type="data" outline="0" fieldPosition="0">
        <references count="3">
          <reference field="4294967294" count="1" selected="0">
            <x v="0"/>
          </reference>
          <reference field="4" count="1" selected="0">
            <x v="20"/>
          </reference>
          <reference field="6" count="1" selected="0">
            <x v="8"/>
          </reference>
        </references>
      </pivotArea>
    </chartFormat>
    <chartFormat chart="2" format="470">
      <pivotArea type="data" outline="0" fieldPosition="0">
        <references count="3">
          <reference field="4294967294" count="1" selected="0">
            <x v="0"/>
          </reference>
          <reference field="4" count="1" selected="0">
            <x v="21"/>
          </reference>
          <reference field="6" count="1" selected="0">
            <x v="8"/>
          </reference>
        </references>
      </pivotArea>
    </chartFormat>
    <chartFormat chart="2" format="471" series="1">
      <pivotArea type="data" outline="0" fieldPosition="0">
        <references count="2">
          <reference field="4294967294" count="1" selected="0">
            <x v="0"/>
          </reference>
          <reference field="6" count="1" selected="0">
            <x v="9"/>
          </reference>
        </references>
      </pivotArea>
    </chartFormat>
    <chartFormat chart="2" format="472">
      <pivotArea type="data" outline="0" fieldPosition="0">
        <references count="3">
          <reference field="4294967294" count="1" selected="0">
            <x v="0"/>
          </reference>
          <reference field="4" count="1" selected="0">
            <x v="0"/>
          </reference>
          <reference field="6" count="1" selected="0">
            <x v="9"/>
          </reference>
        </references>
      </pivotArea>
    </chartFormat>
    <chartFormat chart="2" format="473">
      <pivotArea type="data" outline="0" fieldPosition="0">
        <references count="3">
          <reference field="4294967294" count="1" selected="0">
            <x v="0"/>
          </reference>
          <reference field="4" count="1" selected="0">
            <x v="1"/>
          </reference>
          <reference field="6" count="1" selected="0">
            <x v="9"/>
          </reference>
        </references>
      </pivotArea>
    </chartFormat>
    <chartFormat chart="2" format="474">
      <pivotArea type="data" outline="0" fieldPosition="0">
        <references count="3">
          <reference field="4294967294" count="1" selected="0">
            <x v="0"/>
          </reference>
          <reference field="4" count="1" selected="0">
            <x v="2"/>
          </reference>
          <reference field="6" count="1" selected="0">
            <x v="9"/>
          </reference>
        </references>
      </pivotArea>
    </chartFormat>
    <chartFormat chart="2" format="475">
      <pivotArea type="data" outline="0" fieldPosition="0">
        <references count="3">
          <reference field="4294967294" count="1" selected="0">
            <x v="0"/>
          </reference>
          <reference field="4" count="1" selected="0">
            <x v="3"/>
          </reference>
          <reference field="6" count="1" selected="0">
            <x v="9"/>
          </reference>
        </references>
      </pivotArea>
    </chartFormat>
    <chartFormat chart="2" format="476">
      <pivotArea type="data" outline="0" fieldPosition="0">
        <references count="3">
          <reference field="4294967294" count="1" selected="0">
            <x v="0"/>
          </reference>
          <reference field="4" count="1" selected="0">
            <x v="4"/>
          </reference>
          <reference field="6" count="1" selected="0">
            <x v="9"/>
          </reference>
        </references>
      </pivotArea>
    </chartFormat>
    <chartFormat chart="2" format="477">
      <pivotArea type="data" outline="0" fieldPosition="0">
        <references count="3">
          <reference field="4294967294" count="1" selected="0">
            <x v="0"/>
          </reference>
          <reference field="4" count="1" selected="0">
            <x v="5"/>
          </reference>
          <reference field="6" count="1" selected="0">
            <x v="9"/>
          </reference>
        </references>
      </pivotArea>
    </chartFormat>
    <chartFormat chart="2" format="478">
      <pivotArea type="data" outline="0" fieldPosition="0">
        <references count="3">
          <reference field="4294967294" count="1" selected="0">
            <x v="0"/>
          </reference>
          <reference field="4" count="1" selected="0">
            <x v="6"/>
          </reference>
          <reference field="6" count="1" selected="0">
            <x v="9"/>
          </reference>
        </references>
      </pivotArea>
    </chartFormat>
    <chartFormat chart="2" format="479">
      <pivotArea type="data" outline="0" fieldPosition="0">
        <references count="3">
          <reference field="4294967294" count="1" selected="0">
            <x v="0"/>
          </reference>
          <reference field="4" count="1" selected="0">
            <x v="7"/>
          </reference>
          <reference field="6" count="1" selected="0">
            <x v="9"/>
          </reference>
        </references>
      </pivotArea>
    </chartFormat>
    <chartFormat chart="2" format="480">
      <pivotArea type="data" outline="0" fieldPosition="0">
        <references count="3">
          <reference field="4294967294" count="1" selected="0">
            <x v="0"/>
          </reference>
          <reference field="4" count="1" selected="0">
            <x v="8"/>
          </reference>
          <reference field="6" count="1" selected="0">
            <x v="9"/>
          </reference>
        </references>
      </pivotArea>
    </chartFormat>
    <chartFormat chart="2" format="481">
      <pivotArea type="data" outline="0" fieldPosition="0">
        <references count="3">
          <reference field="4294967294" count="1" selected="0">
            <x v="0"/>
          </reference>
          <reference field="4" count="1" selected="0">
            <x v="9"/>
          </reference>
          <reference field="6" count="1" selected="0">
            <x v="9"/>
          </reference>
        </references>
      </pivotArea>
    </chartFormat>
    <chartFormat chart="2" format="482">
      <pivotArea type="data" outline="0" fieldPosition="0">
        <references count="3">
          <reference field="4294967294" count="1" selected="0">
            <x v="0"/>
          </reference>
          <reference field="4" count="1" selected="0">
            <x v="10"/>
          </reference>
          <reference field="6" count="1" selected="0">
            <x v="9"/>
          </reference>
        </references>
      </pivotArea>
    </chartFormat>
    <chartFormat chart="2" format="483">
      <pivotArea type="data" outline="0" fieldPosition="0">
        <references count="3">
          <reference field="4294967294" count="1" selected="0">
            <x v="0"/>
          </reference>
          <reference field="4" count="1" selected="0">
            <x v="11"/>
          </reference>
          <reference field="6" count="1" selected="0">
            <x v="9"/>
          </reference>
        </references>
      </pivotArea>
    </chartFormat>
    <chartFormat chart="2" format="484">
      <pivotArea type="data" outline="0" fieldPosition="0">
        <references count="3">
          <reference field="4294967294" count="1" selected="0">
            <x v="0"/>
          </reference>
          <reference field="4" count="1" selected="0">
            <x v="12"/>
          </reference>
          <reference field="6" count="1" selected="0">
            <x v="9"/>
          </reference>
        </references>
      </pivotArea>
    </chartFormat>
    <chartFormat chart="2" format="485">
      <pivotArea type="data" outline="0" fieldPosition="0">
        <references count="3">
          <reference field="4294967294" count="1" selected="0">
            <x v="0"/>
          </reference>
          <reference field="4" count="1" selected="0">
            <x v="13"/>
          </reference>
          <reference field="6" count="1" selected="0">
            <x v="9"/>
          </reference>
        </references>
      </pivotArea>
    </chartFormat>
    <chartFormat chart="2" format="486">
      <pivotArea type="data" outline="0" fieldPosition="0">
        <references count="3">
          <reference field="4294967294" count="1" selected="0">
            <x v="0"/>
          </reference>
          <reference field="4" count="1" selected="0">
            <x v="14"/>
          </reference>
          <reference field="6" count="1" selected="0">
            <x v="9"/>
          </reference>
        </references>
      </pivotArea>
    </chartFormat>
    <chartFormat chart="2" format="487">
      <pivotArea type="data" outline="0" fieldPosition="0">
        <references count="3">
          <reference field="4294967294" count="1" selected="0">
            <x v="0"/>
          </reference>
          <reference field="4" count="1" selected="0">
            <x v="15"/>
          </reference>
          <reference field="6" count="1" selected="0">
            <x v="9"/>
          </reference>
        </references>
      </pivotArea>
    </chartFormat>
    <chartFormat chart="2" format="488">
      <pivotArea type="data" outline="0" fieldPosition="0">
        <references count="3">
          <reference field="4294967294" count="1" selected="0">
            <x v="0"/>
          </reference>
          <reference field="4" count="1" selected="0">
            <x v="16"/>
          </reference>
          <reference field="6" count="1" selected="0">
            <x v="9"/>
          </reference>
        </references>
      </pivotArea>
    </chartFormat>
    <chartFormat chart="2" format="489">
      <pivotArea type="data" outline="0" fieldPosition="0">
        <references count="3">
          <reference field="4294967294" count="1" selected="0">
            <x v="0"/>
          </reference>
          <reference field="4" count="1" selected="0">
            <x v="17"/>
          </reference>
          <reference field="6" count="1" selected="0">
            <x v="9"/>
          </reference>
        </references>
      </pivotArea>
    </chartFormat>
    <chartFormat chart="2" format="490">
      <pivotArea type="data" outline="0" fieldPosition="0">
        <references count="3">
          <reference field="4294967294" count="1" selected="0">
            <x v="0"/>
          </reference>
          <reference field="4" count="1" selected="0">
            <x v="18"/>
          </reference>
          <reference field="6" count="1" selected="0">
            <x v="9"/>
          </reference>
        </references>
      </pivotArea>
    </chartFormat>
    <chartFormat chart="2" format="491">
      <pivotArea type="data" outline="0" fieldPosition="0">
        <references count="3">
          <reference field="4294967294" count="1" selected="0">
            <x v="0"/>
          </reference>
          <reference field="4" count="1" selected="0">
            <x v="19"/>
          </reference>
          <reference field="6" count="1" selected="0">
            <x v="9"/>
          </reference>
        </references>
      </pivotArea>
    </chartFormat>
    <chartFormat chart="2" format="492">
      <pivotArea type="data" outline="0" fieldPosition="0">
        <references count="3">
          <reference field="4294967294" count="1" selected="0">
            <x v="0"/>
          </reference>
          <reference field="4" count="1" selected="0">
            <x v="20"/>
          </reference>
          <reference field="6" count="1" selected="0">
            <x v="9"/>
          </reference>
        </references>
      </pivotArea>
    </chartFormat>
    <chartFormat chart="2" format="493">
      <pivotArea type="data" outline="0" fieldPosition="0">
        <references count="3">
          <reference field="4294967294" count="1" selected="0">
            <x v="0"/>
          </reference>
          <reference field="4" count="1" selected="0">
            <x v="21"/>
          </reference>
          <reference field="6" count="1" selected="0">
            <x v="9"/>
          </reference>
        </references>
      </pivotArea>
    </chartFormat>
    <chartFormat chart="2" format="494" series="1">
      <pivotArea type="data" outline="0" fieldPosition="0">
        <references count="2">
          <reference field="4294967294" count="1" selected="0">
            <x v="0"/>
          </reference>
          <reference field="6" count="1" selected="0">
            <x v="10"/>
          </reference>
        </references>
      </pivotArea>
    </chartFormat>
    <chartFormat chart="2" format="495">
      <pivotArea type="data" outline="0" fieldPosition="0">
        <references count="3">
          <reference field="4294967294" count="1" selected="0">
            <x v="0"/>
          </reference>
          <reference field="4" count="1" selected="0">
            <x v="0"/>
          </reference>
          <reference field="6" count="1" selected="0">
            <x v="10"/>
          </reference>
        </references>
      </pivotArea>
    </chartFormat>
    <chartFormat chart="2" format="496">
      <pivotArea type="data" outline="0" fieldPosition="0">
        <references count="3">
          <reference field="4294967294" count="1" selected="0">
            <x v="0"/>
          </reference>
          <reference field="4" count="1" selected="0">
            <x v="1"/>
          </reference>
          <reference field="6" count="1" selected="0">
            <x v="10"/>
          </reference>
        </references>
      </pivotArea>
    </chartFormat>
    <chartFormat chart="2" format="497">
      <pivotArea type="data" outline="0" fieldPosition="0">
        <references count="3">
          <reference field="4294967294" count="1" selected="0">
            <x v="0"/>
          </reference>
          <reference field="4" count="1" selected="0">
            <x v="2"/>
          </reference>
          <reference field="6" count="1" selected="0">
            <x v="10"/>
          </reference>
        </references>
      </pivotArea>
    </chartFormat>
    <chartFormat chart="2" format="498">
      <pivotArea type="data" outline="0" fieldPosition="0">
        <references count="3">
          <reference field="4294967294" count="1" selected="0">
            <x v="0"/>
          </reference>
          <reference field="4" count="1" selected="0">
            <x v="3"/>
          </reference>
          <reference field="6" count="1" selected="0">
            <x v="10"/>
          </reference>
        </references>
      </pivotArea>
    </chartFormat>
    <chartFormat chart="2" format="499">
      <pivotArea type="data" outline="0" fieldPosition="0">
        <references count="3">
          <reference field="4294967294" count="1" selected="0">
            <x v="0"/>
          </reference>
          <reference field="4" count="1" selected="0">
            <x v="4"/>
          </reference>
          <reference field="6" count="1" selected="0">
            <x v="10"/>
          </reference>
        </references>
      </pivotArea>
    </chartFormat>
    <chartFormat chart="2" format="500">
      <pivotArea type="data" outline="0" fieldPosition="0">
        <references count="3">
          <reference field="4294967294" count="1" selected="0">
            <x v="0"/>
          </reference>
          <reference field="4" count="1" selected="0">
            <x v="5"/>
          </reference>
          <reference field="6" count="1" selected="0">
            <x v="10"/>
          </reference>
        </references>
      </pivotArea>
    </chartFormat>
    <chartFormat chart="2" format="501">
      <pivotArea type="data" outline="0" fieldPosition="0">
        <references count="3">
          <reference field="4294967294" count="1" selected="0">
            <x v="0"/>
          </reference>
          <reference field="4" count="1" selected="0">
            <x v="6"/>
          </reference>
          <reference field="6" count="1" selected="0">
            <x v="10"/>
          </reference>
        </references>
      </pivotArea>
    </chartFormat>
    <chartFormat chart="2" format="502">
      <pivotArea type="data" outline="0" fieldPosition="0">
        <references count="3">
          <reference field="4294967294" count="1" selected="0">
            <x v="0"/>
          </reference>
          <reference field="4" count="1" selected="0">
            <x v="7"/>
          </reference>
          <reference field="6" count="1" selected="0">
            <x v="10"/>
          </reference>
        </references>
      </pivotArea>
    </chartFormat>
    <chartFormat chart="2" format="503">
      <pivotArea type="data" outline="0" fieldPosition="0">
        <references count="3">
          <reference field="4294967294" count="1" selected="0">
            <x v="0"/>
          </reference>
          <reference field="4" count="1" selected="0">
            <x v="8"/>
          </reference>
          <reference field="6" count="1" selected="0">
            <x v="10"/>
          </reference>
        </references>
      </pivotArea>
    </chartFormat>
    <chartFormat chart="2" format="504">
      <pivotArea type="data" outline="0" fieldPosition="0">
        <references count="3">
          <reference field="4294967294" count="1" selected="0">
            <x v="0"/>
          </reference>
          <reference field="4" count="1" selected="0">
            <x v="9"/>
          </reference>
          <reference field="6" count="1" selected="0">
            <x v="10"/>
          </reference>
        </references>
      </pivotArea>
    </chartFormat>
    <chartFormat chart="2" format="505">
      <pivotArea type="data" outline="0" fieldPosition="0">
        <references count="3">
          <reference field="4294967294" count="1" selected="0">
            <x v="0"/>
          </reference>
          <reference field="4" count="1" selected="0">
            <x v="10"/>
          </reference>
          <reference field="6" count="1" selected="0">
            <x v="10"/>
          </reference>
        </references>
      </pivotArea>
    </chartFormat>
    <chartFormat chart="2" format="506">
      <pivotArea type="data" outline="0" fieldPosition="0">
        <references count="3">
          <reference field="4294967294" count="1" selected="0">
            <x v="0"/>
          </reference>
          <reference field="4" count="1" selected="0">
            <x v="11"/>
          </reference>
          <reference field="6" count="1" selected="0">
            <x v="10"/>
          </reference>
        </references>
      </pivotArea>
    </chartFormat>
    <chartFormat chart="2" format="507">
      <pivotArea type="data" outline="0" fieldPosition="0">
        <references count="3">
          <reference field="4294967294" count="1" selected="0">
            <x v="0"/>
          </reference>
          <reference field="4" count="1" selected="0">
            <x v="12"/>
          </reference>
          <reference field="6" count="1" selected="0">
            <x v="10"/>
          </reference>
        </references>
      </pivotArea>
    </chartFormat>
    <chartFormat chart="2" format="508">
      <pivotArea type="data" outline="0" fieldPosition="0">
        <references count="3">
          <reference field="4294967294" count="1" selected="0">
            <x v="0"/>
          </reference>
          <reference field="4" count="1" selected="0">
            <x v="13"/>
          </reference>
          <reference field="6" count="1" selected="0">
            <x v="10"/>
          </reference>
        </references>
      </pivotArea>
    </chartFormat>
    <chartFormat chart="2" format="509">
      <pivotArea type="data" outline="0" fieldPosition="0">
        <references count="3">
          <reference field="4294967294" count="1" selected="0">
            <x v="0"/>
          </reference>
          <reference field="4" count="1" selected="0">
            <x v="14"/>
          </reference>
          <reference field="6" count="1" selected="0">
            <x v="10"/>
          </reference>
        </references>
      </pivotArea>
    </chartFormat>
    <chartFormat chart="2" format="510">
      <pivotArea type="data" outline="0" fieldPosition="0">
        <references count="3">
          <reference field="4294967294" count="1" selected="0">
            <x v="0"/>
          </reference>
          <reference field="4" count="1" selected="0">
            <x v="15"/>
          </reference>
          <reference field="6" count="1" selected="0">
            <x v="10"/>
          </reference>
        </references>
      </pivotArea>
    </chartFormat>
    <chartFormat chart="2" format="511">
      <pivotArea type="data" outline="0" fieldPosition="0">
        <references count="3">
          <reference field="4294967294" count="1" selected="0">
            <x v="0"/>
          </reference>
          <reference field="4" count="1" selected="0">
            <x v="16"/>
          </reference>
          <reference field="6" count="1" selected="0">
            <x v="10"/>
          </reference>
        </references>
      </pivotArea>
    </chartFormat>
    <chartFormat chart="2" format="512">
      <pivotArea type="data" outline="0" fieldPosition="0">
        <references count="3">
          <reference field="4294967294" count="1" selected="0">
            <x v="0"/>
          </reference>
          <reference field="4" count="1" selected="0">
            <x v="17"/>
          </reference>
          <reference field="6" count="1" selected="0">
            <x v="10"/>
          </reference>
        </references>
      </pivotArea>
    </chartFormat>
    <chartFormat chart="2" format="513">
      <pivotArea type="data" outline="0" fieldPosition="0">
        <references count="3">
          <reference field="4294967294" count="1" selected="0">
            <x v="0"/>
          </reference>
          <reference field="4" count="1" selected="0">
            <x v="18"/>
          </reference>
          <reference field="6" count="1" selected="0">
            <x v="10"/>
          </reference>
        </references>
      </pivotArea>
    </chartFormat>
    <chartFormat chart="2" format="514">
      <pivotArea type="data" outline="0" fieldPosition="0">
        <references count="3">
          <reference field="4294967294" count="1" selected="0">
            <x v="0"/>
          </reference>
          <reference field="4" count="1" selected="0">
            <x v="19"/>
          </reference>
          <reference field="6" count="1" selected="0">
            <x v="10"/>
          </reference>
        </references>
      </pivotArea>
    </chartFormat>
    <chartFormat chart="2" format="515">
      <pivotArea type="data" outline="0" fieldPosition="0">
        <references count="3">
          <reference field="4294967294" count="1" selected="0">
            <x v="0"/>
          </reference>
          <reference field="4" count="1" selected="0">
            <x v="20"/>
          </reference>
          <reference field="6" count="1" selected="0">
            <x v="10"/>
          </reference>
        </references>
      </pivotArea>
    </chartFormat>
    <chartFormat chart="2" format="516">
      <pivotArea type="data" outline="0" fieldPosition="0">
        <references count="3">
          <reference field="4294967294" count="1" selected="0">
            <x v="0"/>
          </reference>
          <reference field="4" count="1" selected="0">
            <x v="21"/>
          </reference>
          <reference field="6"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8A7D21-B719-4B36-81ED-A09659A211C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D28" firstHeaderRow="1" firstDataRow="2" firstDataCol="1" rowPageCount="1" colPageCount="1"/>
  <pivotFields count="17">
    <pivotField showAll="0"/>
    <pivotField axis="axisPage" dataField="1" showAll="0">
      <items count="993">
        <item x="866"/>
        <item x="757"/>
        <item x="338"/>
        <item x="494"/>
        <item x="771"/>
        <item x="831"/>
        <item x="452"/>
        <item x="202"/>
        <item x="811"/>
        <item x="969"/>
        <item x="808"/>
        <item x="987"/>
        <item x="282"/>
        <item x="710"/>
        <item x="296"/>
        <item x="353"/>
        <item x="129"/>
        <item x="817"/>
        <item x="923"/>
        <item x="813"/>
        <item x="27"/>
        <item x="12"/>
        <item x="634"/>
        <item x="315"/>
        <item x="876"/>
        <item x="412"/>
        <item x="423"/>
        <item x="120"/>
        <item x="486"/>
        <item x="796"/>
        <item x="446"/>
        <item x="175"/>
        <item x="763"/>
        <item x="351"/>
        <item x="666"/>
        <item x="799"/>
        <item x="3"/>
        <item x="567"/>
        <item x="772"/>
        <item x="912"/>
        <item x="37"/>
        <item x="294"/>
        <item x="911"/>
        <item x="249"/>
        <item x="441"/>
        <item x="82"/>
        <item x="635"/>
        <item x="124"/>
        <item x="897"/>
        <item x="98"/>
        <item x="246"/>
        <item x="646"/>
        <item x="442"/>
        <item x="626"/>
        <item x="314"/>
        <item x="362"/>
        <item x="659"/>
        <item x="706"/>
        <item x="40"/>
        <item x="913"/>
        <item x="283"/>
        <item x="234"/>
        <item x="842"/>
        <item x="25"/>
        <item x="153"/>
        <item x="764"/>
        <item x="928"/>
        <item x="378"/>
        <item x="773"/>
        <item x="433"/>
        <item x="506"/>
        <item x="277"/>
        <item x="888"/>
        <item x="394"/>
        <item x="747"/>
        <item x="168"/>
        <item x="252"/>
        <item x="924"/>
        <item x="571"/>
        <item x="483"/>
        <item x="718"/>
        <item x="570"/>
        <item x="361"/>
        <item x="145"/>
        <item x="66"/>
        <item x="615"/>
        <item x="641"/>
        <item x="508"/>
        <item x="304"/>
        <item x="884"/>
        <item x="84"/>
        <item x="126"/>
        <item x="430"/>
        <item x="59"/>
        <item x="267"/>
        <item x="650"/>
        <item x="696"/>
        <item x="298"/>
        <item x="877"/>
        <item x="794"/>
        <item x="96"/>
        <item x="852"/>
        <item x="972"/>
        <item x="480"/>
        <item x="360"/>
        <item x="717"/>
        <item x="942"/>
        <item x="424"/>
        <item x="977"/>
        <item x="193"/>
        <item x="185"/>
        <item x="752"/>
        <item x="643"/>
        <item x="365"/>
        <item x="311"/>
        <item x="235"/>
        <item x="85"/>
        <item x="954"/>
        <item x="255"/>
        <item x="814"/>
        <item x="400"/>
        <item x="828"/>
        <item x="355"/>
        <item x="264"/>
        <item x="196"/>
        <item x="810"/>
        <item x="87"/>
        <item x="606"/>
        <item x="589"/>
        <item x="80"/>
        <item x="909"/>
        <item x="782"/>
        <item x="335"/>
        <item x="759"/>
        <item x="863"/>
        <item x="259"/>
        <item x="121"/>
        <item x="286"/>
        <item x="739"/>
        <item x="536"/>
        <item x="692"/>
        <item x="172"/>
        <item x="906"/>
        <item x="256"/>
        <item x="617"/>
        <item x="860"/>
        <item x="943"/>
        <item x="547"/>
        <item x="953"/>
        <item x="532"/>
        <item x="290"/>
        <item x="22"/>
        <item x="971"/>
        <item x="140"/>
        <item x="582"/>
        <item x="354"/>
        <item x="983"/>
        <item x="47"/>
        <item x="372"/>
        <item x="225"/>
        <item x="476"/>
        <item x="988"/>
        <item x="230"/>
        <item x="307"/>
        <item x="629"/>
        <item x="157"/>
        <item x="517"/>
        <item x="356"/>
        <item x="707"/>
        <item x="722"/>
        <item x="291"/>
        <item x="62"/>
        <item x="388"/>
        <item x="359"/>
        <item x="239"/>
        <item x="788"/>
        <item x="855"/>
        <item x="132"/>
        <item x="728"/>
        <item x="428"/>
        <item x="122"/>
        <item x="319"/>
        <item x="576"/>
        <item x="756"/>
        <item x="133"/>
        <item x="152"/>
        <item x="974"/>
        <item x="340"/>
        <item x="127"/>
        <item x="303"/>
        <item x="504"/>
        <item x="681"/>
        <item x="482"/>
        <item x="68"/>
        <item x="867"/>
        <item x="60"/>
        <item x="619"/>
        <item x="478"/>
        <item x="966"/>
        <item x="65"/>
        <item x="812"/>
        <item x="451"/>
        <item x="652"/>
        <item x="776"/>
        <item x="313"/>
        <item x="265"/>
        <item x="833"/>
        <item x="793"/>
        <item x="611"/>
        <item x="237"/>
        <item x="397"/>
        <item x="952"/>
        <item x="236"/>
        <item x="697"/>
        <item x="591"/>
        <item x="920"/>
        <item x="612"/>
        <item x="832"/>
        <item x="443"/>
        <item x="978"/>
        <item x="514"/>
        <item x="455"/>
        <item x="700"/>
        <item x="317"/>
        <item x="683"/>
        <item x="214"/>
        <item x="223"/>
        <item x="886"/>
        <item x="621"/>
        <item x="835"/>
        <item x="713"/>
        <item x="306"/>
        <item x="973"/>
        <item x="703"/>
        <item x="958"/>
        <item x="631"/>
        <item x="414"/>
        <item x="97"/>
        <item x="957"/>
        <item x="279"/>
        <item x="456"/>
        <item x="552"/>
        <item x="637"/>
        <item x="991"/>
        <item x="565"/>
        <item x="673"/>
        <item x="640"/>
        <item x="851"/>
        <item x="368"/>
        <item x="341"/>
        <item x="926"/>
        <item x="574"/>
        <item x="123"/>
        <item x="170"/>
        <item x="623"/>
        <item x="445"/>
        <item x="94"/>
        <item x="743"/>
        <item x="77"/>
        <item x="513"/>
        <item x="824"/>
        <item x="761"/>
        <item x="426"/>
        <item x="748"/>
        <item x="409"/>
        <item x="502"/>
        <item x="48"/>
        <item x="51"/>
        <item x="161"/>
        <item x="632"/>
        <item x="137"/>
        <item x="427"/>
        <item x="136"/>
        <item x="379"/>
        <item x="450"/>
        <item x="281"/>
        <item x="597"/>
        <item x="429"/>
        <item x="802"/>
        <item x="405"/>
        <item x="607"/>
        <item x="801"/>
        <item x="789"/>
        <item x="61"/>
        <item x="174"/>
        <item x="142"/>
        <item x="14"/>
        <item x="331"/>
        <item x="226"/>
        <item x="343"/>
        <item x="569"/>
        <item x="432"/>
        <item x="392"/>
        <item x="709"/>
        <item x="559"/>
        <item x="184"/>
        <item x="108"/>
        <item x="664"/>
        <item x="408"/>
        <item x="254"/>
        <item x="677"/>
        <item x="800"/>
        <item x="35"/>
        <item x="491"/>
        <item x="344"/>
        <item x="834"/>
        <item x="633"/>
        <item x="30"/>
        <item x="961"/>
        <item x="668"/>
        <item x="6"/>
        <item x="736"/>
        <item x="384"/>
        <item x="691"/>
        <item x="146"/>
        <item x="932"/>
        <item x="889"/>
        <item x="543"/>
        <item x="746"/>
        <item x="816"/>
        <item x="675"/>
        <item x="399"/>
        <item x="981"/>
        <item x="848"/>
        <item x="250"/>
        <item x="176"/>
        <item x="949"/>
        <item x="148"/>
        <item x="10"/>
        <item x="373"/>
        <item x="868"/>
        <item x="755"/>
        <item x="636"/>
        <item x="69"/>
        <item x="785"/>
        <item x="118"/>
        <item x="734"/>
        <item x="163"/>
        <item x="371"/>
        <item x="581"/>
        <item x="731"/>
        <item x="885"/>
        <item x="274"/>
        <item x="676"/>
        <item x="940"/>
        <item x="268"/>
        <item x="765"/>
        <item x="512"/>
        <item x="601"/>
        <item x="853"/>
        <item x="937"/>
        <item x="620"/>
        <item x="200"/>
        <item x="187"/>
        <item x="721"/>
        <item x="470"/>
        <item x="390"/>
        <item x="882"/>
        <item x="499"/>
        <item x="434"/>
        <item x="364"/>
        <item x="403"/>
        <item x="251"/>
        <item x="670"/>
        <item x="261"/>
        <item x="210"/>
        <item x="497"/>
        <item x="263"/>
        <item x="767"/>
        <item x="270"/>
        <item x="222"/>
        <item x="791"/>
        <item x="45"/>
        <item x="768"/>
        <item x="288"/>
        <item x="20"/>
        <item x="719"/>
        <item x="583"/>
        <item x="39"/>
        <item x="551"/>
        <item x="415"/>
        <item x="380"/>
        <item x="454"/>
        <item x="220"/>
        <item x="473"/>
        <item x="503"/>
        <item x="36"/>
        <item x="111"/>
        <item x="555"/>
        <item x="535"/>
        <item x="105"/>
        <item x="463"/>
        <item x="847"/>
        <item x="701"/>
        <item x="524"/>
        <item x="125"/>
        <item x="741"/>
        <item x="846"/>
        <item x="690"/>
        <item x="970"/>
        <item x="370"/>
        <item x="43"/>
        <item x="695"/>
        <item x="669"/>
        <item x="962"/>
        <item x="262"/>
        <item x="485"/>
        <item x="293"/>
        <item x="324"/>
        <item x="895"/>
        <item x="489"/>
        <item x="192"/>
        <item x="181"/>
        <item x="219"/>
        <item x="986"/>
        <item x="260"/>
        <item x="369"/>
        <item x="107"/>
        <item x="24"/>
        <item x="54"/>
        <item x="916"/>
        <item x="488"/>
        <item x="610"/>
        <item x="845"/>
        <item x="484"/>
        <item x="208"/>
        <item x="467"/>
        <item x="347"/>
        <item x="872"/>
        <item x="595"/>
        <item x="75"/>
        <item x="173"/>
        <item x="778"/>
        <item x="861"/>
        <item x="119"/>
        <item x="188"/>
        <item x="468"/>
        <item x="762"/>
        <item x="723"/>
        <item x="588"/>
        <item x="410"/>
        <item x="730"/>
        <item x="586"/>
        <item x="326"/>
        <item x="34"/>
        <item x="115"/>
        <item x="352"/>
        <item x="201"/>
        <item x="458"/>
        <item x="199"/>
        <item x="985"/>
        <item x="53"/>
        <item x="389"/>
        <item x="301"/>
        <item x="645"/>
        <item x="648"/>
        <item x="472"/>
        <item x="720"/>
        <item x="545"/>
        <item x="638"/>
        <item x="561"/>
        <item x="724"/>
        <item x="334"/>
        <item x="461"/>
        <item x="878"/>
        <item x="841"/>
        <item x="990"/>
        <item x="505"/>
        <item x="698"/>
        <item x="166"/>
        <item x="941"/>
        <item x="358"/>
        <item x="754"/>
        <item x="963"/>
        <item x="689"/>
        <item x="117"/>
        <item x="128"/>
        <item x="139"/>
        <item x="784"/>
        <item x="73"/>
        <item x="93"/>
        <item x="758"/>
        <item x="328"/>
        <item x="440"/>
        <item x="575"/>
        <item x="227"/>
        <item x="289"/>
        <item x="825"/>
        <item x="337"/>
        <item x="639"/>
        <item x="679"/>
        <item x="138"/>
        <item x="815"/>
        <item x="534"/>
        <item x="775"/>
        <item x="672"/>
        <item x="391"/>
        <item x="287"/>
        <item x="663"/>
        <item x="693"/>
        <item x="2"/>
        <item x="541"/>
        <item x="465"/>
        <item x="233"/>
        <item x="826"/>
        <item x="950"/>
        <item x="462"/>
        <item x="453"/>
        <item x="50"/>
        <item x="266"/>
        <item x="186"/>
        <item x="322"/>
        <item x="839"/>
        <item x="572"/>
        <item x="466"/>
        <item x="131"/>
        <item x="42"/>
        <item x="215"/>
        <item x="447"/>
        <item x="688"/>
        <item x="770"/>
        <item x="894"/>
        <item x="416"/>
        <item x="320"/>
        <item x="560"/>
        <item x="712"/>
        <item x="901"/>
        <item x="989"/>
        <item x="644"/>
        <item x="699"/>
        <item x="471"/>
        <item x="587"/>
        <item x="787"/>
        <item x="481"/>
        <item x="573"/>
        <item x="750"/>
        <item x="862"/>
        <item x="280"/>
        <item x="786"/>
        <item x="898"/>
        <item x="515"/>
        <item x="642"/>
        <item x="579"/>
        <item x="537"/>
        <item x="374"/>
        <item x="493"/>
        <item x="564"/>
        <item x="849"/>
        <item x="538"/>
        <item x="113"/>
        <item x="896"/>
        <item x="431"/>
        <item x="774"/>
        <item x="557"/>
        <item x="109"/>
        <item x="103"/>
        <item x="590"/>
        <item x="183"/>
        <item x="900"/>
        <item x="206"/>
        <item x="244"/>
        <item x="507"/>
        <item x="523"/>
        <item x="927"/>
        <item x="549"/>
        <item x="840"/>
        <item x="99"/>
        <item x="346"/>
        <item x="52"/>
        <item x="907"/>
        <item x="726"/>
        <item x="881"/>
        <item x="49"/>
        <item x="492"/>
        <item x="55"/>
        <item x="871"/>
        <item x="956"/>
        <item x="622"/>
        <item x="665"/>
        <item x="16"/>
        <item x="357"/>
        <item x="56"/>
        <item x="946"/>
        <item x="975"/>
        <item x="751"/>
        <item x="348"/>
        <item x="922"/>
        <item x="285"/>
        <item x="657"/>
        <item x="63"/>
        <item x="112"/>
        <item x="143"/>
        <item x="78"/>
        <item x="421"/>
        <item x="740"/>
        <item x="843"/>
        <item x="448"/>
        <item x="822"/>
        <item x="806"/>
        <item x="797"/>
        <item x="141"/>
        <item x="879"/>
        <item x="968"/>
        <item x="5"/>
        <item x="960"/>
        <item x="90"/>
        <item x="859"/>
        <item x="393"/>
        <item x="915"/>
        <item x="336"/>
        <item x="821"/>
        <item x="29"/>
        <item x="510"/>
        <item x="309"/>
        <item x="4"/>
        <item x="658"/>
        <item x="742"/>
        <item x="366"/>
        <item x="179"/>
        <item x="779"/>
        <item x="908"/>
        <item x="566"/>
        <item x="880"/>
        <item x="533"/>
        <item x="530"/>
        <item x="149"/>
        <item x="26"/>
        <item x="965"/>
        <item x="738"/>
        <item x="599"/>
        <item x="238"/>
        <item x="474"/>
        <item x="325"/>
        <item x="792"/>
        <item x="106"/>
        <item x="258"/>
        <item x="295"/>
        <item x="798"/>
        <item x="57"/>
        <item x="600"/>
        <item x="694"/>
        <item x="874"/>
        <item x="435"/>
        <item x="857"/>
        <item x="376"/>
        <item x="790"/>
        <item x="464"/>
        <item x="783"/>
        <item x="284"/>
        <item x="869"/>
        <item x="682"/>
        <item x="649"/>
        <item x="475"/>
        <item x="387"/>
        <item x="19"/>
        <item x="9"/>
        <item x="232"/>
        <item x="349"/>
        <item x="150"/>
        <item x="89"/>
        <item x="613"/>
        <item x="964"/>
        <item x="944"/>
        <item x="525"/>
        <item x="837"/>
        <item x="278"/>
        <item x="702"/>
        <item x="733"/>
        <item x="685"/>
        <item x="28"/>
        <item x="228"/>
        <item x="602"/>
        <item x="542"/>
        <item x="23"/>
        <item x="781"/>
        <item x="269"/>
        <item x="38"/>
        <item x="656"/>
        <item x="189"/>
        <item x="769"/>
        <item x="803"/>
        <item x="74"/>
        <item x="350"/>
        <item x="33"/>
        <item x="177"/>
        <item x="704"/>
        <item x="609"/>
        <item x="584"/>
        <item x="680"/>
        <item x="578"/>
        <item x="819"/>
        <item x="593"/>
        <item x="498"/>
        <item x="418"/>
        <item x="83"/>
        <item x="316"/>
        <item x="212"/>
        <item x="500"/>
        <item x="820"/>
        <item x="231"/>
        <item x="182"/>
        <item x="585"/>
        <item x="883"/>
        <item x="614"/>
        <item x="807"/>
        <item x="858"/>
        <item x="11"/>
        <item x="780"/>
        <item x="221"/>
        <item x="979"/>
        <item x="44"/>
        <item x="982"/>
        <item x="160"/>
        <item x="299"/>
        <item x="209"/>
        <item x="327"/>
        <item x="292"/>
        <item x="407"/>
        <item x="395"/>
        <item x="91"/>
        <item x="548"/>
        <item x="945"/>
        <item x="732"/>
        <item x="375"/>
        <item x="154"/>
        <item x="155"/>
        <item x="242"/>
        <item x="243"/>
        <item x="213"/>
        <item x="469"/>
        <item x="520"/>
        <item x="420"/>
        <item x="459"/>
        <item x="398"/>
        <item x="272"/>
        <item x="955"/>
        <item x="914"/>
        <item x="308"/>
        <item x="873"/>
        <item x="870"/>
        <item x="46"/>
        <item x="396"/>
        <item x="0"/>
        <item x="933"/>
        <item x="271"/>
        <item x="297"/>
        <item x="678"/>
        <item x="546"/>
        <item x="687"/>
        <item x="417"/>
        <item x="158"/>
        <item x="931"/>
        <item x="891"/>
        <item x="947"/>
        <item x="850"/>
        <item x="330"/>
        <item x="72"/>
        <item x="169"/>
        <item x="854"/>
        <item x="951"/>
        <item x="624"/>
        <item x="921"/>
        <item x="558"/>
        <item x="381"/>
        <item x="198"/>
        <item x="342"/>
        <item x="616"/>
        <item x="245"/>
        <item x="460"/>
        <item x="79"/>
        <item x="302"/>
        <item x="159"/>
        <item x="332"/>
        <item x="905"/>
        <item x="178"/>
        <item x="745"/>
        <item x="190"/>
        <item x="151"/>
        <item x="477"/>
        <item x="385"/>
        <item x="910"/>
        <item x="92"/>
        <item x="323"/>
        <item x="134"/>
        <item x="205"/>
        <item x="401"/>
        <item x="13"/>
        <item x="382"/>
        <item x="714"/>
        <item x="592"/>
        <item x="890"/>
        <item x="654"/>
        <item x="487"/>
        <item x="705"/>
        <item x="156"/>
        <item x="333"/>
        <item x="64"/>
        <item x="422"/>
        <item x="674"/>
        <item x="838"/>
        <item x="383"/>
        <item x="948"/>
        <item x="655"/>
        <item x="479"/>
        <item x="805"/>
        <item x="275"/>
        <item x="218"/>
        <item x="934"/>
        <item x="753"/>
        <item x="345"/>
        <item x="7"/>
        <item x="544"/>
        <item x="114"/>
        <item x="216"/>
        <item x="305"/>
        <item x="976"/>
        <item x="32"/>
        <item x="936"/>
        <item x="501"/>
        <item x="321"/>
        <item x="165"/>
        <item x="809"/>
        <item x="495"/>
        <item x="830"/>
        <item x="892"/>
        <item x="556"/>
        <item x="88"/>
        <item x="509"/>
        <item x="727"/>
        <item x="312"/>
        <item x="377"/>
        <item x="661"/>
        <item x="844"/>
        <item x="310"/>
        <item x="804"/>
        <item x="224"/>
        <item x="598"/>
        <item x="211"/>
        <item x="795"/>
        <item x="744"/>
        <item x="404"/>
        <item x="518"/>
        <item x="827"/>
        <item x="58"/>
        <item x="864"/>
        <item x="662"/>
        <item x="618"/>
        <item x="86"/>
        <item x="21"/>
        <item x="729"/>
        <item x="929"/>
        <item x="577"/>
        <item x="984"/>
        <item x="667"/>
        <item x="411"/>
        <item x="628"/>
        <item x="865"/>
        <item x="660"/>
        <item x="425"/>
        <item x="240"/>
        <item x="959"/>
        <item x="386"/>
        <item x="608"/>
        <item x="935"/>
        <item x="41"/>
        <item x="735"/>
        <item x="17"/>
        <item x="519"/>
        <item x="367"/>
        <item x="823"/>
        <item x="438"/>
        <item x="162"/>
        <item x="8"/>
        <item x="554"/>
        <item x="540"/>
        <item x="217"/>
        <item x="980"/>
        <item x="725"/>
        <item x="711"/>
        <item x="204"/>
        <item x="562"/>
        <item x="777"/>
        <item x="526"/>
        <item x="716"/>
        <item x="419"/>
        <item x="95"/>
        <item x="130"/>
        <item x="197"/>
        <item x="904"/>
        <item x="402"/>
        <item x="528"/>
        <item x="437"/>
        <item x="102"/>
        <item x="449"/>
        <item x="563"/>
        <item x="248"/>
        <item x="276"/>
        <item x="836"/>
        <item x="229"/>
        <item x="899"/>
        <item x="856"/>
        <item x="257"/>
        <item x="144"/>
        <item x="522"/>
        <item x="684"/>
        <item x="902"/>
        <item x="406"/>
        <item x="444"/>
        <item x="164"/>
        <item x="749"/>
        <item x="625"/>
        <item x="363"/>
        <item x="167"/>
        <item x="413"/>
        <item x="605"/>
        <item x="496"/>
        <item x="760"/>
        <item x="651"/>
        <item x="329"/>
        <item x="116"/>
        <item x="521"/>
        <item x="603"/>
        <item x="529"/>
        <item x="135"/>
        <item x="938"/>
        <item x="195"/>
        <item x="539"/>
        <item x="71"/>
        <item x="604"/>
        <item x="300"/>
        <item x="100"/>
        <item x="627"/>
        <item x="917"/>
        <item x="457"/>
        <item x="766"/>
        <item x="967"/>
        <item x="580"/>
        <item x="31"/>
        <item x="76"/>
        <item x="439"/>
        <item x="939"/>
        <item x="596"/>
        <item x="630"/>
        <item x="708"/>
        <item x="490"/>
        <item x="829"/>
        <item x="436"/>
        <item x="930"/>
        <item x="531"/>
        <item x="568"/>
        <item x="686"/>
        <item x="715"/>
        <item x="104"/>
        <item x="191"/>
        <item x="18"/>
        <item x="553"/>
        <item x="110"/>
        <item x="925"/>
        <item x="919"/>
        <item x="1"/>
        <item x="180"/>
        <item x="81"/>
        <item x="241"/>
        <item x="101"/>
        <item x="67"/>
        <item x="511"/>
        <item x="339"/>
        <item x="516"/>
        <item x="203"/>
        <item x="550"/>
        <item x="147"/>
        <item x="737"/>
        <item x="887"/>
        <item x="653"/>
        <item x="527"/>
        <item x="273"/>
        <item x="818"/>
        <item x="903"/>
        <item x="253"/>
        <item x="207"/>
        <item x="318"/>
        <item x="171"/>
        <item x="594"/>
        <item x="15"/>
        <item x="875"/>
        <item x="70"/>
        <item x="893"/>
        <item x="194"/>
        <item x="247"/>
        <item x="918"/>
        <item x="671"/>
        <item x="647"/>
        <item t="default"/>
      </items>
    </pivotField>
    <pivotField axis="axisCol" showAll="0" sortType="descending">
      <items count="3">
        <item x="1"/>
        <item x="0"/>
        <item t="default"/>
      </items>
    </pivotField>
    <pivotField showAll="0">
      <items count="43">
        <item x="38"/>
        <item x="24"/>
        <item x="16"/>
        <item x="27"/>
        <item x="39"/>
        <item x="26"/>
        <item x="5"/>
        <item x="35"/>
        <item x="41"/>
        <item x="22"/>
        <item x="37"/>
        <item x="28"/>
        <item x="32"/>
        <item x="31"/>
        <item x="17"/>
        <item x="25"/>
        <item x="18"/>
        <item x="33"/>
        <item x="2"/>
        <item x="11"/>
        <item x="6"/>
        <item x="20"/>
        <item x="10"/>
        <item x="4"/>
        <item x="40"/>
        <item x="30"/>
        <item x="21"/>
        <item x="19"/>
        <item x="36"/>
        <item x="34"/>
        <item x="9"/>
        <item x="14"/>
        <item x="0"/>
        <item x="1"/>
        <item x="15"/>
        <item x="7"/>
        <item x="12"/>
        <item x="8"/>
        <item x="29"/>
        <item x="3"/>
        <item x="23"/>
        <item x="13"/>
        <item t="default"/>
      </items>
    </pivotField>
    <pivotField axis="axisRow" showAll="0">
      <items count="23">
        <item x="8"/>
        <item x="1"/>
        <item x="12"/>
        <item x="15"/>
        <item x="19"/>
        <item x="17"/>
        <item x="16"/>
        <item x="2"/>
        <item x="11"/>
        <item x="4"/>
        <item x="0"/>
        <item x="10"/>
        <item x="20"/>
        <item x="3"/>
        <item x="9"/>
        <item x="14"/>
        <item x="18"/>
        <item x="13"/>
        <item x="21"/>
        <item x="6"/>
        <item x="7"/>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2"/>
  </colFields>
  <colItems count="3">
    <i>
      <x/>
    </i>
    <i>
      <x v="1"/>
    </i>
    <i t="grand">
      <x/>
    </i>
  </colItems>
  <pageFields count="1">
    <pageField fld="1" hier="-1"/>
  </pageFields>
  <dataFields count="1">
    <dataField name="Count of Name" fld="1" subtotal="count" baseField="0" baseItem="0"/>
  </dataFields>
  <chartFormats count="1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0"/>
          </reference>
        </references>
      </pivotArea>
    </chartFormat>
    <chartFormat chart="1" format="3" series="1">
      <pivotArea type="data" outline="0" fieldPosition="0">
        <references count="2">
          <reference field="4294967294" count="1" selected="0">
            <x v="0"/>
          </reference>
          <reference field="2" count="1" selected="0">
            <x v="1"/>
          </reference>
        </references>
      </pivotArea>
    </chartFormat>
    <chartFormat chart="3" format="0" series="1">
      <pivotArea type="data" outline="0" fieldPosition="0">
        <references count="2">
          <reference field="4294967294" count="1" selected="0">
            <x v="0"/>
          </reference>
          <reference field="2" count="1" selected="0">
            <x v="0"/>
          </reference>
        </references>
      </pivotArea>
    </chartFormat>
    <chartFormat chart="3" format="1" series="1">
      <pivotArea type="data" outline="0" fieldPosition="0">
        <references count="2">
          <reference field="4294967294" count="1" selected="0">
            <x v="0"/>
          </reference>
          <reference field="2" count="1" selected="0">
            <x v="1"/>
          </reference>
        </references>
      </pivotArea>
    </chartFormat>
    <chartFormat chart="4" format="2" series="1">
      <pivotArea type="data" outline="0" fieldPosition="0">
        <references count="2">
          <reference field="4294967294" count="1" selected="0">
            <x v="0"/>
          </reference>
          <reference field="2" count="1" selected="0">
            <x v="0"/>
          </reference>
        </references>
      </pivotArea>
    </chartFormat>
    <chartFormat chart="4" format="3" series="1">
      <pivotArea type="data" outline="0" fieldPosition="0">
        <references count="2">
          <reference field="4294967294" count="1" selected="0">
            <x v="0"/>
          </reference>
          <reference field="2" count="1" selected="0">
            <x v="1"/>
          </reference>
        </references>
      </pivotArea>
    </chartFormat>
    <chartFormat chart="5" format="4" series="1">
      <pivotArea type="data" outline="0" fieldPosition="0">
        <references count="2">
          <reference field="4294967294" count="1" selected="0">
            <x v="0"/>
          </reference>
          <reference field="2" count="1" selected="0">
            <x v="0"/>
          </reference>
        </references>
      </pivotArea>
    </chartFormat>
    <chartFormat chart="5" format="5" series="1">
      <pivotArea type="data" outline="0" fieldPosition="0">
        <references count="2">
          <reference field="4294967294" count="1" selected="0">
            <x v="0"/>
          </reference>
          <reference field="2" count="1" selected="0">
            <x v="1"/>
          </reference>
        </references>
      </pivotArea>
    </chartFormat>
    <chartFormat chart="6" format="4" series="1">
      <pivotArea type="data" outline="0" fieldPosition="0">
        <references count="2">
          <reference field="4294967294" count="1" selected="0">
            <x v="0"/>
          </reference>
          <reference field="2" count="1" selected="0">
            <x v="0"/>
          </reference>
        </references>
      </pivotArea>
    </chartFormat>
    <chartFormat chart="6"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B77875D3-A2C2-45EC-9669-3030129E4FCA}" autoFormatId="16" applyNumberFormats="0" applyBorderFormats="0" applyFontFormats="0" applyPatternFormats="0" applyAlignmentFormats="0" applyWidthHeightFormats="0">
  <queryTableRefresh nextId="18">
    <queryTableFields count="17">
      <queryTableField id="1" name="freelancer_ID" tableColumnId="1"/>
      <queryTableField id="2" name="name" tableColumnId="2"/>
      <queryTableField id="3" name="gender" tableColumnId="3"/>
      <queryTableField id="17" dataBound="0" tableColumnId="17"/>
      <queryTableField id="4" name="age" tableColumnId="4"/>
      <queryTableField id="5" name="country" tableColumnId="5"/>
      <queryTableField id="6" name="language" tableColumnId="6"/>
      <queryTableField id="7" name="primary_skill" tableColumnId="7"/>
      <queryTableField id="8" name="years_of_experience" tableColumnId="8"/>
      <queryTableField id="9" name="hourly_rate (USD)" tableColumnId="9"/>
      <queryTableField id="10" name="rating" tableColumnId="10"/>
      <queryTableField id="11" name="is_active" tableColumnId="11"/>
      <queryTableField id="12" name="client_satisfaction" tableColumnId="12"/>
      <queryTableField id="13" name="Notes" tableColumnId="13"/>
      <queryTableField id="14" name="Status" tableColumnId="14"/>
      <queryTableField id="15" name="no of projects " tableColumnId="15"/>
      <queryTableField id="16" name="duration_months" tableColumnId="1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F4A9745E-A008-4142-80EA-704E565AF4DB}" autoFormatId="16" applyNumberFormats="0" applyBorderFormats="0" applyFontFormats="0" applyPatternFormats="0" applyAlignmentFormats="0" applyWidthHeightFormats="0">
  <queryTableRefresh nextId="19">
    <queryTableFields count="17">
      <queryTableField id="1" name="freelancer_ID" tableColumnId="1"/>
      <queryTableField id="2" name="name" tableColumnId="2"/>
      <queryTableField id="3" name="gender" tableColumnId="3"/>
      <queryTableField id="4" name="age" tableColumnId="4"/>
      <queryTableField id="5" name="country" tableColumnId="5"/>
      <queryTableField id="6" name="language" tableColumnId="6"/>
      <queryTableField id="7" name="primary_skill" tableColumnId="7"/>
      <queryTableField id="8" name="years_of_experience" tableColumnId="8"/>
      <queryTableField id="9" name="hourly_rate (USD)" tableColumnId="9"/>
      <queryTableField id="10" name="rating" tableColumnId="10"/>
      <queryTableField id="11" name="is_active" tableColumnId="11"/>
      <queryTableField id="12" name="client_satisfaction" tableColumnId="12"/>
      <queryTableField id="13" name="Notes" tableColumnId="13"/>
      <queryTableField id="14" name="Status" tableColumnId="14"/>
      <queryTableField id="15" name="no of projects " tableColumnId="15"/>
      <queryTableField id="18" dataBound="0" tableColumnId="19"/>
      <queryTableField id="16" name="duration_months" tableColumnId="1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AF53643A-1148-4A11-AEEA-503F72BDA970}" autoFormatId="16" applyNumberFormats="0" applyBorderFormats="0" applyFontFormats="0" applyPatternFormats="0" applyAlignmentFormats="0" applyWidthHeightFormats="0">
  <queryTableRefresh nextId="27" unboundColumnsRight="1">
    <queryTableFields count="20">
      <queryTableField id="1" name="freelancer_ID" tableColumnId="1"/>
      <queryTableField id="2" name="name" tableColumnId="2"/>
      <queryTableField id="3" name="gender" tableColumnId="3"/>
      <queryTableField id="17" dataBound="0" tableColumnId="17"/>
      <queryTableField id="4" name="age" tableColumnId="4"/>
      <queryTableField id="18" dataBound="0" tableColumnId="6"/>
      <queryTableField id="5" name="country" tableColumnId="5"/>
      <queryTableField id="19" dataBound="0" tableColumnId="13"/>
      <queryTableField id="7" name="primary_skill" tableColumnId="7"/>
      <queryTableField id="20" dataBound="0" tableColumnId="14"/>
      <queryTableField id="8" name="years_of_experience" tableColumnId="8"/>
      <queryTableField id="21" dataBound="0" tableColumnId="15"/>
      <queryTableField id="9" name="hourly_rate (USD)" tableColumnId="9"/>
      <queryTableField id="25" dataBound="0" tableColumnId="20"/>
      <queryTableField id="10" name="rating" tableColumnId="10"/>
      <queryTableField id="22" dataBound="0" tableColumnId="16"/>
      <queryTableField id="11" name="is_active" tableColumnId="11"/>
      <queryTableField id="23" dataBound="0" tableColumnId="18"/>
      <queryTableField id="12" name="client_satisfaction" tableColumnId="12"/>
      <queryTableField id="26" dataBound="0" tableColumnId="21"/>
    </queryTableFields>
    <queryTableDeletedFields count="5">
      <deletedField name="language"/>
      <deletedField name="Notes"/>
      <deletedField name="Status"/>
      <deletedField name="no of projects "/>
      <deletedField name="duration_months"/>
    </queryTableDeleted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7DFB0EB4-CAD0-4DEF-8899-85FFA87BD3DD}" autoFormatId="16" applyNumberFormats="0" applyBorderFormats="0" applyFontFormats="0" applyPatternFormats="0" applyAlignmentFormats="0" applyWidthHeightFormats="0">
  <queryTableRefresh nextId="19">
    <queryTableFields count="17">
      <queryTableField id="1" name="freelancer_ID" tableColumnId="1"/>
      <queryTableField id="2" name="name" tableColumnId="2"/>
      <queryTableField id="3" name="gender" tableColumnId="3"/>
      <queryTableField id="4" name="age" tableColumnId="4"/>
      <queryTableField id="5" name="country" tableColumnId="5"/>
      <queryTableField id="6" name="language" tableColumnId="6"/>
      <queryTableField id="7" name="primary_skill" tableColumnId="7"/>
      <queryTableField id="8" name="years_of_experience" tableColumnId="8"/>
      <queryTableField id="9" name="hourly_rate (USD)" tableColumnId="9"/>
      <queryTableField id="10" name="rating" tableColumnId="10"/>
      <queryTableField id="11" name="is_active" tableColumnId="11"/>
      <queryTableField id="12" name="client_satisfaction" tableColumnId="12"/>
      <queryTableField id="13" name="Notes" tableColumnId="13"/>
      <queryTableField id="14" name="Status" tableColumnId="14"/>
      <queryTableField id="15" name="no of projects " tableColumnId="15"/>
      <queryTableField id="18" dataBound="0" tableColumnId="19"/>
      <queryTableField id="16" name="duration_months"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8E51E5D-C0C6-4550-9C37-EDF39B80E066}" sourceName="Country">
  <pivotTables>
    <pivotTable tabId="20" name="PivotTable4"/>
  </pivotTables>
  <data>
    <tabular pivotCacheId="270457323">
      <items count="22">
        <i x="8" s="1"/>
        <i x="1" s="1"/>
        <i x="12" s="1"/>
        <i x="15" s="1"/>
        <i x="19" s="1"/>
        <i x="17" s="1"/>
        <i x="16" s="1"/>
        <i x="2" s="1"/>
        <i x="11" s="1"/>
        <i x="4" s="1"/>
        <i x="0" s="1"/>
        <i x="10" s="1"/>
        <i x="20" s="1"/>
        <i x="3" s="1"/>
        <i x="9" s="1"/>
        <i x="14" s="1"/>
        <i x="18" s="1"/>
        <i x="13" s="1"/>
        <i x="21" s="1"/>
        <i x="6" s="1"/>
        <i x="7"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970507D3-B072-46A1-94B1-A4E7BB380AF5}" sourceName="Name">
  <pivotTables>
    <pivotTable tabId="20" name="PivotTable1"/>
  </pivotTables>
  <data>
    <tabular pivotCacheId="270457323">
      <items count="992">
        <i x="866" s="1"/>
        <i x="757" s="1"/>
        <i x="338" s="1"/>
        <i x="494" s="1"/>
        <i x="771" s="1"/>
        <i x="831" s="1"/>
        <i x="452" s="1"/>
        <i x="202" s="1"/>
        <i x="811" s="1"/>
        <i x="969" s="1"/>
        <i x="808" s="1"/>
        <i x="987" s="1"/>
        <i x="282" s="1"/>
        <i x="710" s="1"/>
        <i x="296" s="1"/>
        <i x="353" s="1"/>
        <i x="129" s="1"/>
        <i x="817" s="1"/>
        <i x="923" s="1"/>
        <i x="813" s="1"/>
        <i x="27" s="1"/>
        <i x="12" s="1"/>
        <i x="634" s="1"/>
        <i x="315" s="1"/>
        <i x="876" s="1"/>
        <i x="412" s="1"/>
        <i x="423" s="1"/>
        <i x="120" s="1"/>
        <i x="486" s="1"/>
        <i x="796" s="1"/>
        <i x="446" s="1"/>
        <i x="175" s="1"/>
        <i x="763" s="1"/>
        <i x="351" s="1"/>
        <i x="666" s="1"/>
        <i x="799" s="1"/>
        <i x="3" s="1"/>
        <i x="567" s="1"/>
        <i x="772" s="1"/>
        <i x="912" s="1"/>
        <i x="37" s="1"/>
        <i x="294" s="1"/>
        <i x="911" s="1"/>
        <i x="249" s="1"/>
        <i x="441" s="1"/>
        <i x="82" s="1"/>
        <i x="635" s="1"/>
        <i x="124" s="1"/>
        <i x="897" s="1"/>
        <i x="98" s="1"/>
        <i x="246" s="1"/>
        <i x="646" s="1"/>
        <i x="442" s="1"/>
        <i x="626" s="1"/>
        <i x="314" s="1"/>
        <i x="362" s="1"/>
        <i x="659" s="1"/>
        <i x="706" s="1"/>
        <i x="40" s="1"/>
        <i x="913" s="1"/>
        <i x="283" s="1"/>
        <i x="234" s="1"/>
        <i x="842" s="1"/>
        <i x="25" s="1"/>
        <i x="153" s="1"/>
        <i x="764" s="1"/>
        <i x="928" s="1"/>
        <i x="378" s="1"/>
        <i x="773" s="1"/>
        <i x="433" s="1"/>
        <i x="506" s="1"/>
        <i x="277" s="1"/>
        <i x="888" s="1"/>
        <i x="394" s="1"/>
        <i x="747" s="1"/>
        <i x="168" s="1"/>
        <i x="252" s="1"/>
        <i x="924" s="1"/>
        <i x="571" s="1"/>
        <i x="483" s="1"/>
        <i x="718" s="1"/>
        <i x="570" s="1"/>
        <i x="361" s="1"/>
        <i x="145" s="1"/>
        <i x="66" s="1"/>
        <i x="615" s="1"/>
        <i x="641" s="1"/>
        <i x="508" s="1"/>
        <i x="304" s="1"/>
        <i x="884" s="1"/>
        <i x="84" s="1"/>
        <i x="126" s="1"/>
        <i x="430" s="1"/>
        <i x="59" s="1"/>
        <i x="267" s="1"/>
        <i x="650" s="1"/>
        <i x="696" s="1"/>
        <i x="298" s="1"/>
        <i x="877" s="1"/>
        <i x="794" s="1"/>
        <i x="96" s="1"/>
        <i x="852" s="1"/>
        <i x="972" s="1"/>
        <i x="480" s="1"/>
        <i x="360" s="1"/>
        <i x="717" s="1"/>
        <i x="942" s="1"/>
        <i x="424" s="1"/>
        <i x="977" s="1"/>
        <i x="193" s="1"/>
        <i x="185" s="1"/>
        <i x="752" s="1"/>
        <i x="643" s="1"/>
        <i x="365" s="1"/>
        <i x="311" s="1"/>
        <i x="235" s="1"/>
        <i x="85" s="1"/>
        <i x="954" s="1"/>
        <i x="255" s="1"/>
        <i x="814" s="1"/>
        <i x="400" s="1"/>
        <i x="828" s="1"/>
        <i x="355" s="1"/>
        <i x="264" s="1"/>
        <i x="196" s="1"/>
        <i x="810" s="1"/>
        <i x="87" s="1"/>
        <i x="606" s="1"/>
        <i x="589" s="1"/>
        <i x="80" s="1"/>
        <i x="909" s="1"/>
        <i x="782" s="1"/>
        <i x="335" s="1"/>
        <i x="759" s="1"/>
        <i x="863" s="1"/>
        <i x="259" s="1"/>
        <i x="121" s="1"/>
        <i x="286" s="1"/>
        <i x="739" s="1"/>
        <i x="536" s="1"/>
        <i x="692" s="1"/>
        <i x="172" s="1"/>
        <i x="906" s="1"/>
        <i x="256" s="1"/>
        <i x="617" s="1"/>
        <i x="860" s="1"/>
        <i x="943" s="1"/>
        <i x="547" s="1"/>
        <i x="953" s="1"/>
        <i x="532" s="1"/>
        <i x="290" s="1"/>
        <i x="22" s="1"/>
        <i x="971" s="1"/>
        <i x="140" s="1"/>
        <i x="582" s="1"/>
        <i x="354" s="1"/>
        <i x="983" s="1"/>
        <i x="47" s="1"/>
        <i x="372" s="1"/>
        <i x="225" s="1"/>
        <i x="476" s="1"/>
        <i x="988" s="1"/>
        <i x="230" s="1"/>
        <i x="307" s="1"/>
        <i x="629" s="1"/>
        <i x="157" s="1"/>
        <i x="517" s="1"/>
        <i x="356" s="1"/>
        <i x="707" s="1"/>
        <i x="722" s="1"/>
        <i x="291" s="1"/>
        <i x="62" s="1"/>
        <i x="388" s="1"/>
        <i x="359" s="1"/>
        <i x="239" s="1"/>
        <i x="788" s="1"/>
        <i x="855" s="1"/>
        <i x="132" s="1"/>
        <i x="728" s="1"/>
        <i x="428" s="1"/>
        <i x="122" s="1"/>
        <i x="319" s="1"/>
        <i x="576" s="1"/>
        <i x="756" s="1"/>
        <i x="133" s="1"/>
        <i x="152" s="1"/>
        <i x="974" s="1"/>
        <i x="340" s="1"/>
        <i x="127" s="1"/>
        <i x="303" s="1"/>
        <i x="504" s="1"/>
        <i x="681" s="1"/>
        <i x="482" s="1"/>
        <i x="68" s="1"/>
        <i x="867" s="1"/>
        <i x="60" s="1"/>
        <i x="619" s="1"/>
        <i x="478" s="1"/>
        <i x="966" s="1"/>
        <i x="65" s="1"/>
        <i x="812" s="1"/>
        <i x="451" s="1"/>
        <i x="652" s="1"/>
        <i x="776" s="1"/>
        <i x="313" s="1"/>
        <i x="265" s="1"/>
        <i x="833" s="1"/>
        <i x="793" s="1"/>
        <i x="611" s="1"/>
        <i x="237" s="1"/>
        <i x="397" s="1"/>
        <i x="952" s="1"/>
        <i x="236" s="1"/>
        <i x="697" s="1"/>
        <i x="591" s="1"/>
        <i x="920" s="1"/>
        <i x="612" s="1"/>
        <i x="832" s="1"/>
        <i x="443" s="1"/>
        <i x="978" s="1"/>
        <i x="514" s="1"/>
        <i x="455" s="1"/>
        <i x="700" s="1"/>
        <i x="317" s="1"/>
        <i x="683" s="1"/>
        <i x="214" s="1"/>
        <i x="223" s="1"/>
        <i x="886" s="1"/>
        <i x="621" s="1"/>
        <i x="835" s="1"/>
        <i x="713" s="1"/>
        <i x="306" s="1"/>
        <i x="973" s="1"/>
        <i x="703" s="1"/>
        <i x="958" s="1"/>
        <i x="631" s="1"/>
        <i x="414" s="1"/>
        <i x="97" s="1"/>
        <i x="957" s="1"/>
        <i x="279" s="1"/>
        <i x="456" s="1"/>
        <i x="552" s="1"/>
        <i x="637" s="1"/>
        <i x="991" s="1"/>
        <i x="565" s="1"/>
        <i x="673" s="1"/>
        <i x="640" s="1"/>
        <i x="851" s="1"/>
        <i x="368" s="1"/>
        <i x="341" s="1"/>
        <i x="926" s="1"/>
        <i x="574" s="1"/>
        <i x="123" s="1"/>
        <i x="170" s="1"/>
        <i x="623" s="1"/>
        <i x="445" s="1"/>
        <i x="94" s="1"/>
        <i x="743" s="1"/>
        <i x="77" s="1"/>
        <i x="513" s="1"/>
        <i x="824" s="1"/>
        <i x="761" s="1"/>
        <i x="426" s="1"/>
        <i x="748" s="1"/>
        <i x="409" s="1"/>
        <i x="502" s="1"/>
        <i x="48" s="1"/>
        <i x="51" s="1"/>
        <i x="161" s="1"/>
        <i x="632" s="1"/>
        <i x="137" s="1"/>
        <i x="427" s="1"/>
        <i x="136" s="1"/>
        <i x="379" s="1"/>
        <i x="450" s="1"/>
        <i x="281" s="1"/>
        <i x="597" s="1"/>
        <i x="429" s="1"/>
        <i x="802" s="1"/>
        <i x="405" s="1"/>
        <i x="607" s="1"/>
        <i x="801" s="1"/>
        <i x="789" s="1"/>
        <i x="61" s="1"/>
        <i x="174" s="1"/>
        <i x="142" s="1"/>
        <i x="14" s="1"/>
        <i x="331" s="1"/>
        <i x="226" s="1"/>
        <i x="343" s="1"/>
        <i x="569" s="1"/>
        <i x="432" s="1"/>
        <i x="392" s="1"/>
        <i x="709" s="1"/>
        <i x="559" s="1"/>
        <i x="184" s="1"/>
        <i x="108" s="1"/>
        <i x="664" s="1"/>
        <i x="408" s="1"/>
        <i x="254" s="1"/>
        <i x="677" s="1"/>
        <i x="800" s="1"/>
        <i x="35" s="1"/>
        <i x="491" s="1"/>
        <i x="344" s="1"/>
        <i x="834" s="1"/>
        <i x="633" s="1"/>
        <i x="30" s="1"/>
        <i x="961" s="1"/>
        <i x="668" s="1"/>
        <i x="6" s="1"/>
        <i x="736" s="1"/>
        <i x="384" s="1"/>
        <i x="691" s="1"/>
        <i x="146" s="1"/>
        <i x="932" s="1"/>
        <i x="889" s="1"/>
        <i x="543" s="1"/>
        <i x="746" s="1"/>
        <i x="816" s="1"/>
        <i x="675" s="1"/>
        <i x="399" s="1"/>
        <i x="981" s="1"/>
        <i x="848" s="1"/>
        <i x="250" s="1"/>
        <i x="176" s="1"/>
        <i x="949" s="1"/>
        <i x="148" s="1"/>
        <i x="10" s="1"/>
        <i x="373" s="1"/>
        <i x="868" s="1"/>
        <i x="755" s="1"/>
        <i x="636" s="1"/>
        <i x="69" s="1"/>
        <i x="785" s="1"/>
        <i x="118" s="1"/>
        <i x="734" s="1"/>
        <i x="163" s="1"/>
        <i x="371" s="1"/>
        <i x="581" s="1"/>
        <i x="731" s="1"/>
        <i x="885" s="1"/>
        <i x="274" s="1"/>
        <i x="676" s="1"/>
        <i x="940" s="1"/>
        <i x="268" s="1"/>
        <i x="765" s="1"/>
        <i x="512" s="1"/>
        <i x="601" s="1"/>
        <i x="853" s="1"/>
        <i x="937" s="1"/>
        <i x="620" s="1"/>
        <i x="200" s="1"/>
        <i x="187" s="1"/>
        <i x="721" s="1"/>
        <i x="470" s="1"/>
        <i x="390" s="1"/>
        <i x="882" s="1"/>
        <i x="499" s="1"/>
        <i x="434" s="1"/>
        <i x="364" s="1"/>
        <i x="403" s="1"/>
        <i x="251" s="1"/>
        <i x="670" s="1"/>
        <i x="261" s="1"/>
        <i x="210" s="1"/>
        <i x="497" s="1"/>
        <i x="263" s="1"/>
        <i x="767" s="1"/>
        <i x="270" s="1"/>
        <i x="222" s="1"/>
        <i x="791" s="1"/>
        <i x="45" s="1"/>
        <i x="768" s="1"/>
        <i x="288" s="1"/>
        <i x="20" s="1"/>
        <i x="719" s="1"/>
        <i x="583" s="1"/>
        <i x="39" s="1"/>
        <i x="551" s="1"/>
        <i x="415" s="1"/>
        <i x="380" s="1"/>
        <i x="454" s="1"/>
        <i x="220" s="1"/>
        <i x="473" s="1"/>
        <i x="503" s="1"/>
        <i x="36" s="1"/>
        <i x="111" s="1"/>
        <i x="555" s="1"/>
        <i x="535" s="1"/>
        <i x="105" s="1"/>
        <i x="463" s="1"/>
        <i x="847" s="1"/>
        <i x="701" s="1"/>
        <i x="524" s="1"/>
        <i x="125" s="1"/>
        <i x="741" s="1"/>
        <i x="846" s="1"/>
        <i x="690" s="1"/>
        <i x="970" s="1"/>
        <i x="370" s="1"/>
        <i x="43" s="1"/>
        <i x="695" s="1"/>
        <i x="669" s="1"/>
        <i x="962" s="1"/>
        <i x="262" s="1"/>
        <i x="485" s="1"/>
        <i x="293" s="1"/>
        <i x="324" s="1"/>
        <i x="895" s="1"/>
        <i x="489" s="1"/>
        <i x="192" s="1"/>
        <i x="181" s="1"/>
        <i x="219" s="1"/>
        <i x="986" s="1"/>
        <i x="260" s="1"/>
        <i x="369" s="1"/>
        <i x="107" s="1"/>
        <i x="24" s="1"/>
        <i x="54" s="1"/>
        <i x="916" s="1"/>
        <i x="488" s="1"/>
        <i x="610" s="1"/>
        <i x="845" s="1"/>
        <i x="484" s="1"/>
        <i x="208" s="1"/>
        <i x="467" s="1"/>
        <i x="347" s="1"/>
        <i x="872" s="1"/>
        <i x="595" s="1"/>
        <i x="75" s="1"/>
        <i x="173" s="1"/>
        <i x="778" s="1"/>
        <i x="861" s="1"/>
        <i x="119" s="1"/>
        <i x="188" s="1"/>
        <i x="468" s="1"/>
        <i x="762" s="1"/>
        <i x="723" s="1"/>
        <i x="588" s="1"/>
        <i x="410" s="1"/>
        <i x="730" s="1"/>
        <i x="586" s="1"/>
        <i x="326" s="1"/>
        <i x="34" s="1"/>
        <i x="115" s="1"/>
        <i x="352" s="1"/>
        <i x="201" s="1"/>
        <i x="458" s="1"/>
        <i x="199" s="1"/>
        <i x="985" s="1"/>
        <i x="53" s="1"/>
        <i x="389" s="1"/>
        <i x="301" s="1"/>
        <i x="645" s="1"/>
        <i x="648" s="1"/>
        <i x="472" s="1"/>
        <i x="720" s="1"/>
        <i x="545" s="1"/>
        <i x="638" s="1"/>
        <i x="561" s="1"/>
        <i x="724" s="1"/>
        <i x="334" s="1"/>
        <i x="461" s="1"/>
        <i x="878" s="1"/>
        <i x="841" s="1"/>
        <i x="990" s="1"/>
        <i x="505" s="1"/>
        <i x="698" s="1"/>
        <i x="166" s="1"/>
        <i x="941" s="1"/>
        <i x="358" s="1"/>
        <i x="754" s="1"/>
        <i x="963" s="1"/>
        <i x="689" s="1"/>
        <i x="117" s="1"/>
        <i x="128" s="1"/>
        <i x="139" s="1"/>
        <i x="784" s="1"/>
        <i x="73" s="1"/>
        <i x="93" s="1"/>
        <i x="758" s="1"/>
        <i x="328" s="1"/>
        <i x="440" s="1"/>
        <i x="575" s="1"/>
        <i x="227" s="1"/>
        <i x="289" s="1"/>
        <i x="825" s="1"/>
        <i x="337" s="1"/>
        <i x="639" s="1"/>
        <i x="679" s="1"/>
        <i x="138" s="1"/>
        <i x="815" s="1"/>
        <i x="534" s="1"/>
        <i x="775" s="1"/>
        <i x="672" s="1"/>
        <i x="391" s="1"/>
        <i x="287" s="1"/>
        <i x="663" s="1"/>
        <i x="693" s="1"/>
        <i x="2" s="1"/>
        <i x="541" s="1"/>
        <i x="465" s="1"/>
        <i x="233" s="1"/>
        <i x="826" s="1"/>
        <i x="950" s="1"/>
        <i x="462" s="1"/>
        <i x="453" s="1"/>
        <i x="50" s="1"/>
        <i x="266" s="1"/>
        <i x="186" s="1"/>
        <i x="322" s="1"/>
        <i x="839" s="1"/>
        <i x="572" s="1"/>
        <i x="466" s="1"/>
        <i x="131" s="1"/>
        <i x="42" s="1"/>
        <i x="215" s="1"/>
        <i x="447" s="1"/>
        <i x="688" s="1"/>
        <i x="770" s="1"/>
        <i x="894" s="1"/>
        <i x="416" s="1"/>
        <i x="320" s="1"/>
        <i x="560" s="1"/>
        <i x="712" s="1"/>
        <i x="901" s="1"/>
        <i x="989" s="1"/>
        <i x="644" s="1"/>
        <i x="699" s="1"/>
        <i x="471" s="1"/>
        <i x="587" s="1"/>
        <i x="787" s="1"/>
        <i x="481" s="1"/>
        <i x="573" s="1"/>
        <i x="750" s="1"/>
        <i x="862" s="1"/>
        <i x="280" s="1"/>
        <i x="786" s="1"/>
        <i x="898" s="1"/>
        <i x="515" s="1"/>
        <i x="642" s="1"/>
        <i x="579" s="1"/>
        <i x="537" s="1"/>
        <i x="374" s="1"/>
        <i x="493" s="1"/>
        <i x="564" s="1"/>
        <i x="849" s="1"/>
        <i x="538" s="1"/>
        <i x="113" s="1"/>
        <i x="896" s="1"/>
        <i x="431" s="1"/>
        <i x="774" s="1"/>
        <i x="557" s="1"/>
        <i x="109" s="1"/>
        <i x="103" s="1"/>
        <i x="590" s="1"/>
        <i x="183" s="1"/>
        <i x="900" s="1"/>
        <i x="206" s="1"/>
        <i x="244" s="1"/>
        <i x="507" s="1"/>
        <i x="523" s="1"/>
        <i x="927" s="1"/>
        <i x="549" s="1"/>
        <i x="840" s="1"/>
        <i x="99" s="1"/>
        <i x="346" s="1"/>
        <i x="52" s="1"/>
        <i x="907" s="1"/>
        <i x="726" s="1"/>
        <i x="881" s="1"/>
        <i x="49" s="1"/>
        <i x="492" s="1"/>
        <i x="55" s="1"/>
        <i x="871" s="1"/>
        <i x="956" s="1"/>
        <i x="622" s="1"/>
        <i x="665" s="1"/>
        <i x="16" s="1"/>
        <i x="357" s="1"/>
        <i x="56" s="1"/>
        <i x="946" s="1"/>
        <i x="975" s="1"/>
        <i x="751" s="1"/>
        <i x="348" s="1"/>
        <i x="922" s="1"/>
        <i x="285" s="1"/>
        <i x="657" s="1"/>
        <i x="63" s="1"/>
        <i x="112" s="1"/>
        <i x="143" s="1"/>
        <i x="78" s="1"/>
        <i x="421" s="1"/>
        <i x="740" s="1"/>
        <i x="843" s="1"/>
        <i x="448" s="1"/>
        <i x="822" s="1"/>
        <i x="806" s="1"/>
        <i x="797" s="1"/>
        <i x="141" s="1"/>
        <i x="879" s="1"/>
        <i x="968" s="1"/>
        <i x="5" s="1"/>
        <i x="960" s="1"/>
        <i x="90" s="1"/>
        <i x="859" s="1"/>
        <i x="393" s="1"/>
        <i x="915" s="1"/>
        <i x="336" s="1"/>
        <i x="821" s="1"/>
        <i x="29" s="1"/>
        <i x="510" s="1"/>
        <i x="309" s="1"/>
        <i x="4" s="1"/>
        <i x="658" s="1"/>
        <i x="742" s="1"/>
        <i x="366" s="1"/>
        <i x="179" s="1"/>
        <i x="779" s="1"/>
        <i x="908" s="1"/>
        <i x="566" s="1"/>
        <i x="880" s="1"/>
        <i x="533" s="1"/>
        <i x="530" s="1"/>
        <i x="149" s="1"/>
        <i x="26" s="1"/>
        <i x="965" s="1"/>
        <i x="738" s="1"/>
        <i x="599" s="1"/>
        <i x="238" s="1"/>
        <i x="474" s="1"/>
        <i x="325" s="1"/>
        <i x="792" s="1"/>
        <i x="106" s="1"/>
        <i x="258" s="1"/>
        <i x="295" s="1"/>
        <i x="798" s="1"/>
        <i x="57" s="1"/>
        <i x="600" s="1"/>
        <i x="694" s="1"/>
        <i x="874" s="1"/>
        <i x="435" s="1"/>
        <i x="857" s="1"/>
        <i x="376" s="1"/>
        <i x="790" s="1"/>
        <i x="464" s="1"/>
        <i x="783" s="1"/>
        <i x="284" s="1"/>
        <i x="869" s="1"/>
        <i x="682" s="1"/>
        <i x="649" s="1"/>
        <i x="475" s="1"/>
        <i x="387" s="1"/>
        <i x="19" s="1"/>
        <i x="9" s="1"/>
        <i x="232" s="1"/>
        <i x="349" s="1"/>
        <i x="150" s="1"/>
        <i x="89" s="1"/>
        <i x="613" s="1"/>
        <i x="964" s="1"/>
        <i x="944" s="1"/>
        <i x="525" s="1"/>
        <i x="837" s="1"/>
        <i x="278" s="1"/>
        <i x="702" s="1"/>
        <i x="733" s="1"/>
        <i x="685" s="1"/>
        <i x="28" s="1"/>
        <i x="228" s="1"/>
        <i x="602" s="1"/>
        <i x="542" s="1"/>
        <i x="23" s="1"/>
        <i x="781" s="1"/>
        <i x="269" s="1"/>
        <i x="38" s="1"/>
        <i x="656" s="1"/>
        <i x="189" s="1"/>
        <i x="769" s="1"/>
        <i x="803" s="1"/>
        <i x="74" s="1"/>
        <i x="350" s="1"/>
        <i x="33" s="1"/>
        <i x="177" s="1"/>
        <i x="704" s="1"/>
        <i x="609" s="1"/>
        <i x="584" s="1"/>
        <i x="680" s="1"/>
        <i x="578" s="1"/>
        <i x="819" s="1"/>
        <i x="593" s="1"/>
        <i x="498" s="1"/>
        <i x="418" s="1"/>
        <i x="83" s="1"/>
        <i x="316" s="1"/>
        <i x="212" s="1"/>
        <i x="500" s="1"/>
        <i x="820" s="1"/>
        <i x="231" s="1"/>
        <i x="182" s="1"/>
        <i x="585" s="1"/>
        <i x="883" s="1"/>
        <i x="614" s="1"/>
        <i x="807" s="1"/>
        <i x="858" s="1"/>
        <i x="11" s="1"/>
        <i x="780" s="1"/>
        <i x="221" s="1"/>
        <i x="979" s="1"/>
        <i x="44" s="1"/>
        <i x="982" s="1"/>
        <i x="160" s="1"/>
        <i x="299" s="1"/>
        <i x="209" s="1"/>
        <i x="327" s="1"/>
        <i x="292" s="1"/>
        <i x="407" s="1"/>
        <i x="395" s="1"/>
        <i x="91" s="1"/>
        <i x="548" s="1"/>
        <i x="945" s="1"/>
        <i x="732" s="1"/>
        <i x="375" s="1"/>
        <i x="154" s="1"/>
        <i x="155" s="1"/>
        <i x="242" s="1"/>
        <i x="243" s="1"/>
        <i x="213" s="1"/>
        <i x="469" s="1"/>
        <i x="520" s="1"/>
        <i x="420" s="1"/>
        <i x="459" s="1"/>
        <i x="398" s="1"/>
        <i x="272" s="1"/>
        <i x="955" s="1"/>
        <i x="914" s="1"/>
        <i x="308" s="1"/>
        <i x="873" s="1"/>
        <i x="870" s="1"/>
        <i x="46" s="1"/>
        <i x="396" s="1"/>
        <i x="0" s="1"/>
        <i x="933" s="1"/>
        <i x="271" s="1"/>
        <i x="297" s="1"/>
        <i x="678" s="1"/>
        <i x="546" s="1"/>
        <i x="687" s="1"/>
        <i x="417" s="1"/>
        <i x="158" s="1"/>
        <i x="931" s="1"/>
        <i x="891" s="1"/>
        <i x="947" s="1"/>
        <i x="850" s="1"/>
        <i x="330" s="1"/>
        <i x="72" s="1"/>
        <i x="169" s="1"/>
        <i x="854" s="1"/>
        <i x="951" s="1"/>
        <i x="624" s="1"/>
        <i x="921" s="1"/>
        <i x="558" s="1"/>
        <i x="381" s="1"/>
        <i x="198" s="1"/>
        <i x="342" s="1"/>
        <i x="616" s="1"/>
        <i x="245" s="1"/>
        <i x="460" s="1"/>
        <i x="79" s="1"/>
        <i x="302" s="1"/>
        <i x="159" s="1"/>
        <i x="332" s="1"/>
        <i x="905" s="1"/>
        <i x="178" s="1"/>
        <i x="745" s="1"/>
        <i x="190" s="1"/>
        <i x="151" s="1"/>
        <i x="477" s="1"/>
        <i x="385" s="1"/>
        <i x="910" s="1"/>
        <i x="92" s="1"/>
        <i x="323" s="1"/>
        <i x="134" s="1"/>
        <i x="205" s="1"/>
        <i x="401" s="1"/>
        <i x="13" s="1"/>
        <i x="382" s="1"/>
        <i x="714" s="1"/>
        <i x="592" s="1"/>
        <i x="890" s="1"/>
        <i x="654" s="1"/>
        <i x="487" s="1"/>
        <i x="705" s="1"/>
        <i x="156" s="1"/>
        <i x="333" s="1"/>
        <i x="64" s="1"/>
        <i x="422" s="1"/>
        <i x="674" s="1"/>
        <i x="838" s="1"/>
        <i x="383" s="1"/>
        <i x="948" s="1"/>
        <i x="655" s="1"/>
        <i x="479" s="1"/>
        <i x="805" s="1"/>
        <i x="275" s="1"/>
        <i x="218" s="1"/>
        <i x="934" s="1"/>
        <i x="753" s="1"/>
        <i x="345" s="1"/>
        <i x="7" s="1"/>
        <i x="544" s="1"/>
        <i x="114" s="1"/>
        <i x="216" s="1"/>
        <i x="305" s="1"/>
        <i x="976" s="1"/>
        <i x="32" s="1"/>
        <i x="936" s="1"/>
        <i x="501" s="1"/>
        <i x="321" s="1"/>
        <i x="165" s="1"/>
        <i x="809" s="1"/>
        <i x="495" s="1"/>
        <i x="830" s="1"/>
        <i x="892" s="1"/>
        <i x="556" s="1"/>
        <i x="88" s="1"/>
        <i x="509" s="1"/>
        <i x="727" s="1"/>
        <i x="312" s="1"/>
        <i x="377" s="1"/>
        <i x="661" s="1"/>
        <i x="844" s="1"/>
        <i x="310" s="1"/>
        <i x="804" s="1"/>
        <i x="224" s="1"/>
        <i x="598" s="1"/>
        <i x="211" s="1"/>
        <i x="795" s="1"/>
        <i x="744" s="1"/>
        <i x="404" s="1"/>
        <i x="518" s="1"/>
        <i x="827" s="1"/>
        <i x="58" s="1"/>
        <i x="864" s="1"/>
        <i x="662" s="1"/>
        <i x="618" s="1"/>
        <i x="86" s="1"/>
        <i x="21" s="1"/>
        <i x="729" s="1"/>
        <i x="929" s="1"/>
        <i x="577" s="1"/>
        <i x="984" s="1"/>
        <i x="667" s="1"/>
        <i x="411" s="1"/>
        <i x="628" s="1"/>
        <i x="865" s="1"/>
        <i x="660" s="1"/>
        <i x="425" s="1"/>
        <i x="240" s="1"/>
        <i x="959" s="1"/>
        <i x="386" s="1"/>
        <i x="608" s="1"/>
        <i x="935" s="1"/>
        <i x="41" s="1"/>
        <i x="735" s="1"/>
        <i x="17" s="1"/>
        <i x="519" s="1"/>
        <i x="367" s="1"/>
        <i x="823" s="1"/>
        <i x="438" s="1"/>
        <i x="162" s="1"/>
        <i x="8" s="1"/>
        <i x="554" s="1"/>
        <i x="540" s="1"/>
        <i x="217" s="1"/>
        <i x="980" s="1"/>
        <i x="725" s="1"/>
        <i x="711" s="1"/>
        <i x="204" s="1"/>
        <i x="562" s="1"/>
        <i x="777" s="1"/>
        <i x="526" s="1"/>
        <i x="716" s="1"/>
        <i x="419" s="1"/>
        <i x="95" s="1"/>
        <i x="130" s="1"/>
        <i x="197" s="1"/>
        <i x="904" s="1"/>
        <i x="402" s="1"/>
        <i x="528" s="1"/>
        <i x="437" s="1"/>
        <i x="102" s="1"/>
        <i x="449" s="1"/>
        <i x="563" s="1"/>
        <i x="248" s="1"/>
        <i x="276" s="1"/>
        <i x="836" s="1"/>
        <i x="229" s="1"/>
        <i x="899" s="1"/>
        <i x="856" s="1"/>
        <i x="257" s="1"/>
        <i x="144" s="1"/>
        <i x="522" s="1"/>
        <i x="684" s="1"/>
        <i x="902" s="1"/>
        <i x="406" s="1"/>
        <i x="444" s="1"/>
        <i x="164" s="1"/>
        <i x="749" s="1"/>
        <i x="625" s="1"/>
        <i x="363" s="1"/>
        <i x="167" s="1"/>
        <i x="413" s="1"/>
        <i x="605" s="1"/>
        <i x="496" s="1"/>
        <i x="760" s="1"/>
        <i x="651" s="1"/>
        <i x="329" s="1"/>
        <i x="116" s="1"/>
        <i x="521" s="1"/>
        <i x="603" s="1"/>
        <i x="529" s="1"/>
        <i x="135" s="1"/>
        <i x="938" s="1"/>
        <i x="195" s="1"/>
        <i x="539" s="1"/>
        <i x="71" s="1"/>
        <i x="604" s="1"/>
        <i x="300" s="1"/>
        <i x="100" s="1"/>
        <i x="627" s="1"/>
        <i x="917" s="1"/>
        <i x="457" s="1"/>
        <i x="766" s="1"/>
        <i x="967" s="1"/>
        <i x="580" s="1"/>
        <i x="31" s="1"/>
        <i x="76" s="1"/>
        <i x="439" s="1"/>
        <i x="939" s="1"/>
        <i x="596" s="1"/>
        <i x="630" s="1"/>
        <i x="708" s="1"/>
        <i x="490" s="1"/>
        <i x="829" s="1"/>
        <i x="436" s="1"/>
        <i x="930" s="1"/>
        <i x="531" s="1"/>
        <i x="568" s="1"/>
        <i x="686" s="1"/>
        <i x="715" s="1"/>
        <i x="104" s="1"/>
        <i x="191" s="1"/>
        <i x="18" s="1"/>
        <i x="553" s="1"/>
        <i x="110" s="1"/>
        <i x="925" s="1"/>
        <i x="919" s="1"/>
        <i x="1" s="1"/>
        <i x="180" s="1"/>
        <i x="81" s="1"/>
        <i x="241" s="1"/>
        <i x="101" s="1"/>
        <i x="67" s="1"/>
        <i x="511" s="1"/>
        <i x="339" s="1"/>
        <i x="516" s="1"/>
        <i x="203" s="1"/>
        <i x="550" s="1"/>
        <i x="147" s="1"/>
        <i x="737" s="1"/>
        <i x="887" s="1"/>
        <i x="653" s="1"/>
        <i x="527" s="1"/>
        <i x="273" s="1"/>
        <i x="818" s="1"/>
        <i x="903" s="1"/>
        <i x="253" s="1"/>
        <i x="207" s="1"/>
        <i x="318" s="1"/>
        <i x="171" s="1"/>
        <i x="594" s="1"/>
        <i x="15" s="1"/>
        <i x="875" s="1"/>
        <i x="70" s="1"/>
        <i x="893" s="1"/>
        <i x="194" s="1"/>
        <i x="247" s="1"/>
        <i x="918" s="1"/>
        <i x="671" s="1"/>
        <i x="64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DAF73A55-D31B-4BD3-9D84-257686530B64}" cache="Slicer_Country" caption="Country" rowHeight="234950"/>
  <slicer name="Name" xr10:uid="{11A01DED-2796-480C-9B85-0B8132884E5E}" cache="Slicer_Name" caption="Nam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B30643D-DC4C-4EBA-A110-5496650A21AF}" name="global_freelancer_raw__2" displayName="global_freelancer_raw__2" ref="A1:Q1002" tableType="queryTable" totalsRowShown="0">
  <autoFilter ref="A1:Q1002" xr:uid="{FB30643D-DC4C-4EBA-A110-5496650A21AF}"/>
  <tableColumns count="17">
    <tableColumn id="1" xr3:uid="{C32F2E4A-7970-4715-96CE-D2FA921C960F}" uniqueName="1" name="freelancer_ID" queryTableFieldId="1" dataDxfId="74"/>
    <tableColumn id="2" xr3:uid="{A2EC64AA-783D-471B-A075-C89378615F7F}" uniqueName="2" name="name" queryTableFieldId="2" dataDxfId="73"/>
    <tableColumn id="3" xr3:uid="{ED1B1EED-6B53-4BAC-9ADB-2D461C159A48}" uniqueName="3" name="gender" queryTableFieldId="3" dataDxfId="72"/>
    <tableColumn id="17" xr3:uid="{9BDD7D5D-F716-4493-8546-9BCB3E587718}" uniqueName="17" name="Column1" queryTableFieldId="17" dataDxfId="71"/>
    <tableColumn id="4" xr3:uid="{E58E10FE-1841-43C8-994D-D4FF781AE31D}" uniqueName="4" name="age" queryTableFieldId="4"/>
    <tableColumn id="5" xr3:uid="{607D504F-C238-4CAC-B87C-8C3C25CD8A07}" uniqueName="5" name="country" queryTableFieldId="5" dataDxfId="70"/>
    <tableColumn id="6" xr3:uid="{0A541BCC-9845-4844-90AB-9F1637E8EC16}" uniqueName="6" name="language" queryTableFieldId="6" dataDxfId="69"/>
    <tableColumn id="7" xr3:uid="{AEF4C0D7-0F5C-4AD3-85E5-0EEB8371087B}" uniqueName="7" name="primary_skill" queryTableFieldId="7" dataDxfId="68"/>
    <tableColumn id="8" xr3:uid="{A93BA988-B626-4867-B34E-6AB3FE2506B6}" uniqueName="8" name="years_of_experience" queryTableFieldId="8"/>
    <tableColumn id="9" xr3:uid="{4162CFF3-811C-47FB-B4E5-E2C247AF37B9}" uniqueName="9" name="hourly_rate (USD)" queryTableFieldId="9" dataDxfId="67"/>
    <tableColumn id="10" xr3:uid="{28E9CAC7-3034-49A5-8DCA-1D4980B91203}" uniqueName="10" name="rating" queryTableFieldId="10"/>
    <tableColumn id="11" xr3:uid="{83E857B7-04B1-48B5-9E68-723914310093}" uniqueName="11" name="is_active" queryTableFieldId="11" dataDxfId="66"/>
    <tableColumn id="12" xr3:uid="{2418AB1A-87A0-473F-9E69-CBF72DEB1386}" uniqueName="12" name="client_satisfaction" queryTableFieldId="12"/>
    <tableColumn id="13" xr3:uid="{70584A11-D598-43BA-9EF5-67A544598FA0}" uniqueName="13" name="Notes" queryTableFieldId="13" dataDxfId="65"/>
    <tableColumn id="14" xr3:uid="{9EB9E5EE-AC4B-4476-87B4-39A1203C684B}" uniqueName="14" name="Status" queryTableFieldId="14" dataDxfId="64"/>
    <tableColumn id="15" xr3:uid="{CC20BA03-5C51-46D8-BDFF-0F3CF1D0BC73}" uniqueName="15" name="no of projects " queryTableFieldId="15"/>
    <tableColumn id="16" xr3:uid="{109E9759-0AC2-49BE-B2C4-7435C7E0CA88}" uniqueName="16" name="duration_months" queryTableFieldId="1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FB8C79-7AAE-4A9E-AFBD-300DE01CCA8D}" name="global_freelancer_raw" displayName="global_freelancer_raw" ref="A1:Q1001" tableType="queryTable" totalsRowShown="0" headerRowDxfId="63">
  <autoFilter ref="A1:Q1001" xr:uid="{97FB8C79-7AAE-4A9E-AFBD-300DE01CCA8D}"/>
  <tableColumns count="17">
    <tableColumn id="1" xr3:uid="{8FE25E60-DBC1-43C6-8175-2F91A21DF7C1}" uniqueName="1" name="Freelancer ID" queryTableFieldId="1" dataDxfId="62"/>
    <tableColumn id="2" xr3:uid="{D438D03C-CCF0-4730-A675-6B0F96B2569E}" uniqueName="2" name="Name" queryTableFieldId="2" dataDxfId="61"/>
    <tableColumn id="3" xr3:uid="{D1BFC283-EB39-4F97-8618-873502E9B81F}" uniqueName="3" name="Gender" queryTableFieldId="3" dataDxfId="60"/>
    <tableColumn id="4" xr3:uid="{CFABD5B6-0178-4CE0-B07B-40758E1C43A0}" uniqueName="4" name="Age" queryTableFieldId="4" dataDxfId="59"/>
    <tableColumn id="5" xr3:uid="{CCD28564-4D91-43B5-BBE9-3663F707ABE2}" uniqueName="5" name="Country" queryTableFieldId="5" dataDxfId="58"/>
    <tableColumn id="6" xr3:uid="{C56580D1-B0D6-4A17-A4BA-30F48E2A32A3}" uniqueName="6" name="Language" queryTableFieldId="6" dataDxfId="57"/>
    <tableColumn id="7" xr3:uid="{D68FCD6A-2342-41B7-9002-8A72F574B2F7}" uniqueName="7" name="Primary_skill" queryTableFieldId="7" dataDxfId="56"/>
    <tableColumn id="8" xr3:uid="{AA214EE4-5A56-4043-AC0C-69D61347F34E}" uniqueName="8" name="Years_of_Experience" queryTableFieldId="8" dataDxfId="55"/>
    <tableColumn id="9" xr3:uid="{E37761CE-8BAF-4ACC-87D9-0027401AD9F4}" uniqueName="9" name="Hourly_rate (USD)" queryTableFieldId="9" dataDxfId="54"/>
    <tableColumn id="10" xr3:uid="{92A8434F-083F-4A2F-87E6-8A7F93936CD0}" uniqueName="10" name="Rating" queryTableFieldId="10" dataDxfId="53"/>
    <tableColumn id="11" xr3:uid="{987590FF-3480-4868-B925-C19DC5119F95}" uniqueName="11" name="Is_active" queryTableFieldId="11" dataDxfId="52"/>
    <tableColumn id="12" xr3:uid="{0DFD8036-7B81-415D-B023-5ED3C794960C}" uniqueName="12" name="Client Satisfaction" queryTableFieldId="12" dataDxfId="51"/>
    <tableColumn id="13" xr3:uid="{561A437A-3E3E-4A87-89BB-B1BEBAA83441}" uniqueName="13" name="Notes" queryTableFieldId="13" dataDxfId="50"/>
    <tableColumn id="14" xr3:uid="{21AE13D7-3D18-4251-8148-1B267EB42D1B}" uniqueName="14" name="Status" queryTableFieldId="14" dataDxfId="49"/>
    <tableColumn id="15" xr3:uid="{EF8A7B94-58AB-41EB-BDB8-8C1AEB7C4290}" uniqueName="15" name="No of projects " queryTableFieldId="15" dataDxfId="48"/>
    <tableColumn id="19" xr3:uid="{D3930285-4688-4D10-91A3-A57719E8BF90}" uniqueName="19" name="IF Condition" queryTableFieldId="18" dataDxfId="47">
      <calculatedColumnFormula>IF(global_freelancer_raw[[#This Row],[No of projects ]]&lt;=5,"Entry level","Well Experienced")</calculatedColumnFormula>
    </tableColumn>
    <tableColumn id="16" xr3:uid="{AB4B8CC8-483D-4A09-9AAB-020999250350}" uniqueName="16" name="Duration Months" queryTableFieldId="16" dataDxfId="4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44BC054-2AE5-48CF-9B23-1CC50E50D98D}" name="global_freelancer_raw__24" displayName="global_freelancer_raw__24" ref="A1:T1048576" tableType="queryTable" totalsRowShown="0" headerRowDxfId="45" dataDxfId="43" headerRowBorderDxfId="44" tableBorderDxfId="42" totalsRowBorderDxfId="41">
  <autoFilter ref="A1:T1048576" xr:uid="{344BC054-2AE5-48CF-9B23-1CC50E50D98D}"/>
  <tableColumns count="20">
    <tableColumn id="1" xr3:uid="{F8222D89-2AA5-4F20-BFE1-165705FC429B}" uniqueName="1" name="freelancer_ID" queryTableFieldId="1" dataDxfId="40"/>
    <tableColumn id="2" xr3:uid="{105D5B41-A8B5-4C67-8FAA-A38A44DB94CE}" uniqueName="2" name="name" queryTableFieldId="2" dataDxfId="39"/>
    <tableColumn id="3" xr3:uid="{504B3ADF-456F-4CA6-85B5-0E279F7F45D9}" uniqueName="3" name="gender" queryTableFieldId="3" dataDxfId="38"/>
    <tableColumn id="17" xr3:uid="{B389797A-2B50-4663-A2CF-5FC1019D7297}" uniqueName="17" name="Gender_" queryTableFieldId="17" dataDxfId="37"/>
    <tableColumn id="4" xr3:uid="{5BDE7FD1-F16A-42A1-9669-A45CBF3F2AEB}" uniqueName="4" name="age" queryTableFieldId="4" dataDxfId="36"/>
    <tableColumn id="6" xr3:uid="{7AD32CA7-ECF5-442F-9A12-E29D3A036E48}" uniqueName="6" name="Age_" queryTableFieldId="18" dataDxfId="35"/>
    <tableColumn id="5" xr3:uid="{5B285FDA-E5CA-4676-BAFA-1699A7CD75C8}" uniqueName="5" name="country" queryTableFieldId="5" dataDxfId="34"/>
    <tableColumn id="13" xr3:uid="{A6F9791E-0148-4198-ACAA-263C7E59EAD0}" uniqueName="13" name="Country_" queryTableFieldId="19" dataDxfId="33"/>
    <tableColumn id="7" xr3:uid="{0837D4C3-7F2E-4F41-8A43-16EA6B2F9471}" uniqueName="7" name="primary_skill" queryTableFieldId="7" dataDxfId="32"/>
    <tableColumn id="14" xr3:uid="{E77DC529-5D19-472A-9BA5-06A500215902}" uniqueName="14" name="Primary_skill_" queryTableFieldId="20" dataDxfId="31"/>
    <tableColumn id="8" xr3:uid="{B8CC9836-629F-4D72-BEDB-8FED242FA47D}" uniqueName="8" name="years_of_experience" queryTableFieldId="8" dataDxfId="30"/>
    <tableColumn id="15" xr3:uid="{5F2079F4-A0BA-450B-A4EE-8D8783B05557}" uniqueName="15" name="Years_of_Experience_" queryTableFieldId="21" dataDxfId="29"/>
    <tableColumn id="9" xr3:uid="{824FAC8F-D7EB-406C-AE8B-3F1EC791F643}" uniqueName="9" name="hourly_rate (USD)" queryTableFieldId="9" dataDxfId="28"/>
    <tableColumn id="20" xr3:uid="{1A920EE7-9BE5-404F-892B-F10F5AB877FA}" uniqueName="20" name="Hourly_rate (USD)_" queryTableFieldId="25" dataDxfId="27"/>
    <tableColumn id="10" xr3:uid="{D557C057-47DF-49E2-84A3-A70CD092247B}" uniqueName="10" name="rating" queryTableFieldId="10" dataDxfId="26"/>
    <tableColumn id="16" xr3:uid="{BF6F0B72-6818-4E16-856A-745895162536}" uniqueName="16" name="Rating_" queryTableFieldId="22" dataDxfId="25"/>
    <tableColumn id="11" xr3:uid="{CC54D16E-728F-4B5E-9218-73236A78BE4F}" uniqueName="11" name="is_active" queryTableFieldId="11" dataDxfId="24"/>
    <tableColumn id="18" xr3:uid="{F4D7FC05-87BF-4C4E-ADAA-4866AB19CFEE}" uniqueName="18" name="Is_active_" queryTableFieldId="23" dataDxfId="23"/>
    <tableColumn id="12" xr3:uid="{83193425-BCD9-4F3F-8FC5-514592AEB014}" uniqueName="12" name="client_satisfaction" queryTableFieldId="12" dataDxfId="22"/>
    <tableColumn id="21" xr3:uid="{607F0DCB-F8F1-406C-9456-2B856D3D53F9}" uniqueName="21" name="Client Satisfaction_" queryTableFieldId="26" dataDxfId="2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AC33DFD-E996-4283-A78D-7BE1704383C9}" name="global_freelancer_raw5" displayName="global_freelancer_raw5" ref="A1:Q1001" tableType="queryTable" totalsRowShown="0" headerRowDxfId="20">
  <autoFilter ref="A1:Q1001" xr:uid="{2AC33DFD-E996-4283-A78D-7BE1704383C9}"/>
  <tableColumns count="17">
    <tableColumn id="1" xr3:uid="{0862AA9D-C03C-45F4-AD5B-A5DC8B6729DC}" uniqueName="1" name="Freelancer ID" queryTableFieldId="1" dataDxfId="19"/>
    <tableColumn id="2" xr3:uid="{FECD0824-7567-495F-B198-F463B88527CA}" uniqueName="2" name="Name" queryTableFieldId="2" dataDxfId="18"/>
    <tableColumn id="3" xr3:uid="{3CAA53C9-2FE9-4B92-99A3-59509743B179}" uniqueName="3" name="Gender" queryTableFieldId="3" dataDxfId="17"/>
    <tableColumn id="4" xr3:uid="{E79D8718-FDCB-4EDD-9FBD-F88C6B697486}" uniqueName="4" name="Age" queryTableFieldId="4" dataDxfId="16"/>
    <tableColumn id="5" xr3:uid="{ED2EF73D-1FFE-4AE9-9717-056CCA3B5A67}" uniqueName="5" name="Country" queryTableFieldId="5" dataDxfId="15"/>
    <tableColumn id="6" xr3:uid="{C64253D4-9FEE-4C0A-81BE-650E52A888B6}" uniqueName="6" name="Language" queryTableFieldId="6" dataDxfId="14"/>
    <tableColumn id="7" xr3:uid="{5F51C3ED-BF38-4B8E-ABF6-8E00F53F17E9}" uniqueName="7" name="Primary_skill" queryTableFieldId="7" dataDxfId="13"/>
    <tableColumn id="8" xr3:uid="{56BF8FC9-7D57-469C-88DD-3221218E2C9F}" uniqueName="8" name="Years_of_Experience" queryTableFieldId="8" dataDxfId="12"/>
    <tableColumn id="9" xr3:uid="{4423BE1F-2C38-4193-879A-EEB4BC5424D8}" uniqueName="9" name="Hourly_rate (USD)" queryTableFieldId="9" dataDxfId="11"/>
    <tableColumn id="10" xr3:uid="{271E49FB-6A96-471E-956D-80B594185D93}" uniqueName="10" name="Rating" queryTableFieldId="10" dataDxfId="10"/>
    <tableColumn id="11" xr3:uid="{7DB51575-7CFF-4548-B763-2B8BD30E39DA}" uniqueName="11" name="Is_active" queryTableFieldId="11" dataDxfId="9"/>
    <tableColumn id="12" xr3:uid="{71E98F88-3F17-4723-BF60-9D0C92A2B98D}" uniqueName="12" name="Client Satisfaction" queryTableFieldId="12" dataDxfId="8"/>
    <tableColumn id="13" xr3:uid="{66BD64A3-83C3-4087-9CDA-2EA306CD45C7}" uniqueName="13" name="Notes" queryTableFieldId="13" dataDxfId="7"/>
    <tableColumn id="14" xr3:uid="{BF90F8F8-EADB-4D5B-80AC-4C1451AE3122}" uniqueName="14" name="Status" queryTableFieldId="14" dataDxfId="6"/>
    <tableColumn id="15" xr3:uid="{BC964E17-D685-411B-BC5D-B9160CC5C50D}" uniqueName="15" name="No of projects " queryTableFieldId="15" dataDxfId="5"/>
    <tableColumn id="19" xr3:uid="{3E3BBB93-27B0-4EF0-BCFC-3FC2811829AC}" uniqueName="19" name="IF Condition" queryTableFieldId="18" dataDxfId="4">
      <calculatedColumnFormula>IF(global_freelancer_raw5[[#This Row],[No of projects ]]&lt;=5,"Entry level","Well Experienced")</calculatedColumnFormula>
    </tableColumn>
    <tableColumn id="16" xr3:uid="{7768348F-ED23-479A-9040-49ED59F3A966}" uniqueName="16" name="Duration Months" queryTableFieldId="16" dataDxf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1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02A7B-C80D-49C6-BC29-20EE49B87977}">
  <dimension ref="A1:Q1002"/>
  <sheetViews>
    <sheetView topLeftCell="C971" workbookViewId="0">
      <selection sqref="A1:Q1002"/>
    </sheetView>
  </sheetViews>
  <sheetFormatPr defaultRowHeight="14.4" x14ac:dyDescent="0.3"/>
  <cols>
    <col min="1" max="1" width="14.44140625" bestFit="1" customWidth="1"/>
    <col min="2" max="2" width="22.77734375" bestFit="1" customWidth="1"/>
    <col min="3" max="3" width="9.109375" bestFit="1" customWidth="1"/>
    <col min="4" max="4" width="9.109375" customWidth="1"/>
    <col min="5" max="5" width="6.21875" bestFit="1" customWidth="1"/>
    <col min="6" max="7" width="10.88671875" bestFit="1" customWidth="1"/>
    <col min="8" max="8" width="21.44140625" bestFit="1" customWidth="1"/>
    <col min="9" max="9" width="20.77734375" bestFit="1" customWidth="1"/>
    <col min="10" max="10" width="18.44140625" bestFit="1" customWidth="1"/>
    <col min="11" max="11" width="8.109375" bestFit="1" customWidth="1"/>
    <col min="12" max="12" width="10.44140625" bestFit="1" customWidth="1"/>
    <col min="13" max="13" width="18.44140625" bestFit="1" customWidth="1"/>
    <col min="14" max="14" width="9.109375" bestFit="1" customWidth="1"/>
    <col min="15" max="15" width="9.88671875" bestFit="1" customWidth="1"/>
    <col min="16" max="16" width="15.44140625" bestFit="1" customWidth="1"/>
    <col min="17" max="17" width="18" bestFit="1" customWidth="1"/>
  </cols>
  <sheetData>
    <row r="1" spans="1:17" x14ac:dyDescent="0.3">
      <c r="A1" t="s">
        <v>0</v>
      </c>
      <c r="B1" t="s">
        <v>1</v>
      </c>
      <c r="C1" t="s">
        <v>2</v>
      </c>
      <c r="D1" t="s">
        <v>2124</v>
      </c>
      <c r="E1" t="s">
        <v>3</v>
      </c>
      <c r="F1" t="s">
        <v>4</v>
      </c>
      <c r="G1" t="s">
        <v>5</v>
      </c>
      <c r="H1" t="s">
        <v>6</v>
      </c>
      <c r="I1" t="s">
        <v>7</v>
      </c>
      <c r="J1" t="s">
        <v>8</v>
      </c>
      <c r="K1" t="s">
        <v>9</v>
      </c>
      <c r="L1" t="s">
        <v>10</v>
      </c>
      <c r="M1" t="s">
        <v>11</v>
      </c>
      <c r="N1" t="s">
        <v>12</v>
      </c>
      <c r="O1" t="s">
        <v>13</v>
      </c>
      <c r="P1" t="s">
        <v>14</v>
      </c>
      <c r="Q1" t="s">
        <v>15</v>
      </c>
    </row>
    <row r="2" spans="1:17" x14ac:dyDescent="0.3">
      <c r="A2" t="s">
        <v>16</v>
      </c>
      <c r="B2" t="s">
        <v>17</v>
      </c>
      <c r="C2" t="s">
        <v>18</v>
      </c>
      <c r="D2" t="s">
        <v>97</v>
      </c>
      <c r="E2">
        <v>52</v>
      </c>
      <c r="F2" t="s">
        <v>19</v>
      </c>
      <c r="G2" t="s">
        <v>20</v>
      </c>
      <c r="H2" t="s">
        <v>21</v>
      </c>
      <c r="I2">
        <v>11</v>
      </c>
      <c r="J2" t="s">
        <v>22</v>
      </c>
      <c r="L2" t="s">
        <v>23</v>
      </c>
      <c r="N2" t="s">
        <v>24</v>
      </c>
      <c r="O2" t="s">
        <v>25</v>
      </c>
      <c r="P2">
        <v>13</v>
      </c>
      <c r="Q2">
        <v>6</v>
      </c>
    </row>
    <row r="3" spans="1:17" x14ac:dyDescent="0.3">
      <c r="A3" t="s">
        <v>26</v>
      </c>
      <c r="B3" t="s">
        <v>27</v>
      </c>
      <c r="C3" t="s">
        <v>28</v>
      </c>
      <c r="D3" t="s">
        <v>97</v>
      </c>
      <c r="E3">
        <v>52</v>
      </c>
      <c r="F3" t="s">
        <v>29</v>
      </c>
      <c r="G3" t="s">
        <v>30</v>
      </c>
      <c r="H3" t="s">
        <v>31</v>
      </c>
      <c r="I3">
        <v>34</v>
      </c>
      <c r="J3" t="s">
        <v>32</v>
      </c>
      <c r="K3">
        <v>3.3</v>
      </c>
      <c r="L3" t="s">
        <v>33</v>
      </c>
      <c r="M3">
        <v>0.84</v>
      </c>
      <c r="N3" t="s">
        <v>24</v>
      </c>
      <c r="O3" t="s">
        <v>34</v>
      </c>
      <c r="P3">
        <v>10</v>
      </c>
      <c r="Q3">
        <v>7</v>
      </c>
    </row>
    <row r="4" spans="1:17" x14ac:dyDescent="0.3">
      <c r="A4" t="s">
        <v>35</v>
      </c>
      <c r="B4" t="s">
        <v>36</v>
      </c>
      <c r="C4" t="s">
        <v>37</v>
      </c>
      <c r="D4" t="s">
        <v>118</v>
      </c>
      <c r="E4">
        <v>53</v>
      </c>
      <c r="F4" t="s">
        <v>38</v>
      </c>
      <c r="G4" t="s">
        <v>38</v>
      </c>
      <c r="H4" t="s">
        <v>39</v>
      </c>
      <c r="I4">
        <v>31</v>
      </c>
      <c r="J4" t="s">
        <v>40</v>
      </c>
      <c r="K4">
        <v>0</v>
      </c>
      <c r="L4" t="s">
        <v>41</v>
      </c>
      <c r="M4">
        <v>0.71</v>
      </c>
      <c r="N4" t="s">
        <v>24</v>
      </c>
      <c r="O4" t="s">
        <v>42</v>
      </c>
      <c r="P4">
        <v>16</v>
      </c>
      <c r="Q4">
        <v>16</v>
      </c>
    </row>
    <row r="5" spans="1:17" x14ac:dyDescent="0.3">
      <c r="A5" t="s">
        <v>43</v>
      </c>
      <c r="B5" t="s">
        <v>44</v>
      </c>
      <c r="C5" t="s">
        <v>45</v>
      </c>
      <c r="D5" t="s">
        <v>97</v>
      </c>
      <c r="E5">
        <v>38</v>
      </c>
      <c r="F5" t="s">
        <v>29</v>
      </c>
      <c r="G5" t="s">
        <v>30</v>
      </c>
      <c r="H5" t="s">
        <v>46</v>
      </c>
      <c r="I5">
        <v>4</v>
      </c>
      <c r="J5" t="s">
        <v>47</v>
      </c>
      <c r="K5">
        <v>1.5</v>
      </c>
      <c r="L5" t="s">
        <v>41</v>
      </c>
      <c r="M5">
        <v>0.9</v>
      </c>
      <c r="N5" t="s">
        <v>24</v>
      </c>
      <c r="O5" t="s">
        <v>34</v>
      </c>
      <c r="P5">
        <v>5</v>
      </c>
      <c r="Q5">
        <v>1</v>
      </c>
    </row>
    <row r="6" spans="1:17" x14ac:dyDescent="0.3">
      <c r="A6" t="s">
        <v>48</v>
      </c>
      <c r="B6" t="s">
        <v>49</v>
      </c>
      <c r="C6" t="s">
        <v>50</v>
      </c>
      <c r="D6" t="s">
        <v>97</v>
      </c>
      <c r="E6">
        <v>53</v>
      </c>
      <c r="F6" t="s">
        <v>38</v>
      </c>
      <c r="G6" t="s">
        <v>38</v>
      </c>
      <c r="H6" t="s">
        <v>51</v>
      </c>
      <c r="I6">
        <v>27</v>
      </c>
      <c r="J6" t="s">
        <v>52</v>
      </c>
      <c r="K6">
        <v>4.8</v>
      </c>
      <c r="L6" t="s">
        <v>23</v>
      </c>
      <c r="M6">
        <v>0.83</v>
      </c>
      <c r="N6" t="s">
        <v>24</v>
      </c>
      <c r="O6" t="s">
        <v>25</v>
      </c>
      <c r="P6">
        <v>13</v>
      </c>
      <c r="Q6">
        <v>3</v>
      </c>
    </row>
    <row r="7" spans="1:17" x14ac:dyDescent="0.3">
      <c r="A7" t="s">
        <v>53</v>
      </c>
      <c r="B7" t="s">
        <v>54</v>
      </c>
      <c r="C7" t="s">
        <v>50</v>
      </c>
      <c r="D7" t="s">
        <v>97</v>
      </c>
      <c r="E7">
        <v>59</v>
      </c>
      <c r="F7" t="s">
        <v>55</v>
      </c>
      <c r="G7" t="s">
        <v>56</v>
      </c>
      <c r="H7" t="s">
        <v>57</v>
      </c>
      <c r="I7">
        <v>14</v>
      </c>
      <c r="J7" t="s">
        <v>58</v>
      </c>
      <c r="K7">
        <v>2.4</v>
      </c>
      <c r="L7" t="s">
        <v>59</v>
      </c>
      <c r="N7" t="s">
        <v>60</v>
      </c>
      <c r="O7" t="s">
        <v>42</v>
      </c>
      <c r="P7">
        <v>8</v>
      </c>
      <c r="Q7">
        <v>3</v>
      </c>
    </row>
    <row r="8" spans="1:17" x14ac:dyDescent="0.3">
      <c r="A8" t="s">
        <v>61</v>
      </c>
      <c r="B8" t="s">
        <v>62</v>
      </c>
      <c r="C8" t="s">
        <v>63</v>
      </c>
      <c r="D8" t="s">
        <v>118</v>
      </c>
      <c r="E8">
        <v>52</v>
      </c>
      <c r="F8" t="s">
        <v>64</v>
      </c>
      <c r="G8" t="s">
        <v>65</v>
      </c>
      <c r="H8" t="s">
        <v>66</v>
      </c>
      <c r="I8">
        <v>10</v>
      </c>
      <c r="J8" t="s">
        <v>67</v>
      </c>
      <c r="K8">
        <v>3.1</v>
      </c>
      <c r="L8" t="s">
        <v>23</v>
      </c>
      <c r="M8">
        <v>0.94</v>
      </c>
      <c r="N8" t="s">
        <v>24</v>
      </c>
      <c r="O8" t="s">
        <v>25</v>
      </c>
      <c r="P8">
        <v>10</v>
      </c>
      <c r="Q8">
        <v>3</v>
      </c>
    </row>
    <row r="9" spans="1:17" x14ac:dyDescent="0.3">
      <c r="A9" t="s">
        <v>68</v>
      </c>
      <c r="B9" t="s">
        <v>69</v>
      </c>
      <c r="C9" t="s">
        <v>37</v>
      </c>
      <c r="D9" t="s">
        <v>118</v>
      </c>
      <c r="E9">
        <v>43</v>
      </c>
      <c r="F9" t="s">
        <v>19</v>
      </c>
      <c r="G9" t="s">
        <v>20</v>
      </c>
      <c r="H9" t="s">
        <v>21</v>
      </c>
      <c r="I9">
        <v>14</v>
      </c>
      <c r="J9" t="s">
        <v>70</v>
      </c>
      <c r="K9">
        <v>4.5999999999999996</v>
      </c>
      <c r="L9" t="s">
        <v>59</v>
      </c>
      <c r="M9">
        <v>0.94</v>
      </c>
      <c r="N9" t="s">
        <v>60</v>
      </c>
      <c r="O9" t="s">
        <v>25</v>
      </c>
      <c r="P9">
        <v>7</v>
      </c>
      <c r="Q9">
        <v>10</v>
      </c>
    </row>
    <row r="10" spans="1:17" x14ac:dyDescent="0.3">
      <c r="A10" t="s">
        <v>71</v>
      </c>
      <c r="B10" t="s">
        <v>72</v>
      </c>
      <c r="C10" t="s">
        <v>37</v>
      </c>
      <c r="D10" t="s">
        <v>118</v>
      </c>
      <c r="E10">
        <v>26</v>
      </c>
      <c r="F10" t="s">
        <v>73</v>
      </c>
      <c r="G10" t="s">
        <v>30</v>
      </c>
      <c r="H10" t="s">
        <v>21</v>
      </c>
      <c r="I10">
        <v>4</v>
      </c>
      <c r="J10" t="s">
        <v>51</v>
      </c>
      <c r="K10">
        <v>4</v>
      </c>
      <c r="L10" t="s">
        <v>74</v>
      </c>
      <c r="M10">
        <v>0.76</v>
      </c>
      <c r="N10" t="s">
        <v>24</v>
      </c>
      <c r="O10" t="s">
        <v>75</v>
      </c>
      <c r="P10">
        <v>2</v>
      </c>
      <c r="Q10">
        <v>4</v>
      </c>
    </row>
    <row r="11" spans="1:17" x14ac:dyDescent="0.3">
      <c r="A11" t="s">
        <v>76</v>
      </c>
      <c r="B11" t="s">
        <v>77</v>
      </c>
      <c r="C11" t="s">
        <v>78</v>
      </c>
      <c r="D11" t="s">
        <v>118</v>
      </c>
      <c r="E11">
        <v>52</v>
      </c>
      <c r="F11" t="s">
        <v>79</v>
      </c>
      <c r="G11" t="s">
        <v>80</v>
      </c>
      <c r="H11" t="s">
        <v>57</v>
      </c>
      <c r="I11">
        <v>22</v>
      </c>
      <c r="J11" t="s">
        <v>81</v>
      </c>
      <c r="L11" t="s">
        <v>33</v>
      </c>
      <c r="N11" t="s">
        <v>82</v>
      </c>
      <c r="O11" t="s">
        <v>42</v>
      </c>
      <c r="P11">
        <v>16</v>
      </c>
      <c r="Q11">
        <v>5</v>
      </c>
    </row>
    <row r="12" spans="1:17" x14ac:dyDescent="0.3">
      <c r="A12" t="s">
        <v>83</v>
      </c>
      <c r="B12" t="s">
        <v>84</v>
      </c>
      <c r="C12" t="s">
        <v>63</v>
      </c>
      <c r="D12" t="s">
        <v>118</v>
      </c>
      <c r="E12">
        <v>40</v>
      </c>
      <c r="F12" t="s">
        <v>85</v>
      </c>
      <c r="G12" t="s">
        <v>30</v>
      </c>
      <c r="H12" t="s">
        <v>66</v>
      </c>
      <c r="I12">
        <v>17</v>
      </c>
      <c r="J12" t="s">
        <v>86</v>
      </c>
      <c r="K12">
        <v>3.6</v>
      </c>
      <c r="L12" t="s">
        <v>87</v>
      </c>
      <c r="M12">
        <v>0.77</v>
      </c>
      <c r="N12" t="s">
        <v>88</v>
      </c>
      <c r="O12" t="s">
        <v>75</v>
      </c>
      <c r="P12">
        <v>20</v>
      </c>
      <c r="Q12">
        <v>5</v>
      </c>
    </row>
    <row r="13" spans="1:17" x14ac:dyDescent="0.3">
      <c r="A13" t="s">
        <v>89</v>
      </c>
      <c r="B13" t="s">
        <v>90</v>
      </c>
      <c r="C13" t="s">
        <v>28</v>
      </c>
      <c r="D13" t="s">
        <v>97</v>
      </c>
      <c r="E13">
        <v>55</v>
      </c>
      <c r="F13" t="s">
        <v>91</v>
      </c>
      <c r="G13" t="s">
        <v>92</v>
      </c>
      <c r="H13" t="s">
        <v>93</v>
      </c>
      <c r="I13">
        <v>15</v>
      </c>
      <c r="J13" t="s">
        <v>51</v>
      </c>
      <c r="L13" t="s">
        <v>94</v>
      </c>
      <c r="M13">
        <v>0.86</v>
      </c>
      <c r="N13" t="s">
        <v>60</v>
      </c>
      <c r="O13" t="s">
        <v>42</v>
      </c>
      <c r="P13">
        <v>13</v>
      </c>
      <c r="Q13">
        <v>4</v>
      </c>
    </row>
    <row r="14" spans="1:17" x14ac:dyDescent="0.3">
      <c r="A14" t="s">
        <v>95</v>
      </c>
      <c r="B14" t="s">
        <v>96</v>
      </c>
      <c r="C14" t="s">
        <v>97</v>
      </c>
      <c r="D14" t="s">
        <v>97</v>
      </c>
      <c r="E14">
        <v>57</v>
      </c>
      <c r="F14" t="s">
        <v>85</v>
      </c>
      <c r="G14" t="s">
        <v>30</v>
      </c>
      <c r="H14" t="s">
        <v>98</v>
      </c>
      <c r="I14">
        <v>18</v>
      </c>
      <c r="J14" t="s">
        <v>51</v>
      </c>
      <c r="K14">
        <v>2</v>
      </c>
      <c r="L14" t="s">
        <v>23</v>
      </c>
      <c r="M14">
        <v>0.86</v>
      </c>
      <c r="N14" t="s">
        <v>24</v>
      </c>
      <c r="O14" t="s">
        <v>25</v>
      </c>
      <c r="P14">
        <v>16</v>
      </c>
      <c r="Q14">
        <v>15</v>
      </c>
    </row>
    <row r="15" spans="1:17" x14ac:dyDescent="0.3">
      <c r="A15" t="s">
        <v>99</v>
      </c>
      <c r="B15" t="s">
        <v>100</v>
      </c>
      <c r="C15" t="s">
        <v>78</v>
      </c>
      <c r="D15" t="s">
        <v>118</v>
      </c>
      <c r="E15">
        <v>38</v>
      </c>
      <c r="F15" t="s">
        <v>51</v>
      </c>
      <c r="G15" t="s">
        <v>92</v>
      </c>
      <c r="H15" t="s">
        <v>39</v>
      </c>
      <c r="I15">
        <v>20</v>
      </c>
      <c r="J15" t="s">
        <v>67</v>
      </c>
      <c r="K15">
        <v>2.9</v>
      </c>
      <c r="L15" t="s">
        <v>33</v>
      </c>
      <c r="M15">
        <v>0.93</v>
      </c>
      <c r="N15" t="s">
        <v>82</v>
      </c>
      <c r="O15" t="s">
        <v>25</v>
      </c>
      <c r="P15">
        <v>17</v>
      </c>
      <c r="Q15">
        <v>12</v>
      </c>
    </row>
    <row r="16" spans="1:17" x14ac:dyDescent="0.3">
      <c r="A16" t="s">
        <v>101</v>
      </c>
      <c r="B16" t="s">
        <v>102</v>
      </c>
      <c r="C16" t="s">
        <v>78</v>
      </c>
      <c r="D16" t="s">
        <v>118</v>
      </c>
      <c r="E16">
        <v>50</v>
      </c>
      <c r="F16" t="s">
        <v>38</v>
      </c>
      <c r="G16" t="s">
        <v>38</v>
      </c>
      <c r="H16" t="s">
        <v>66</v>
      </c>
      <c r="I16">
        <v>22</v>
      </c>
      <c r="J16" t="s">
        <v>103</v>
      </c>
      <c r="K16">
        <v>3.7</v>
      </c>
      <c r="L16" t="s">
        <v>33</v>
      </c>
      <c r="M16">
        <v>0.7</v>
      </c>
      <c r="N16" t="s">
        <v>88</v>
      </c>
      <c r="O16" t="s">
        <v>34</v>
      </c>
      <c r="P16">
        <v>14</v>
      </c>
      <c r="Q16">
        <v>6</v>
      </c>
    </row>
    <row r="17" spans="1:17" x14ac:dyDescent="0.3">
      <c r="A17" t="s">
        <v>104</v>
      </c>
      <c r="B17" t="s">
        <v>105</v>
      </c>
      <c r="C17" t="s">
        <v>63</v>
      </c>
      <c r="D17" t="s">
        <v>118</v>
      </c>
      <c r="E17">
        <v>42</v>
      </c>
      <c r="F17" t="s">
        <v>106</v>
      </c>
      <c r="G17" t="s">
        <v>107</v>
      </c>
      <c r="H17" t="s">
        <v>51</v>
      </c>
      <c r="I17">
        <v>0</v>
      </c>
      <c r="J17" t="s">
        <v>58</v>
      </c>
      <c r="K17">
        <v>1.2</v>
      </c>
      <c r="L17" t="s">
        <v>23</v>
      </c>
      <c r="M17">
        <v>0.69</v>
      </c>
      <c r="N17" t="s">
        <v>60</v>
      </c>
      <c r="O17" t="s">
        <v>42</v>
      </c>
      <c r="P17">
        <v>5</v>
      </c>
      <c r="Q17">
        <v>2</v>
      </c>
    </row>
    <row r="18" spans="1:17" x14ac:dyDescent="0.3">
      <c r="A18" t="s">
        <v>108</v>
      </c>
      <c r="B18" t="s">
        <v>109</v>
      </c>
      <c r="C18" t="s">
        <v>97</v>
      </c>
      <c r="D18" t="s">
        <v>97</v>
      </c>
      <c r="E18">
        <v>39</v>
      </c>
      <c r="F18" t="s">
        <v>29</v>
      </c>
      <c r="G18" t="s">
        <v>30</v>
      </c>
      <c r="H18" t="s">
        <v>110</v>
      </c>
      <c r="I18">
        <v>13</v>
      </c>
      <c r="J18" t="s">
        <v>58</v>
      </c>
      <c r="K18">
        <v>2.5</v>
      </c>
      <c r="L18" t="s">
        <v>59</v>
      </c>
      <c r="M18">
        <v>0.6</v>
      </c>
      <c r="N18" t="s">
        <v>88</v>
      </c>
      <c r="O18" t="s">
        <v>75</v>
      </c>
      <c r="P18">
        <v>7</v>
      </c>
      <c r="Q18">
        <v>1</v>
      </c>
    </row>
    <row r="19" spans="1:17" x14ac:dyDescent="0.3">
      <c r="A19" t="s">
        <v>111</v>
      </c>
      <c r="B19" t="s">
        <v>112</v>
      </c>
      <c r="C19" t="s">
        <v>113</v>
      </c>
      <c r="D19" t="s">
        <v>118</v>
      </c>
      <c r="E19">
        <v>56</v>
      </c>
      <c r="F19" t="s">
        <v>114</v>
      </c>
      <c r="G19" t="s">
        <v>115</v>
      </c>
      <c r="H19" t="s">
        <v>21</v>
      </c>
      <c r="J19" t="s">
        <v>51</v>
      </c>
      <c r="L19" t="s">
        <v>51</v>
      </c>
      <c r="M19">
        <v>0.87</v>
      </c>
      <c r="N19" t="s">
        <v>82</v>
      </c>
      <c r="O19" t="s">
        <v>34</v>
      </c>
      <c r="P19">
        <v>1</v>
      </c>
      <c r="Q19">
        <v>2</v>
      </c>
    </row>
    <row r="20" spans="1:17" x14ac:dyDescent="0.3">
      <c r="A20" t="s">
        <v>116</v>
      </c>
      <c r="B20" t="s">
        <v>117</v>
      </c>
      <c r="C20" t="s">
        <v>118</v>
      </c>
      <c r="D20" t="s">
        <v>118</v>
      </c>
      <c r="E20">
        <v>56</v>
      </c>
      <c r="F20" t="s">
        <v>73</v>
      </c>
      <c r="G20" t="s">
        <v>30</v>
      </c>
      <c r="H20" t="s">
        <v>93</v>
      </c>
      <c r="I20">
        <v>31</v>
      </c>
      <c r="J20" t="s">
        <v>119</v>
      </c>
      <c r="K20">
        <v>1.1000000000000001</v>
      </c>
      <c r="L20" t="s">
        <v>41</v>
      </c>
      <c r="M20">
        <v>0.75</v>
      </c>
      <c r="N20" t="s">
        <v>60</v>
      </c>
      <c r="O20" t="s">
        <v>34</v>
      </c>
      <c r="P20">
        <v>13</v>
      </c>
      <c r="Q20">
        <v>3</v>
      </c>
    </row>
    <row r="21" spans="1:17" x14ac:dyDescent="0.3">
      <c r="A21" t="s">
        <v>120</v>
      </c>
      <c r="B21" t="s">
        <v>121</v>
      </c>
      <c r="C21" t="s">
        <v>118</v>
      </c>
      <c r="D21" t="s">
        <v>118</v>
      </c>
      <c r="E21">
        <v>57</v>
      </c>
      <c r="F21" t="s">
        <v>19</v>
      </c>
      <c r="G21" t="s">
        <v>20</v>
      </c>
      <c r="H21" t="s">
        <v>46</v>
      </c>
      <c r="I21">
        <v>3</v>
      </c>
      <c r="J21" t="s">
        <v>32</v>
      </c>
      <c r="K21">
        <v>1.8</v>
      </c>
      <c r="L21" t="s">
        <v>87</v>
      </c>
      <c r="M21">
        <v>0.68</v>
      </c>
      <c r="N21" t="s">
        <v>88</v>
      </c>
      <c r="O21" t="s">
        <v>34</v>
      </c>
      <c r="P21">
        <v>1</v>
      </c>
      <c r="Q21">
        <v>1</v>
      </c>
    </row>
    <row r="22" spans="1:17" x14ac:dyDescent="0.3">
      <c r="A22" t="s">
        <v>122</v>
      </c>
      <c r="B22" t="s">
        <v>123</v>
      </c>
      <c r="C22" t="s">
        <v>118</v>
      </c>
      <c r="D22" t="s">
        <v>118</v>
      </c>
      <c r="F22" t="s">
        <v>64</v>
      </c>
      <c r="G22" t="s">
        <v>65</v>
      </c>
      <c r="H22" t="s">
        <v>57</v>
      </c>
      <c r="I22">
        <v>9</v>
      </c>
      <c r="J22" t="s">
        <v>40</v>
      </c>
      <c r="K22">
        <v>1.8</v>
      </c>
      <c r="L22" t="s">
        <v>59</v>
      </c>
      <c r="M22">
        <v>0.65</v>
      </c>
      <c r="N22" t="s">
        <v>24</v>
      </c>
      <c r="O22" t="s">
        <v>75</v>
      </c>
      <c r="P22">
        <v>15</v>
      </c>
      <c r="Q22">
        <v>6</v>
      </c>
    </row>
    <row r="23" spans="1:17" x14ac:dyDescent="0.3">
      <c r="A23" t="s">
        <v>124</v>
      </c>
      <c r="B23" t="s">
        <v>125</v>
      </c>
      <c r="C23" t="s">
        <v>63</v>
      </c>
      <c r="D23" t="s">
        <v>118</v>
      </c>
      <c r="E23">
        <v>51</v>
      </c>
      <c r="F23" t="s">
        <v>106</v>
      </c>
      <c r="G23" t="s">
        <v>107</v>
      </c>
      <c r="H23" t="s">
        <v>110</v>
      </c>
      <c r="J23" t="s">
        <v>51</v>
      </c>
      <c r="K23">
        <v>2.4</v>
      </c>
      <c r="L23" t="s">
        <v>41</v>
      </c>
      <c r="M23">
        <v>0.69</v>
      </c>
      <c r="N23" t="s">
        <v>60</v>
      </c>
      <c r="O23" t="s">
        <v>34</v>
      </c>
      <c r="P23">
        <v>3</v>
      </c>
      <c r="Q23">
        <v>5</v>
      </c>
    </row>
    <row r="24" spans="1:17" x14ac:dyDescent="0.3">
      <c r="A24" t="s">
        <v>126</v>
      </c>
      <c r="B24" t="s">
        <v>127</v>
      </c>
      <c r="C24" t="s">
        <v>63</v>
      </c>
      <c r="D24" t="s">
        <v>118</v>
      </c>
      <c r="E24">
        <v>51</v>
      </c>
      <c r="F24" t="s">
        <v>128</v>
      </c>
      <c r="G24" t="s">
        <v>129</v>
      </c>
      <c r="H24" t="s">
        <v>98</v>
      </c>
      <c r="I24">
        <v>21</v>
      </c>
      <c r="J24" t="s">
        <v>130</v>
      </c>
      <c r="K24">
        <v>4.7</v>
      </c>
      <c r="L24" t="s">
        <v>41</v>
      </c>
      <c r="N24" t="s">
        <v>88</v>
      </c>
      <c r="O24" t="s">
        <v>75</v>
      </c>
      <c r="P24">
        <v>14</v>
      </c>
      <c r="Q24">
        <v>2</v>
      </c>
    </row>
    <row r="25" spans="1:17" x14ac:dyDescent="0.3">
      <c r="A25" t="s">
        <v>131</v>
      </c>
      <c r="B25" t="s">
        <v>132</v>
      </c>
      <c r="C25" t="s">
        <v>50</v>
      </c>
      <c r="D25" t="s">
        <v>97</v>
      </c>
      <c r="E25">
        <v>51</v>
      </c>
      <c r="F25" t="s">
        <v>133</v>
      </c>
      <c r="G25" t="s">
        <v>134</v>
      </c>
      <c r="H25" t="s">
        <v>135</v>
      </c>
      <c r="I25">
        <v>15</v>
      </c>
      <c r="J25" t="s">
        <v>81</v>
      </c>
      <c r="K25">
        <v>1.3</v>
      </c>
      <c r="L25" t="s">
        <v>33</v>
      </c>
      <c r="M25">
        <v>1</v>
      </c>
      <c r="N25" t="s">
        <v>82</v>
      </c>
      <c r="O25" t="s">
        <v>34</v>
      </c>
      <c r="P25">
        <v>9</v>
      </c>
      <c r="Q25">
        <v>3</v>
      </c>
    </row>
    <row r="26" spans="1:17" x14ac:dyDescent="0.3">
      <c r="A26" t="s">
        <v>136</v>
      </c>
      <c r="B26" t="s">
        <v>137</v>
      </c>
      <c r="C26" t="s">
        <v>18</v>
      </c>
      <c r="D26" t="s">
        <v>97</v>
      </c>
      <c r="E26">
        <v>54</v>
      </c>
      <c r="F26" t="s">
        <v>64</v>
      </c>
      <c r="G26" t="s">
        <v>65</v>
      </c>
      <c r="H26" t="s">
        <v>135</v>
      </c>
      <c r="I26">
        <v>13</v>
      </c>
      <c r="J26" t="s">
        <v>103</v>
      </c>
      <c r="K26">
        <v>2.9</v>
      </c>
      <c r="L26" t="s">
        <v>51</v>
      </c>
      <c r="M26">
        <v>92</v>
      </c>
      <c r="N26" t="s">
        <v>82</v>
      </c>
      <c r="O26" t="s">
        <v>75</v>
      </c>
      <c r="P26">
        <v>15</v>
      </c>
      <c r="Q26">
        <v>3</v>
      </c>
    </row>
    <row r="27" spans="1:17" x14ac:dyDescent="0.3">
      <c r="A27" t="s">
        <v>138</v>
      </c>
      <c r="B27" t="s">
        <v>139</v>
      </c>
      <c r="C27" t="s">
        <v>28</v>
      </c>
      <c r="D27" t="s">
        <v>97</v>
      </c>
      <c r="E27">
        <v>22</v>
      </c>
      <c r="F27" t="s">
        <v>133</v>
      </c>
      <c r="G27" t="s">
        <v>134</v>
      </c>
      <c r="H27" t="s">
        <v>110</v>
      </c>
      <c r="I27">
        <v>0</v>
      </c>
      <c r="J27" t="s">
        <v>130</v>
      </c>
      <c r="K27">
        <v>1.2</v>
      </c>
      <c r="L27" t="s">
        <v>33</v>
      </c>
      <c r="M27">
        <v>0.7</v>
      </c>
      <c r="N27" t="s">
        <v>60</v>
      </c>
      <c r="O27" t="s">
        <v>25</v>
      </c>
      <c r="P27">
        <v>5</v>
      </c>
      <c r="Q27">
        <v>2</v>
      </c>
    </row>
    <row r="28" spans="1:17" x14ac:dyDescent="0.3">
      <c r="A28" t="s">
        <v>140</v>
      </c>
      <c r="B28" t="s">
        <v>141</v>
      </c>
      <c r="C28" t="s">
        <v>50</v>
      </c>
      <c r="D28" t="s">
        <v>97</v>
      </c>
      <c r="E28">
        <v>34</v>
      </c>
      <c r="F28" t="s">
        <v>106</v>
      </c>
      <c r="G28" t="s">
        <v>107</v>
      </c>
      <c r="H28" t="s">
        <v>21</v>
      </c>
      <c r="I28">
        <v>8</v>
      </c>
      <c r="J28" t="s">
        <v>142</v>
      </c>
      <c r="K28">
        <v>0</v>
      </c>
      <c r="L28" t="s">
        <v>74</v>
      </c>
      <c r="M28">
        <v>0.89</v>
      </c>
      <c r="N28" t="s">
        <v>88</v>
      </c>
      <c r="O28" t="s">
        <v>25</v>
      </c>
      <c r="P28">
        <v>6</v>
      </c>
      <c r="Q28">
        <v>1</v>
      </c>
    </row>
    <row r="29" spans="1:17" x14ac:dyDescent="0.3">
      <c r="A29" t="s">
        <v>143</v>
      </c>
      <c r="B29" t="s">
        <v>144</v>
      </c>
      <c r="C29" t="s">
        <v>97</v>
      </c>
      <c r="D29" t="s">
        <v>97</v>
      </c>
      <c r="E29">
        <v>36</v>
      </c>
      <c r="F29" t="s">
        <v>145</v>
      </c>
      <c r="G29" t="s">
        <v>146</v>
      </c>
      <c r="H29" t="s">
        <v>39</v>
      </c>
      <c r="I29">
        <v>11</v>
      </c>
      <c r="J29" t="s">
        <v>51</v>
      </c>
      <c r="K29">
        <v>1.8</v>
      </c>
      <c r="L29" t="s">
        <v>94</v>
      </c>
      <c r="M29">
        <v>0.86</v>
      </c>
      <c r="N29" t="s">
        <v>60</v>
      </c>
      <c r="O29" t="s">
        <v>25</v>
      </c>
      <c r="P29">
        <v>12</v>
      </c>
      <c r="Q29">
        <v>4</v>
      </c>
    </row>
    <row r="30" spans="1:17" x14ac:dyDescent="0.3">
      <c r="A30" t="s">
        <v>147</v>
      </c>
      <c r="B30" t="s">
        <v>148</v>
      </c>
      <c r="C30" t="s">
        <v>50</v>
      </c>
      <c r="D30" t="s">
        <v>97</v>
      </c>
      <c r="E30">
        <v>47</v>
      </c>
      <c r="F30" t="s">
        <v>149</v>
      </c>
      <c r="G30" t="s">
        <v>30</v>
      </c>
      <c r="H30" t="s">
        <v>57</v>
      </c>
      <c r="I30">
        <v>22</v>
      </c>
      <c r="J30" t="s">
        <v>52</v>
      </c>
      <c r="K30">
        <v>1.3</v>
      </c>
      <c r="L30" t="s">
        <v>23</v>
      </c>
      <c r="M30">
        <v>0.62</v>
      </c>
      <c r="N30" t="s">
        <v>60</v>
      </c>
      <c r="O30" t="s">
        <v>25</v>
      </c>
      <c r="P30">
        <v>14</v>
      </c>
      <c r="Q30">
        <v>2</v>
      </c>
    </row>
    <row r="31" spans="1:17" x14ac:dyDescent="0.3">
      <c r="A31" t="s">
        <v>150</v>
      </c>
      <c r="B31" t="s">
        <v>151</v>
      </c>
      <c r="C31" t="s">
        <v>28</v>
      </c>
      <c r="D31" t="s">
        <v>97</v>
      </c>
      <c r="E31">
        <v>41</v>
      </c>
      <c r="F31" t="s">
        <v>55</v>
      </c>
      <c r="G31" t="s">
        <v>56</v>
      </c>
      <c r="H31" t="s">
        <v>66</v>
      </c>
      <c r="I31">
        <v>14</v>
      </c>
      <c r="J31" t="s">
        <v>67</v>
      </c>
      <c r="K31">
        <v>1.2</v>
      </c>
      <c r="L31" t="s">
        <v>23</v>
      </c>
      <c r="N31" t="s">
        <v>88</v>
      </c>
      <c r="O31" t="s">
        <v>25</v>
      </c>
      <c r="P31">
        <v>6</v>
      </c>
      <c r="Q31">
        <v>5</v>
      </c>
    </row>
    <row r="32" spans="1:17" x14ac:dyDescent="0.3">
      <c r="A32" t="s">
        <v>152</v>
      </c>
      <c r="B32" t="s">
        <v>153</v>
      </c>
      <c r="C32" t="s">
        <v>118</v>
      </c>
      <c r="D32" t="s">
        <v>118</v>
      </c>
      <c r="E32">
        <v>22</v>
      </c>
      <c r="F32" t="s">
        <v>55</v>
      </c>
      <c r="G32" t="s">
        <v>56</v>
      </c>
      <c r="H32" t="s">
        <v>110</v>
      </c>
      <c r="I32">
        <v>4</v>
      </c>
      <c r="J32" t="s">
        <v>51</v>
      </c>
      <c r="K32">
        <v>1</v>
      </c>
      <c r="L32" t="s">
        <v>87</v>
      </c>
      <c r="N32" t="s">
        <v>88</v>
      </c>
      <c r="O32" t="s">
        <v>34</v>
      </c>
      <c r="P32">
        <v>3</v>
      </c>
      <c r="Q32">
        <v>1</v>
      </c>
    </row>
    <row r="33" spans="1:17" x14ac:dyDescent="0.3">
      <c r="A33" t="s">
        <v>154</v>
      </c>
      <c r="B33" t="s">
        <v>155</v>
      </c>
      <c r="C33" t="s">
        <v>118</v>
      </c>
      <c r="D33" t="s">
        <v>118</v>
      </c>
      <c r="E33">
        <v>38</v>
      </c>
      <c r="F33" t="s">
        <v>156</v>
      </c>
      <c r="G33" t="s">
        <v>157</v>
      </c>
      <c r="H33" t="s">
        <v>135</v>
      </c>
      <c r="I33">
        <v>19</v>
      </c>
      <c r="J33" t="s">
        <v>32</v>
      </c>
      <c r="K33">
        <v>4.2</v>
      </c>
      <c r="L33" t="s">
        <v>41</v>
      </c>
      <c r="M33">
        <v>0.68</v>
      </c>
      <c r="N33" t="s">
        <v>24</v>
      </c>
      <c r="O33" t="s">
        <v>34</v>
      </c>
      <c r="P33">
        <v>10</v>
      </c>
      <c r="Q33">
        <v>10</v>
      </c>
    </row>
    <row r="34" spans="1:17" x14ac:dyDescent="0.3">
      <c r="A34" t="s">
        <v>158</v>
      </c>
      <c r="B34" t="s">
        <v>159</v>
      </c>
      <c r="C34" t="s">
        <v>113</v>
      </c>
      <c r="D34" t="s">
        <v>118</v>
      </c>
      <c r="E34">
        <v>46</v>
      </c>
      <c r="F34" t="s">
        <v>160</v>
      </c>
      <c r="G34" t="s">
        <v>161</v>
      </c>
      <c r="H34" t="s">
        <v>57</v>
      </c>
      <c r="I34">
        <v>9</v>
      </c>
      <c r="J34" t="s">
        <v>162</v>
      </c>
      <c r="K34">
        <v>1.4</v>
      </c>
      <c r="L34" t="s">
        <v>74</v>
      </c>
      <c r="M34">
        <v>0.76</v>
      </c>
      <c r="N34" t="s">
        <v>88</v>
      </c>
      <c r="O34" t="s">
        <v>34</v>
      </c>
      <c r="P34">
        <v>13</v>
      </c>
      <c r="Q34">
        <v>6</v>
      </c>
    </row>
    <row r="35" spans="1:17" x14ac:dyDescent="0.3">
      <c r="A35" t="s">
        <v>163</v>
      </c>
      <c r="B35" t="s">
        <v>164</v>
      </c>
      <c r="C35" t="s">
        <v>37</v>
      </c>
      <c r="D35" t="s">
        <v>118</v>
      </c>
      <c r="F35" t="s">
        <v>133</v>
      </c>
      <c r="G35" t="s">
        <v>134</v>
      </c>
      <c r="H35" t="s">
        <v>57</v>
      </c>
      <c r="I35">
        <v>9</v>
      </c>
      <c r="J35" t="s">
        <v>86</v>
      </c>
      <c r="K35">
        <v>2.4</v>
      </c>
      <c r="L35" t="s">
        <v>87</v>
      </c>
      <c r="M35">
        <v>82</v>
      </c>
      <c r="N35" t="s">
        <v>82</v>
      </c>
      <c r="O35" t="s">
        <v>75</v>
      </c>
      <c r="P35">
        <v>15</v>
      </c>
      <c r="Q35">
        <v>3</v>
      </c>
    </row>
    <row r="36" spans="1:17" x14ac:dyDescent="0.3">
      <c r="A36" t="s">
        <v>165</v>
      </c>
      <c r="B36" t="s">
        <v>166</v>
      </c>
      <c r="C36" t="s">
        <v>28</v>
      </c>
      <c r="D36" t="s">
        <v>97</v>
      </c>
      <c r="E36">
        <v>54</v>
      </c>
      <c r="F36" t="s">
        <v>73</v>
      </c>
      <c r="G36" t="s">
        <v>30</v>
      </c>
      <c r="H36" t="s">
        <v>46</v>
      </c>
      <c r="I36">
        <v>32</v>
      </c>
      <c r="J36" t="s">
        <v>103</v>
      </c>
      <c r="K36">
        <v>1</v>
      </c>
      <c r="L36" t="s">
        <v>87</v>
      </c>
      <c r="M36">
        <v>0.81</v>
      </c>
      <c r="N36" t="s">
        <v>60</v>
      </c>
      <c r="O36" t="s">
        <v>75</v>
      </c>
      <c r="P36">
        <v>18</v>
      </c>
      <c r="Q36">
        <v>10</v>
      </c>
    </row>
    <row r="37" spans="1:17" x14ac:dyDescent="0.3">
      <c r="A37" t="s">
        <v>167</v>
      </c>
      <c r="B37" t="s">
        <v>168</v>
      </c>
      <c r="C37" t="s">
        <v>50</v>
      </c>
      <c r="D37" t="s">
        <v>97</v>
      </c>
      <c r="E37">
        <v>52</v>
      </c>
      <c r="F37" t="s">
        <v>133</v>
      </c>
      <c r="G37" t="s">
        <v>134</v>
      </c>
      <c r="H37" t="s">
        <v>51</v>
      </c>
      <c r="I37">
        <v>28</v>
      </c>
      <c r="J37" t="s">
        <v>142</v>
      </c>
      <c r="L37" t="s">
        <v>23</v>
      </c>
      <c r="N37" t="s">
        <v>60</v>
      </c>
      <c r="O37" t="s">
        <v>75</v>
      </c>
      <c r="P37">
        <v>18</v>
      </c>
      <c r="Q37">
        <v>2</v>
      </c>
    </row>
    <row r="38" spans="1:17" x14ac:dyDescent="0.3">
      <c r="A38" t="s">
        <v>169</v>
      </c>
      <c r="B38" t="s">
        <v>170</v>
      </c>
      <c r="C38" t="s">
        <v>18</v>
      </c>
      <c r="D38" t="s">
        <v>97</v>
      </c>
      <c r="E38">
        <v>42</v>
      </c>
      <c r="F38" t="s">
        <v>106</v>
      </c>
      <c r="G38" t="s">
        <v>107</v>
      </c>
      <c r="H38" t="s">
        <v>31</v>
      </c>
      <c r="I38">
        <v>6</v>
      </c>
      <c r="J38" t="s">
        <v>86</v>
      </c>
      <c r="L38" t="s">
        <v>23</v>
      </c>
      <c r="M38">
        <v>0.63</v>
      </c>
      <c r="N38" t="s">
        <v>82</v>
      </c>
      <c r="O38" t="s">
        <v>75</v>
      </c>
      <c r="P38">
        <v>15</v>
      </c>
      <c r="Q38">
        <v>6</v>
      </c>
    </row>
    <row r="39" spans="1:17" x14ac:dyDescent="0.3">
      <c r="A39" t="s">
        <v>171</v>
      </c>
      <c r="B39" t="s">
        <v>172</v>
      </c>
      <c r="C39" t="s">
        <v>45</v>
      </c>
      <c r="D39" t="s">
        <v>97</v>
      </c>
      <c r="E39">
        <v>29</v>
      </c>
      <c r="F39" t="s">
        <v>55</v>
      </c>
      <c r="G39" t="s">
        <v>56</v>
      </c>
      <c r="H39" t="s">
        <v>39</v>
      </c>
      <c r="I39">
        <v>10</v>
      </c>
      <c r="J39" t="s">
        <v>86</v>
      </c>
      <c r="K39">
        <v>2.2000000000000002</v>
      </c>
      <c r="L39" t="s">
        <v>41</v>
      </c>
      <c r="M39">
        <v>0.67</v>
      </c>
      <c r="N39" t="s">
        <v>88</v>
      </c>
      <c r="O39" t="s">
        <v>25</v>
      </c>
      <c r="P39">
        <v>10</v>
      </c>
      <c r="Q39">
        <v>9</v>
      </c>
    </row>
    <row r="40" spans="1:17" x14ac:dyDescent="0.3">
      <c r="A40" t="s">
        <v>173</v>
      </c>
      <c r="B40" t="s">
        <v>174</v>
      </c>
      <c r="C40" t="s">
        <v>45</v>
      </c>
      <c r="D40" t="s">
        <v>97</v>
      </c>
      <c r="E40">
        <v>42</v>
      </c>
      <c r="F40" t="s">
        <v>175</v>
      </c>
      <c r="G40" t="s">
        <v>176</v>
      </c>
      <c r="H40" t="s">
        <v>31</v>
      </c>
      <c r="I40">
        <v>23</v>
      </c>
      <c r="J40" t="s">
        <v>40</v>
      </c>
      <c r="K40">
        <v>3.2</v>
      </c>
      <c r="L40" t="s">
        <v>87</v>
      </c>
      <c r="N40" t="s">
        <v>82</v>
      </c>
      <c r="O40" t="s">
        <v>25</v>
      </c>
      <c r="P40">
        <v>13</v>
      </c>
      <c r="Q40">
        <v>3</v>
      </c>
    </row>
    <row r="41" spans="1:17" x14ac:dyDescent="0.3">
      <c r="A41" t="s">
        <v>177</v>
      </c>
      <c r="B41" t="s">
        <v>178</v>
      </c>
      <c r="C41" t="s">
        <v>118</v>
      </c>
      <c r="D41" t="s">
        <v>118</v>
      </c>
      <c r="E41">
        <v>60</v>
      </c>
      <c r="F41" t="s">
        <v>106</v>
      </c>
      <c r="G41" t="s">
        <v>107</v>
      </c>
      <c r="H41" t="s">
        <v>46</v>
      </c>
      <c r="I41">
        <v>13</v>
      </c>
      <c r="J41" t="s">
        <v>142</v>
      </c>
      <c r="K41">
        <v>3.6</v>
      </c>
      <c r="L41" t="s">
        <v>23</v>
      </c>
      <c r="M41">
        <v>0.8</v>
      </c>
      <c r="N41" t="s">
        <v>82</v>
      </c>
      <c r="O41" t="s">
        <v>25</v>
      </c>
      <c r="P41">
        <v>9</v>
      </c>
      <c r="Q41">
        <v>3</v>
      </c>
    </row>
    <row r="42" spans="1:17" x14ac:dyDescent="0.3">
      <c r="A42" t="s">
        <v>179</v>
      </c>
      <c r="B42" t="s">
        <v>180</v>
      </c>
      <c r="C42" t="s">
        <v>97</v>
      </c>
      <c r="D42" t="s">
        <v>97</v>
      </c>
      <c r="E42">
        <v>59</v>
      </c>
      <c r="F42" t="s">
        <v>85</v>
      </c>
      <c r="G42" t="s">
        <v>30</v>
      </c>
      <c r="H42" t="s">
        <v>57</v>
      </c>
      <c r="I42">
        <v>3</v>
      </c>
      <c r="J42" t="s">
        <v>119</v>
      </c>
      <c r="K42">
        <v>0</v>
      </c>
      <c r="L42" t="s">
        <v>181</v>
      </c>
      <c r="N42" t="s">
        <v>24</v>
      </c>
      <c r="O42" t="s">
        <v>42</v>
      </c>
      <c r="P42">
        <v>3</v>
      </c>
      <c r="Q42">
        <v>1</v>
      </c>
    </row>
    <row r="43" spans="1:17" x14ac:dyDescent="0.3">
      <c r="A43" t="s">
        <v>182</v>
      </c>
      <c r="B43" t="s">
        <v>183</v>
      </c>
      <c r="C43" t="s">
        <v>97</v>
      </c>
      <c r="D43" t="s">
        <v>97</v>
      </c>
      <c r="E43">
        <v>21</v>
      </c>
      <c r="F43" t="s">
        <v>149</v>
      </c>
      <c r="G43" t="s">
        <v>30</v>
      </c>
      <c r="H43" t="s">
        <v>46</v>
      </c>
      <c r="I43">
        <v>0</v>
      </c>
      <c r="J43" t="s">
        <v>52</v>
      </c>
      <c r="K43">
        <v>2.7</v>
      </c>
      <c r="L43" t="s">
        <v>33</v>
      </c>
      <c r="M43">
        <v>0.84</v>
      </c>
      <c r="N43" t="s">
        <v>82</v>
      </c>
      <c r="O43" t="s">
        <v>34</v>
      </c>
      <c r="P43">
        <v>5</v>
      </c>
      <c r="Q43">
        <v>1</v>
      </c>
    </row>
    <row r="44" spans="1:17" x14ac:dyDescent="0.3">
      <c r="A44" t="s">
        <v>184</v>
      </c>
      <c r="B44" t="s">
        <v>185</v>
      </c>
      <c r="C44" t="s">
        <v>97</v>
      </c>
      <c r="D44" t="s">
        <v>97</v>
      </c>
      <c r="E44">
        <v>35</v>
      </c>
      <c r="F44" t="s">
        <v>38</v>
      </c>
      <c r="G44" t="s">
        <v>38</v>
      </c>
      <c r="H44" t="s">
        <v>110</v>
      </c>
      <c r="I44">
        <v>10</v>
      </c>
      <c r="J44" t="s">
        <v>81</v>
      </c>
      <c r="K44">
        <v>0</v>
      </c>
      <c r="L44" t="s">
        <v>181</v>
      </c>
      <c r="N44" t="s">
        <v>60</v>
      </c>
      <c r="O44" t="s">
        <v>75</v>
      </c>
      <c r="P44">
        <v>7</v>
      </c>
      <c r="Q44">
        <v>6</v>
      </c>
    </row>
    <row r="45" spans="1:17" x14ac:dyDescent="0.3">
      <c r="A45" t="s">
        <v>186</v>
      </c>
      <c r="B45" t="s">
        <v>187</v>
      </c>
      <c r="C45" t="s">
        <v>37</v>
      </c>
      <c r="D45" t="s">
        <v>118</v>
      </c>
      <c r="E45">
        <v>41</v>
      </c>
      <c r="F45" t="s">
        <v>85</v>
      </c>
      <c r="G45" t="s">
        <v>30</v>
      </c>
      <c r="H45" t="s">
        <v>66</v>
      </c>
      <c r="J45" t="s">
        <v>162</v>
      </c>
      <c r="K45">
        <v>2.8</v>
      </c>
      <c r="L45" t="s">
        <v>74</v>
      </c>
      <c r="M45">
        <v>0.63</v>
      </c>
      <c r="N45" t="s">
        <v>82</v>
      </c>
      <c r="O45" t="s">
        <v>75</v>
      </c>
      <c r="P45">
        <v>1</v>
      </c>
      <c r="Q45">
        <v>1</v>
      </c>
    </row>
    <row r="46" spans="1:17" x14ac:dyDescent="0.3">
      <c r="A46" t="s">
        <v>188</v>
      </c>
      <c r="B46" t="s">
        <v>189</v>
      </c>
      <c r="C46" t="s">
        <v>97</v>
      </c>
      <c r="D46" t="s">
        <v>97</v>
      </c>
      <c r="E46">
        <v>51</v>
      </c>
      <c r="F46" t="s">
        <v>55</v>
      </c>
      <c r="G46" t="s">
        <v>56</v>
      </c>
      <c r="H46" t="s">
        <v>135</v>
      </c>
      <c r="I46">
        <v>23</v>
      </c>
      <c r="J46" t="s">
        <v>162</v>
      </c>
      <c r="K46">
        <v>2.5</v>
      </c>
      <c r="L46" t="s">
        <v>59</v>
      </c>
      <c r="M46">
        <v>0.8</v>
      </c>
      <c r="N46" t="s">
        <v>60</v>
      </c>
      <c r="O46" t="s">
        <v>25</v>
      </c>
      <c r="P46">
        <v>17</v>
      </c>
      <c r="Q46">
        <v>15</v>
      </c>
    </row>
    <row r="47" spans="1:17" x14ac:dyDescent="0.3">
      <c r="A47" t="s">
        <v>190</v>
      </c>
      <c r="B47" t="s">
        <v>191</v>
      </c>
      <c r="C47" t="s">
        <v>37</v>
      </c>
      <c r="D47" t="s">
        <v>118</v>
      </c>
      <c r="E47">
        <v>41</v>
      </c>
      <c r="F47" t="s">
        <v>175</v>
      </c>
      <c r="G47" t="s">
        <v>176</v>
      </c>
      <c r="H47" t="s">
        <v>46</v>
      </c>
      <c r="I47">
        <v>9</v>
      </c>
      <c r="J47" t="s">
        <v>192</v>
      </c>
      <c r="K47">
        <v>4.9000000000000004</v>
      </c>
      <c r="L47" t="s">
        <v>33</v>
      </c>
      <c r="M47">
        <v>0.74</v>
      </c>
      <c r="N47" t="s">
        <v>60</v>
      </c>
      <c r="O47" t="s">
        <v>75</v>
      </c>
      <c r="P47">
        <v>13</v>
      </c>
      <c r="Q47">
        <v>8</v>
      </c>
    </row>
    <row r="48" spans="1:17" x14ac:dyDescent="0.3">
      <c r="A48" t="s">
        <v>193</v>
      </c>
      <c r="B48" t="s">
        <v>194</v>
      </c>
      <c r="C48" t="s">
        <v>97</v>
      </c>
      <c r="D48" t="s">
        <v>97</v>
      </c>
      <c r="E48">
        <v>47</v>
      </c>
      <c r="F48" t="s">
        <v>160</v>
      </c>
      <c r="G48" t="s">
        <v>161</v>
      </c>
      <c r="H48" t="s">
        <v>110</v>
      </c>
      <c r="I48">
        <v>15</v>
      </c>
      <c r="J48" t="s">
        <v>130</v>
      </c>
      <c r="K48">
        <v>4.5</v>
      </c>
      <c r="L48" t="s">
        <v>33</v>
      </c>
      <c r="M48">
        <v>0.85</v>
      </c>
      <c r="N48" t="s">
        <v>60</v>
      </c>
      <c r="O48" t="s">
        <v>75</v>
      </c>
      <c r="P48">
        <v>12</v>
      </c>
      <c r="Q48">
        <v>4</v>
      </c>
    </row>
    <row r="49" spans="1:17" x14ac:dyDescent="0.3">
      <c r="A49" t="s">
        <v>195</v>
      </c>
      <c r="B49" t="s">
        <v>196</v>
      </c>
      <c r="C49" t="s">
        <v>37</v>
      </c>
      <c r="D49" t="s">
        <v>118</v>
      </c>
      <c r="E49">
        <v>25</v>
      </c>
      <c r="F49" t="s">
        <v>197</v>
      </c>
      <c r="G49" t="s">
        <v>198</v>
      </c>
      <c r="H49" t="s">
        <v>39</v>
      </c>
      <c r="I49">
        <v>4</v>
      </c>
      <c r="J49" t="s">
        <v>40</v>
      </c>
      <c r="K49">
        <v>2.7</v>
      </c>
      <c r="L49" t="s">
        <v>41</v>
      </c>
      <c r="M49">
        <v>0.77</v>
      </c>
      <c r="N49" t="s">
        <v>88</v>
      </c>
      <c r="O49" t="s">
        <v>34</v>
      </c>
      <c r="P49">
        <v>4</v>
      </c>
      <c r="Q49">
        <v>3</v>
      </c>
    </row>
    <row r="50" spans="1:17" x14ac:dyDescent="0.3">
      <c r="A50" t="s">
        <v>199</v>
      </c>
      <c r="B50" t="s">
        <v>200</v>
      </c>
      <c r="C50" t="s">
        <v>45</v>
      </c>
      <c r="D50" t="s">
        <v>97</v>
      </c>
      <c r="E50">
        <v>25</v>
      </c>
      <c r="F50" t="s">
        <v>201</v>
      </c>
      <c r="G50" t="s">
        <v>92</v>
      </c>
      <c r="H50" t="s">
        <v>31</v>
      </c>
      <c r="I50">
        <v>7</v>
      </c>
      <c r="J50" t="s">
        <v>162</v>
      </c>
      <c r="K50">
        <v>1.9</v>
      </c>
      <c r="L50" t="s">
        <v>23</v>
      </c>
      <c r="N50" t="s">
        <v>24</v>
      </c>
      <c r="O50" t="s">
        <v>25</v>
      </c>
      <c r="P50">
        <v>12</v>
      </c>
      <c r="Q50">
        <v>10</v>
      </c>
    </row>
    <row r="51" spans="1:17" x14ac:dyDescent="0.3">
      <c r="A51" t="s">
        <v>202</v>
      </c>
      <c r="B51" t="s">
        <v>203</v>
      </c>
      <c r="C51" t="s">
        <v>63</v>
      </c>
      <c r="D51" t="s">
        <v>118</v>
      </c>
      <c r="E51">
        <v>29</v>
      </c>
      <c r="F51" t="s">
        <v>51</v>
      </c>
      <c r="G51" t="s">
        <v>56</v>
      </c>
      <c r="H51" t="s">
        <v>93</v>
      </c>
      <c r="I51">
        <v>1</v>
      </c>
      <c r="J51" t="s">
        <v>162</v>
      </c>
      <c r="K51">
        <v>1.4</v>
      </c>
      <c r="L51" t="s">
        <v>33</v>
      </c>
      <c r="M51">
        <v>0.63</v>
      </c>
      <c r="N51" t="s">
        <v>60</v>
      </c>
      <c r="O51" t="s">
        <v>34</v>
      </c>
      <c r="P51">
        <v>2</v>
      </c>
      <c r="Q51">
        <v>1</v>
      </c>
    </row>
    <row r="52" spans="1:17" x14ac:dyDescent="0.3">
      <c r="A52" t="s">
        <v>204</v>
      </c>
      <c r="B52" t="s">
        <v>205</v>
      </c>
      <c r="C52" t="s">
        <v>28</v>
      </c>
      <c r="D52" t="s">
        <v>97</v>
      </c>
      <c r="E52">
        <v>23</v>
      </c>
      <c r="F52" t="s">
        <v>91</v>
      </c>
      <c r="G52" t="s">
        <v>92</v>
      </c>
      <c r="H52" t="s">
        <v>98</v>
      </c>
      <c r="I52">
        <v>0</v>
      </c>
      <c r="J52" t="s">
        <v>103</v>
      </c>
      <c r="K52">
        <v>1.9</v>
      </c>
      <c r="L52" t="s">
        <v>74</v>
      </c>
      <c r="M52">
        <v>0.79</v>
      </c>
      <c r="N52" t="s">
        <v>60</v>
      </c>
      <c r="O52" t="s">
        <v>42</v>
      </c>
      <c r="P52">
        <v>2</v>
      </c>
      <c r="Q52">
        <v>5</v>
      </c>
    </row>
    <row r="53" spans="1:17" x14ac:dyDescent="0.3">
      <c r="A53" t="s">
        <v>206</v>
      </c>
      <c r="B53" t="s">
        <v>207</v>
      </c>
      <c r="C53" t="s">
        <v>37</v>
      </c>
      <c r="D53" t="s">
        <v>118</v>
      </c>
      <c r="E53">
        <v>31</v>
      </c>
      <c r="F53" t="s">
        <v>156</v>
      </c>
      <c r="G53" t="s">
        <v>157</v>
      </c>
      <c r="H53" t="s">
        <v>66</v>
      </c>
      <c r="I53">
        <v>8</v>
      </c>
      <c r="J53" t="s">
        <v>40</v>
      </c>
      <c r="K53">
        <v>3.4</v>
      </c>
      <c r="L53" t="s">
        <v>23</v>
      </c>
      <c r="N53" t="s">
        <v>88</v>
      </c>
      <c r="O53" t="s">
        <v>42</v>
      </c>
      <c r="P53">
        <v>11</v>
      </c>
      <c r="Q53">
        <v>3</v>
      </c>
    </row>
    <row r="54" spans="1:17" x14ac:dyDescent="0.3">
      <c r="A54" t="s">
        <v>208</v>
      </c>
      <c r="B54" t="s">
        <v>209</v>
      </c>
      <c r="C54" t="s">
        <v>118</v>
      </c>
      <c r="D54" t="s">
        <v>118</v>
      </c>
      <c r="E54">
        <v>51</v>
      </c>
      <c r="F54" t="s">
        <v>38</v>
      </c>
      <c r="G54" t="s">
        <v>38</v>
      </c>
      <c r="H54" t="s">
        <v>135</v>
      </c>
      <c r="I54">
        <v>33</v>
      </c>
      <c r="J54" t="s">
        <v>103</v>
      </c>
      <c r="K54">
        <v>3.3</v>
      </c>
      <c r="L54" t="s">
        <v>51</v>
      </c>
      <c r="M54">
        <v>0.68</v>
      </c>
      <c r="N54" t="s">
        <v>60</v>
      </c>
      <c r="O54" t="s">
        <v>42</v>
      </c>
      <c r="P54">
        <v>17</v>
      </c>
      <c r="Q54">
        <v>8</v>
      </c>
    </row>
    <row r="55" spans="1:17" x14ac:dyDescent="0.3">
      <c r="A55" t="s">
        <v>210</v>
      </c>
      <c r="B55" t="s">
        <v>211</v>
      </c>
      <c r="C55" t="s">
        <v>63</v>
      </c>
      <c r="D55" t="s">
        <v>118</v>
      </c>
      <c r="F55" t="s">
        <v>212</v>
      </c>
      <c r="G55" t="s">
        <v>92</v>
      </c>
      <c r="H55" t="s">
        <v>93</v>
      </c>
      <c r="I55">
        <v>1</v>
      </c>
      <c r="J55" t="s">
        <v>52</v>
      </c>
      <c r="K55">
        <v>0</v>
      </c>
      <c r="L55" t="s">
        <v>23</v>
      </c>
      <c r="M55">
        <v>0.68</v>
      </c>
      <c r="N55" t="s">
        <v>82</v>
      </c>
      <c r="O55" t="s">
        <v>25</v>
      </c>
      <c r="P55">
        <v>1</v>
      </c>
      <c r="Q55">
        <v>2</v>
      </c>
    </row>
    <row r="56" spans="1:17" x14ac:dyDescent="0.3">
      <c r="A56" t="s">
        <v>213</v>
      </c>
      <c r="B56" t="s">
        <v>214</v>
      </c>
      <c r="C56" t="s">
        <v>18</v>
      </c>
      <c r="D56" t="s">
        <v>97</v>
      </c>
      <c r="E56">
        <v>29</v>
      </c>
      <c r="F56" t="s">
        <v>79</v>
      </c>
      <c r="G56" t="s">
        <v>80</v>
      </c>
      <c r="H56" t="s">
        <v>98</v>
      </c>
      <c r="I56">
        <v>11</v>
      </c>
      <c r="J56" t="s">
        <v>22</v>
      </c>
      <c r="K56">
        <v>2.2999999999999998</v>
      </c>
      <c r="L56" t="s">
        <v>74</v>
      </c>
      <c r="M56">
        <v>0.72</v>
      </c>
      <c r="N56" t="s">
        <v>82</v>
      </c>
      <c r="O56" t="s">
        <v>75</v>
      </c>
      <c r="P56">
        <v>7</v>
      </c>
      <c r="Q56">
        <v>7</v>
      </c>
    </row>
    <row r="57" spans="1:17" x14ac:dyDescent="0.3">
      <c r="A57" t="s">
        <v>215</v>
      </c>
      <c r="B57" t="s">
        <v>216</v>
      </c>
      <c r="C57" t="s">
        <v>63</v>
      </c>
      <c r="D57" t="s">
        <v>118</v>
      </c>
      <c r="E57">
        <v>50</v>
      </c>
      <c r="F57" t="s">
        <v>85</v>
      </c>
      <c r="G57" t="s">
        <v>30</v>
      </c>
      <c r="H57" t="s">
        <v>57</v>
      </c>
      <c r="I57">
        <v>15</v>
      </c>
      <c r="J57" t="s">
        <v>51</v>
      </c>
      <c r="K57">
        <v>2</v>
      </c>
      <c r="L57" t="s">
        <v>87</v>
      </c>
      <c r="M57">
        <v>0.65</v>
      </c>
      <c r="N57" t="s">
        <v>24</v>
      </c>
      <c r="O57" t="s">
        <v>25</v>
      </c>
      <c r="P57">
        <v>7</v>
      </c>
      <c r="Q57">
        <v>7</v>
      </c>
    </row>
    <row r="58" spans="1:17" x14ac:dyDescent="0.3">
      <c r="A58" t="s">
        <v>217</v>
      </c>
      <c r="B58" t="s">
        <v>218</v>
      </c>
      <c r="C58" t="s">
        <v>18</v>
      </c>
      <c r="D58" t="s">
        <v>97</v>
      </c>
      <c r="E58">
        <v>26</v>
      </c>
      <c r="F58" t="s">
        <v>85</v>
      </c>
      <c r="G58" t="s">
        <v>30</v>
      </c>
      <c r="H58" t="s">
        <v>110</v>
      </c>
      <c r="I58">
        <v>8</v>
      </c>
      <c r="J58" t="s">
        <v>40</v>
      </c>
      <c r="K58">
        <v>1.3</v>
      </c>
      <c r="L58" t="s">
        <v>59</v>
      </c>
      <c r="M58">
        <v>0.76</v>
      </c>
      <c r="N58" t="s">
        <v>60</v>
      </c>
      <c r="O58" t="s">
        <v>25</v>
      </c>
      <c r="P58">
        <v>7</v>
      </c>
      <c r="Q58">
        <v>5</v>
      </c>
    </row>
    <row r="59" spans="1:17" x14ac:dyDescent="0.3">
      <c r="A59" t="s">
        <v>219</v>
      </c>
      <c r="B59" t="s">
        <v>220</v>
      </c>
      <c r="C59" t="s">
        <v>118</v>
      </c>
      <c r="D59" t="s">
        <v>118</v>
      </c>
      <c r="E59">
        <v>38</v>
      </c>
      <c r="F59" t="s">
        <v>149</v>
      </c>
      <c r="G59" t="s">
        <v>30</v>
      </c>
      <c r="H59" t="s">
        <v>57</v>
      </c>
      <c r="I59">
        <v>17</v>
      </c>
      <c r="J59" t="s">
        <v>70</v>
      </c>
      <c r="K59">
        <v>4</v>
      </c>
      <c r="L59" t="s">
        <v>74</v>
      </c>
      <c r="M59">
        <v>0.9</v>
      </c>
      <c r="N59" t="s">
        <v>88</v>
      </c>
      <c r="O59" t="s">
        <v>75</v>
      </c>
      <c r="P59">
        <v>16</v>
      </c>
      <c r="Q59">
        <v>11</v>
      </c>
    </row>
    <row r="60" spans="1:17" x14ac:dyDescent="0.3">
      <c r="A60" t="s">
        <v>221</v>
      </c>
      <c r="B60" t="s">
        <v>222</v>
      </c>
      <c r="C60" t="s">
        <v>28</v>
      </c>
      <c r="D60" t="s">
        <v>97</v>
      </c>
      <c r="E60">
        <v>23</v>
      </c>
      <c r="F60" t="s">
        <v>114</v>
      </c>
      <c r="G60" t="s">
        <v>115</v>
      </c>
      <c r="H60" t="s">
        <v>31</v>
      </c>
      <c r="J60" t="s">
        <v>103</v>
      </c>
      <c r="K60">
        <v>3.6</v>
      </c>
      <c r="L60" t="s">
        <v>33</v>
      </c>
      <c r="M60">
        <v>0.65</v>
      </c>
      <c r="N60" t="s">
        <v>82</v>
      </c>
      <c r="O60" t="s">
        <v>34</v>
      </c>
      <c r="P60">
        <v>2</v>
      </c>
      <c r="Q60">
        <v>4</v>
      </c>
    </row>
    <row r="61" spans="1:17" x14ac:dyDescent="0.3">
      <c r="A61" t="s">
        <v>223</v>
      </c>
      <c r="B61" t="s">
        <v>224</v>
      </c>
      <c r="C61" t="s">
        <v>97</v>
      </c>
      <c r="D61" t="s">
        <v>97</v>
      </c>
      <c r="E61">
        <v>51</v>
      </c>
      <c r="F61" t="s">
        <v>175</v>
      </c>
      <c r="G61" t="s">
        <v>176</v>
      </c>
      <c r="H61" t="s">
        <v>110</v>
      </c>
      <c r="I61">
        <v>28</v>
      </c>
      <c r="J61" t="s">
        <v>86</v>
      </c>
      <c r="K61">
        <v>3.9</v>
      </c>
      <c r="L61" t="s">
        <v>23</v>
      </c>
      <c r="M61">
        <v>0.63</v>
      </c>
      <c r="N61" t="s">
        <v>88</v>
      </c>
      <c r="O61" t="s">
        <v>42</v>
      </c>
      <c r="P61">
        <v>13</v>
      </c>
      <c r="Q61">
        <v>6</v>
      </c>
    </row>
    <row r="62" spans="1:17" x14ac:dyDescent="0.3">
      <c r="A62" t="s">
        <v>225</v>
      </c>
      <c r="B62" t="s">
        <v>226</v>
      </c>
      <c r="C62" t="s">
        <v>45</v>
      </c>
      <c r="D62" t="s">
        <v>97</v>
      </c>
      <c r="E62">
        <v>51</v>
      </c>
      <c r="F62" t="s">
        <v>64</v>
      </c>
      <c r="G62" t="s">
        <v>65</v>
      </c>
      <c r="H62" t="s">
        <v>57</v>
      </c>
      <c r="I62">
        <v>33</v>
      </c>
      <c r="J62" t="s">
        <v>192</v>
      </c>
      <c r="K62">
        <v>0</v>
      </c>
      <c r="L62" t="s">
        <v>74</v>
      </c>
      <c r="N62" t="s">
        <v>88</v>
      </c>
      <c r="O62" t="s">
        <v>34</v>
      </c>
      <c r="P62">
        <v>14</v>
      </c>
      <c r="Q62">
        <v>8</v>
      </c>
    </row>
    <row r="63" spans="1:17" x14ac:dyDescent="0.3">
      <c r="A63" t="s">
        <v>227</v>
      </c>
      <c r="B63" t="s">
        <v>228</v>
      </c>
      <c r="C63" t="s">
        <v>118</v>
      </c>
      <c r="D63" t="s">
        <v>118</v>
      </c>
      <c r="E63">
        <v>47</v>
      </c>
      <c r="F63" t="s">
        <v>38</v>
      </c>
      <c r="G63" t="s">
        <v>38</v>
      </c>
      <c r="H63" t="s">
        <v>57</v>
      </c>
      <c r="I63">
        <v>18</v>
      </c>
      <c r="J63" t="s">
        <v>103</v>
      </c>
      <c r="K63">
        <v>0</v>
      </c>
      <c r="L63" t="s">
        <v>23</v>
      </c>
      <c r="N63" t="s">
        <v>82</v>
      </c>
      <c r="O63" t="s">
        <v>42</v>
      </c>
      <c r="P63">
        <v>11</v>
      </c>
      <c r="Q63">
        <v>8</v>
      </c>
    </row>
    <row r="64" spans="1:17" x14ac:dyDescent="0.3">
      <c r="A64" t="s">
        <v>229</v>
      </c>
      <c r="B64" t="s">
        <v>230</v>
      </c>
      <c r="C64" t="s">
        <v>97</v>
      </c>
      <c r="D64" t="s">
        <v>97</v>
      </c>
      <c r="E64">
        <v>34</v>
      </c>
      <c r="F64" t="s">
        <v>145</v>
      </c>
      <c r="G64" t="s">
        <v>146</v>
      </c>
      <c r="H64" t="s">
        <v>93</v>
      </c>
      <c r="I64">
        <v>16</v>
      </c>
      <c r="J64" t="s">
        <v>142</v>
      </c>
      <c r="K64">
        <v>2.2999999999999998</v>
      </c>
      <c r="L64" t="s">
        <v>87</v>
      </c>
      <c r="M64">
        <v>0.93</v>
      </c>
      <c r="N64" t="s">
        <v>88</v>
      </c>
      <c r="O64" t="s">
        <v>25</v>
      </c>
      <c r="P64">
        <v>15</v>
      </c>
      <c r="Q64">
        <v>5</v>
      </c>
    </row>
    <row r="65" spans="1:17" x14ac:dyDescent="0.3">
      <c r="A65" t="s">
        <v>231</v>
      </c>
      <c r="B65" t="s">
        <v>232</v>
      </c>
      <c r="C65" t="s">
        <v>18</v>
      </c>
      <c r="D65" t="s">
        <v>97</v>
      </c>
      <c r="E65">
        <v>58</v>
      </c>
      <c r="F65" t="s">
        <v>64</v>
      </c>
      <c r="G65" t="s">
        <v>65</v>
      </c>
      <c r="H65" t="s">
        <v>66</v>
      </c>
      <c r="I65">
        <v>35</v>
      </c>
      <c r="J65" t="s">
        <v>119</v>
      </c>
      <c r="K65">
        <v>4.7</v>
      </c>
      <c r="L65" t="s">
        <v>181</v>
      </c>
      <c r="M65">
        <v>0.7</v>
      </c>
      <c r="N65" t="s">
        <v>82</v>
      </c>
      <c r="O65" t="s">
        <v>42</v>
      </c>
      <c r="P65">
        <v>17</v>
      </c>
      <c r="Q65">
        <v>13</v>
      </c>
    </row>
    <row r="66" spans="1:17" x14ac:dyDescent="0.3">
      <c r="A66" t="s">
        <v>233</v>
      </c>
      <c r="B66" t="s">
        <v>234</v>
      </c>
      <c r="C66" t="s">
        <v>45</v>
      </c>
      <c r="D66" t="s">
        <v>97</v>
      </c>
      <c r="E66">
        <v>50</v>
      </c>
      <c r="F66" t="s">
        <v>145</v>
      </c>
      <c r="G66" t="s">
        <v>146</v>
      </c>
      <c r="H66" t="s">
        <v>57</v>
      </c>
      <c r="I66">
        <v>14</v>
      </c>
      <c r="J66" t="s">
        <v>51</v>
      </c>
      <c r="K66">
        <v>3.5</v>
      </c>
      <c r="L66" t="s">
        <v>94</v>
      </c>
      <c r="M66">
        <v>0.83</v>
      </c>
      <c r="N66" t="s">
        <v>88</v>
      </c>
      <c r="O66" t="s">
        <v>25</v>
      </c>
      <c r="P66">
        <v>13</v>
      </c>
      <c r="Q66">
        <v>8</v>
      </c>
    </row>
    <row r="67" spans="1:17" x14ac:dyDescent="0.3">
      <c r="A67" t="s">
        <v>235</v>
      </c>
      <c r="B67" t="s">
        <v>236</v>
      </c>
      <c r="C67" t="s">
        <v>28</v>
      </c>
      <c r="D67" t="s">
        <v>97</v>
      </c>
      <c r="E67">
        <v>34</v>
      </c>
      <c r="F67" t="s">
        <v>212</v>
      </c>
      <c r="G67" t="s">
        <v>92</v>
      </c>
      <c r="H67" t="s">
        <v>46</v>
      </c>
      <c r="I67">
        <v>12</v>
      </c>
      <c r="J67" t="s">
        <v>86</v>
      </c>
      <c r="K67">
        <v>2.4</v>
      </c>
      <c r="L67" t="s">
        <v>33</v>
      </c>
      <c r="M67">
        <v>64</v>
      </c>
      <c r="N67" t="s">
        <v>82</v>
      </c>
      <c r="O67" t="s">
        <v>34</v>
      </c>
      <c r="P67">
        <v>14</v>
      </c>
      <c r="Q67">
        <v>12</v>
      </c>
    </row>
    <row r="68" spans="1:17" x14ac:dyDescent="0.3">
      <c r="A68" t="s">
        <v>237</v>
      </c>
      <c r="B68" t="s">
        <v>238</v>
      </c>
      <c r="C68" t="s">
        <v>97</v>
      </c>
      <c r="D68" t="s">
        <v>97</v>
      </c>
      <c r="E68">
        <v>45</v>
      </c>
      <c r="F68" t="s">
        <v>128</v>
      </c>
      <c r="G68" t="s">
        <v>129</v>
      </c>
      <c r="H68" t="s">
        <v>57</v>
      </c>
      <c r="I68">
        <v>11</v>
      </c>
      <c r="J68" t="s">
        <v>67</v>
      </c>
      <c r="K68">
        <v>4</v>
      </c>
      <c r="L68" t="s">
        <v>41</v>
      </c>
      <c r="M68">
        <v>1</v>
      </c>
      <c r="N68" t="s">
        <v>60</v>
      </c>
      <c r="O68" t="s">
        <v>25</v>
      </c>
      <c r="P68">
        <v>9</v>
      </c>
      <c r="Q68">
        <v>2</v>
      </c>
    </row>
    <row r="69" spans="1:17" x14ac:dyDescent="0.3">
      <c r="A69" t="s">
        <v>239</v>
      </c>
      <c r="B69" t="s">
        <v>240</v>
      </c>
      <c r="C69" t="s">
        <v>28</v>
      </c>
      <c r="D69" t="s">
        <v>97</v>
      </c>
      <c r="E69">
        <v>55</v>
      </c>
      <c r="F69" t="s">
        <v>128</v>
      </c>
      <c r="G69" t="s">
        <v>129</v>
      </c>
      <c r="H69" t="s">
        <v>46</v>
      </c>
      <c r="I69">
        <v>0</v>
      </c>
      <c r="J69" t="s">
        <v>47</v>
      </c>
      <c r="K69">
        <v>0</v>
      </c>
      <c r="L69" t="s">
        <v>74</v>
      </c>
      <c r="N69" t="s">
        <v>24</v>
      </c>
      <c r="O69" t="s">
        <v>34</v>
      </c>
      <c r="P69">
        <v>5</v>
      </c>
      <c r="Q69">
        <v>5</v>
      </c>
    </row>
    <row r="70" spans="1:17" x14ac:dyDescent="0.3">
      <c r="A70" t="s">
        <v>241</v>
      </c>
      <c r="B70" t="s">
        <v>242</v>
      </c>
      <c r="C70" t="s">
        <v>63</v>
      </c>
      <c r="D70" t="s">
        <v>118</v>
      </c>
      <c r="F70" t="s">
        <v>91</v>
      </c>
      <c r="G70" t="s">
        <v>92</v>
      </c>
      <c r="H70" t="s">
        <v>93</v>
      </c>
      <c r="I70">
        <v>6</v>
      </c>
      <c r="J70" t="s">
        <v>22</v>
      </c>
      <c r="K70">
        <v>1.5</v>
      </c>
      <c r="L70" t="s">
        <v>59</v>
      </c>
      <c r="N70" t="s">
        <v>82</v>
      </c>
      <c r="O70" t="s">
        <v>75</v>
      </c>
      <c r="P70">
        <v>8</v>
      </c>
      <c r="Q70">
        <v>2</v>
      </c>
    </row>
    <row r="71" spans="1:17" x14ac:dyDescent="0.3">
      <c r="A71" t="s">
        <v>243</v>
      </c>
      <c r="B71" t="s">
        <v>244</v>
      </c>
      <c r="C71" t="s">
        <v>28</v>
      </c>
      <c r="D71" t="s">
        <v>97</v>
      </c>
      <c r="E71">
        <v>60</v>
      </c>
      <c r="F71" t="s">
        <v>197</v>
      </c>
      <c r="G71" t="s">
        <v>198</v>
      </c>
      <c r="H71" t="s">
        <v>93</v>
      </c>
      <c r="I71">
        <v>38</v>
      </c>
      <c r="J71" t="s">
        <v>142</v>
      </c>
      <c r="K71">
        <v>2</v>
      </c>
      <c r="L71" t="s">
        <v>181</v>
      </c>
      <c r="M71">
        <v>0.71</v>
      </c>
      <c r="N71" t="s">
        <v>82</v>
      </c>
      <c r="O71" t="s">
        <v>75</v>
      </c>
      <c r="P71">
        <v>19</v>
      </c>
      <c r="Q71">
        <v>7</v>
      </c>
    </row>
    <row r="72" spans="1:17" x14ac:dyDescent="0.3">
      <c r="A72" t="s">
        <v>245</v>
      </c>
      <c r="B72" t="s">
        <v>246</v>
      </c>
      <c r="C72" t="s">
        <v>18</v>
      </c>
      <c r="D72" t="s">
        <v>97</v>
      </c>
      <c r="E72">
        <v>33</v>
      </c>
      <c r="F72" t="s">
        <v>175</v>
      </c>
      <c r="G72" t="s">
        <v>176</v>
      </c>
      <c r="H72" t="s">
        <v>31</v>
      </c>
      <c r="I72">
        <v>11</v>
      </c>
      <c r="J72" t="s">
        <v>51</v>
      </c>
      <c r="L72" t="s">
        <v>87</v>
      </c>
      <c r="M72">
        <v>0.84</v>
      </c>
      <c r="N72" t="s">
        <v>24</v>
      </c>
      <c r="O72" t="s">
        <v>75</v>
      </c>
      <c r="P72">
        <v>6</v>
      </c>
      <c r="Q72">
        <v>3</v>
      </c>
    </row>
    <row r="73" spans="1:17" x14ac:dyDescent="0.3">
      <c r="A73" t="s">
        <v>247</v>
      </c>
      <c r="B73" t="s">
        <v>248</v>
      </c>
      <c r="C73" t="s">
        <v>113</v>
      </c>
      <c r="D73" t="s">
        <v>118</v>
      </c>
      <c r="E73">
        <v>60</v>
      </c>
      <c r="F73" t="s">
        <v>19</v>
      </c>
      <c r="G73" t="s">
        <v>20</v>
      </c>
      <c r="H73" t="s">
        <v>110</v>
      </c>
      <c r="I73">
        <v>13</v>
      </c>
      <c r="J73" t="s">
        <v>119</v>
      </c>
      <c r="K73">
        <v>1</v>
      </c>
      <c r="L73" t="s">
        <v>59</v>
      </c>
      <c r="N73" t="s">
        <v>82</v>
      </c>
      <c r="O73" t="s">
        <v>25</v>
      </c>
      <c r="P73">
        <v>15</v>
      </c>
      <c r="Q73">
        <v>1</v>
      </c>
    </row>
    <row r="74" spans="1:17" x14ac:dyDescent="0.3">
      <c r="A74" t="s">
        <v>249</v>
      </c>
      <c r="B74" t="s">
        <v>250</v>
      </c>
      <c r="C74" t="s">
        <v>78</v>
      </c>
      <c r="D74" t="s">
        <v>118</v>
      </c>
      <c r="E74">
        <v>40</v>
      </c>
      <c r="F74" t="s">
        <v>73</v>
      </c>
      <c r="G74" t="s">
        <v>30</v>
      </c>
      <c r="H74" t="s">
        <v>46</v>
      </c>
      <c r="I74">
        <v>9</v>
      </c>
      <c r="J74" t="s">
        <v>251</v>
      </c>
      <c r="K74">
        <v>4.5</v>
      </c>
      <c r="L74" t="s">
        <v>87</v>
      </c>
      <c r="M74">
        <v>0.69</v>
      </c>
      <c r="N74" t="s">
        <v>82</v>
      </c>
      <c r="O74" t="s">
        <v>75</v>
      </c>
      <c r="P74">
        <v>11</v>
      </c>
      <c r="Q74">
        <v>10</v>
      </c>
    </row>
    <row r="75" spans="1:17" x14ac:dyDescent="0.3">
      <c r="A75" t="s">
        <v>252</v>
      </c>
      <c r="B75" t="s">
        <v>253</v>
      </c>
      <c r="C75" t="s">
        <v>118</v>
      </c>
      <c r="D75" t="s">
        <v>118</v>
      </c>
      <c r="E75">
        <v>59</v>
      </c>
      <c r="F75" t="s">
        <v>29</v>
      </c>
      <c r="G75" t="s">
        <v>30</v>
      </c>
      <c r="H75" t="s">
        <v>21</v>
      </c>
      <c r="I75">
        <v>4</v>
      </c>
      <c r="J75" t="s">
        <v>51</v>
      </c>
      <c r="K75">
        <v>1.9</v>
      </c>
      <c r="L75" t="s">
        <v>59</v>
      </c>
      <c r="M75">
        <v>88</v>
      </c>
      <c r="N75" t="s">
        <v>88</v>
      </c>
      <c r="O75" t="s">
        <v>42</v>
      </c>
      <c r="P75">
        <v>5</v>
      </c>
      <c r="Q75">
        <v>1</v>
      </c>
    </row>
    <row r="76" spans="1:17" x14ac:dyDescent="0.3">
      <c r="A76" t="s">
        <v>254</v>
      </c>
      <c r="B76" t="s">
        <v>255</v>
      </c>
      <c r="C76" t="s">
        <v>113</v>
      </c>
      <c r="D76" t="s">
        <v>118</v>
      </c>
      <c r="E76">
        <v>36</v>
      </c>
      <c r="F76" t="s">
        <v>51</v>
      </c>
      <c r="G76" t="s">
        <v>20</v>
      </c>
      <c r="H76" t="s">
        <v>135</v>
      </c>
      <c r="I76">
        <v>14</v>
      </c>
      <c r="J76" t="s">
        <v>251</v>
      </c>
      <c r="K76">
        <v>3.7</v>
      </c>
      <c r="L76" t="s">
        <v>23</v>
      </c>
      <c r="N76" t="s">
        <v>24</v>
      </c>
      <c r="O76" t="s">
        <v>34</v>
      </c>
      <c r="P76">
        <v>9</v>
      </c>
      <c r="Q76">
        <v>5</v>
      </c>
    </row>
    <row r="77" spans="1:17" x14ac:dyDescent="0.3">
      <c r="A77" t="s">
        <v>256</v>
      </c>
      <c r="B77" t="s">
        <v>257</v>
      </c>
      <c r="C77" t="s">
        <v>118</v>
      </c>
      <c r="D77" t="s">
        <v>118</v>
      </c>
      <c r="E77">
        <v>32</v>
      </c>
      <c r="F77" t="s">
        <v>114</v>
      </c>
      <c r="G77" t="s">
        <v>115</v>
      </c>
      <c r="H77" t="s">
        <v>66</v>
      </c>
      <c r="J77" t="s">
        <v>52</v>
      </c>
      <c r="K77">
        <v>1.9</v>
      </c>
      <c r="L77" t="s">
        <v>74</v>
      </c>
      <c r="M77">
        <v>0.96</v>
      </c>
      <c r="N77" t="s">
        <v>60</v>
      </c>
      <c r="O77" t="s">
        <v>34</v>
      </c>
      <c r="P77">
        <v>2</v>
      </c>
      <c r="Q77">
        <v>2</v>
      </c>
    </row>
    <row r="78" spans="1:17" x14ac:dyDescent="0.3">
      <c r="A78" t="s">
        <v>258</v>
      </c>
      <c r="B78" t="s">
        <v>259</v>
      </c>
      <c r="C78" t="s">
        <v>37</v>
      </c>
      <c r="D78" t="s">
        <v>118</v>
      </c>
      <c r="E78">
        <v>59</v>
      </c>
      <c r="F78" t="s">
        <v>29</v>
      </c>
      <c r="G78" t="s">
        <v>30</v>
      </c>
      <c r="H78" t="s">
        <v>57</v>
      </c>
      <c r="I78">
        <v>9</v>
      </c>
      <c r="J78" t="s">
        <v>67</v>
      </c>
      <c r="K78">
        <v>4</v>
      </c>
      <c r="L78" t="s">
        <v>33</v>
      </c>
      <c r="M78">
        <v>96</v>
      </c>
      <c r="N78" t="s">
        <v>82</v>
      </c>
      <c r="O78" t="s">
        <v>42</v>
      </c>
      <c r="P78">
        <v>14</v>
      </c>
      <c r="Q78">
        <v>5</v>
      </c>
    </row>
    <row r="79" spans="1:17" x14ac:dyDescent="0.3">
      <c r="A79" t="s">
        <v>260</v>
      </c>
      <c r="B79" t="s">
        <v>261</v>
      </c>
      <c r="C79" t="s">
        <v>45</v>
      </c>
      <c r="D79" t="s">
        <v>97</v>
      </c>
      <c r="E79">
        <v>54</v>
      </c>
      <c r="F79" t="s">
        <v>212</v>
      </c>
      <c r="G79" t="s">
        <v>92</v>
      </c>
      <c r="H79" t="s">
        <v>110</v>
      </c>
      <c r="I79">
        <v>32</v>
      </c>
      <c r="J79" t="s">
        <v>70</v>
      </c>
      <c r="K79">
        <v>1.8</v>
      </c>
      <c r="L79" t="s">
        <v>41</v>
      </c>
      <c r="N79" t="s">
        <v>24</v>
      </c>
      <c r="O79" t="s">
        <v>25</v>
      </c>
      <c r="P79">
        <v>10</v>
      </c>
      <c r="Q79">
        <v>7</v>
      </c>
    </row>
    <row r="80" spans="1:17" x14ac:dyDescent="0.3">
      <c r="A80" t="s">
        <v>262</v>
      </c>
      <c r="B80" t="s">
        <v>263</v>
      </c>
      <c r="C80" t="s">
        <v>18</v>
      </c>
      <c r="D80" t="s">
        <v>97</v>
      </c>
      <c r="E80">
        <v>37</v>
      </c>
      <c r="F80" t="s">
        <v>149</v>
      </c>
      <c r="G80" t="s">
        <v>30</v>
      </c>
      <c r="H80" t="s">
        <v>39</v>
      </c>
      <c r="I80">
        <v>9</v>
      </c>
      <c r="J80" t="s">
        <v>51</v>
      </c>
      <c r="K80">
        <v>0</v>
      </c>
      <c r="L80" t="s">
        <v>33</v>
      </c>
      <c r="M80">
        <v>0.89</v>
      </c>
      <c r="N80" t="s">
        <v>88</v>
      </c>
      <c r="O80" t="s">
        <v>25</v>
      </c>
      <c r="P80">
        <v>14</v>
      </c>
      <c r="Q80">
        <v>6</v>
      </c>
    </row>
    <row r="81" spans="1:17" x14ac:dyDescent="0.3">
      <c r="A81" t="s">
        <v>264</v>
      </c>
      <c r="B81" t="s">
        <v>265</v>
      </c>
      <c r="C81" t="s">
        <v>78</v>
      </c>
      <c r="D81" t="s">
        <v>118</v>
      </c>
      <c r="E81">
        <v>54</v>
      </c>
      <c r="F81" t="s">
        <v>114</v>
      </c>
      <c r="G81" t="s">
        <v>115</v>
      </c>
      <c r="H81" t="s">
        <v>135</v>
      </c>
      <c r="I81">
        <v>21</v>
      </c>
      <c r="J81" t="s">
        <v>251</v>
      </c>
      <c r="K81">
        <v>4.5999999999999996</v>
      </c>
      <c r="L81" t="s">
        <v>59</v>
      </c>
      <c r="N81" t="s">
        <v>60</v>
      </c>
      <c r="O81" t="s">
        <v>34</v>
      </c>
      <c r="P81">
        <v>20</v>
      </c>
      <c r="Q81">
        <v>3</v>
      </c>
    </row>
    <row r="82" spans="1:17" x14ac:dyDescent="0.3">
      <c r="A82" t="s">
        <v>266</v>
      </c>
      <c r="B82" t="s">
        <v>267</v>
      </c>
      <c r="C82" t="s">
        <v>97</v>
      </c>
      <c r="D82" t="s">
        <v>97</v>
      </c>
      <c r="E82">
        <v>33</v>
      </c>
      <c r="F82" t="s">
        <v>91</v>
      </c>
      <c r="G82" t="s">
        <v>92</v>
      </c>
      <c r="H82" t="s">
        <v>93</v>
      </c>
      <c r="I82">
        <v>12</v>
      </c>
      <c r="J82" t="s">
        <v>22</v>
      </c>
      <c r="K82">
        <v>3.6</v>
      </c>
      <c r="L82" t="s">
        <v>23</v>
      </c>
      <c r="M82">
        <v>0.63</v>
      </c>
      <c r="N82" t="s">
        <v>24</v>
      </c>
      <c r="O82" t="s">
        <v>75</v>
      </c>
      <c r="P82">
        <v>10</v>
      </c>
      <c r="Q82">
        <v>2</v>
      </c>
    </row>
    <row r="83" spans="1:17" x14ac:dyDescent="0.3">
      <c r="A83" t="s">
        <v>268</v>
      </c>
      <c r="B83" t="s">
        <v>269</v>
      </c>
      <c r="C83" t="s">
        <v>18</v>
      </c>
      <c r="D83" t="s">
        <v>97</v>
      </c>
      <c r="E83">
        <v>25</v>
      </c>
      <c r="F83" t="s">
        <v>160</v>
      </c>
      <c r="G83" t="s">
        <v>161</v>
      </c>
      <c r="H83" t="s">
        <v>46</v>
      </c>
      <c r="I83">
        <v>7</v>
      </c>
      <c r="J83" t="s">
        <v>70</v>
      </c>
      <c r="K83">
        <v>4.4000000000000004</v>
      </c>
      <c r="L83" t="s">
        <v>51</v>
      </c>
      <c r="M83">
        <v>81</v>
      </c>
      <c r="N83" t="s">
        <v>60</v>
      </c>
      <c r="O83" t="s">
        <v>25</v>
      </c>
      <c r="P83">
        <v>11</v>
      </c>
      <c r="Q83">
        <v>8</v>
      </c>
    </row>
    <row r="84" spans="1:17" x14ac:dyDescent="0.3">
      <c r="A84" t="s">
        <v>270</v>
      </c>
      <c r="B84" t="s">
        <v>271</v>
      </c>
      <c r="C84" t="s">
        <v>118</v>
      </c>
      <c r="D84" t="s">
        <v>118</v>
      </c>
      <c r="F84" t="s">
        <v>197</v>
      </c>
      <c r="G84" t="s">
        <v>198</v>
      </c>
      <c r="H84" t="s">
        <v>110</v>
      </c>
      <c r="I84">
        <v>3</v>
      </c>
      <c r="J84" t="s">
        <v>86</v>
      </c>
      <c r="K84">
        <v>4.5999999999999996</v>
      </c>
      <c r="L84" t="s">
        <v>41</v>
      </c>
      <c r="M84">
        <v>0.74</v>
      </c>
      <c r="N84" t="s">
        <v>60</v>
      </c>
      <c r="O84" t="s">
        <v>25</v>
      </c>
      <c r="P84">
        <v>1</v>
      </c>
      <c r="Q84">
        <v>1</v>
      </c>
    </row>
    <row r="85" spans="1:17" x14ac:dyDescent="0.3">
      <c r="A85" t="s">
        <v>272</v>
      </c>
      <c r="B85" t="s">
        <v>273</v>
      </c>
      <c r="C85" t="s">
        <v>37</v>
      </c>
      <c r="D85" t="s">
        <v>118</v>
      </c>
      <c r="E85">
        <v>35</v>
      </c>
      <c r="F85" t="s">
        <v>133</v>
      </c>
      <c r="G85" t="s">
        <v>134</v>
      </c>
      <c r="H85" t="s">
        <v>46</v>
      </c>
      <c r="I85">
        <v>5</v>
      </c>
      <c r="J85" t="s">
        <v>192</v>
      </c>
      <c r="K85">
        <v>3.2</v>
      </c>
      <c r="L85" t="s">
        <v>59</v>
      </c>
      <c r="M85">
        <v>0.72</v>
      </c>
      <c r="N85" t="s">
        <v>60</v>
      </c>
      <c r="O85" t="s">
        <v>42</v>
      </c>
      <c r="P85">
        <v>2</v>
      </c>
      <c r="Q85">
        <v>1</v>
      </c>
    </row>
    <row r="86" spans="1:17" x14ac:dyDescent="0.3">
      <c r="A86" t="s">
        <v>274</v>
      </c>
      <c r="B86" t="s">
        <v>275</v>
      </c>
      <c r="C86" t="s">
        <v>118</v>
      </c>
      <c r="D86" t="s">
        <v>118</v>
      </c>
      <c r="E86">
        <v>59</v>
      </c>
      <c r="F86" t="s">
        <v>133</v>
      </c>
      <c r="G86" t="s">
        <v>134</v>
      </c>
      <c r="H86" t="s">
        <v>57</v>
      </c>
      <c r="I86">
        <v>30</v>
      </c>
      <c r="J86" t="s">
        <v>47</v>
      </c>
      <c r="K86">
        <v>0</v>
      </c>
      <c r="L86" t="s">
        <v>74</v>
      </c>
      <c r="N86" t="s">
        <v>82</v>
      </c>
      <c r="O86" t="s">
        <v>42</v>
      </c>
      <c r="P86">
        <v>13</v>
      </c>
      <c r="Q86">
        <v>13</v>
      </c>
    </row>
    <row r="87" spans="1:17" x14ac:dyDescent="0.3">
      <c r="A87" t="s">
        <v>276</v>
      </c>
      <c r="B87" t="s">
        <v>277</v>
      </c>
      <c r="C87" t="s">
        <v>50</v>
      </c>
      <c r="D87" t="s">
        <v>97</v>
      </c>
      <c r="E87">
        <v>21</v>
      </c>
      <c r="F87" t="s">
        <v>197</v>
      </c>
      <c r="G87" t="s">
        <v>198</v>
      </c>
      <c r="H87" t="s">
        <v>110</v>
      </c>
      <c r="I87">
        <v>2</v>
      </c>
      <c r="J87" t="s">
        <v>22</v>
      </c>
      <c r="K87">
        <v>2.6</v>
      </c>
      <c r="L87" t="s">
        <v>94</v>
      </c>
      <c r="M87">
        <v>0.85</v>
      </c>
      <c r="N87" t="s">
        <v>82</v>
      </c>
      <c r="O87" t="s">
        <v>75</v>
      </c>
      <c r="P87">
        <v>5</v>
      </c>
      <c r="Q87">
        <v>3</v>
      </c>
    </row>
    <row r="88" spans="1:17" x14ac:dyDescent="0.3">
      <c r="A88" t="s">
        <v>278</v>
      </c>
      <c r="B88" t="s">
        <v>279</v>
      </c>
      <c r="C88" t="s">
        <v>113</v>
      </c>
      <c r="D88" t="s">
        <v>118</v>
      </c>
      <c r="E88">
        <v>25</v>
      </c>
      <c r="F88" t="s">
        <v>73</v>
      </c>
      <c r="G88" t="s">
        <v>30</v>
      </c>
      <c r="H88" t="s">
        <v>31</v>
      </c>
      <c r="I88">
        <v>2</v>
      </c>
      <c r="J88" t="s">
        <v>192</v>
      </c>
      <c r="K88">
        <v>3.7</v>
      </c>
      <c r="L88" t="s">
        <v>41</v>
      </c>
      <c r="N88" t="s">
        <v>88</v>
      </c>
      <c r="O88" t="s">
        <v>25</v>
      </c>
      <c r="P88">
        <v>1</v>
      </c>
      <c r="Q88">
        <v>1</v>
      </c>
    </row>
    <row r="89" spans="1:17" x14ac:dyDescent="0.3">
      <c r="A89" t="s">
        <v>280</v>
      </c>
      <c r="B89" t="s">
        <v>281</v>
      </c>
      <c r="C89" t="s">
        <v>18</v>
      </c>
      <c r="D89" t="s">
        <v>97</v>
      </c>
      <c r="E89">
        <v>38</v>
      </c>
      <c r="F89" t="s">
        <v>201</v>
      </c>
      <c r="G89" t="s">
        <v>92</v>
      </c>
      <c r="H89" t="s">
        <v>46</v>
      </c>
      <c r="I89">
        <v>19</v>
      </c>
      <c r="J89" t="s">
        <v>103</v>
      </c>
      <c r="K89">
        <v>2.2999999999999998</v>
      </c>
      <c r="L89" t="s">
        <v>59</v>
      </c>
      <c r="M89">
        <v>0.61</v>
      </c>
      <c r="N89" t="s">
        <v>88</v>
      </c>
      <c r="O89" t="s">
        <v>25</v>
      </c>
      <c r="P89">
        <v>20</v>
      </c>
      <c r="Q89">
        <v>9</v>
      </c>
    </row>
    <row r="90" spans="1:17" x14ac:dyDescent="0.3">
      <c r="A90" t="s">
        <v>282</v>
      </c>
      <c r="B90" t="s">
        <v>283</v>
      </c>
      <c r="C90" t="s">
        <v>118</v>
      </c>
      <c r="D90" t="s">
        <v>118</v>
      </c>
      <c r="E90">
        <v>57</v>
      </c>
      <c r="F90" t="s">
        <v>145</v>
      </c>
      <c r="G90" t="s">
        <v>146</v>
      </c>
      <c r="H90" t="s">
        <v>57</v>
      </c>
      <c r="I90">
        <v>16</v>
      </c>
      <c r="J90" t="s">
        <v>22</v>
      </c>
      <c r="K90">
        <v>3.1</v>
      </c>
      <c r="L90" t="s">
        <v>59</v>
      </c>
      <c r="N90" t="s">
        <v>24</v>
      </c>
      <c r="O90" t="s">
        <v>42</v>
      </c>
      <c r="P90">
        <v>18</v>
      </c>
      <c r="Q90">
        <v>4</v>
      </c>
    </row>
    <row r="91" spans="1:17" x14ac:dyDescent="0.3">
      <c r="A91" t="s">
        <v>284</v>
      </c>
      <c r="B91" t="s">
        <v>285</v>
      </c>
      <c r="C91" t="s">
        <v>63</v>
      </c>
      <c r="D91" t="s">
        <v>118</v>
      </c>
      <c r="E91">
        <v>32</v>
      </c>
      <c r="F91" t="s">
        <v>114</v>
      </c>
      <c r="G91" t="s">
        <v>115</v>
      </c>
      <c r="H91" t="s">
        <v>31</v>
      </c>
      <c r="I91">
        <v>10</v>
      </c>
      <c r="J91" t="s">
        <v>142</v>
      </c>
      <c r="K91">
        <v>2.4</v>
      </c>
      <c r="L91" t="s">
        <v>23</v>
      </c>
      <c r="M91">
        <v>0.86</v>
      </c>
      <c r="N91" t="s">
        <v>88</v>
      </c>
      <c r="O91" t="s">
        <v>25</v>
      </c>
      <c r="P91">
        <v>9</v>
      </c>
      <c r="Q91">
        <v>3</v>
      </c>
    </row>
    <row r="92" spans="1:17" x14ac:dyDescent="0.3">
      <c r="A92" t="s">
        <v>286</v>
      </c>
      <c r="B92" t="s">
        <v>287</v>
      </c>
      <c r="C92" t="s">
        <v>37</v>
      </c>
      <c r="D92" t="s">
        <v>118</v>
      </c>
      <c r="E92">
        <v>21</v>
      </c>
      <c r="F92" t="s">
        <v>19</v>
      </c>
      <c r="G92" t="s">
        <v>20</v>
      </c>
      <c r="H92" t="s">
        <v>110</v>
      </c>
      <c r="I92">
        <v>2</v>
      </c>
      <c r="J92" t="s">
        <v>32</v>
      </c>
      <c r="K92">
        <v>1.6</v>
      </c>
      <c r="L92" t="s">
        <v>87</v>
      </c>
      <c r="M92">
        <v>0.97</v>
      </c>
      <c r="N92" t="s">
        <v>60</v>
      </c>
      <c r="O92" t="s">
        <v>34</v>
      </c>
      <c r="P92">
        <v>4</v>
      </c>
      <c r="Q92">
        <v>2</v>
      </c>
    </row>
    <row r="93" spans="1:17" x14ac:dyDescent="0.3">
      <c r="A93" t="s">
        <v>288</v>
      </c>
      <c r="B93" t="s">
        <v>289</v>
      </c>
      <c r="C93" t="s">
        <v>97</v>
      </c>
      <c r="D93" t="s">
        <v>97</v>
      </c>
      <c r="E93">
        <v>57</v>
      </c>
      <c r="F93" t="s">
        <v>149</v>
      </c>
      <c r="G93" t="s">
        <v>30</v>
      </c>
      <c r="H93" t="s">
        <v>98</v>
      </c>
      <c r="I93">
        <v>18</v>
      </c>
      <c r="J93" t="s">
        <v>40</v>
      </c>
      <c r="K93">
        <v>2.4</v>
      </c>
      <c r="L93" t="s">
        <v>33</v>
      </c>
      <c r="M93">
        <v>0.63</v>
      </c>
      <c r="N93" t="s">
        <v>60</v>
      </c>
      <c r="O93" t="s">
        <v>42</v>
      </c>
      <c r="P93">
        <v>11</v>
      </c>
      <c r="Q93">
        <v>9</v>
      </c>
    </row>
    <row r="94" spans="1:17" x14ac:dyDescent="0.3">
      <c r="A94" t="s">
        <v>290</v>
      </c>
      <c r="B94" t="s">
        <v>291</v>
      </c>
      <c r="C94" t="s">
        <v>37</v>
      </c>
      <c r="D94" t="s">
        <v>118</v>
      </c>
      <c r="E94">
        <v>53</v>
      </c>
      <c r="F94" t="s">
        <v>197</v>
      </c>
      <c r="G94" t="s">
        <v>198</v>
      </c>
      <c r="H94" t="s">
        <v>93</v>
      </c>
      <c r="I94">
        <v>21</v>
      </c>
      <c r="J94" t="s">
        <v>32</v>
      </c>
      <c r="L94" t="s">
        <v>94</v>
      </c>
      <c r="M94">
        <v>0.97</v>
      </c>
      <c r="N94" t="s">
        <v>82</v>
      </c>
      <c r="O94" t="s">
        <v>75</v>
      </c>
      <c r="P94">
        <v>20</v>
      </c>
      <c r="Q94">
        <v>10</v>
      </c>
    </row>
    <row r="95" spans="1:17" x14ac:dyDescent="0.3">
      <c r="A95" t="s">
        <v>292</v>
      </c>
      <c r="B95" t="s">
        <v>293</v>
      </c>
      <c r="C95" t="s">
        <v>113</v>
      </c>
      <c r="D95" t="s">
        <v>118</v>
      </c>
      <c r="E95">
        <v>35</v>
      </c>
      <c r="F95" t="s">
        <v>145</v>
      </c>
      <c r="G95" t="s">
        <v>146</v>
      </c>
      <c r="H95" t="s">
        <v>21</v>
      </c>
      <c r="I95">
        <v>3</v>
      </c>
      <c r="J95" t="s">
        <v>130</v>
      </c>
      <c r="K95">
        <v>3.8</v>
      </c>
      <c r="L95" t="s">
        <v>87</v>
      </c>
      <c r="M95">
        <v>0.81</v>
      </c>
      <c r="N95" t="s">
        <v>60</v>
      </c>
      <c r="O95" t="s">
        <v>42</v>
      </c>
      <c r="P95">
        <v>3</v>
      </c>
      <c r="Q95">
        <v>2</v>
      </c>
    </row>
    <row r="96" spans="1:17" x14ac:dyDescent="0.3">
      <c r="A96" t="s">
        <v>294</v>
      </c>
      <c r="B96" t="s">
        <v>295</v>
      </c>
      <c r="C96" t="s">
        <v>18</v>
      </c>
      <c r="D96" t="s">
        <v>97</v>
      </c>
      <c r="E96">
        <v>54</v>
      </c>
      <c r="F96" t="s">
        <v>197</v>
      </c>
      <c r="G96" t="s">
        <v>198</v>
      </c>
      <c r="H96" t="s">
        <v>135</v>
      </c>
      <c r="I96">
        <v>17</v>
      </c>
      <c r="J96" t="s">
        <v>162</v>
      </c>
      <c r="K96">
        <v>1.7</v>
      </c>
      <c r="L96" t="s">
        <v>23</v>
      </c>
      <c r="M96">
        <v>0.69</v>
      </c>
      <c r="N96" t="s">
        <v>24</v>
      </c>
      <c r="O96" t="s">
        <v>25</v>
      </c>
      <c r="P96">
        <v>17</v>
      </c>
      <c r="Q96">
        <v>15</v>
      </c>
    </row>
    <row r="97" spans="1:17" x14ac:dyDescent="0.3">
      <c r="A97" t="s">
        <v>296</v>
      </c>
      <c r="B97" t="s">
        <v>297</v>
      </c>
      <c r="C97" t="s">
        <v>28</v>
      </c>
      <c r="D97" t="s">
        <v>97</v>
      </c>
      <c r="E97">
        <v>36</v>
      </c>
      <c r="F97" t="s">
        <v>19</v>
      </c>
      <c r="G97" t="s">
        <v>20</v>
      </c>
      <c r="H97" t="s">
        <v>93</v>
      </c>
      <c r="I97">
        <v>0</v>
      </c>
      <c r="J97" t="s">
        <v>162</v>
      </c>
      <c r="K97">
        <v>1.3</v>
      </c>
      <c r="L97" t="s">
        <v>94</v>
      </c>
      <c r="M97">
        <v>0.64</v>
      </c>
      <c r="N97" t="s">
        <v>60</v>
      </c>
      <c r="O97" t="s">
        <v>75</v>
      </c>
      <c r="P97">
        <v>2</v>
      </c>
      <c r="Q97">
        <v>2</v>
      </c>
    </row>
    <row r="98" spans="1:17" x14ac:dyDescent="0.3">
      <c r="A98" t="s">
        <v>298</v>
      </c>
      <c r="B98" t="s">
        <v>299</v>
      </c>
      <c r="C98" t="s">
        <v>18</v>
      </c>
      <c r="D98" t="s">
        <v>97</v>
      </c>
      <c r="E98">
        <v>49</v>
      </c>
      <c r="F98" t="s">
        <v>212</v>
      </c>
      <c r="G98" t="s">
        <v>92</v>
      </c>
      <c r="H98" t="s">
        <v>98</v>
      </c>
      <c r="I98">
        <v>25</v>
      </c>
      <c r="J98" t="s">
        <v>40</v>
      </c>
      <c r="K98">
        <v>5</v>
      </c>
      <c r="L98" t="s">
        <v>41</v>
      </c>
      <c r="M98">
        <v>0.77</v>
      </c>
      <c r="N98" t="s">
        <v>60</v>
      </c>
      <c r="O98" t="s">
        <v>42</v>
      </c>
      <c r="P98">
        <v>14</v>
      </c>
      <c r="Q98">
        <v>8</v>
      </c>
    </row>
    <row r="99" spans="1:17" x14ac:dyDescent="0.3">
      <c r="A99" t="s">
        <v>300</v>
      </c>
      <c r="B99" t="s">
        <v>301</v>
      </c>
      <c r="C99" t="s">
        <v>118</v>
      </c>
      <c r="D99" t="s">
        <v>118</v>
      </c>
      <c r="E99">
        <v>37</v>
      </c>
      <c r="F99" t="s">
        <v>73</v>
      </c>
      <c r="G99" t="s">
        <v>30</v>
      </c>
      <c r="H99" t="s">
        <v>21</v>
      </c>
      <c r="I99">
        <v>17</v>
      </c>
      <c r="J99" t="s">
        <v>162</v>
      </c>
      <c r="K99">
        <v>3.3</v>
      </c>
      <c r="L99" t="s">
        <v>23</v>
      </c>
      <c r="M99">
        <v>96</v>
      </c>
      <c r="N99" t="s">
        <v>24</v>
      </c>
      <c r="O99" t="s">
        <v>34</v>
      </c>
      <c r="P99">
        <v>20</v>
      </c>
      <c r="Q99">
        <v>11</v>
      </c>
    </row>
    <row r="100" spans="1:17" x14ac:dyDescent="0.3">
      <c r="A100" t="s">
        <v>302</v>
      </c>
      <c r="B100" t="s">
        <v>303</v>
      </c>
      <c r="C100" t="s">
        <v>78</v>
      </c>
      <c r="D100" t="s">
        <v>118</v>
      </c>
      <c r="F100" t="s">
        <v>73</v>
      </c>
      <c r="G100" t="s">
        <v>30</v>
      </c>
      <c r="H100" t="s">
        <v>93</v>
      </c>
      <c r="I100">
        <v>5</v>
      </c>
      <c r="J100" t="s">
        <v>142</v>
      </c>
      <c r="K100">
        <v>1.1000000000000001</v>
      </c>
      <c r="L100" t="s">
        <v>181</v>
      </c>
      <c r="M100">
        <v>0.74</v>
      </c>
      <c r="N100" t="s">
        <v>88</v>
      </c>
      <c r="O100" t="s">
        <v>34</v>
      </c>
      <c r="P100">
        <v>2</v>
      </c>
      <c r="Q100">
        <v>1</v>
      </c>
    </row>
    <row r="101" spans="1:17" x14ac:dyDescent="0.3">
      <c r="A101" t="s">
        <v>304</v>
      </c>
      <c r="B101" t="s">
        <v>305</v>
      </c>
      <c r="C101" t="s">
        <v>63</v>
      </c>
      <c r="D101" t="s">
        <v>118</v>
      </c>
      <c r="E101">
        <v>32</v>
      </c>
      <c r="F101" t="s">
        <v>160</v>
      </c>
      <c r="G101" t="s">
        <v>161</v>
      </c>
      <c r="H101" t="s">
        <v>93</v>
      </c>
      <c r="I101">
        <v>10</v>
      </c>
      <c r="J101" t="s">
        <v>40</v>
      </c>
      <c r="K101">
        <v>1.2</v>
      </c>
      <c r="L101" t="s">
        <v>59</v>
      </c>
      <c r="M101">
        <v>0.89</v>
      </c>
      <c r="N101" t="s">
        <v>88</v>
      </c>
      <c r="O101" t="s">
        <v>42</v>
      </c>
      <c r="P101">
        <v>8</v>
      </c>
      <c r="Q101">
        <v>12</v>
      </c>
    </row>
    <row r="102" spans="1:17" x14ac:dyDescent="0.3">
      <c r="A102" t="s">
        <v>306</v>
      </c>
      <c r="B102" t="s">
        <v>307</v>
      </c>
      <c r="C102" t="s">
        <v>63</v>
      </c>
      <c r="D102" t="s">
        <v>118</v>
      </c>
      <c r="E102">
        <v>35</v>
      </c>
      <c r="F102" t="s">
        <v>114</v>
      </c>
      <c r="G102" t="s">
        <v>115</v>
      </c>
      <c r="H102" t="s">
        <v>31</v>
      </c>
      <c r="I102">
        <v>0</v>
      </c>
      <c r="J102" t="s">
        <v>51</v>
      </c>
      <c r="K102">
        <v>2</v>
      </c>
      <c r="L102" t="s">
        <v>33</v>
      </c>
      <c r="M102">
        <v>0.64</v>
      </c>
      <c r="N102" t="s">
        <v>24</v>
      </c>
      <c r="O102" t="s">
        <v>34</v>
      </c>
      <c r="P102">
        <v>4</v>
      </c>
      <c r="Q102">
        <v>1</v>
      </c>
    </row>
    <row r="103" spans="1:17" x14ac:dyDescent="0.3">
      <c r="A103" t="s">
        <v>308</v>
      </c>
      <c r="B103" t="s">
        <v>309</v>
      </c>
      <c r="C103" t="s">
        <v>18</v>
      </c>
      <c r="D103" t="s">
        <v>97</v>
      </c>
      <c r="E103">
        <v>51</v>
      </c>
      <c r="F103" t="s">
        <v>145</v>
      </c>
      <c r="G103" t="s">
        <v>146</v>
      </c>
      <c r="H103" t="s">
        <v>39</v>
      </c>
      <c r="I103">
        <v>2</v>
      </c>
      <c r="J103" t="s">
        <v>58</v>
      </c>
      <c r="K103">
        <v>4.5</v>
      </c>
      <c r="L103" t="s">
        <v>23</v>
      </c>
      <c r="M103">
        <v>64</v>
      </c>
      <c r="N103" t="s">
        <v>82</v>
      </c>
      <c r="O103" t="s">
        <v>34</v>
      </c>
      <c r="P103">
        <v>5</v>
      </c>
      <c r="Q103">
        <v>1</v>
      </c>
    </row>
    <row r="104" spans="1:17" x14ac:dyDescent="0.3">
      <c r="A104" t="s">
        <v>310</v>
      </c>
      <c r="B104" t="s">
        <v>311</v>
      </c>
      <c r="C104" t="s">
        <v>18</v>
      </c>
      <c r="D104" t="s">
        <v>97</v>
      </c>
      <c r="E104">
        <v>50</v>
      </c>
      <c r="F104" t="s">
        <v>145</v>
      </c>
      <c r="G104" t="s">
        <v>146</v>
      </c>
      <c r="H104" t="s">
        <v>110</v>
      </c>
      <c r="I104">
        <v>30</v>
      </c>
      <c r="J104" t="s">
        <v>22</v>
      </c>
      <c r="K104">
        <v>3</v>
      </c>
      <c r="L104" t="s">
        <v>33</v>
      </c>
      <c r="M104">
        <v>0.73</v>
      </c>
      <c r="N104" t="s">
        <v>60</v>
      </c>
      <c r="O104" t="s">
        <v>34</v>
      </c>
      <c r="P104">
        <v>13</v>
      </c>
      <c r="Q104">
        <v>6</v>
      </c>
    </row>
    <row r="105" spans="1:17" x14ac:dyDescent="0.3">
      <c r="A105" t="s">
        <v>312</v>
      </c>
      <c r="B105" t="s">
        <v>313</v>
      </c>
      <c r="C105" t="s">
        <v>18</v>
      </c>
      <c r="D105" t="s">
        <v>97</v>
      </c>
      <c r="E105">
        <v>21</v>
      </c>
      <c r="F105" t="s">
        <v>79</v>
      </c>
      <c r="G105" t="s">
        <v>80</v>
      </c>
      <c r="H105" t="s">
        <v>21</v>
      </c>
      <c r="I105">
        <v>2</v>
      </c>
      <c r="J105" t="s">
        <v>81</v>
      </c>
      <c r="K105">
        <v>4.9000000000000004</v>
      </c>
      <c r="L105" t="s">
        <v>87</v>
      </c>
      <c r="M105">
        <v>0.68</v>
      </c>
      <c r="N105" t="s">
        <v>24</v>
      </c>
      <c r="O105" t="s">
        <v>75</v>
      </c>
      <c r="P105">
        <v>2</v>
      </c>
      <c r="Q105">
        <v>3</v>
      </c>
    </row>
    <row r="106" spans="1:17" x14ac:dyDescent="0.3">
      <c r="A106" t="s">
        <v>314</v>
      </c>
      <c r="B106" t="s">
        <v>315</v>
      </c>
      <c r="C106" t="s">
        <v>78</v>
      </c>
      <c r="D106" t="s">
        <v>118</v>
      </c>
      <c r="E106">
        <v>25</v>
      </c>
      <c r="F106" t="s">
        <v>73</v>
      </c>
      <c r="G106" t="s">
        <v>30</v>
      </c>
      <c r="H106" t="s">
        <v>39</v>
      </c>
      <c r="I106">
        <v>3</v>
      </c>
      <c r="J106" t="s">
        <v>58</v>
      </c>
      <c r="L106" t="s">
        <v>181</v>
      </c>
      <c r="M106">
        <v>0.88</v>
      </c>
      <c r="N106" t="s">
        <v>60</v>
      </c>
      <c r="O106" t="s">
        <v>34</v>
      </c>
      <c r="P106">
        <v>2</v>
      </c>
      <c r="Q106">
        <v>4</v>
      </c>
    </row>
    <row r="107" spans="1:17" x14ac:dyDescent="0.3">
      <c r="A107" t="s">
        <v>316</v>
      </c>
      <c r="B107" t="s">
        <v>317</v>
      </c>
      <c r="C107" t="s">
        <v>28</v>
      </c>
      <c r="D107" t="s">
        <v>97</v>
      </c>
      <c r="E107">
        <v>57</v>
      </c>
      <c r="F107" t="s">
        <v>156</v>
      </c>
      <c r="G107" t="s">
        <v>157</v>
      </c>
      <c r="H107" t="s">
        <v>110</v>
      </c>
      <c r="I107">
        <v>21</v>
      </c>
      <c r="J107" t="s">
        <v>47</v>
      </c>
      <c r="K107">
        <v>2.5</v>
      </c>
      <c r="L107" t="s">
        <v>23</v>
      </c>
      <c r="M107">
        <v>0.77</v>
      </c>
      <c r="N107" t="s">
        <v>82</v>
      </c>
      <c r="O107" t="s">
        <v>34</v>
      </c>
      <c r="P107">
        <v>13</v>
      </c>
      <c r="Q107">
        <v>10</v>
      </c>
    </row>
    <row r="108" spans="1:17" x14ac:dyDescent="0.3">
      <c r="A108" t="s">
        <v>318</v>
      </c>
      <c r="B108" t="s">
        <v>319</v>
      </c>
      <c r="C108" t="s">
        <v>63</v>
      </c>
      <c r="D108" t="s">
        <v>118</v>
      </c>
      <c r="E108">
        <v>58</v>
      </c>
      <c r="F108" t="s">
        <v>145</v>
      </c>
      <c r="G108" t="s">
        <v>146</v>
      </c>
      <c r="H108" t="s">
        <v>21</v>
      </c>
      <c r="I108">
        <v>3</v>
      </c>
      <c r="J108" t="s">
        <v>51</v>
      </c>
      <c r="K108">
        <v>0</v>
      </c>
      <c r="L108" t="s">
        <v>33</v>
      </c>
      <c r="N108" t="s">
        <v>60</v>
      </c>
      <c r="O108" t="s">
        <v>34</v>
      </c>
      <c r="P108">
        <v>3</v>
      </c>
      <c r="Q108">
        <v>4</v>
      </c>
    </row>
    <row r="109" spans="1:17" x14ac:dyDescent="0.3">
      <c r="A109" t="s">
        <v>320</v>
      </c>
      <c r="B109" t="s">
        <v>321</v>
      </c>
      <c r="C109" t="s">
        <v>45</v>
      </c>
      <c r="D109" t="s">
        <v>97</v>
      </c>
      <c r="E109">
        <v>45</v>
      </c>
      <c r="F109" t="s">
        <v>64</v>
      </c>
      <c r="G109" t="s">
        <v>65</v>
      </c>
      <c r="H109" t="s">
        <v>31</v>
      </c>
      <c r="I109">
        <v>19</v>
      </c>
      <c r="J109" t="s">
        <v>86</v>
      </c>
      <c r="L109" t="s">
        <v>33</v>
      </c>
      <c r="M109">
        <v>0.72</v>
      </c>
      <c r="N109" t="s">
        <v>24</v>
      </c>
      <c r="O109" t="s">
        <v>75</v>
      </c>
      <c r="P109">
        <v>12</v>
      </c>
      <c r="Q109">
        <v>6</v>
      </c>
    </row>
    <row r="110" spans="1:17" x14ac:dyDescent="0.3">
      <c r="A110" t="s">
        <v>322</v>
      </c>
      <c r="B110" t="s">
        <v>323</v>
      </c>
      <c r="C110" t="s">
        <v>45</v>
      </c>
      <c r="D110" t="s">
        <v>97</v>
      </c>
      <c r="E110">
        <v>23</v>
      </c>
      <c r="F110" t="s">
        <v>73</v>
      </c>
      <c r="G110" t="s">
        <v>30</v>
      </c>
      <c r="H110" t="s">
        <v>46</v>
      </c>
      <c r="I110">
        <v>0</v>
      </c>
      <c r="J110" t="s">
        <v>162</v>
      </c>
      <c r="K110">
        <v>4.7</v>
      </c>
      <c r="L110" t="s">
        <v>94</v>
      </c>
      <c r="M110">
        <v>0.6</v>
      </c>
      <c r="N110" t="s">
        <v>60</v>
      </c>
      <c r="O110" t="s">
        <v>42</v>
      </c>
      <c r="P110">
        <v>2</v>
      </c>
      <c r="Q110">
        <v>1</v>
      </c>
    </row>
    <row r="111" spans="1:17" x14ac:dyDescent="0.3">
      <c r="A111" t="s">
        <v>324</v>
      </c>
      <c r="B111" t="s">
        <v>325</v>
      </c>
      <c r="C111" t="s">
        <v>28</v>
      </c>
      <c r="D111" t="s">
        <v>97</v>
      </c>
      <c r="E111">
        <v>46</v>
      </c>
      <c r="F111" t="s">
        <v>73</v>
      </c>
      <c r="G111" t="s">
        <v>30</v>
      </c>
      <c r="H111" t="s">
        <v>57</v>
      </c>
      <c r="I111">
        <v>9</v>
      </c>
      <c r="J111" t="s">
        <v>58</v>
      </c>
      <c r="K111">
        <v>3.5</v>
      </c>
      <c r="L111" t="s">
        <v>51</v>
      </c>
      <c r="M111">
        <v>72</v>
      </c>
      <c r="N111" t="s">
        <v>88</v>
      </c>
      <c r="O111" t="s">
        <v>25</v>
      </c>
      <c r="P111">
        <v>15</v>
      </c>
      <c r="Q111">
        <v>9</v>
      </c>
    </row>
    <row r="112" spans="1:17" x14ac:dyDescent="0.3">
      <c r="A112" t="s">
        <v>326</v>
      </c>
      <c r="B112" t="s">
        <v>327</v>
      </c>
      <c r="C112" t="s">
        <v>78</v>
      </c>
      <c r="D112" t="s">
        <v>118</v>
      </c>
      <c r="E112">
        <v>27</v>
      </c>
      <c r="F112" t="s">
        <v>91</v>
      </c>
      <c r="G112" t="s">
        <v>92</v>
      </c>
      <c r="H112" t="s">
        <v>93</v>
      </c>
      <c r="I112">
        <v>5</v>
      </c>
      <c r="J112" t="s">
        <v>52</v>
      </c>
      <c r="L112" t="s">
        <v>41</v>
      </c>
      <c r="M112">
        <v>0.92</v>
      </c>
      <c r="N112" t="s">
        <v>82</v>
      </c>
      <c r="O112" t="s">
        <v>34</v>
      </c>
      <c r="P112">
        <v>3</v>
      </c>
      <c r="Q112">
        <v>3</v>
      </c>
    </row>
    <row r="113" spans="1:17" x14ac:dyDescent="0.3">
      <c r="A113" t="s">
        <v>328</v>
      </c>
      <c r="B113" t="s">
        <v>329</v>
      </c>
      <c r="C113" t="s">
        <v>28</v>
      </c>
      <c r="D113" t="s">
        <v>97</v>
      </c>
      <c r="E113">
        <v>32</v>
      </c>
      <c r="F113" t="s">
        <v>73</v>
      </c>
      <c r="G113" t="s">
        <v>30</v>
      </c>
      <c r="H113" t="s">
        <v>135</v>
      </c>
      <c r="I113">
        <v>6</v>
      </c>
      <c r="J113" t="s">
        <v>119</v>
      </c>
      <c r="K113">
        <v>3.4</v>
      </c>
      <c r="L113" t="s">
        <v>33</v>
      </c>
      <c r="N113" t="s">
        <v>82</v>
      </c>
      <c r="O113" t="s">
        <v>42</v>
      </c>
      <c r="P113">
        <v>11</v>
      </c>
      <c r="Q113">
        <v>4</v>
      </c>
    </row>
    <row r="114" spans="1:17" x14ac:dyDescent="0.3">
      <c r="A114" t="s">
        <v>330</v>
      </c>
      <c r="B114" t="s">
        <v>331</v>
      </c>
      <c r="C114" t="s">
        <v>18</v>
      </c>
      <c r="D114" t="s">
        <v>97</v>
      </c>
      <c r="E114">
        <v>48</v>
      </c>
      <c r="F114" t="s">
        <v>91</v>
      </c>
      <c r="G114" t="s">
        <v>92</v>
      </c>
      <c r="H114" t="s">
        <v>135</v>
      </c>
      <c r="I114">
        <v>6</v>
      </c>
      <c r="J114" t="s">
        <v>67</v>
      </c>
      <c r="K114">
        <v>2.5</v>
      </c>
      <c r="L114" t="s">
        <v>51</v>
      </c>
      <c r="M114">
        <v>0.92</v>
      </c>
      <c r="N114" t="s">
        <v>82</v>
      </c>
      <c r="O114" t="s">
        <v>34</v>
      </c>
      <c r="P114">
        <v>13</v>
      </c>
      <c r="Q114">
        <v>1</v>
      </c>
    </row>
    <row r="115" spans="1:17" x14ac:dyDescent="0.3">
      <c r="A115" t="s">
        <v>332</v>
      </c>
      <c r="B115" t="s">
        <v>333</v>
      </c>
      <c r="C115" t="s">
        <v>37</v>
      </c>
      <c r="D115" t="s">
        <v>118</v>
      </c>
      <c r="E115">
        <v>30</v>
      </c>
      <c r="F115" t="s">
        <v>79</v>
      </c>
      <c r="G115" t="s">
        <v>80</v>
      </c>
      <c r="H115" t="s">
        <v>31</v>
      </c>
      <c r="I115">
        <v>3</v>
      </c>
      <c r="J115" t="s">
        <v>58</v>
      </c>
      <c r="K115">
        <v>1.1000000000000001</v>
      </c>
      <c r="L115" t="s">
        <v>74</v>
      </c>
      <c r="N115" t="s">
        <v>24</v>
      </c>
      <c r="O115" t="s">
        <v>75</v>
      </c>
      <c r="P115">
        <v>2</v>
      </c>
      <c r="Q115">
        <v>1</v>
      </c>
    </row>
    <row r="116" spans="1:17" x14ac:dyDescent="0.3">
      <c r="A116" t="s">
        <v>334</v>
      </c>
      <c r="B116" t="s">
        <v>335</v>
      </c>
      <c r="C116" t="s">
        <v>118</v>
      </c>
      <c r="D116" t="s">
        <v>118</v>
      </c>
      <c r="E116">
        <v>59</v>
      </c>
      <c r="F116" t="s">
        <v>79</v>
      </c>
      <c r="G116" t="s">
        <v>80</v>
      </c>
      <c r="H116" t="s">
        <v>57</v>
      </c>
      <c r="I116">
        <v>13</v>
      </c>
      <c r="J116" t="s">
        <v>336</v>
      </c>
      <c r="K116">
        <v>4.8</v>
      </c>
      <c r="L116" t="s">
        <v>51</v>
      </c>
      <c r="N116" t="s">
        <v>82</v>
      </c>
      <c r="O116" t="s">
        <v>42</v>
      </c>
      <c r="P116">
        <v>7</v>
      </c>
      <c r="Q116">
        <v>10</v>
      </c>
    </row>
    <row r="117" spans="1:17" x14ac:dyDescent="0.3">
      <c r="A117" t="s">
        <v>337</v>
      </c>
      <c r="B117" t="s">
        <v>338</v>
      </c>
      <c r="C117" t="s">
        <v>50</v>
      </c>
      <c r="D117" t="s">
        <v>97</v>
      </c>
      <c r="E117">
        <v>32</v>
      </c>
      <c r="F117" t="s">
        <v>201</v>
      </c>
      <c r="G117" t="s">
        <v>92</v>
      </c>
      <c r="H117" t="s">
        <v>57</v>
      </c>
      <c r="I117">
        <v>5</v>
      </c>
      <c r="J117" t="s">
        <v>58</v>
      </c>
      <c r="L117" t="s">
        <v>23</v>
      </c>
      <c r="M117">
        <v>0.86</v>
      </c>
      <c r="N117" t="s">
        <v>88</v>
      </c>
      <c r="O117" t="s">
        <v>75</v>
      </c>
      <c r="P117">
        <v>3</v>
      </c>
      <c r="Q117">
        <v>1</v>
      </c>
    </row>
    <row r="118" spans="1:17" x14ac:dyDescent="0.3">
      <c r="A118" t="s">
        <v>339</v>
      </c>
      <c r="B118" t="s">
        <v>340</v>
      </c>
      <c r="C118" t="s">
        <v>97</v>
      </c>
      <c r="D118" t="s">
        <v>97</v>
      </c>
      <c r="E118">
        <v>57</v>
      </c>
      <c r="F118" t="s">
        <v>160</v>
      </c>
      <c r="G118" t="s">
        <v>161</v>
      </c>
      <c r="H118" t="s">
        <v>93</v>
      </c>
      <c r="I118">
        <v>4</v>
      </c>
      <c r="J118" t="s">
        <v>70</v>
      </c>
      <c r="K118">
        <v>3.4</v>
      </c>
      <c r="L118" t="s">
        <v>33</v>
      </c>
      <c r="M118">
        <v>0.68</v>
      </c>
      <c r="N118" t="s">
        <v>24</v>
      </c>
      <c r="O118" t="s">
        <v>34</v>
      </c>
      <c r="P118">
        <v>1</v>
      </c>
      <c r="Q118">
        <v>4</v>
      </c>
    </row>
    <row r="119" spans="1:17" x14ac:dyDescent="0.3">
      <c r="A119" t="s">
        <v>341</v>
      </c>
      <c r="B119" t="s">
        <v>342</v>
      </c>
      <c r="C119" t="s">
        <v>78</v>
      </c>
      <c r="D119" t="s">
        <v>118</v>
      </c>
      <c r="E119">
        <v>27</v>
      </c>
      <c r="F119" t="s">
        <v>29</v>
      </c>
      <c r="G119" t="s">
        <v>30</v>
      </c>
      <c r="H119" t="s">
        <v>135</v>
      </c>
      <c r="I119">
        <v>7</v>
      </c>
      <c r="J119" t="s">
        <v>336</v>
      </c>
      <c r="K119">
        <v>3.2</v>
      </c>
      <c r="L119" t="s">
        <v>33</v>
      </c>
      <c r="M119">
        <v>0.62</v>
      </c>
      <c r="N119" t="s">
        <v>88</v>
      </c>
      <c r="O119" t="s">
        <v>34</v>
      </c>
      <c r="P119">
        <v>9</v>
      </c>
      <c r="Q119">
        <v>3</v>
      </c>
    </row>
    <row r="120" spans="1:17" x14ac:dyDescent="0.3">
      <c r="A120" t="s">
        <v>343</v>
      </c>
      <c r="B120" t="s">
        <v>344</v>
      </c>
      <c r="C120" t="s">
        <v>45</v>
      </c>
      <c r="D120" t="s">
        <v>97</v>
      </c>
      <c r="E120">
        <v>33</v>
      </c>
      <c r="F120" t="s">
        <v>51</v>
      </c>
      <c r="G120" t="s">
        <v>65</v>
      </c>
      <c r="H120" t="s">
        <v>135</v>
      </c>
      <c r="I120">
        <v>13</v>
      </c>
      <c r="J120" t="s">
        <v>162</v>
      </c>
      <c r="K120">
        <v>3.2</v>
      </c>
      <c r="L120" t="s">
        <v>59</v>
      </c>
      <c r="N120" t="s">
        <v>60</v>
      </c>
      <c r="O120" t="s">
        <v>75</v>
      </c>
      <c r="P120">
        <v>8</v>
      </c>
      <c r="Q120">
        <v>9</v>
      </c>
    </row>
    <row r="121" spans="1:17" x14ac:dyDescent="0.3">
      <c r="A121" t="s">
        <v>345</v>
      </c>
      <c r="B121" t="s">
        <v>346</v>
      </c>
      <c r="C121" t="s">
        <v>37</v>
      </c>
      <c r="D121" t="s">
        <v>118</v>
      </c>
      <c r="E121">
        <v>29</v>
      </c>
      <c r="F121" t="s">
        <v>133</v>
      </c>
      <c r="G121" t="s">
        <v>134</v>
      </c>
      <c r="H121" t="s">
        <v>66</v>
      </c>
      <c r="I121">
        <v>4</v>
      </c>
      <c r="J121" t="s">
        <v>52</v>
      </c>
      <c r="K121">
        <v>0</v>
      </c>
      <c r="L121" t="s">
        <v>94</v>
      </c>
      <c r="M121">
        <v>0.82</v>
      </c>
      <c r="N121" t="s">
        <v>60</v>
      </c>
      <c r="O121" t="s">
        <v>25</v>
      </c>
      <c r="P121">
        <v>5</v>
      </c>
      <c r="Q121">
        <v>3</v>
      </c>
    </row>
    <row r="122" spans="1:17" x14ac:dyDescent="0.3">
      <c r="A122" t="s">
        <v>347</v>
      </c>
      <c r="B122" t="s">
        <v>348</v>
      </c>
      <c r="C122" t="s">
        <v>50</v>
      </c>
      <c r="D122" t="s">
        <v>97</v>
      </c>
      <c r="E122">
        <v>36</v>
      </c>
      <c r="F122" t="s">
        <v>64</v>
      </c>
      <c r="G122" t="s">
        <v>65</v>
      </c>
      <c r="H122" t="s">
        <v>93</v>
      </c>
      <c r="I122">
        <v>13</v>
      </c>
      <c r="J122" t="s">
        <v>103</v>
      </c>
      <c r="L122" t="s">
        <v>33</v>
      </c>
      <c r="N122" t="s">
        <v>60</v>
      </c>
      <c r="O122" t="s">
        <v>75</v>
      </c>
      <c r="P122">
        <v>14</v>
      </c>
      <c r="Q122">
        <v>4</v>
      </c>
    </row>
    <row r="123" spans="1:17" x14ac:dyDescent="0.3">
      <c r="A123" t="s">
        <v>349</v>
      </c>
      <c r="B123" t="s">
        <v>350</v>
      </c>
      <c r="C123" t="s">
        <v>97</v>
      </c>
      <c r="D123" t="s">
        <v>97</v>
      </c>
      <c r="E123">
        <v>47</v>
      </c>
      <c r="F123" t="s">
        <v>19</v>
      </c>
      <c r="G123" t="s">
        <v>20</v>
      </c>
      <c r="H123" t="s">
        <v>110</v>
      </c>
      <c r="I123">
        <v>5</v>
      </c>
      <c r="J123" t="s">
        <v>47</v>
      </c>
      <c r="K123">
        <v>3.7</v>
      </c>
      <c r="L123" t="s">
        <v>59</v>
      </c>
      <c r="M123">
        <v>93</v>
      </c>
      <c r="N123" t="s">
        <v>60</v>
      </c>
      <c r="O123" t="s">
        <v>34</v>
      </c>
      <c r="P123">
        <v>3</v>
      </c>
      <c r="Q123">
        <v>1</v>
      </c>
    </row>
    <row r="124" spans="1:17" x14ac:dyDescent="0.3">
      <c r="A124" t="s">
        <v>351</v>
      </c>
      <c r="B124" t="s">
        <v>352</v>
      </c>
      <c r="C124" t="s">
        <v>78</v>
      </c>
      <c r="D124" t="s">
        <v>118</v>
      </c>
      <c r="E124">
        <v>48</v>
      </c>
      <c r="F124" t="s">
        <v>149</v>
      </c>
      <c r="G124" t="s">
        <v>30</v>
      </c>
      <c r="H124" t="s">
        <v>135</v>
      </c>
      <c r="I124">
        <v>15</v>
      </c>
      <c r="J124" t="s">
        <v>119</v>
      </c>
      <c r="K124">
        <v>1</v>
      </c>
      <c r="L124" t="s">
        <v>94</v>
      </c>
      <c r="M124">
        <v>0.64</v>
      </c>
      <c r="N124" t="s">
        <v>88</v>
      </c>
      <c r="O124" t="s">
        <v>75</v>
      </c>
      <c r="P124">
        <v>14</v>
      </c>
      <c r="Q124">
        <v>5</v>
      </c>
    </row>
    <row r="125" spans="1:17" x14ac:dyDescent="0.3">
      <c r="A125" t="s">
        <v>353</v>
      </c>
      <c r="B125" t="s">
        <v>354</v>
      </c>
      <c r="C125" t="s">
        <v>18</v>
      </c>
      <c r="D125" t="s">
        <v>97</v>
      </c>
      <c r="E125">
        <v>27</v>
      </c>
      <c r="F125" t="s">
        <v>197</v>
      </c>
      <c r="G125" t="s">
        <v>198</v>
      </c>
      <c r="H125" t="s">
        <v>93</v>
      </c>
      <c r="I125">
        <v>8</v>
      </c>
      <c r="J125" t="s">
        <v>81</v>
      </c>
      <c r="K125">
        <v>0</v>
      </c>
      <c r="L125" t="s">
        <v>51</v>
      </c>
      <c r="N125" t="s">
        <v>24</v>
      </c>
      <c r="O125" t="s">
        <v>25</v>
      </c>
      <c r="P125">
        <v>14</v>
      </c>
      <c r="Q125">
        <v>6</v>
      </c>
    </row>
    <row r="126" spans="1:17" x14ac:dyDescent="0.3">
      <c r="A126" t="s">
        <v>355</v>
      </c>
      <c r="B126" t="s">
        <v>356</v>
      </c>
      <c r="C126" t="s">
        <v>37</v>
      </c>
      <c r="D126" t="s">
        <v>118</v>
      </c>
      <c r="E126">
        <v>34</v>
      </c>
      <c r="F126" t="s">
        <v>29</v>
      </c>
      <c r="G126" t="s">
        <v>30</v>
      </c>
      <c r="H126" t="s">
        <v>46</v>
      </c>
      <c r="I126">
        <v>10</v>
      </c>
      <c r="J126" t="s">
        <v>51</v>
      </c>
      <c r="K126">
        <v>1.7</v>
      </c>
      <c r="L126" t="s">
        <v>41</v>
      </c>
      <c r="M126">
        <v>0.96</v>
      </c>
      <c r="N126" t="s">
        <v>24</v>
      </c>
      <c r="O126" t="s">
        <v>75</v>
      </c>
      <c r="P126">
        <v>7</v>
      </c>
      <c r="Q126">
        <v>9</v>
      </c>
    </row>
    <row r="127" spans="1:17" x14ac:dyDescent="0.3">
      <c r="A127" t="s">
        <v>357</v>
      </c>
      <c r="B127" t="s">
        <v>358</v>
      </c>
      <c r="C127" t="s">
        <v>118</v>
      </c>
      <c r="D127" t="s">
        <v>118</v>
      </c>
      <c r="E127">
        <v>49</v>
      </c>
      <c r="F127" t="s">
        <v>133</v>
      </c>
      <c r="G127" t="s">
        <v>134</v>
      </c>
      <c r="H127" t="s">
        <v>66</v>
      </c>
      <c r="I127">
        <v>19</v>
      </c>
      <c r="J127" t="s">
        <v>51</v>
      </c>
      <c r="K127">
        <v>5</v>
      </c>
      <c r="L127" t="s">
        <v>94</v>
      </c>
      <c r="M127">
        <v>0.83</v>
      </c>
      <c r="N127" t="s">
        <v>82</v>
      </c>
      <c r="O127" t="s">
        <v>25</v>
      </c>
      <c r="P127">
        <v>11</v>
      </c>
      <c r="Q127">
        <v>5</v>
      </c>
    </row>
    <row r="128" spans="1:17" x14ac:dyDescent="0.3">
      <c r="A128" t="s">
        <v>359</v>
      </c>
      <c r="B128" t="s">
        <v>360</v>
      </c>
      <c r="C128" t="s">
        <v>37</v>
      </c>
      <c r="D128" t="s">
        <v>118</v>
      </c>
      <c r="E128">
        <v>30</v>
      </c>
      <c r="F128" t="s">
        <v>128</v>
      </c>
      <c r="G128" t="s">
        <v>129</v>
      </c>
      <c r="H128" t="s">
        <v>31</v>
      </c>
      <c r="I128">
        <v>10</v>
      </c>
      <c r="J128" t="s">
        <v>251</v>
      </c>
      <c r="K128">
        <v>1.7</v>
      </c>
      <c r="L128" t="s">
        <v>87</v>
      </c>
      <c r="M128">
        <v>0.64</v>
      </c>
      <c r="N128" t="s">
        <v>88</v>
      </c>
      <c r="O128" t="s">
        <v>25</v>
      </c>
      <c r="P128">
        <v>14</v>
      </c>
      <c r="Q128">
        <v>9</v>
      </c>
    </row>
    <row r="129" spans="1:17" x14ac:dyDescent="0.3">
      <c r="A129" t="s">
        <v>361</v>
      </c>
      <c r="B129" t="s">
        <v>362</v>
      </c>
      <c r="C129" t="s">
        <v>37</v>
      </c>
      <c r="D129" t="s">
        <v>118</v>
      </c>
      <c r="E129">
        <v>31</v>
      </c>
      <c r="F129" t="s">
        <v>160</v>
      </c>
      <c r="G129" t="s">
        <v>161</v>
      </c>
      <c r="H129" t="s">
        <v>39</v>
      </c>
      <c r="I129">
        <v>8</v>
      </c>
      <c r="J129" t="s">
        <v>86</v>
      </c>
      <c r="K129">
        <v>4.4000000000000004</v>
      </c>
      <c r="L129" t="s">
        <v>23</v>
      </c>
      <c r="M129">
        <v>0.7</v>
      </c>
      <c r="N129" t="s">
        <v>60</v>
      </c>
      <c r="O129" t="s">
        <v>75</v>
      </c>
      <c r="P129">
        <v>15</v>
      </c>
      <c r="Q129">
        <v>5</v>
      </c>
    </row>
    <row r="130" spans="1:17" x14ac:dyDescent="0.3">
      <c r="A130" t="s">
        <v>363</v>
      </c>
      <c r="B130" t="s">
        <v>364</v>
      </c>
      <c r="C130" t="s">
        <v>63</v>
      </c>
      <c r="D130" t="s">
        <v>118</v>
      </c>
      <c r="E130">
        <v>58</v>
      </c>
      <c r="F130" t="s">
        <v>197</v>
      </c>
      <c r="G130" t="s">
        <v>198</v>
      </c>
      <c r="H130" t="s">
        <v>135</v>
      </c>
      <c r="I130">
        <v>9</v>
      </c>
      <c r="J130" t="s">
        <v>162</v>
      </c>
      <c r="K130">
        <v>0</v>
      </c>
      <c r="L130" t="s">
        <v>41</v>
      </c>
      <c r="M130">
        <v>0.65</v>
      </c>
      <c r="N130" t="s">
        <v>88</v>
      </c>
      <c r="O130" t="s">
        <v>75</v>
      </c>
      <c r="P130">
        <v>15</v>
      </c>
      <c r="Q130">
        <v>7</v>
      </c>
    </row>
    <row r="131" spans="1:17" x14ac:dyDescent="0.3">
      <c r="A131" t="s">
        <v>365</v>
      </c>
      <c r="B131" t="s">
        <v>366</v>
      </c>
      <c r="C131" t="s">
        <v>118</v>
      </c>
      <c r="D131" t="s">
        <v>118</v>
      </c>
      <c r="E131">
        <v>47</v>
      </c>
      <c r="F131" t="s">
        <v>156</v>
      </c>
      <c r="G131" t="s">
        <v>157</v>
      </c>
      <c r="H131" t="s">
        <v>135</v>
      </c>
      <c r="I131">
        <v>13</v>
      </c>
      <c r="J131" t="s">
        <v>86</v>
      </c>
      <c r="K131">
        <v>3.4</v>
      </c>
      <c r="L131" t="s">
        <v>51</v>
      </c>
      <c r="M131">
        <v>0.67</v>
      </c>
      <c r="N131" t="s">
        <v>82</v>
      </c>
      <c r="O131" t="s">
        <v>42</v>
      </c>
      <c r="P131">
        <v>7</v>
      </c>
      <c r="Q131">
        <v>3</v>
      </c>
    </row>
    <row r="132" spans="1:17" x14ac:dyDescent="0.3">
      <c r="A132" t="s">
        <v>367</v>
      </c>
      <c r="B132" t="s">
        <v>368</v>
      </c>
      <c r="C132" t="s">
        <v>18</v>
      </c>
      <c r="D132" t="s">
        <v>97</v>
      </c>
      <c r="E132">
        <v>45</v>
      </c>
      <c r="F132" t="s">
        <v>85</v>
      </c>
      <c r="G132" t="s">
        <v>30</v>
      </c>
      <c r="H132" t="s">
        <v>98</v>
      </c>
      <c r="I132">
        <v>14</v>
      </c>
      <c r="J132" t="s">
        <v>32</v>
      </c>
      <c r="K132">
        <v>1.1000000000000001</v>
      </c>
      <c r="L132" t="s">
        <v>181</v>
      </c>
      <c r="M132">
        <v>93</v>
      </c>
      <c r="N132" t="s">
        <v>82</v>
      </c>
      <c r="O132" t="s">
        <v>34</v>
      </c>
      <c r="P132">
        <v>12</v>
      </c>
      <c r="Q132">
        <v>12</v>
      </c>
    </row>
    <row r="133" spans="1:17" x14ac:dyDescent="0.3">
      <c r="A133" t="s">
        <v>369</v>
      </c>
      <c r="B133" t="s">
        <v>370</v>
      </c>
      <c r="C133" t="s">
        <v>28</v>
      </c>
      <c r="D133" t="s">
        <v>97</v>
      </c>
      <c r="E133">
        <v>57</v>
      </c>
      <c r="F133" t="s">
        <v>156</v>
      </c>
      <c r="G133" t="s">
        <v>157</v>
      </c>
      <c r="H133" t="s">
        <v>135</v>
      </c>
      <c r="I133">
        <v>0</v>
      </c>
      <c r="J133" t="s">
        <v>40</v>
      </c>
      <c r="K133">
        <v>1.6</v>
      </c>
      <c r="L133" t="s">
        <v>41</v>
      </c>
      <c r="M133">
        <v>0.6</v>
      </c>
      <c r="N133" t="s">
        <v>88</v>
      </c>
      <c r="O133" t="s">
        <v>25</v>
      </c>
      <c r="P133">
        <v>3</v>
      </c>
      <c r="Q133">
        <v>2</v>
      </c>
    </row>
    <row r="134" spans="1:17" x14ac:dyDescent="0.3">
      <c r="A134" t="s">
        <v>371</v>
      </c>
      <c r="B134" t="s">
        <v>372</v>
      </c>
      <c r="C134" t="s">
        <v>78</v>
      </c>
      <c r="D134" t="s">
        <v>118</v>
      </c>
      <c r="E134">
        <v>50</v>
      </c>
      <c r="F134" t="s">
        <v>114</v>
      </c>
      <c r="G134" t="s">
        <v>115</v>
      </c>
      <c r="H134" t="s">
        <v>46</v>
      </c>
      <c r="I134">
        <v>22</v>
      </c>
      <c r="J134" t="s">
        <v>22</v>
      </c>
      <c r="K134">
        <v>4.0999999999999996</v>
      </c>
      <c r="L134" t="s">
        <v>41</v>
      </c>
      <c r="M134">
        <v>0.62</v>
      </c>
      <c r="N134" t="s">
        <v>88</v>
      </c>
      <c r="O134" t="s">
        <v>42</v>
      </c>
      <c r="P134">
        <v>17</v>
      </c>
      <c r="Q134">
        <v>6</v>
      </c>
    </row>
    <row r="135" spans="1:17" x14ac:dyDescent="0.3">
      <c r="A135" t="s">
        <v>373</v>
      </c>
      <c r="B135" t="s">
        <v>374</v>
      </c>
      <c r="C135" t="s">
        <v>28</v>
      </c>
      <c r="D135" t="s">
        <v>97</v>
      </c>
      <c r="F135" t="s">
        <v>128</v>
      </c>
      <c r="G135" t="s">
        <v>129</v>
      </c>
      <c r="H135" t="s">
        <v>135</v>
      </c>
      <c r="I135">
        <v>4</v>
      </c>
      <c r="J135" t="s">
        <v>51</v>
      </c>
      <c r="K135">
        <v>2.5</v>
      </c>
      <c r="L135" t="s">
        <v>51</v>
      </c>
      <c r="M135">
        <v>0.7</v>
      </c>
      <c r="N135" t="s">
        <v>88</v>
      </c>
      <c r="O135" t="s">
        <v>75</v>
      </c>
      <c r="P135">
        <v>2</v>
      </c>
      <c r="Q135">
        <v>1</v>
      </c>
    </row>
    <row r="136" spans="1:17" x14ac:dyDescent="0.3">
      <c r="A136" t="s">
        <v>375</v>
      </c>
      <c r="B136" t="s">
        <v>376</v>
      </c>
      <c r="C136" t="s">
        <v>97</v>
      </c>
      <c r="D136" t="s">
        <v>97</v>
      </c>
      <c r="E136">
        <v>45</v>
      </c>
      <c r="F136" t="s">
        <v>64</v>
      </c>
      <c r="G136" t="s">
        <v>65</v>
      </c>
      <c r="H136" t="s">
        <v>21</v>
      </c>
      <c r="I136">
        <v>22</v>
      </c>
      <c r="J136" t="s">
        <v>251</v>
      </c>
      <c r="K136">
        <v>4</v>
      </c>
      <c r="L136" t="s">
        <v>94</v>
      </c>
      <c r="M136">
        <v>0.75</v>
      </c>
      <c r="N136" t="s">
        <v>24</v>
      </c>
      <c r="O136" t="s">
        <v>34</v>
      </c>
      <c r="P136">
        <v>16</v>
      </c>
      <c r="Q136">
        <v>4</v>
      </c>
    </row>
    <row r="137" spans="1:17" x14ac:dyDescent="0.3">
      <c r="A137" t="s">
        <v>377</v>
      </c>
      <c r="B137" t="s">
        <v>378</v>
      </c>
      <c r="C137" t="s">
        <v>78</v>
      </c>
      <c r="D137" t="s">
        <v>118</v>
      </c>
      <c r="E137">
        <v>60</v>
      </c>
      <c r="F137" t="s">
        <v>175</v>
      </c>
      <c r="G137" t="s">
        <v>176</v>
      </c>
      <c r="H137" t="s">
        <v>98</v>
      </c>
      <c r="I137">
        <v>39</v>
      </c>
      <c r="J137" t="s">
        <v>103</v>
      </c>
      <c r="K137">
        <v>1.4</v>
      </c>
      <c r="L137" t="s">
        <v>181</v>
      </c>
      <c r="M137">
        <v>0.7</v>
      </c>
      <c r="N137" t="s">
        <v>60</v>
      </c>
      <c r="O137" t="s">
        <v>42</v>
      </c>
      <c r="P137">
        <v>10</v>
      </c>
      <c r="Q137">
        <v>3</v>
      </c>
    </row>
    <row r="138" spans="1:17" x14ac:dyDescent="0.3">
      <c r="A138" t="s">
        <v>379</v>
      </c>
      <c r="B138" t="s">
        <v>380</v>
      </c>
      <c r="C138" t="s">
        <v>50</v>
      </c>
      <c r="D138" t="s">
        <v>97</v>
      </c>
      <c r="E138">
        <v>43</v>
      </c>
      <c r="F138" t="s">
        <v>85</v>
      </c>
      <c r="G138" t="s">
        <v>30</v>
      </c>
      <c r="H138" t="s">
        <v>98</v>
      </c>
      <c r="I138">
        <v>5</v>
      </c>
      <c r="J138" t="s">
        <v>119</v>
      </c>
      <c r="L138" t="s">
        <v>33</v>
      </c>
      <c r="M138">
        <v>0.84</v>
      </c>
      <c r="N138" t="s">
        <v>88</v>
      </c>
      <c r="O138" t="s">
        <v>25</v>
      </c>
      <c r="P138">
        <v>1</v>
      </c>
      <c r="Q138">
        <v>3</v>
      </c>
    </row>
    <row r="139" spans="1:17" x14ac:dyDescent="0.3">
      <c r="A139" t="s">
        <v>381</v>
      </c>
      <c r="B139" t="s">
        <v>382</v>
      </c>
      <c r="C139" t="s">
        <v>45</v>
      </c>
      <c r="D139" t="s">
        <v>97</v>
      </c>
      <c r="E139">
        <v>39</v>
      </c>
      <c r="F139" t="s">
        <v>156</v>
      </c>
      <c r="G139" t="s">
        <v>157</v>
      </c>
      <c r="H139" t="s">
        <v>98</v>
      </c>
      <c r="I139">
        <v>5</v>
      </c>
      <c r="J139" t="s">
        <v>70</v>
      </c>
      <c r="K139">
        <v>1.2</v>
      </c>
      <c r="L139" t="s">
        <v>23</v>
      </c>
      <c r="M139">
        <v>83</v>
      </c>
      <c r="N139" t="s">
        <v>88</v>
      </c>
      <c r="O139" t="s">
        <v>42</v>
      </c>
      <c r="P139">
        <v>4</v>
      </c>
      <c r="Q139">
        <v>1</v>
      </c>
    </row>
    <row r="140" spans="1:17" x14ac:dyDescent="0.3">
      <c r="A140" t="s">
        <v>383</v>
      </c>
      <c r="B140" t="s">
        <v>384</v>
      </c>
      <c r="C140" t="s">
        <v>37</v>
      </c>
      <c r="D140" t="s">
        <v>118</v>
      </c>
      <c r="E140">
        <v>26</v>
      </c>
      <c r="F140" t="s">
        <v>201</v>
      </c>
      <c r="G140" t="s">
        <v>92</v>
      </c>
      <c r="H140" t="s">
        <v>93</v>
      </c>
      <c r="I140">
        <v>5</v>
      </c>
      <c r="J140" t="s">
        <v>40</v>
      </c>
      <c r="K140">
        <v>0</v>
      </c>
      <c r="L140" t="s">
        <v>41</v>
      </c>
      <c r="N140" t="s">
        <v>88</v>
      </c>
      <c r="O140" t="s">
        <v>25</v>
      </c>
      <c r="P140">
        <v>3</v>
      </c>
      <c r="Q140">
        <v>1</v>
      </c>
    </row>
    <row r="141" spans="1:17" x14ac:dyDescent="0.3">
      <c r="A141" t="s">
        <v>385</v>
      </c>
      <c r="B141" t="s">
        <v>386</v>
      </c>
      <c r="C141" t="s">
        <v>63</v>
      </c>
      <c r="D141" t="s">
        <v>118</v>
      </c>
      <c r="E141">
        <v>31</v>
      </c>
      <c r="F141" t="s">
        <v>38</v>
      </c>
      <c r="G141" t="s">
        <v>38</v>
      </c>
      <c r="H141" t="s">
        <v>98</v>
      </c>
      <c r="I141">
        <v>11</v>
      </c>
      <c r="J141" t="s">
        <v>40</v>
      </c>
      <c r="K141">
        <v>3.1</v>
      </c>
      <c r="L141" t="s">
        <v>59</v>
      </c>
      <c r="M141">
        <v>0.88</v>
      </c>
      <c r="N141" t="s">
        <v>82</v>
      </c>
      <c r="O141" t="s">
        <v>75</v>
      </c>
      <c r="P141">
        <v>14</v>
      </c>
      <c r="Q141">
        <v>3</v>
      </c>
    </row>
    <row r="142" spans="1:17" x14ac:dyDescent="0.3">
      <c r="A142" t="s">
        <v>387</v>
      </c>
      <c r="B142" t="s">
        <v>388</v>
      </c>
      <c r="C142" t="s">
        <v>63</v>
      </c>
      <c r="D142" t="s">
        <v>118</v>
      </c>
      <c r="E142">
        <v>52</v>
      </c>
      <c r="F142" t="s">
        <v>156</v>
      </c>
      <c r="G142" t="s">
        <v>157</v>
      </c>
      <c r="H142" t="s">
        <v>93</v>
      </c>
      <c r="I142">
        <v>15</v>
      </c>
      <c r="J142" t="s">
        <v>40</v>
      </c>
      <c r="K142">
        <v>0</v>
      </c>
      <c r="L142" t="s">
        <v>87</v>
      </c>
      <c r="M142">
        <v>0.81</v>
      </c>
      <c r="N142" t="s">
        <v>82</v>
      </c>
      <c r="O142" t="s">
        <v>34</v>
      </c>
      <c r="P142">
        <v>10</v>
      </c>
      <c r="Q142">
        <v>12</v>
      </c>
    </row>
    <row r="143" spans="1:17" x14ac:dyDescent="0.3">
      <c r="A143" t="s">
        <v>389</v>
      </c>
      <c r="B143" t="s">
        <v>390</v>
      </c>
      <c r="C143" t="s">
        <v>50</v>
      </c>
      <c r="D143" t="s">
        <v>97</v>
      </c>
      <c r="E143">
        <v>34</v>
      </c>
      <c r="F143" t="s">
        <v>114</v>
      </c>
      <c r="G143" t="s">
        <v>115</v>
      </c>
      <c r="H143" t="s">
        <v>66</v>
      </c>
      <c r="I143">
        <v>5</v>
      </c>
      <c r="J143" t="s">
        <v>336</v>
      </c>
      <c r="K143">
        <v>2.2000000000000002</v>
      </c>
      <c r="L143" t="s">
        <v>94</v>
      </c>
      <c r="M143">
        <v>0.8</v>
      </c>
      <c r="N143" t="s">
        <v>24</v>
      </c>
      <c r="O143" t="s">
        <v>34</v>
      </c>
      <c r="P143">
        <v>3</v>
      </c>
      <c r="Q143">
        <v>3</v>
      </c>
    </row>
    <row r="144" spans="1:17" x14ac:dyDescent="0.3">
      <c r="A144" t="s">
        <v>391</v>
      </c>
      <c r="B144" t="s">
        <v>392</v>
      </c>
      <c r="C144" t="s">
        <v>37</v>
      </c>
      <c r="D144" t="s">
        <v>118</v>
      </c>
      <c r="E144">
        <v>45</v>
      </c>
      <c r="F144" t="s">
        <v>85</v>
      </c>
      <c r="G144" t="s">
        <v>30</v>
      </c>
      <c r="H144" t="s">
        <v>46</v>
      </c>
      <c r="I144">
        <v>7</v>
      </c>
      <c r="J144" t="s">
        <v>103</v>
      </c>
      <c r="K144">
        <v>3</v>
      </c>
      <c r="L144" t="s">
        <v>33</v>
      </c>
      <c r="M144">
        <v>0.67</v>
      </c>
      <c r="N144" t="s">
        <v>60</v>
      </c>
      <c r="O144" t="s">
        <v>34</v>
      </c>
      <c r="P144">
        <v>7</v>
      </c>
      <c r="Q144">
        <v>8</v>
      </c>
    </row>
    <row r="145" spans="1:17" x14ac:dyDescent="0.3">
      <c r="A145" t="s">
        <v>393</v>
      </c>
      <c r="B145" t="s">
        <v>394</v>
      </c>
      <c r="C145" t="s">
        <v>63</v>
      </c>
      <c r="D145" t="s">
        <v>118</v>
      </c>
      <c r="E145">
        <v>46</v>
      </c>
      <c r="F145" t="s">
        <v>85</v>
      </c>
      <c r="G145" t="s">
        <v>30</v>
      </c>
      <c r="H145" t="s">
        <v>98</v>
      </c>
      <c r="I145">
        <v>9</v>
      </c>
      <c r="J145" t="s">
        <v>142</v>
      </c>
      <c r="K145">
        <v>0</v>
      </c>
      <c r="L145" t="s">
        <v>41</v>
      </c>
      <c r="M145">
        <v>0.82</v>
      </c>
      <c r="N145" t="s">
        <v>24</v>
      </c>
      <c r="O145" t="s">
        <v>75</v>
      </c>
      <c r="P145">
        <v>14</v>
      </c>
      <c r="Q145">
        <v>6</v>
      </c>
    </row>
    <row r="146" spans="1:17" x14ac:dyDescent="0.3">
      <c r="A146" t="s">
        <v>395</v>
      </c>
      <c r="B146" t="s">
        <v>396</v>
      </c>
      <c r="C146" t="s">
        <v>63</v>
      </c>
      <c r="D146" t="s">
        <v>118</v>
      </c>
      <c r="E146">
        <v>56</v>
      </c>
      <c r="F146" t="s">
        <v>156</v>
      </c>
      <c r="G146" t="s">
        <v>157</v>
      </c>
      <c r="H146" t="s">
        <v>93</v>
      </c>
      <c r="I146">
        <v>21</v>
      </c>
      <c r="J146" t="s">
        <v>32</v>
      </c>
      <c r="K146">
        <v>0</v>
      </c>
      <c r="L146" t="s">
        <v>74</v>
      </c>
      <c r="M146">
        <v>78</v>
      </c>
      <c r="N146" t="s">
        <v>60</v>
      </c>
      <c r="O146" t="s">
        <v>25</v>
      </c>
      <c r="P146">
        <v>18</v>
      </c>
      <c r="Q146">
        <v>13</v>
      </c>
    </row>
    <row r="147" spans="1:17" x14ac:dyDescent="0.3">
      <c r="A147" t="s">
        <v>397</v>
      </c>
      <c r="B147" t="s">
        <v>398</v>
      </c>
      <c r="C147" t="s">
        <v>28</v>
      </c>
      <c r="D147" t="s">
        <v>97</v>
      </c>
      <c r="E147">
        <v>59</v>
      </c>
      <c r="F147" t="s">
        <v>38</v>
      </c>
      <c r="G147" t="s">
        <v>38</v>
      </c>
      <c r="H147" t="s">
        <v>57</v>
      </c>
      <c r="I147">
        <v>7</v>
      </c>
      <c r="J147" t="s">
        <v>47</v>
      </c>
      <c r="K147">
        <v>1.4</v>
      </c>
      <c r="L147" t="s">
        <v>59</v>
      </c>
      <c r="M147">
        <v>0.81</v>
      </c>
      <c r="N147" t="s">
        <v>82</v>
      </c>
      <c r="O147" t="s">
        <v>75</v>
      </c>
      <c r="P147">
        <v>9</v>
      </c>
      <c r="Q147">
        <v>11</v>
      </c>
    </row>
    <row r="148" spans="1:17" x14ac:dyDescent="0.3">
      <c r="A148" t="s">
        <v>399</v>
      </c>
      <c r="B148" t="s">
        <v>400</v>
      </c>
      <c r="C148" t="s">
        <v>28</v>
      </c>
      <c r="D148" t="s">
        <v>97</v>
      </c>
      <c r="E148">
        <v>54</v>
      </c>
      <c r="F148" t="s">
        <v>160</v>
      </c>
      <c r="G148" t="s">
        <v>161</v>
      </c>
      <c r="H148" t="s">
        <v>21</v>
      </c>
      <c r="I148">
        <v>4</v>
      </c>
      <c r="J148" t="s">
        <v>51</v>
      </c>
      <c r="K148">
        <v>1.4</v>
      </c>
      <c r="L148" t="s">
        <v>74</v>
      </c>
      <c r="M148">
        <v>0.74</v>
      </c>
      <c r="N148" t="s">
        <v>82</v>
      </c>
      <c r="O148" t="s">
        <v>34</v>
      </c>
      <c r="P148">
        <v>5</v>
      </c>
      <c r="Q148">
        <v>1</v>
      </c>
    </row>
    <row r="149" spans="1:17" x14ac:dyDescent="0.3">
      <c r="A149" t="s">
        <v>401</v>
      </c>
      <c r="B149" t="s">
        <v>402</v>
      </c>
      <c r="C149" t="s">
        <v>113</v>
      </c>
      <c r="D149" t="s">
        <v>118</v>
      </c>
      <c r="E149">
        <v>36</v>
      </c>
      <c r="F149" t="s">
        <v>38</v>
      </c>
      <c r="G149" t="s">
        <v>38</v>
      </c>
      <c r="H149" t="s">
        <v>93</v>
      </c>
      <c r="I149">
        <v>7</v>
      </c>
      <c r="J149" t="s">
        <v>52</v>
      </c>
      <c r="K149">
        <v>0</v>
      </c>
      <c r="L149" t="s">
        <v>41</v>
      </c>
      <c r="M149">
        <v>0.88</v>
      </c>
      <c r="N149" t="s">
        <v>82</v>
      </c>
      <c r="O149" t="s">
        <v>75</v>
      </c>
      <c r="P149">
        <v>7</v>
      </c>
      <c r="Q149">
        <v>2</v>
      </c>
    </row>
    <row r="150" spans="1:17" x14ac:dyDescent="0.3">
      <c r="A150" t="s">
        <v>403</v>
      </c>
      <c r="B150" t="s">
        <v>404</v>
      </c>
      <c r="C150" t="s">
        <v>37</v>
      </c>
      <c r="D150" t="s">
        <v>118</v>
      </c>
      <c r="E150">
        <v>25</v>
      </c>
      <c r="F150" t="s">
        <v>201</v>
      </c>
      <c r="G150" t="s">
        <v>92</v>
      </c>
      <c r="H150" t="s">
        <v>66</v>
      </c>
      <c r="I150">
        <v>0</v>
      </c>
      <c r="J150" t="s">
        <v>86</v>
      </c>
      <c r="K150">
        <v>0</v>
      </c>
      <c r="L150" t="s">
        <v>23</v>
      </c>
      <c r="M150">
        <v>0.9</v>
      </c>
      <c r="N150" t="s">
        <v>24</v>
      </c>
      <c r="O150" t="s">
        <v>75</v>
      </c>
      <c r="P150">
        <v>1</v>
      </c>
      <c r="Q150">
        <v>2</v>
      </c>
    </row>
    <row r="151" spans="1:17" x14ac:dyDescent="0.3">
      <c r="A151" t="s">
        <v>405</v>
      </c>
      <c r="B151" t="s">
        <v>406</v>
      </c>
      <c r="C151" t="s">
        <v>28</v>
      </c>
      <c r="D151" t="s">
        <v>97</v>
      </c>
      <c r="E151">
        <v>37</v>
      </c>
      <c r="F151" t="s">
        <v>145</v>
      </c>
      <c r="G151" t="s">
        <v>146</v>
      </c>
      <c r="H151" t="s">
        <v>66</v>
      </c>
      <c r="I151">
        <v>15</v>
      </c>
      <c r="J151" t="s">
        <v>47</v>
      </c>
      <c r="K151">
        <v>2.9</v>
      </c>
      <c r="L151" t="s">
        <v>59</v>
      </c>
      <c r="N151" t="s">
        <v>88</v>
      </c>
      <c r="O151" t="s">
        <v>75</v>
      </c>
      <c r="P151">
        <v>6</v>
      </c>
      <c r="Q151">
        <v>8</v>
      </c>
    </row>
    <row r="152" spans="1:17" x14ac:dyDescent="0.3">
      <c r="A152" t="s">
        <v>407</v>
      </c>
      <c r="B152" t="s">
        <v>408</v>
      </c>
      <c r="C152" t="s">
        <v>113</v>
      </c>
      <c r="D152" t="s">
        <v>118</v>
      </c>
      <c r="F152" t="s">
        <v>79</v>
      </c>
      <c r="G152" t="s">
        <v>80</v>
      </c>
      <c r="H152" t="s">
        <v>66</v>
      </c>
      <c r="I152">
        <v>10</v>
      </c>
      <c r="J152" t="s">
        <v>70</v>
      </c>
      <c r="K152">
        <v>0</v>
      </c>
      <c r="L152" t="s">
        <v>51</v>
      </c>
      <c r="N152" t="s">
        <v>88</v>
      </c>
      <c r="O152" t="s">
        <v>25</v>
      </c>
      <c r="P152">
        <v>6</v>
      </c>
      <c r="Q152">
        <v>2</v>
      </c>
    </row>
    <row r="153" spans="1:17" x14ac:dyDescent="0.3">
      <c r="A153" t="s">
        <v>409</v>
      </c>
      <c r="B153" t="s">
        <v>410</v>
      </c>
      <c r="C153" t="s">
        <v>63</v>
      </c>
      <c r="D153" t="s">
        <v>118</v>
      </c>
      <c r="E153">
        <v>29</v>
      </c>
      <c r="F153" t="s">
        <v>212</v>
      </c>
      <c r="G153" t="s">
        <v>92</v>
      </c>
      <c r="H153" t="s">
        <v>66</v>
      </c>
      <c r="I153">
        <v>11</v>
      </c>
      <c r="J153" t="s">
        <v>162</v>
      </c>
      <c r="K153">
        <v>2.7</v>
      </c>
      <c r="L153" t="s">
        <v>181</v>
      </c>
      <c r="M153">
        <v>0.93</v>
      </c>
      <c r="N153" t="s">
        <v>82</v>
      </c>
      <c r="O153" t="s">
        <v>42</v>
      </c>
      <c r="P153">
        <v>13</v>
      </c>
      <c r="Q153">
        <v>7</v>
      </c>
    </row>
    <row r="154" spans="1:17" x14ac:dyDescent="0.3">
      <c r="A154" t="s">
        <v>411</v>
      </c>
      <c r="B154" t="s">
        <v>412</v>
      </c>
      <c r="C154" t="s">
        <v>50</v>
      </c>
      <c r="D154" t="s">
        <v>97</v>
      </c>
      <c r="E154">
        <v>55</v>
      </c>
      <c r="F154" t="s">
        <v>91</v>
      </c>
      <c r="G154" t="s">
        <v>92</v>
      </c>
      <c r="H154" t="s">
        <v>31</v>
      </c>
      <c r="I154">
        <v>12</v>
      </c>
      <c r="J154" t="s">
        <v>22</v>
      </c>
      <c r="K154">
        <v>1.8</v>
      </c>
      <c r="L154" t="s">
        <v>33</v>
      </c>
      <c r="N154" t="s">
        <v>88</v>
      </c>
      <c r="O154" t="s">
        <v>42</v>
      </c>
      <c r="P154">
        <v>11</v>
      </c>
      <c r="Q154">
        <v>3</v>
      </c>
    </row>
    <row r="155" spans="1:17" x14ac:dyDescent="0.3">
      <c r="A155" t="s">
        <v>413</v>
      </c>
      <c r="B155" t="s">
        <v>414</v>
      </c>
      <c r="C155" t="s">
        <v>97</v>
      </c>
      <c r="D155" t="s">
        <v>97</v>
      </c>
      <c r="E155">
        <v>38</v>
      </c>
      <c r="F155" t="s">
        <v>106</v>
      </c>
      <c r="G155" t="s">
        <v>107</v>
      </c>
      <c r="H155" t="s">
        <v>110</v>
      </c>
      <c r="I155">
        <v>20</v>
      </c>
      <c r="J155" t="s">
        <v>192</v>
      </c>
      <c r="K155">
        <v>1.1000000000000001</v>
      </c>
      <c r="L155" t="s">
        <v>181</v>
      </c>
      <c r="M155">
        <v>0.71</v>
      </c>
      <c r="N155" t="s">
        <v>88</v>
      </c>
      <c r="O155" t="s">
        <v>75</v>
      </c>
      <c r="P155">
        <v>19</v>
      </c>
      <c r="Q155">
        <v>7</v>
      </c>
    </row>
    <row r="156" spans="1:17" x14ac:dyDescent="0.3">
      <c r="A156" t="s">
        <v>415</v>
      </c>
      <c r="B156" t="s">
        <v>416</v>
      </c>
      <c r="C156" t="s">
        <v>118</v>
      </c>
      <c r="D156" t="s">
        <v>118</v>
      </c>
      <c r="E156">
        <v>47</v>
      </c>
      <c r="F156" t="s">
        <v>133</v>
      </c>
      <c r="G156" t="s">
        <v>134</v>
      </c>
      <c r="H156" t="s">
        <v>110</v>
      </c>
      <c r="I156">
        <v>29</v>
      </c>
      <c r="J156" t="s">
        <v>47</v>
      </c>
      <c r="K156">
        <v>4.3</v>
      </c>
      <c r="L156" t="s">
        <v>33</v>
      </c>
      <c r="M156">
        <v>0.95</v>
      </c>
      <c r="N156" t="s">
        <v>24</v>
      </c>
      <c r="O156" t="s">
        <v>42</v>
      </c>
      <c r="P156">
        <v>11</v>
      </c>
      <c r="Q156">
        <v>8</v>
      </c>
    </row>
    <row r="157" spans="1:17" x14ac:dyDescent="0.3">
      <c r="A157" t="s">
        <v>417</v>
      </c>
      <c r="B157" t="s">
        <v>418</v>
      </c>
      <c r="C157" t="s">
        <v>113</v>
      </c>
      <c r="D157" t="s">
        <v>118</v>
      </c>
      <c r="E157">
        <v>60</v>
      </c>
      <c r="F157" t="s">
        <v>128</v>
      </c>
      <c r="G157" t="s">
        <v>129</v>
      </c>
      <c r="H157" t="s">
        <v>46</v>
      </c>
      <c r="I157">
        <v>15</v>
      </c>
      <c r="J157" t="s">
        <v>22</v>
      </c>
      <c r="K157">
        <v>1.5</v>
      </c>
      <c r="L157" t="s">
        <v>23</v>
      </c>
      <c r="M157">
        <v>80</v>
      </c>
      <c r="N157" t="s">
        <v>60</v>
      </c>
      <c r="O157" t="s">
        <v>42</v>
      </c>
      <c r="P157">
        <v>8</v>
      </c>
      <c r="Q157">
        <v>14</v>
      </c>
    </row>
    <row r="158" spans="1:17" x14ac:dyDescent="0.3">
      <c r="A158" t="s">
        <v>419</v>
      </c>
      <c r="B158" t="s">
        <v>420</v>
      </c>
      <c r="C158" t="s">
        <v>28</v>
      </c>
      <c r="D158" t="s">
        <v>97</v>
      </c>
      <c r="E158">
        <v>43</v>
      </c>
      <c r="F158" t="s">
        <v>19</v>
      </c>
      <c r="G158" t="s">
        <v>20</v>
      </c>
      <c r="H158" t="s">
        <v>66</v>
      </c>
      <c r="I158">
        <v>9</v>
      </c>
      <c r="J158" t="s">
        <v>142</v>
      </c>
      <c r="K158">
        <v>2.2000000000000002</v>
      </c>
      <c r="L158" t="s">
        <v>41</v>
      </c>
      <c r="N158" t="s">
        <v>82</v>
      </c>
      <c r="O158" t="s">
        <v>75</v>
      </c>
      <c r="P158">
        <v>12</v>
      </c>
      <c r="Q158">
        <v>5</v>
      </c>
    </row>
    <row r="159" spans="1:17" x14ac:dyDescent="0.3">
      <c r="A159" t="s">
        <v>421</v>
      </c>
      <c r="B159" t="s">
        <v>422</v>
      </c>
      <c r="C159" t="s">
        <v>118</v>
      </c>
      <c r="D159" t="s">
        <v>118</v>
      </c>
      <c r="E159">
        <v>56</v>
      </c>
      <c r="F159" t="s">
        <v>175</v>
      </c>
      <c r="G159" t="s">
        <v>176</v>
      </c>
      <c r="H159" t="s">
        <v>66</v>
      </c>
      <c r="J159" t="s">
        <v>22</v>
      </c>
      <c r="K159">
        <v>3.2</v>
      </c>
      <c r="L159" t="s">
        <v>23</v>
      </c>
      <c r="M159">
        <v>0.62</v>
      </c>
      <c r="N159" t="s">
        <v>82</v>
      </c>
      <c r="O159" t="s">
        <v>75</v>
      </c>
      <c r="P159">
        <v>4</v>
      </c>
      <c r="Q159">
        <v>1</v>
      </c>
    </row>
    <row r="160" spans="1:17" x14ac:dyDescent="0.3">
      <c r="A160" t="s">
        <v>423</v>
      </c>
      <c r="B160" t="s">
        <v>424</v>
      </c>
      <c r="C160" t="s">
        <v>37</v>
      </c>
      <c r="D160" t="s">
        <v>118</v>
      </c>
      <c r="E160">
        <v>42</v>
      </c>
      <c r="F160" t="s">
        <v>145</v>
      </c>
      <c r="G160" t="s">
        <v>146</v>
      </c>
      <c r="H160" t="s">
        <v>110</v>
      </c>
      <c r="I160">
        <v>2</v>
      </c>
      <c r="J160" t="s">
        <v>81</v>
      </c>
      <c r="K160">
        <v>1.9</v>
      </c>
      <c r="L160" t="s">
        <v>59</v>
      </c>
      <c r="M160">
        <v>0.95</v>
      </c>
      <c r="N160" t="s">
        <v>24</v>
      </c>
      <c r="O160" t="s">
        <v>34</v>
      </c>
      <c r="P160">
        <v>2</v>
      </c>
      <c r="Q160">
        <v>3</v>
      </c>
    </row>
    <row r="161" spans="1:17" x14ac:dyDescent="0.3">
      <c r="A161" t="s">
        <v>425</v>
      </c>
      <c r="B161" t="s">
        <v>426</v>
      </c>
      <c r="C161" t="s">
        <v>97</v>
      </c>
      <c r="D161" t="s">
        <v>97</v>
      </c>
      <c r="E161">
        <v>20</v>
      </c>
      <c r="F161" t="s">
        <v>212</v>
      </c>
      <c r="G161" t="s">
        <v>92</v>
      </c>
      <c r="H161" t="s">
        <v>39</v>
      </c>
      <c r="I161">
        <v>0</v>
      </c>
      <c r="J161" t="s">
        <v>86</v>
      </c>
      <c r="K161">
        <v>2.5</v>
      </c>
      <c r="L161" t="s">
        <v>23</v>
      </c>
      <c r="M161">
        <v>0.79</v>
      </c>
      <c r="N161" t="s">
        <v>24</v>
      </c>
      <c r="O161" t="s">
        <v>42</v>
      </c>
      <c r="P161">
        <v>4</v>
      </c>
      <c r="Q161">
        <v>2</v>
      </c>
    </row>
    <row r="162" spans="1:17" x14ac:dyDescent="0.3">
      <c r="A162" t="s">
        <v>427</v>
      </c>
      <c r="B162" t="s">
        <v>428</v>
      </c>
      <c r="C162" t="s">
        <v>50</v>
      </c>
      <c r="D162" t="s">
        <v>97</v>
      </c>
      <c r="E162">
        <v>47</v>
      </c>
      <c r="F162" t="s">
        <v>64</v>
      </c>
      <c r="G162" t="s">
        <v>65</v>
      </c>
      <c r="H162" t="s">
        <v>93</v>
      </c>
      <c r="I162">
        <v>12</v>
      </c>
      <c r="J162" t="s">
        <v>86</v>
      </c>
      <c r="K162">
        <v>4.5</v>
      </c>
      <c r="L162" t="s">
        <v>181</v>
      </c>
      <c r="M162">
        <v>0.62</v>
      </c>
      <c r="N162" t="s">
        <v>88</v>
      </c>
      <c r="O162" t="s">
        <v>25</v>
      </c>
      <c r="P162">
        <v>15</v>
      </c>
      <c r="Q162">
        <v>10</v>
      </c>
    </row>
    <row r="163" spans="1:17" x14ac:dyDescent="0.3">
      <c r="A163" t="s">
        <v>429</v>
      </c>
      <c r="B163" t="s">
        <v>430</v>
      </c>
      <c r="C163" t="s">
        <v>63</v>
      </c>
      <c r="D163" t="s">
        <v>118</v>
      </c>
      <c r="F163" t="s">
        <v>91</v>
      </c>
      <c r="G163" t="s">
        <v>92</v>
      </c>
      <c r="H163" t="s">
        <v>66</v>
      </c>
      <c r="I163">
        <v>12</v>
      </c>
      <c r="J163" t="s">
        <v>58</v>
      </c>
      <c r="K163">
        <v>4.0999999999999996</v>
      </c>
      <c r="L163" t="s">
        <v>181</v>
      </c>
      <c r="M163">
        <v>0.68</v>
      </c>
      <c r="N163" t="s">
        <v>82</v>
      </c>
      <c r="O163" t="s">
        <v>75</v>
      </c>
      <c r="P163">
        <v>15</v>
      </c>
      <c r="Q163">
        <v>11</v>
      </c>
    </row>
    <row r="164" spans="1:17" x14ac:dyDescent="0.3">
      <c r="A164" t="s">
        <v>431</v>
      </c>
      <c r="B164" t="s">
        <v>432</v>
      </c>
      <c r="C164" t="s">
        <v>113</v>
      </c>
      <c r="D164" t="s">
        <v>118</v>
      </c>
      <c r="E164">
        <v>56</v>
      </c>
      <c r="F164" t="s">
        <v>64</v>
      </c>
      <c r="G164" t="s">
        <v>65</v>
      </c>
      <c r="H164" t="s">
        <v>110</v>
      </c>
      <c r="I164">
        <v>15</v>
      </c>
      <c r="J164" t="s">
        <v>67</v>
      </c>
      <c r="K164">
        <v>0</v>
      </c>
      <c r="L164" t="s">
        <v>181</v>
      </c>
      <c r="N164" t="s">
        <v>60</v>
      </c>
      <c r="O164" t="s">
        <v>34</v>
      </c>
      <c r="P164">
        <v>9</v>
      </c>
      <c r="Q164">
        <v>9</v>
      </c>
    </row>
    <row r="165" spans="1:17" x14ac:dyDescent="0.3">
      <c r="A165" t="s">
        <v>433</v>
      </c>
      <c r="B165" t="s">
        <v>434</v>
      </c>
      <c r="C165" t="s">
        <v>118</v>
      </c>
      <c r="D165" t="s">
        <v>118</v>
      </c>
      <c r="E165">
        <v>59</v>
      </c>
      <c r="F165" t="s">
        <v>85</v>
      </c>
      <c r="G165" t="s">
        <v>30</v>
      </c>
      <c r="H165" t="s">
        <v>110</v>
      </c>
      <c r="I165">
        <v>29</v>
      </c>
      <c r="J165" t="s">
        <v>67</v>
      </c>
      <c r="L165" t="s">
        <v>23</v>
      </c>
      <c r="M165">
        <v>0.8</v>
      </c>
      <c r="N165" t="s">
        <v>24</v>
      </c>
      <c r="O165" t="s">
        <v>25</v>
      </c>
      <c r="P165">
        <v>19</v>
      </c>
      <c r="Q165">
        <v>7</v>
      </c>
    </row>
    <row r="166" spans="1:17" x14ac:dyDescent="0.3">
      <c r="A166" t="s">
        <v>435</v>
      </c>
      <c r="B166" t="s">
        <v>436</v>
      </c>
      <c r="C166" t="s">
        <v>78</v>
      </c>
      <c r="D166" t="s">
        <v>118</v>
      </c>
      <c r="E166">
        <v>56</v>
      </c>
      <c r="F166" t="s">
        <v>106</v>
      </c>
      <c r="G166" t="s">
        <v>107</v>
      </c>
      <c r="H166" t="s">
        <v>98</v>
      </c>
      <c r="I166">
        <v>15</v>
      </c>
      <c r="J166" t="s">
        <v>86</v>
      </c>
      <c r="K166">
        <v>3.7</v>
      </c>
      <c r="L166" t="s">
        <v>51</v>
      </c>
      <c r="M166">
        <v>0.92</v>
      </c>
      <c r="N166" t="s">
        <v>60</v>
      </c>
      <c r="O166" t="s">
        <v>42</v>
      </c>
      <c r="P166">
        <v>14</v>
      </c>
      <c r="Q166">
        <v>9</v>
      </c>
    </row>
    <row r="167" spans="1:17" x14ac:dyDescent="0.3">
      <c r="A167" t="s">
        <v>437</v>
      </c>
      <c r="B167" t="s">
        <v>438</v>
      </c>
      <c r="C167" t="s">
        <v>50</v>
      </c>
      <c r="D167" t="s">
        <v>97</v>
      </c>
      <c r="E167">
        <v>31</v>
      </c>
      <c r="F167" t="s">
        <v>175</v>
      </c>
      <c r="G167" t="s">
        <v>176</v>
      </c>
      <c r="H167" t="s">
        <v>46</v>
      </c>
      <c r="J167" t="s">
        <v>67</v>
      </c>
      <c r="K167">
        <v>1.3</v>
      </c>
      <c r="L167" t="s">
        <v>33</v>
      </c>
      <c r="M167">
        <v>0.65</v>
      </c>
      <c r="N167" t="s">
        <v>60</v>
      </c>
      <c r="O167" t="s">
        <v>34</v>
      </c>
      <c r="P167">
        <v>1</v>
      </c>
      <c r="Q167">
        <v>1</v>
      </c>
    </row>
    <row r="168" spans="1:17" x14ac:dyDescent="0.3">
      <c r="A168" t="s">
        <v>439</v>
      </c>
      <c r="B168" t="s">
        <v>440</v>
      </c>
      <c r="C168" t="s">
        <v>63</v>
      </c>
      <c r="D168" t="s">
        <v>118</v>
      </c>
      <c r="E168">
        <v>60</v>
      </c>
      <c r="F168" t="s">
        <v>133</v>
      </c>
      <c r="G168" t="s">
        <v>134</v>
      </c>
      <c r="H168" t="s">
        <v>31</v>
      </c>
      <c r="I168">
        <v>33</v>
      </c>
      <c r="J168" t="s">
        <v>86</v>
      </c>
      <c r="K168">
        <v>3.6</v>
      </c>
      <c r="L168" t="s">
        <v>33</v>
      </c>
      <c r="M168">
        <v>0.87</v>
      </c>
      <c r="N168" t="s">
        <v>82</v>
      </c>
      <c r="O168" t="s">
        <v>75</v>
      </c>
      <c r="P168">
        <v>13</v>
      </c>
      <c r="Q168">
        <v>10</v>
      </c>
    </row>
    <row r="169" spans="1:17" x14ac:dyDescent="0.3">
      <c r="A169" t="s">
        <v>441</v>
      </c>
      <c r="B169" t="s">
        <v>442</v>
      </c>
      <c r="C169" t="s">
        <v>28</v>
      </c>
      <c r="D169" t="s">
        <v>97</v>
      </c>
      <c r="E169">
        <v>31</v>
      </c>
      <c r="F169" t="s">
        <v>149</v>
      </c>
      <c r="G169" t="s">
        <v>30</v>
      </c>
      <c r="H169" t="s">
        <v>46</v>
      </c>
      <c r="I169">
        <v>10</v>
      </c>
      <c r="J169" t="s">
        <v>103</v>
      </c>
      <c r="K169">
        <v>0</v>
      </c>
      <c r="L169" t="s">
        <v>181</v>
      </c>
      <c r="M169">
        <v>0.7</v>
      </c>
      <c r="N169" t="s">
        <v>82</v>
      </c>
      <c r="O169" t="s">
        <v>25</v>
      </c>
      <c r="P169">
        <v>11</v>
      </c>
      <c r="Q169">
        <v>9</v>
      </c>
    </row>
    <row r="170" spans="1:17" x14ac:dyDescent="0.3">
      <c r="A170" t="s">
        <v>443</v>
      </c>
      <c r="B170" t="s">
        <v>444</v>
      </c>
      <c r="C170" t="s">
        <v>78</v>
      </c>
      <c r="D170" t="s">
        <v>118</v>
      </c>
      <c r="E170">
        <v>60</v>
      </c>
      <c r="F170" t="s">
        <v>91</v>
      </c>
      <c r="G170" t="s">
        <v>92</v>
      </c>
      <c r="H170" t="s">
        <v>98</v>
      </c>
      <c r="I170">
        <v>20</v>
      </c>
      <c r="J170" t="s">
        <v>86</v>
      </c>
      <c r="K170">
        <v>1.4</v>
      </c>
      <c r="L170" t="s">
        <v>181</v>
      </c>
      <c r="M170">
        <v>87</v>
      </c>
      <c r="N170" t="s">
        <v>24</v>
      </c>
      <c r="O170" t="s">
        <v>75</v>
      </c>
      <c r="P170">
        <v>18</v>
      </c>
      <c r="Q170">
        <v>17</v>
      </c>
    </row>
    <row r="171" spans="1:17" x14ac:dyDescent="0.3">
      <c r="A171" t="s">
        <v>445</v>
      </c>
      <c r="B171" t="s">
        <v>446</v>
      </c>
      <c r="C171" t="s">
        <v>78</v>
      </c>
      <c r="D171" t="s">
        <v>118</v>
      </c>
      <c r="E171">
        <v>46</v>
      </c>
      <c r="F171" t="s">
        <v>156</v>
      </c>
      <c r="G171" t="s">
        <v>157</v>
      </c>
      <c r="H171" t="s">
        <v>110</v>
      </c>
      <c r="I171">
        <v>23</v>
      </c>
      <c r="J171" t="s">
        <v>162</v>
      </c>
      <c r="K171">
        <v>2.9</v>
      </c>
      <c r="L171" t="s">
        <v>41</v>
      </c>
      <c r="M171">
        <v>0.72</v>
      </c>
      <c r="N171" t="s">
        <v>82</v>
      </c>
      <c r="O171" t="s">
        <v>42</v>
      </c>
      <c r="P171">
        <v>19</v>
      </c>
      <c r="Q171">
        <v>5</v>
      </c>
    </row>
    <row r="172" spans="1:17" x14ac:dyDescent="0.3">
      <c r="A172" t="s">
        <v>447</v>
      </c>
      <c r="B172" t="s">
        <v>448</v>
      </c>
      <c r="C172" t="s">
        <v>45</v>
      </c>
      <c r="D172" t="s">
        <v>97</v>
      </c>
      <c r="F172" t="s">
        <v>55</v>
      </c>
      <c r="G172" t="s">
        <v>56</v>
      </c>
      <c r="H172" t="s">
        <v>21</v>
      </c>
      <c r="J172" t="s">
        <v>86</v>
      </c>
      <c r="K172">
        <v>2.8</v>
      </c>
      <c r="L172" t="s">
        <v>41</v>
      </c>
      <c r="M172">
        <v>0.8</v>
      </c>
      <c r="N172" t="s">
        <v>82</v>
      </c>
      <c r="O172" t="s">
        <v>25</v>
      </c>
      <c r="P172">
        <v>4</v>
      </c>
      <c r="Q172">
        <v>1</v>
      </c>
    </row>
    <row r="173" spans="1:17" x14ac:dyDescent="0.3">
      <c r="A173" t="s">
        <v>449</v>
      </c>
      <c r="B173" t="s">
        <v>450</v>
      </c>
      <c r="C173" t="s">
        <v>118</v>
      </c>
      <c r="D173" t="s">
        <v>118</v>
      </c>
      <c r="E173">
        <v>34</v>
      </c>
      <c r="F173" t="s">
        <v>106</v>
      </c>
      <c r="G173" t="s">
        <v>107</v>
      </c>
      <c r="H173" t="s">
        <v>93</v>
      </c>
      <c r="I173">
        <v>0</v>
      </c>
      <c r="J173" t="s">
        <v>162</v>
      </c>
      <c r="K173">
        <v>1.7</v>
      </c>
      <c r="L173" t="s">
        <v>23</v>
      </c>
      <c r="M173">
        <v>0.66</v>
      </c>
      <c r="N173" t="s">
        <v>82</v>
      </c>
      <c r="O173" t="s">
        <v>42</v>
      </c>
      <c r="P173">
        <v>1</v>
      </c>
      <c r="Q173">
        <v>3</v>
      </c>
    </row>
    <row r="174" spans="1:17" x14ac:dyDescent="0.3">
      <c r="A174" t="s">
        <v>451</v>
      </c>
      <c r="B174" t="s">
        <v>452</v>
      </c>
      <c r="C174" t="s">
        <v>18</v>
      </c>
      <c r="D174" t="s">
        <v>97</v>
      </c>
      <c r="E174">
        <v>42</v>
      </c>
      <c r="F174" t="s">
        <v>55</v>
      </c>
      <c r="G174" t="s">
        <v>56</v>
      </c>
      <c r="H174" t="s">
        <v>39</v>
      </c>
      <c r="I174">
        <v>7</v>
      </c>
      <c r="J174" t="s">
        <v>70</v>
      </c>
      <c r="K174">
        <v>0</v>
      </c>
      <c r="L174" t="s">
        <v>33</v>
      </c>
      <c r="N174" t="s">
        <v>60</v>
      </c>
      <c r="O174" t="s">
        <v>42</v>
      </c>
      <c r="P174">
        <v>14</v>
      </c>
      <c r="Q174">
        <v>5</v>
      </c>
    </row>
    <row r="175" spans="1:17" x14ac:dyDescent="0.3">
      <c r="A175" t="s">
        <v>453</v>
      </c>
      <c r="B175" t="s">
        <v>454</v>
      </c>
      <c r="C175" t="s">
        <v>113</v>
      </c>
      <c r="D175" t="s">
        <v>118</v>
      </c>
      <c r="E175">
        <v>31</v>
      </c>
      <c r="F175" t="s">
        <v>85</v>
      </c>
      <c r="G175" t="s">
        <v>30</v>
      </c>
      <c r="H175" t="s">
        <v>66</v>
      </c>
      <c r="I175">
        <v>4</v>
      </c>
      <c r="J175" t="s">
        <v>67</v>
      </c>
      <c r="K175">
        <v>1.1000000000000001</v>
      </c>
      <c r="L175" t="s">
        <v>74</v>
      </c>
      <c r="M175">
        <v>0.64</v>
      </c>
      <c r="N175" t="s">
        <v>24</v>
      </c>
      <c r="O175" t="s">
        <v>34</v>
      </c>
      <c r="P175">
        <v>4</v>
      </c>
      <c r="Q175">
        <v>2</v>
      </c>
    </row>
    <row r="176" spans="1:17" x14ac:dyDescent="0.3">
      <c r="A176" t="s">
        <v>455</v>
      </c>
      <c r="B176" t="s">
        <v>456</v>
      </c>
      <c r="C176" t="s">
        <v>37</v>
      </c>
      <c r="D176" t="s">
        <v>118</v>
      </c>
      <c r="E176">
        <v>29</v>
      </c>
      <c r="F176" t="s">
        <v>128</v>
      </c>
      <c r="G176" t="s">
        <v>129</v>
      </c>
      <c r="H176" t="s">
        <v>93</v>
      </c>
      <c r="I176">
        <v>9</v>
      </c>
      <c r="J176" t="s">
        <v>162</v>
      </c>
      <c r="L176" t="s">
        <v>51</v>
      </c>
      <c r="M176">
        <v>0.68</v>
      </c>
      <c r="N176" t="s">
        <v>88</v>
      </c>
      <c r="O176" t="s">
        <v>75</v>
      </c>
      <c r="P176">
        <v>11</v>
      </c>
      <c r="Q176">
        <v>5</v>
      </c>
    </row>
    <row r="177" spans="1:17" x14ac:dyDescent="0.3">
      <c r="A177" t="s">
        <v>457</v>
      </c>
      <c r="B177" t="s">
        <v>458</v>
      </c>
      <c r="C177" t="s">
        <v>50</v>
      </c>
      <c r="D177" t="s">
        <v>97</v>
      </c>
      <c r="E177">
        <v>57</v>
      </c>
      <c r="F177" t="s">
        <v>29</v>
      </c>
      <c r="G177" t="s">
        <v>30</v>
      </c>
      <c r="H177" t="s">
        <v>39</v>
      </c>
      <c r="I177">
        <v>17</v>
      </c>
      <c r="J177" t="s">
        <v>162</v>
      </c>
      <c r="K177">
        <v>3.6</v>
      </c>
      <c r="L177" t="s">
        <v>23</v>
      </c>
      <c r="M177">
        <v>0.63</v>
      </c>
      <c r="N177" t="s">
        <v>60</v>
      </c>
      <c r="O177" t="s">
        <v>25</v>
      </c>
      <c r="P177">
        <v>10</v>
      </c>
      <c r="Q177">
        <v>4</v>
      </c>
    </row>
    <row r="178" spans="1:17" x14ac:dyDescent="0.3">
      <c r="A178" t="s">
        <v>459</v>
      </c>
      <c r="B178" t="s">
        <v>460</v>
      </c>
      <c r="C178" t="s">
        <v>78</v>
      </c>
      <c r="D178" t="s">
        <v>118</v>
      </c>
      <c r="E178">
        <v>47</v>
      </c>
      <c r="F178" t="s">
        <v>114</v>
      </c>
      <c r="G178" t="s">
        <v>115</v>
      </c>
      <c r="H178" t="s">
        <v>110</v>
      </c>
      <c r="I178">
        <v>8</v>
      </c>
      <c r="J178" t="s">
        <v>162</v>
      </c>
      <c r="K178">
        <v>4.5</v>
      </c>
      <c r="L178" t="s">
        <v>33</v>
      </c>
      <c r="M178">
        <v>0.72</v>
      </c>
      <c r="N178" t="s">
        <v>82</v>
      </c>
      <c r="O178" t="s">
        <v>42</v>
      </c>
      <c r="P178">
        <v>12</v>
      </c>
      <c r="Q178">
        <v>10</v>
      </c>
    </row>
    <row r="179" spans="1:17" x14ac:dyDescent="0.3">
      <c r="A179" t="s">
        <v>461</v>
      </c>
      <c r="B179" t="s">
        <v>462</v>
      </c>
      <c r="C179" t="s">
        <v>78</v>
      </c>
      <c r="D179" t="s">
        <v>118</v>
      </c>
      <c r="E179">
        <v>47</v>
      </c>
      <c r="F179" t="s">
        <v>175</v>
      </c>
      <c r="G179" t="s">
        <v>176</v>
      </c>
      <c r="H179" t="s">
        <v>57</v>
      </c>
      <c r="I179">
        <v>14</v>
      </c>
      <c r="J179" t="s">
        <v>58</v>
      </c>
      <c r="K179">
        <v>0</v>
      </c>
      <c r="L179" t="s">
        <v>74</v>
      </c>
      <c r="M179">
        <v>0.86</v>
      </c>
      <c r="N179" t="s">
        <v>60</v>
      </c>
      <c r="O179" t="s">
        <v>42</v>
      </c>
      <c r="P179">
        <v>14</v>
      </c>
      <c r="Q179">
        <v>3</v>
      </c>
    </row>
    <row r="180" spans="1:17" x14ac:dyDescent="0.3">
      <c r="A180" t="s">
        <v>463</v>
      </c>
      <c r="B180" t="s">
        <v>464</v>
      </c>
      <c r="C180" t="s">
        <v>28</v>
      </c>
      <c r="D180" t="s">
        <v>97</v>
      </c>
      <c r="E180">
        <v>45</v>
      </c>
      <c r="F180" t="s">
        <v>156</v>
      </c>
      <c r="G180" t="s">
        <v>157</v>
      </c>
      <c r="H180" t="s">
        <v>39</v>
      </c>
      <c r="I180">
        <v>21</v>
      </c>
      <c r="J180" t="s">
        <v>130</v>
      </c>
      <c r="K180">
        <v>1.5</v>
      </c>
      <c r="L180" t="s">
        <v>33</v>
      </c>
      <c r="M180">
        <v>0.73</v>
      </c>
      <c r="N180" t="s">
        <v>82</v>
      </c>
      <c r="O180" t="s">
        <v>25</v>
      </c>
      <c r="P180">
        <v>15</v>
      </c>
      <c r="Q180">
        <v>17</v>
      </c>
    </row>
    <row r="181" spans="1:17" x14ac:dyDescent="0.3">
      <c r="A181" t="s">
        <v>465</v>
      </c>
      <c r="B181" t="s">
        <v>466</v>
      </c>
      <c r="C181" t="s">
        <v>63</v>
      </c>
      <c r="D181" t="s">
        <v>118</v>
      </c>
      <c r="E181">
        <v>24</v>
      </c>
      <c r="F181" t="s">
        <v>79</v>
      </c>
      <c r="G181" t="s">
        <v>80</v>
      </c>
      <c r="H181" t="s">
        <v>135</v>
      </c>
      <c r="I181">
        <v>1</v>
      </c>
      <c r="J181" t="s">
        <v>58</v>
      </c>
      <c r="K181">
        <v>3.7</v>
      </c>
      <c r="L181" t="s">
        <v>181</v>
      </c>
      <c r="M181">
        <v>0.95</v>
      </c>
      <c r="N181" t="s">
        <v>82</v>
      </c>
      <c r="O181" t="s">
        <v>42</v>
      </c>
      <c r="P181">
        <v>3</v>
      </c>
      <c r="Q181">
        <v>1</v>
      </c>
    </row>
    <row r="182" spans="1:17" x14ac:dyDescent="0.3">
      <c r="A182" t="s">
        <v>467</v>
      </c>
      <c r="B182" t="s">
        <v>468</v>
      </c>
      <c r="C182" t="s">
        <v>28</v>
      </c>
      <c r="D182" t="s">
        <v>97</v>
      </c>
      <c r="E182">
        <v>31</v>
      </c>
      <c r="F182" t="s">
        <v>91</v>
      </c>
      <c r="G182" t="s">
        <v>92</v>
      </c>
      <c r="H182" t="s">
        <v>31</v>
      </c>
      <c r="I182">
        <v>12</v>
      </c>
      <c r="J182" t="s">
        <v>162</v>
      </c>
      <c r="K182">
        <v>2.2999999999999998</v>
      </c>
      <c r="L182" t="s">
        <v>59</v>
      </c>
      <c r="M182">
        <v>0.9</v>
      </c>
      <c r="N182" t="s">
        <v>60</v>
      </c>
      <c r="O182" t="s">
        <v>34</v>
      </c>
      <c r="P182">
        <v>11</v>
      </c>
      <c r="Q182">
        <v>6</v>
      </c>
    </row>
    <row r="183" spans="1:17" x14ac:dyDescent="0.3">
      <c r="A183" t="s">
        <v>469</v>
      </c>
      <c r="B183" t="s">
        <v>470</v>
      </c>
      <c r="C183" t="s">
        <v>45</v>
      </c>
      <c r="D183" t="s">
        <v>97</v>
      </c>
      <c r="E183">
        <v>20</v>
      </c>
      <c r="F183" t="s">
        <v>201</v>
      </c>
      <c r="G183" t="s">
        <v>92</v>
      </c>
      <c r="H183" t="s">
        <v>39</v>
      </c>
      <c r="I183">
        <v>2</v>
      </c>
      <c r="J183" t="s">
        <v>142</v>
      </c>
      <c r="K183">
        <v>2.8</v>
      </c>
      <c r="L183" t="s">
        <v>23</v>
      </c>
      <c r="M183">
        <v>0.78</v>
      </c>
      <c r="N183" t="s">
        <v>24</v>
      </c>
      <c r="O183" t="s">
        <v>34</v>
      </c>
      <c r="P183">
        <v>5</v>
      </c>
      <c r="Q183">
        <v>1</v>
      </c>
    </row>
    <row r="184" spans="1:17" x14ac:dyDescent="0.3">
      <c r="A184" t="s">
        <v>471</v>
      </c>
      <c r="B184" t="s">
        <v>472</v>
      </c>
      <c r="C184" t="s">
        <v>78</v>
      </c>
      <c r="D184" t="s">
        <v>118</v>
      </c>
      <c r="E184">
        <v>38</v>
      </c>
      <c r="F184" t="s">
        <v>106</v>
      </c>
      <c r="G184" t="s">
        <v>107</v>
      </c>
      <c r="H184" t="s">
        <v>46</v>
      </c>
      <c r="I184">
        <v>3</v>
      </c>
      <c r="J184" t="s">
        <v>52</v>
      </c>
      <c r="K184">
        <v>3.5</v>
      </c>
      <c r="L184" t="s">
        <v>181</v>
      </c>
      <c r="M184">
        <v>0.97</v>
      </c>
      <c r="N184" t="s">
        <v>82</v>
      </c>
      <c r="O184" t="s">
        <v>34</v>
      </c>
      <c r="P184">
        <v>3</v>
      </c>
      <c r="Q184">
        <v>1</v>
      </c>
    </row>
    <row r="185" spans="1:17" x14ac:dyDescent="0.3">
      <c r="A185" t="s">
        <v>473</v>
      </c>
      <c r="B185" t="s">
        <v>474</v>
      </c>
      <c r="C185" t="s">
        <v>50</v>
      </c>
      <c r="D185" t="s">
        <v>97</v>
      </c>
      <c r="E185">
        <v>33</v>
      </c>
      <c r="F185" t="s">
        <v>38</v>
      </c>
      <c r="G185" t="s">
        <v>38</v>
      </c>
      <c r="H185" t="s">
        <v>93</v>
      </c>
      <c r="I185">
        <v>11</v>
      </c>
      <c r="J185" t="s">
        <v>51</v>
      </c>
      <c r="K185">
        <v>0</v>
      </c>
      <c r="L185" t="s">
        <v>87</v>
      </c>
      <c r="M185">
        <v>0.65</v>
      </c>
      <c r="N185" t="s">
        <v>24</v>
      </c>
      <c r="O185" t="s">
        <v>34</v>
      </c>
      <c r="P185">
        <v>12</v>
      </c>
      <c r="Q185">
        <v>7</v>
      </c>
    </row>
    <row r="186" spans="1:17" x14ac:dyDescent="0.3">
      <c r="A186" t="s">
        <v>475</v>
      </c>
      <c r="B186" t="s">
        <v>476</v>
      </c>
      <c r="C186" t="s">
        <v>45</v>
      </c>
      <c r="D186" t="s">
        <v>97</v>
      </c>
      <c r="E186">
        <v>31</v>
      </c>
      <c r="F186" t="s">
        <v>29</v>
      </c>
      <c r="G186" t="s">
        <v>30</v>
      </c>
      <c r="H186" t="s">
        <v>46</v>
      </c>
      <c r="I186">
        <v>4</v>
      </c>
      <c r="J186" t="s">
        <v>86</v>
      </c>
      <c r="K186">
        <v>3.2</v>
      </c>
      <c r="L186" t="s">
        <v>33</v>
      </c>
      <c r="M186">
        <v>0.78</v>
      </c>
      <c r="N186" t="s">
        <v>88</v>
      </c>
      <c r="O186" t="s">
        <v>42</v>
      </c>
      <c r="P186">
        <v>4</v>
      </c>
      <c r="Q186">
        <v>1</v>
      </c>
    </row>
    <row r="187" spans="1:17" x14ac:dyDescent="0.3">
      <c r="A187" t="s">
        <v>477</v>
      </c>
      <c r="B187" t="s">
        <v>478</v>
      </c>
      <c r="C187" t="s">
        <v>63</v>
      </c>
      <c r="D187" t="s">
        <v>118</v>
      </c>
      <c r="E187">
        <v>41</v>
      </c>
      <c r="F187" t="s">
        <v>212</v>
      </c>
      <c r="G187" t="s">
        <v>92</v>
      </c>
      <c r="H187" t="s">
        <v>135</v>
      </c>
      <c r="I187">
        <v>21</v>
      </c>
      <c r="J187" t="s">
        <v>40</v>
      </c>
      <c r="K187">
        <v>3.3</v>
      </c>
      <c r="L187" t="s">
        <v>94</v>
      </c>
      <c r="M187">
        <v>0.65</v>
      </c>
      <c r="N187" t="s">
        <v>82</v>
      </c>
      <c r="O187" t="s">
        <v>25</v>
      </c>
      <c r="P187">
        <v>20</v>
      </c>
      <c r="Q187">
        <v>4</v>
      </c>
    </row>
    <row r="188" spans="1:17" x14ac:dyDescent="0.3">
      <c r="A188" t="s">
        <v>479</v>
      </c>
      <c r="B188" t="s">
        <v>480</v>
      </c>
      <c r="C188" t="s">
        <v>78</v>
      </c>
      <c r="D188" t="s">
        <v>118</v>
      </c>
      <c r="E188">
        <v>54</v>
      </c>
      <c r="F188" t="s">
        <v>79</v>
      </c>
      <c r="G188" t="s">
        <v>80</v>
      </c>
      <c r="H188" t="s">
        <v>46</v>
      </c>
      <c r="I188">
        <v>0</v>
      </c>
      <c r="J188" t="s">
        <v>142</v>
      </c>
      <c r="K188">
        <v>4.9000000000000004</v>
      </c>
      <c r="L188" t="s">
        <v>51</v>
      </c>
      <c r="N188" t="s">
        <v>24</v>
      </c>
      <c r="O188" t="s">
        <v>25</v>
      </c>
      <c r="P188">
        <v>2</v>
      </c>
      <c r="Q188">
        <v>4</v>
      </c>
    </row>
    <row r="189" spans="1:17" x14ac:dyDescent="0.3">
      <c r="A189" t="s">
        <v>481</v>
      </c>
      <c r="B189" t="s">
        <v>482</v>
      </c>
      <c r="C189" t="s">
        <v>37</v>
      </c>
      <c r="D189" t="s">
        <v>118</v>
      </c>
      <c r="E189">
        <v>50</v>
      </c>
      <c r="F189" t="s">
        <v>201</v>
      </c>
      <c r="G189" t="s">
        <v>92</v>
      </c>
      <c r="H189" t="s">
        <v>66</v>
      </c>
      <c r="I189">
        <v>6</v>
      </c>
      <c r="J189" t="s">
        <v>52</v>
      </c>
      <c r="K189">
        <v>2.2000000000000002</v>
      </c>
      <c r="L189" t="s">
        <v>33</v>
      </c>
      <c r="M189">
        <v>0.95</v>
      </c>
      <c r="N189" t="s">
        <v>24</v>
      </c>
      <c r="O189" t="s">
        <v>25</v>
      </c>
      <c r="P189">
        <v>13</v>
      </c>
      <c r="Q189">
        <v>2</v>
      </c>
    </row>
    <row r="190" spans="1:17" x14ac:dyDescent="0.3">
      <c r="A190" t="s">
        <v>483</v>
      </c>
      <c r="B190" t="s">
        <v>484</v>
      </c>
      <c r="C190" t="s">
        <v>78</v>
      </c>
      <c r="D190" t="s">
        <v>118</v>
      </c>
      <c r="E190">
        <v>48</v>
      </c>
      <c r="F190" t="s">
        <v>128</v>
      </c>
      <c r="G190" t="s">
        <v>129</v>
      </c>
      <c r="H190" t="s">
        <v>135</v>
      </c>
      <c r="I190">
        <v>18</v>
      </c>
      <c r="J190" t="s">
        <v>70</v>
      </c>
      <c r="L190" t="s">
        <v>33</v>
      </c>
      <c r="M190">
        <v>0.88</v>
      </c>
      <c r="N190" t="s">
        <v>88</v>
      </c>
      <c r="O190" t="s">
        <v>25</v>
      </c>
      <c r="P190">
        <v>14</v>
      </c>
      <c r="Q190">
        <v>2</v>
      </c>
    </row>
    <row r="191" spans="1:17" x14ac:dyDescent="0.3">
      <c r="A191" t="s">
        <v>485</v>
      </c>
      <c r="B191" t="s">
        <v>486</v>
      </c>
      <c r="C191" t="s">
        <v>18</v>
      </c>
      <c r="D191" t="s">
        <v>97</v>
      </c>
      <c r="E191">
        <v>49</v>
      </c>
      <c r="F191" t="s">
        <v>201</v>
      </c>
      <c r="G191" t="s">
        <v>92</v>
      </c>
      <c r="H191" t="s">
        <v>39</v>
      </c>
      <c r="J191" t="s">
        <v>51</v>
      </c>
      <c r="K191">
        <v>1.8</v>
      </c>
      <c r="L191" t="s">
        <v>23</v>
      </c>
      <c r="N191" t="s">
        <v>24</v>
      </c>
      <c r="O191" t="s">
        <v>75</v>
      </c>
      <c r="P191">
        <v>5</v>
      </c>
      <c r="Q191">
        <v>5</v>
      </c>
    </row>
    <row r="192" spans="1:17" x14ac:dyDescent="0.3">
      <c r="A192" t="s">
        <v>487</v>
      </c>
      <c r="B192" t="s">
        <v>488</v>
      </c>
      <c r="C192" t="s">
        <v>118</v>
      </c>
      <c r="D192" t="s">
        <v>118</v>
      </c>
      <c r="E192">
        <v>21</v>
      </c>
      <c r="F192" t="s">
        <v>133</v>
      </c>
      <c r="G192" t="s">
        <v>134</v>
      </c>
      <c r="H192" t="s">
        <v>39</v>
      </c>
      <c r="I192">
        <v>1</v>
      </c>
      <c r="J192" t="s">
        <v>103</v>
      </c>
      <c r="K192">
        <v>4.5999999999999996</v>
      </c>
      <c r="L192" t="s">
        <v>23</v>
      </c>
      <c r="M192">
        <v>0.92</v>
      </c>
      <c r="N192" t="s">
        <v>24</v>
      </c>
      <c r="O192" t="s">
        <v>25</v>
      </c>
      <c r="P192">
        <v>2</v>
      </c>
      <c r="Q192">
        <v>1</v>
      </c>
    </row>
    <row r="193" spans="1:17" x14ac:dyDescent="0.3">
      <c r="A193" t="s">
        <v>489</v>
      </c>
      <c r="B193" t="s">
        <v>490</v>
      </c>
      <c r="C193" t="s">
        <v>113</v>
      </c>
      <c r="D193" t="s">
        <v>118</v>
      </c>
      <c r="E193">
        <v>58</v>
      </c>
      <c r="F193" t="s">
        <v>29</v>
      </c>
      <c r="G193" t="s">
        <v>30</v>
      </c>
      <c r="H193" t="s">
        <v>39</v>
      </c>
      <c r="I193">
        <v>20</v>
      </c>
      <c r="J193" t="s">
        <v>103</v>
      </c>
      <c r="K193">
        <v>2.8</v>
      </c>
      <c r="L193" t="s">
        <v>181</v>
      </c>
      <c r="M193">
        <v>0.75</v>
      </c>
      <c r="N193" t="s">
        <v>88</v>
      </c>
      <c r="O193" t="s">
        <v>75</v>
      </c>
      <c r="P193">
        <v>13</v>
      </c>
      <c r="Q193">
        <v>1</v>
      </c>
    </row>
    <row r="194" spans="1:17" x14ac:dyDescent="0.3">
      <c r="A194" t="s">
        <v>491</v>
      </c>
      <c r="B194" t="s">
        <v>285</v>
      </c>
      <c r="C194" t="s">
        <v>78</v>
      </c>
      <c r="D194" t="s">
        <v>118</v>
      </c>
      <c r="E194">
        <v>41</v>
      </c>
      <c r="F194" t="s">
        <v>19</v>
      </c>
      <c r="G194" t="s">
        <v>20</v>
      </c>
      <c r="H194" t="s">
        <v>110</v>
      </c>
      <c r="J194" t="s">
        <v>58</v>
      </c>
      <c r="K194">
        <v>1.4</v>
      </c>
      <c r="L194" t="s">
        <v>59</v>
      </c>
      <c r="M194">
        <v>0.74</v>
      </c>
      <c r="N194" t="s">
        <v>82</v>
      </c>
      <c r="O194" t="s">
        <v>75</v>
      </c>
      <c r="P194">
        <v>2</v>
      </c>
      <c r="Q194">
        <v>4</v>
      </c>
    </row>
    <row r="195" spans="1:17" x14ac:dyDescent="0.3">
      <c r="A195" t="s">
        <v>492</v>
      </c>
      <c r="B195" t="s">
        <v>493</v>
      </c>
      <c r="C195" t="s">
        <v>45</v>
      </c>
      <c r="D195" t="s">
        <v>97</v>
      </c>
      <c r="E195">
        <v>58</v>
      </c>
      <c r="F195" t="s">
        <v>145</v>
      </c>
      <c r="G195" t="s">
        <v>146</v>
      </c>
      <c r="H195" t="s">
        <v>21</v>
      </c>
      <c r="I195">
        <v>25</v>
      </c>
      <c r="J195" t="s">
        <v>58</v>
      </c>
      <c r="K195">
        <v>4.2</v>
      </c>
      <c r="L195" t="s">
        <v>94</v>
      </c>
      <c r="M195">
        <v>0.71</v>
      </c>
      <c r="N195" t="s">
        <v>24</v>
      </c>
      <c r="O195" t="s">
        <v>34</v>
      </c>
      <c r="P195">
        <v>11</v>
      </c>
      <c r="Q195">
        <v>13</v>
      </c>
    </row>
    <row r="196" spans="1:17" x14ac:dyDescent="0.3">
      <c r="A196" t="s">
        <v>494</v>
      </c>
      <c r="B196" t="s">
        <v>495</v>
      </c>
      <c r="C196" t="s">
        <v>50</v>
      </c>
      <c r="D196" t="s">
        <v>97</v>
      </c>
      <c r="E196">
        <v>50</v>
      </c>
      <c r="F196" t="s">
        <v>175</v>
      </c>
      <c r="G196" t="s">
        <v>176</v>
      </c>
      <c r="H196" t="s">
        <v>39</v>
      </c>
      <c r="I196">
        <v>20</v>
      </c>
      <c r="J196" t="s">
        <v>70</v>
      </c>
      <c r="K196">
        <v>3.6</v>
      </c>
      <c r="L196" t="s">
        <v>33</v>
      </c>
      <c r="M196">
        <v>0.89</v>
      </c>
      <c r="N196" t="s">
        <v>24</v>
      </c>
      <c r="O196" t="s">
        <v>75</v>
      </c>
      <c r="P196">
        <v>17</v>
      </c>
      <c r="Q196">
        <v>2</v>
      </c>
    </row>
    <row r="197" spans="1:17" x14ac:dyDescent="0.3">
      <c r="A197" t="s">
        <v>496</v>
      </c>
      <c r="B197" t="s">
        <v>497</v>
      </c>
      <c r="C197" t="s">
        <v>63</v>
      </c>
      <c r="D197" t="s">
        <v>118</v>
      </c>
      <c r="E197">
        <v>52</v>
      </c>
      <c r="F197" t="s">
        <v>64</v>
      </c>
      <c r="G197" t="s">
        <v>65</v>
      </c>
      <c r="H197" t="s">
        <v>46</v>
      </c>
      <c r="I197">
        <v>33</v>
      </c>
      <c r="J197" t="s">
        <v>251</v>
      </c>
      <c r="K197">
        <v>1.6</v>
      </c>
      <c r="L197" t="s">
        <v>51</v>
      </c>
      <c r="M197">
        <v>0.66</v>
      </c>
      <c r="N197" t="s">
        <v>24</v>
      </c>
      <c r="O197" t="s">
        <v>42</v>
      </c>
      <c r="P197">
        <v>14</v>
      </c>
      <c r="Q197">
        <v>17</v>
      </c>
    </row>
    <row r="198" spans="1:17" x14ac:dyDescent="0.3">
      <c r="A198" t="s">
        <v>498</v>
      </c>
      <c r="B198" t="s">
        <v>499</v>
      </c>
      <c r="C198" t="s">
        <v>63</v>
      </c>
      <c r="D198" t="s">
        <v>118</v>
      </c>
      <c r="E198">
        <v>34</v>
      </c>
      <c r="F198" t="s">
        <v>55</v>
      </c>
      <c r="G198" t="s">
        <v>56</v>
      </c>
      <c r="H198" t="s">
        <v>66</v>
      </c>
      <c r="I198">
        <v>6</v>
      </c>
      <c r="J198" t="s">
        <v>251</v>
      </c>
      <c r="K198">
        <v>2</v>
      </c>
      <c r="L198" t="s">
        <v>181</v>
      </c>
      <c r="N198" t="s">
        <v>60</v>
      </c>
      <c r="O198" t="s">
        <v>75</v>
      </c>
      <c r="P198">
        <v>13</v>
      </c>
      <c r="Q198">
        <v>1</v>
      </c>
    </row>
    <row r="199" spans="1:17" x14ac:dyDescent="0.3">
      <c r="A199" t="s">
        <v>500</v>
      </c>
      <c r="B199" t="s">
        <v>501</v>
      </c>
      <c r="C199" t="s">
        <v>118</v>
      </c>
      <c r="D199" t="s">
        <v>118</v>
      </c>
      <c r="E199">
        <v>32</v>
      </c>
      <c r="F199" t="s">
        <v>156</v>
      </c>
      <c r="G199" t="s">
        <v>157</v>
      </c>
      <c r="H199" t="s">
        <v>135</v>
      </c>
      <c r="I199">
        <v>11</v>
      </c>
      <c r="J199" t="s">
        <v>86</v>
      </c>
      <c r="K199">
        <v>4.3</v>
      </c>
      <c r="L199" t="s">
        <v>74</v>
      </c>
      <c r="M199">
        <v>0.86</v>
      </c>
      <c r="N199" t="s">
        <v>88</v>
      </c>
      <c r="O199" t="s">
        <v>34</v>
      </c>
      <c r="P199">
        <v>9</v>
      </c>
      <c r="Q199">
        <v>2</v>
      </c>
    </row>
    <row r="200" spans="1:17" x14ac:dyDescent="0.3">
      <c r="A200" t="s">
        <v>502</v>
      </c>
      <c r="B200" t="s">
        <v>503</v>
      </c>
      <c r="C200" t="s">
        <v>45</v>
      </c>
      <c r="D200" t="s">
        <v>97</v>
      </c>
      <c r="E200">
        <v>50</v>
      </c>
      <c r="F200" t="s">
        <v>114</v>
      </c>
      <c r="G200" t="s">
        <v>115</v>
      </c>
      <c r="H200" t="s">
        <v>39</v>
      </c>
      <c r="I200">
        <v>28</v>
      </c>
      <c r="J200" t="s">
        <v>251</v>
      </c>
      <c r="K200">
        <v>4.9000000000000004</v>
      </c>
      <c r="L200" t="s">
        <v>94</v>
      </c>
      <c r="M200">
        <v>0.86</v>
      </c>
      <c r="N200" t="s">
        <v>60</v>
      </c>
      <c r="O200" t="s">
        <v>75</v>
      </c>
      <c r="P200">
        <v>12</v>
      </c>
      <c r="Q200">
        <v>3</v>
      </c>
    </row>
    <row r="201" spans="1:17" x14ac:dyDescent="0.3">
      <c r="A201" t="s">
        <v>504</v>
      </c>
      <c r="B201" t="s">
        <v>505</v>
      </c>
      <c r="C201" t="s">
        <v>50</v>
      </c>
      <c r="D201" t="s">
        <v>97</v>
      </c>
      <c r="E201">
        <v>39</v>
      </c>
      <c r="F201" t="s">
        <v>91</v>
      </c>
      <c r="G201" t="s">
        <v>92</v>
      </c>
      <c r="H201" t="s">
        <v>66</v>
      </c>
      <c r="I201">
        <v>11</v>
      </c>
      <c r="J201" t="s">
        <v>22</v>
      </c>
      <c r="K201">
        <v>3.5</v>
      </c>
      <c r="L201" t="s">
        <v>94</v>
      </c>
      <c r="M201">
        <v>0.82</v>
      </c>
      <c r="N201" t="s">
        <v>88</v>
      </c>
      <c r="O201" t="s">
        <v>42</v>
      </c>
      <c r="P201">
        <v>12</v>
      </c>
      <c r="Q201">
        <v>2</v>
      </c>
    </row>
    <row r="202" spans="1:17" x14ac:dyDescent="0.3">
      <c r="A202" t="s">
        <v>506</v>
      </c>
      <c r="B202" t="s">
        <v>507</v>
      </c>
      <c r="C202" t="s">
        <v>18</v>
      </c>
      <c r="D202" t="s">
        <v>97</v>
      </c>
      <c r="E202">
        <v>25</v>
      </c>
      <c r="F202" t="s">
        <v>212</v>
      </c>
      <c r="G202" t="s">
        <v>92</v>
      </c>
      <c r="H202" t="s">
        <v>57</v>
      </c>
      <c r="I202">
        <v>2</v>
      </c>
      <c r="J202" t="s">
        <v>22</v>
      </c>
      <c r="K202">
        <v>2.5</v>
      </c>
      <c r="L202" t="s">
        <v>181</v>
      </c>
      <c r="M202">
        <v>87</v>
      </c>
      <c r="N202" t="s">
        <v>82</v>
      </c>
      <c r="O202" t="s">
        <v>42</v>
      </c>
      <c r="P202">
        <v>1</v>
      </c>
      <c r="Q202">
        <v>1</v>
      </c>
    </row>
    <row r="203" spans="1:17" x14ac:dyDescent="0.3">
      <c r="A203" t="s">
        <v>508</v>
      </c>
      <c r="B203" t="s">
        <v>509</v>
      </c>
      <c r="C203" t="s">
        <v>28</v>
      </c>
      <c r="D203" t="s">
        <v>97</v>
      </c>
      <c r="E203">
        <v>55</v>
      </c>
      <c r="F203" t="s">
        <v>197</v>
      </c>
      <c r="G203" t="s">
        <v>198</v>
      </c>
      <c r="H203" t="s">
        <v>135</v>
      </c>
      <c r="I203">
        <v>7</v>
      </c>
      <c r="J203" t="s">
        <v>22</v>
      </c>
      <c r="K203">
        <v>1.7</v>
      </c>
      <c r="L203" t="s">
        <v>33</v>
      </c>
      <c r="M203">
        <v>0.8</v>
      </c>
      <c r="N203" t="s">
        <v>82</v>
      </c>
      <c r="O203" t="s">
        <v>42</v>
      </c>
      <c r="P203">
        <v>14</v>
      </c>
      <c r="Q203">
        <v>4</v>
      </c>
    </row>
    <row r="204" spans="1:17" x14ac:dyDescent="0.3">
      <c r="A204" t="s">
        <v>510</v>
      </c>
      <c r="B204" t="s">
        <v>511</v>
      </c>
      <c r="C204" t="s">
        <v>63</v>
      </c>
      <c r="D204" t="s">
        <v>118</v>
      </c>
      <c r="E204">
        <v>42</v>
      </c>
      <c r="F204" t="s">
        <v>19</v>
      </c>
      <c r="G204" t="s">
        <v>20</v>
      </c>
      <c r="H204" t="s">
        <v>110</v>
      </c>
      <c r="I204">
        <v>10</v>
      </c>
      <c r="J204" t="s">
        <v>32</v>
      </c>
      <c r="K204">
        <v>4.5999999999999996</v>
      </c>
      <c r="L204" t="s">
        <v>94</v>
      </c>
      <c r="M204">
        <v>0.71</v>
      </c>
      <c r="N204" t="s">
        <v>24</v>
      </c>
      <c r="O204" t="s">
        <v>34</v>
      </c>
      <c r="P204">
        <v>15</v>
      </c>
      <c r="Q204">
        <v>10</v>
      </c>
    </row>
    <row r="205" spans="1:17" x14ac:dyDescent="0.3">
      <c r="A205" t="s">
        <v>512</v>
      </c>
      <c r="B205" t="s">
        <v>513</v>
      </c>
      <c r="C205" t="s">
        <v>37</v>
      </c>
      <c r="D205" t="s">
        <v>118</v>
      </c>
      <c r="E205">
        <v>43</v>
      </c>
      <c r="F205" t="s">
        <v>145</v>
      </c>
      <c r="G205" t="s">
        <v>146</v>
      </c>
      <c r="H205" t="s">
        <v>31</v>
      </c>
      <c r="I205">
        <v>6</v>
      </c>
      <c r="J205" t="s">
        <v>40</v>
      </c>
      <c r="L205" t="s">
        <v>41</v>
      </c>
      <c r="M205">
        <v>0.77</v>
      </c>
      <c r="N205" t="s">
        <v>88</v>
      </c>
      <c r="O205" t="s">
        <v>34</v>
      </c>
      <c r="P205">
        <v>6</v>
      </c>
      <c r="Q205">
        <v>9</v>
      </c>
    </row>
    <row r="206" spans="1:17" x14ac:dyDescent="0.3">
      <c r="A206" t="s">
        <v>514</v>
      </c>
      <c r="B206" t="s">
        <v>515</v>
      </c>
      <c r="C206" t="s">
        <v>63</v>
      </c>
      <c r="D206" t="s">
        <v>118</v>
      </c>
      <c r="E206">
        <v>54</v>
      </c>
      <c r="F206" t="s">
        <v>19</v>
      </c>
      <c r="G206" t="s">
        <v>20</v>
      </c>
      <c r="H206" t="s">
        <v>110</v>
      </c>
      <c r="I206">
        <v>29</v>
      </c>
      <c r="J206" t="s">
        <v>58</v>
      </c>
      <c r="K206">
        <v>1.7</v>
      </c>
      <c r="L206" t="s">
        <v>23</v>
      </c>
      <c r="M206">
        <v>68</v>
      </c>
      <c r="N206" t="s">
        <v>82</v>
      </c>
      <c r="O206" t="s">
        <v>25</v>
      </c>
      <c r="P206">
        <v>19</v>
      </c>
      <c r="Q206">
        <v>2</v>
      </c>
    </row>
    <row r="207" spans="1:17" x14ac:dyDescent="0.3">
      <c r="A207" t="s">
        <v>516</v>
      </c>
      <c r="B207" t="s">
        <v>517</v>
      </c>
      <c r="C207" t="s">
        <v>28</v>
      </c>
      <c r="D207" t="s">
        <v>97</v>
      </c>
      <c r="E207">
        <v>21</v>
      </c>
      <c r="F207" t="s">
        <v>160</v>
      </c>
      <c r="G207" t="s">
        <v>161</v>
      </c>
      <c r="H207" t="s">
        <v>39</v>
      </c>
      <c r="I207">
        <v>0</v>
      </c>
      <c r="J207" t="s">
        <v>162</v>
      </c>
      <c r="K207">
        <v>1.8</v>
      </c>
      <c r="L207" t="s">
        <v>41</v>
      </c>
      <c r="M207">
        <v>0.91</v>
      </c>
      <c r="N207" t="s">
        <v>88</v>
      </c>
      <c r="O207" t="s">
        <v>34</v>
      </c>
      <c r="P207">
        <v>4</v>
      </c>
      <c r="Q207">
        <v>1</v>
      </c>
    </row>
    <row r="208" spans="1:17" x14ac:dyDescent="0.3">
      <c r="A208" t="s">
        <v>518</v>
      </c>
      <c r="B208" t="s">
        <v>519</v>
      </c>
      <c r="C208" t="s">
        <v>63</v>
      </c>
      <c r="D208" t="s">
        <v>118</v>
      </c>
      <c r="E208">
        <v>46</v>
      </c>
      <c r="F208" t="s">
        <v>149</v>
      </c>
      <c r="G208" t="s">
        <v>30</v>
      </c>
      <c r="H208" t="s">
        <v>93</v>
      </c>
      <c r="I208">
        <v>5</v>
      </c>
      <c r="J208" t="s">
        <v>162</v>
      </c>
      <c r="K208">
        <v>2.2000000000000002</v>
      </c>
      <c r="L208" t="s">
        <v>59</v>
      </c>
      <c r="M208">
        <v>0.75</v>
      </c>
      <c r="N208" t="s">
        <v>82</v>
      </c>
      <c r="O208" t="s">
        <v>42</v>
      </c>
      <c r="P208">
        <v>1</v>
      </c>
      <c r="Q208">
        <v>5</v>
      </c>
    </row>
    <row r="209" spans="1:17" x14ac:dyDescent="0.3">
      <c r="A209" t="s">
        <v>520</v>
      </c>
      <c r="B209" t="s">
        <v>521</v>
      </c>
      <c r="C209" t="s">
        <v>18</v>
      </c>
      <c r="D209" t="s">
        <v>97</v>
      </c>
      <c r="E209">
        <v>30</v>
      </c>
      <c r="F209" t="s">
        <v>212</v>
      </c>
      <c r="G209" t="s">
        <v>92</v>
      </c>
      <c r="H209" t="s">
        <v>21</v>
      </c>
      <c r="I209">
        <v>11</v>
      </c>
      <c r="J209" t="s">
        <v>86</v>
      </c>
      <c r="K209">
        <v>1</v>
      </c>
      <c r="L209" t="s">
        <v>41</v>
      </c>
      <c r="M209">
        <v>0.9</v>
      </c>
      <c r="N209" t="s">
        <v>60</v>
      </c>
      <c r="O209" t="s">
        <v>42</v>
      </c>
      <c r="P209">
        <v>11</v>
      </c>
      <c r="Q209">
        <v>1</v>
      </c>
    </row>
    <row r="210" spans="1:17" x14ac:dyDescent="0.3">
      <c r="A210" t="s">
        <v>522</v>
      </c>
      <c r="B210" t="s">
        <v>523</v>
      </c>
      <c r="C210" t="s">
        <v>37</v>
      </c>
      <c r="D210" t="s">
        <v>118</v>
      </c>
      <c r="E210">
        <v>36</v>
      </c>
      <c r="F210" t="s">
        <v>197</v>
      </c>
      <c r="G210" t="s">
        <v>198</v>
      </c>
      <c r="H210" t="s">
        <v>135</v>
      </c>
      <c r="I210">
        <v>11</v>
      </c>
      <c r="J210" t="s">
        <v>192</v>
      </c>
      <c r="K210">
        <v>3.2</v>
      </c>
      <c r="L210" t="s">
        <v>23</v>
      </c>
      <c r="M210">
        <v>93</v>
      </c>
      <c r="N210" t="s">
        <v>82</v>
      </c>
      <c r="O210" t="s">
        <v>34</v>
      </c>
      <c r="P210">
        <v>10</v>
      </c>
      <c r="Q210">
        <v>3</v>
      </c>
    </row>
    <row r="211" spans="1:17" x14ac:dyDescent="0.3">
      <c r="A211" t="s">
        <v>524</v>
      </c>
      <c r="B211" t="s">
        <v>525</v>
      </c>
      <c r="C211" t="s">
        <v>97</v>
      </c>
      <c r="D211" t="s">
        <v>97</v>
      </c>
      <c r="E211">
        <v>47</v>
      </c>
      <c r="F211" t="s">
        <v>38</v>
      </c>
      <c r="G211" t="s">
        <v>38</v>
      </c>
      <c r="H211" t="s">
        <v>66</v>
      </c>
      <c r="I211">
        <v>15</v>
      </c>
      <c r="J211" t="s">
        <v>86</v>
      </c>
      <c r="K211">
        <v>2.1</v>
      </c>
      <c r="L211" t="s">
        <v>87</v>
      </c>
      <c r="M211">
        <v>0.94</v>
      </c>
      <c r="N211" t="s">
        <v>60</v>
      </c>
      <c r="O211" t="s">
        <v>75</v>
      </c>
      <c r="P211">
        <v>8</v>
      </c>
      <c r="Q211">
        <v>10</v>
      </c>
    </row>
    <row r="212" spans="1:17" x14ac:dyDescent="0.3">
      <c r="A212" t="s">
        <v>526</v>
      </c>
      <c r="B212" t="s">
        <v>527</v>
      </c>
      <c r="C212" t="s">
        <v>45</v>
      </c>
      <c r="D212" t="s">
        <v>97</v>
      </c>
      <c r="E212">
        <v>43</v>
      </c>
      <c r="F212" t="s">
        <v>149</v>
      </c>
      <c r="G212" t="s">
        <v>30</v>
      </c>
      <c r="H212" t="s">
        <v>31</v>
      </c>
      <c r="I212">
        <v>1</v>
      </c>
      <c r="J212" t="s">
        <v>119</v>
      </c>
      <c r="K212">
        <v>4.5999999999999996</v>
      </c>
      <c r="L212" t="s">
        <v>74</v>
      </c>
      <c r="M212">
        <v>64</v>
      </c>
      <c r="N212" t="s">
        <v>82</v>
      </c>
      <c r="O212" t="s">
        <v>34</v>
      </c>
      <c r="P212">
        <v>4</v>
      </c>
      <c r="Q212">
        <v>2</v>
      </c>
    </row>
    <row r="213" spans="1:17" x14ac:dyDescent="0.3">
      <c r="A213" t="s">
        <v>528</v>
      </c>
      <c r="B213" t="s">
        <v>529</v>
      </c>
      <c r="C213" t="s">
        <v>63</v>
      </c>
      <c r="D213" t="s">
        <v>118</v>
      </c>
      <c r="E213">
        <v>57</v>
      </c>
      <c r="F213" t="s">
        <v>133</v>
      </c>
      <c r="G213" t="s">
        <v>134</v>
      </c>
      <c r="H213" t="s">
        <v>98</v>
      </c>
      <c r="I213">
        <v>8</v>
      </c>
      <c r="J213" t="s">
        <v>142</v>
      </c>
      <c r="K213">
        <v>0</v>
      </c>
      <c r="L213" t="s">
        <v>87</v>
      </c>
      <c r="M213">
        <v>0.84</v>
      </c>
      <c r="N213" t="s">
        <v>24</v>
      </c>
      <c r="O213" t="s">
        <v>34</v>
      </c>
      <c r="P213">
        <v>8</v>
      </c>
      <c r="Q213">
        <v>5</v>
      </c>
    </row>
    <row r="214" spans="1:17" x14ac:dyDescent="0.3">
      <c r="A214" t="s">
        <v>530</v>
      </c>
      <c r="B214" t="s">
        <v>531</v>
      </c>
      <c r="C214" t="s">
        <v>37</v>
      </c>
      <c r="D214" t="s">
        <v>118</v>
      </c>
      <c r="E214">
        <v>52</v>
      </c>
      <c r="F214" t="s">
        <v>19</v>
      </c>
      <c r="G214" t="s">
        <v>20</v>
      </c>
      <c r="H214" t="s">
        <v>135</v>
      </c>
      <c r="I214">
        <v>30</v>
      </c>
      <c r="J214" t="s">
        <v>142</v>
      </c>
      <c r="K214">
        <v>2.8</v>
      </c>
      <c r="L214" t="s">
        <v>181</v>
      </c>
      <c r="M214">
        <v>0.87</v>
      </c>
      <c r="N214" t="s">
        <v>60</v>
      </c>
      <c r="O214" t="s">
        <v>42</v>
      </c>
      <c r="P214">
        <v>12</v>
      </c>
      <c r="Q214">
        <v>5</v>
      </c>
    </row>
    <row r="215" spans="1:17" x14ac:dyDescent="0.3">
      <c r="A215" t="s">
        <v>532</v>
      </c>
      <c r="B215" t="s">
        <v>533</v>
      </c>
      <c r="C215" t="s">
        <v>78</v>
      </c>
      <c r="D215" t="s">
        <v>118</v>
      </c>
      <c r="F215" t="s">
        <v>38</v>
      </c>
      <c r="G215" t="s">
        <v>38</v>
      </c>
      <c r="H215" t="s">
        <v>21</v>
      </c>
      <c r="I215">
        <v>8</v>
      </c>
      <c r="J215" t="s">
        <v>47</v>
      </c>
      <c r="K215">
        <v>0</v>
      </c>
      <c r="L215" t="s">
        <v>41</v>
      </c>
      <c r="M215">
        <v>0.64</v>
      </c>
      <c r="N215" t="s">
        <v>82</v>
      </c>
      <c r="O215" t="s">
        <v>25</v>
      </c>
      <c r="P215">
        <v>14</v>
      </c>
      <c r="Q215">
        <v>4</v>
      </c>
    </row>
    <row r="216" spans="1:17" x14ac:dyDescent="0.3">
      <c r="A216" t="s">
        <v>534</v>
      </c>
      <c r="B216" t="s">
        <v>535</v>
      </c>
      <c r="C216" t="s">
        <v>50</v>
      </c>
      <c r="D216" t="s">
        <v>97</v>
      </c>
      <c r="E216">
        <v>22</v>
      </c>
      <c r="F216" t="s">
        <v>64</v>
      </c>
      <c r="G216" t="s">
        <v>65</v>
      </c>
      <c r="H216" t="s">
        <v>135</v>
      </c>
      <c r="I216">
        <v>0</v>
      </c>
      <c r="J216" t="s">
        <v>22</v>
      </c>
      <c r="K216">
        <v>2.7</v>
      </c>
      <c r="L216" t="s">
        <v>74</v>
      </c>
      <c r="M216">
        <v>0.64</v>
      </c>
      <c r="N216" t="s">
        <v>24</v>
      </c>
      <c r="O216" t="s">
        <v>42</v>
      </c>
      <c r="P216">
        <v>1</v>
      </c>
      <c r="Q216">
        <v>1</v>
      </c>
    </row>
    <row r="217" spans="1:17" x14ac:dyDescent="0.3">
      <c r="A217" t="s">
        <v>536</v>
      </c>
      <c r="B217" t="s">
        <v>537</v>
      </c>
      <c r="C217" t="s">
        <v>63</v>
      </c>
      <c r="D217" t="s">
        <v>118</v>
      </c>
      <c r="F217" t="s">
        <v>114</v>
      </c>
      <c r="G217" t="s">
        <v>115</v>
      </c>
      <c r="H217" t="s">
        <v>135</v>
      </c>
      <c r="I217">
        <v>12</v>
      </c>
      <c r="J217" t="s">
        <v>142</v>
      </c>
      <c r="K217">
        <v>0</v>
      </c>
      <c r="L217" t="s">
        <v>74</v>
      </c>
      <c r="M217">
        <v>0.8</v>
      </c>
      <c r="N217" t="s">
        <v>60</v>
      </c>
      <c r="O217" t="s">
        <v>25</v>
      </c>
      <c r="P217">
        <v>8</v>
      </c>
      <c r="Q217">
        <v>13</v>
      </c>
    </row>
    <row r="218" spans="1:17" x14ac:dyDescent="0.3">
      <c r="A218" t="s">
        <v>538</v>
      </c>
      <c r="B218" t="s">
        <v>539</v>
      </c>
      <c r="C218" t="s">
        <v>45</v>
      </c>
      <c r="D218" t="s">
        <v>97</v>
      </c>
      <c r="E218">
        <v>58</v>
      </c>
      <c r="F218" t="s">
        <v>212</v>
      </c>
      <c r="G218" t="s">
        <v>92</v>
      </c>
      <c r="H218" t="s">
        <v>31</v>
      </c>
      <c r="I218">
        <v>4</v>
      </c>
      <c r="J218" t="s">
        <v>81</v>
      </c>
      <c r="K218">
        <v>3.1</v>
      </c>
      <c r="L218" t="s">
        <v>23</v>
      </c>
      <c r="M218">
        <v>0.9</v>
      </c>
      <c r="N218" t="s">
        <v>24</v>
      </c>
      <c r="O218" t="s">
        <v>42</v>
      </c>
      <c r="P218">
        <v>2</v>
      </c>
      <c r="Q218">
        <v>1</v>
      </c>
    </row>
    <row r="219" spans="1:17" x14ac:dyDescent="0.3">
      <c r="A219" t="s">
        <v>540</v>
      </c>
      <c r="B219" t="s">
        <v>541</v>
      </c>
      <c r="C219" t="s">
        <v>113</v>
      </c>
      <c r="D219" t="s">
        <v>118</v>
      </c>
      <c r="E219">
        <v>39</v>
      </c>
      <c r="F219" t="s">
        <v>133</v>
      </c>
      <c r="G219" t="s">
        <v>134</v>
      </c>
      <c r="H219" t="s">
        <v>46</v>
      </c>
      <c r="I219">
        <v>14</v>
      </c>
      <c r="J219" t="s">
        <v>32</v>
      </c>
      <c r="K219">
        <v>0</v>
      </c>
      <c r="L219" t="s">
        <v>94</v>
      </c>
      <c r="M219">
        <v>0.92</v>
      </c>
      <c r="N219" t="s">
        <v>88</v>
      </c>
      <c r="O219" t="s">
        <v>34</v>
      </c>
      <c r="P219">
        <v>7</v>
      </c>
      <c r="Q219">
        <v>9</v>
      </c>
    </row>
    <row r="220" spans="1:17" x14ac:dyDescent="0.3">
      <c r="A220" t="s">
        <v>542</v>
      </c>
      <c r="B220" t="s">
        <v>543</v>
      </c>
      <c r="C220" t="s">
        <v>113</v>
      </c>
      <c r="D220" t="s">
        <v>118</v>
      </c>
      <c r="E220">
        <v>32</v>
      </c>
      <c r="F220" t="s">
        <v>64</v>
      </c>
      <c r="G220" t="s">
        <v>65</v>
      </c>
      <c r="H220" t="s">
        <v>39</v>
      </c>
      <c r="I220">
        <v>14</v>
      </c>
      <c r="J220" t="s">
        <v>51</v>
      </c>
      <c r="L220" t="s">
        <v>23</v>
      </c>
      <c r="M220">
        <v>0.96</v>
      </c>
      <c r="N220" t="s">
        <v>88</v>
      </c>
      <c r="O220" t="s">
        <v>42</v>
      </c>
      <c r="P220">
        <v>14</v>
      </c>
      <c r="Q220">
        <v>3</v>
      </c>
    </row>
    <row r="221" spans="1:17" x14ac:dyDescent="0.3">
      <c r="A221" t="s">
        <v>544</v>
      </c>
      <c r="B221" t="s">
        <v>545</v>
      </c>
      <c r="C221" t="s">
        <v>63</v>
      </c>
      <c r="D221" t="s">
        <v>118</v>
      </c>
      <c r="E221">
        <v>37</v>
      </c>
      <c r="F221" t="s">
        <v>149</v>
      </c>
      <c r="G221" t="s">
        <v>30</v>
      </c>
      <c r="H221" t="s">
        <v>93</v>
      </c>
      <c r="I221">
        <v>2</v>
      </c>
      <c r="J221" t="s">
        <v>58</v>
      </c>
      <c r="K221">
        <v>2.2999999999999998</v>
      </c>
      <c r="L221" t="s">
        <v>87</v>
      </c>
      <c r="N221" t="s">
        <v>60</v>
      </c>
      <c r="O221" t="s">
        <v>42</v>
      </c>
      <c r="P221">
        <v>4</v>
      </c>
      <c r="Q221">
        <v>4</v>
      </c>
    </row>
    <row r="222" spans="1:17" x14ac:dyDescent="0.3">
      <c r="A222" t="s">
        <v>546</v>
      </c>
      <c r="B222" t="s">
        <v>547</v>
      </c>
      <c r="C222" t="s">
        <v>28</v>
      </c>
      <c r="D222" t="s">
        <v>97</v>
      </c>
      <c r="E222">
        <v>21</v>
      </c>
      <c r="F222" t="s">
        <v>197</v>
      </c>
      <c r="G222" t="s">
        <v>198</v>
      </c>
      <c r="H222" t="s">
        <v>98</v>
      </c>
      <c r="I222">
        <v>2</v>
      </c>
      <c r="J222" t="s">
        <v>22</v>
      </c>
      <c r="K222">
        <v>2.4</v>
      </c>
      <c r="L222" t="s">
        <v>94</v>
      </c>
      <c r="N222" t="s">
        <v>82</v>
      </c>
      <c r="O222" t="s">
        <v>42</v>
      </c>
      <c r="P222">
        <v>3</v>
      </c>
      <c r="Q222">
        <v>1</v>
      </c>
    </row>
    <row r="223" spans="1:17" x14ac:dyDescent="0.3">
      <c r="A223" t="s">
        <v>548</v>
      </c>
      <c r="B223" t="s">
        <v>549</v>
      </c>
      <c r="C223" t="s">
        <v>78</v>
      </c>
      <c r="D223" t="s">
        <v>118</v>
      </c>
      <c r="E223">
        <v>41</v>
      </c>
      <c r="F223" t="s">
        <v>133</v>
      </c>
      <c r="G223" t="s">
        <v>134</v>
      </c>
      <c r="H223" t="s">
        <v>135</v>
      </c>
      <c r="I223">
        <v>4</v>
      </c>
      <c r="J223" t="s">
        <v>103</v>
      </c>
      <c r="K223">
        <v>2.6</v>
      </c>
      <c r="L223" t="s">
        <v>51</v>
      </c>
      <c r="M223">
        <v>0.85</v>
      </c>
      <c r="N223" t="s">
        <v>60</v>
      </c>
      <c r="O223" t="s">
        <v>34</v>
      </c>
      <c r="P223">
        <v>4</v>
      </c>
      <c r="Q223">
        <v>1</v>
      </c>
    </row>
    <row r="224" spans="1:17" x14ac:dyDescent="0.3">
      <c r="A224" t="s">
        <v>550</v>
      </c>
      <c r="B224" t="s">
        <v>551</v>
      </c>
      <c r="C224" t="s">
        <v>18</v>
      </c>
      <c r="D224" t="s">
        <v>97</v>
      </c>
      <c r="E224">
        <v>21</v>
      </c>
      <c r="F224" t="s">
        <v>149</v>
      </c>
      <c r="G224" t="s">
        <v>30</v>
      </c>
      <c r="H224" t="s">
        <v>57</v>
      </c>
      <c r="I224">
        <v>0</v>
      </c>
      <c r="J224" t="s">
        <v>70</v>
      </c>
      <c r="K224">
        <v>1.1000000000000001</v>
      </c>
      <c r="L224" t="s">
        <v>23</v>
      </c>
      <c r="M224">
        <v>0.79</v>
      </c>
      <c r="N224" t="s">
        <v>24</v>
      </c>
      <c r="O224" t="s">
        <v>34</v>
      </c>
      <c r="P224">
        <v>5</v>
      </c>
      <c r="Q224">
        <v>2</v>
      </c>
    </row>
    <row r="225" spans="1:17" x14ac:dyDescent="0.3">
      <c r="A225" t="s">
        <v>552</v>
      </c>
      <c r="B225" t="s">
        <v>553</v>
      </c>
      <c r="C225" t="s">
        <v>45</v>
      </c>
      <c r="D225" t="s">
        <v>97</v>
      </c>
      <c r="E225">
        <v>58</v>
      </c>
      <c r="F225" t="s">
        <v>197</v>
      </c>
      <c r="G225" t="s">
        <v>198</v>
      </c>
      <c r="H225" t="s">
        <v>135</v>
      </c>
      <c r="I225">
        <v>9</v>
      </c>
      <c r="J225" t="s">
        <v>52</v>
      </c>
      <c r="K225">
        <v>0</v>
      </c>
      <c r="L225" t="s">
        <v>33</v>
      </c>
      <c r="M225">
        <v>0.65</v>
      </c>
      <c r="N225" t="s">
        <v>82</v>
      </c>
      <c r="O225" t="s">
        <v>34</v>
      </c>
      <c r="P225">
        <v>15</v>
      </c>
      <c r="Q225">
        <v>6</v>
      </c>
    </row>
    <row r="226" spans="1:17" x14ac:dyDescent="0.3">
      <c r="A226" t="s">
        <v>554</v>
      </c>
      <c r="B226" t="s">
        <v>555</v>
      </c>
      <c r="C226" t="s">
        <v>118</v>
      </c>
      <c r="D226" t="s">
        <v>118</v>
      </c>
      <c r="E226">
        <v>60</v>
      </c>
      <c r="F226" t="s">
        <v>149</v>
      </c>
      <c r="G226" t="s">
        <v>30</v>
      </c>
      <c r="H226" t="s">
        <v>135</v>
      </c>
      <c r="I226">
        <v>3</v>
      </c>
      <c r="J226" t="s">
        <v>86</v>
      </c>
      <c r="K226">
        <v>4.7</v>
      </c>
      <c r="L226" t="s">
        <v>59</v>
      </c>
      <c r="M226">
        <v>0.63</v>
      </c>
      <c r="N226" t="s">
        <v>88</v>
      </c>
      <c r="O226" t="s">
        <v>34</v>
      </c>
      <c r="P226">
        <v>1</v>
      </c>
      <c r="Q226">
        <v>5</v>
      </c>
    </row>
    <row r="227" spans="1:17" x14ac:dyDescent="0.3">
      <c r="A227" t="s">
        <v>556</v>
      </c>
      <c r="B227" t="s">
        <v>557</v>
      </c>
      <c r="C227" t="s">
        <v>113</v>
      </c>
      <c r="D227" t="s">
        <v>118</v>
      </c>
      <c r="E227">
        <v>27</v>
      </c>
      <c r="F227" t="s">
        <v>175</v>
      </c>
      <c r="G227" t="s">
        <v>176</v>
      </c>
      <c r="H227" t="s">
        <v>46</v>
      </c>
      <c r="I227">
        <v>2</v>
      </c>
      <c r="J227" t="s">
        <v>47</v>
      </c>
      <c r="K227">
        <v>1.2</v>
      </c>
      <c r="L227" t="s">
        <v>59</v>
      </c>
      <c r="N227" t="s">
        <v>82</v>
      </c>
      <c r="O227" t="s">
        <v>25</v>
      </c>
      <c r="P227">
        <v>1</v>
      </c>
      <c r="Q227">
        <v>1</v>
      </c>
    </row>
    <row r="228" spans="1:17" x14ac:dyDescent="0.3">
      <c r="A228" t="s">
        <v>558</v>
      </c>
      <c r="B228" t="s">
        <v>559</v>
      </c>
      <c r="C228" t="s">
        <v>18</v>
      </c>
      <c r="D228" t="s">
        <v>97</v>
      </c>
      <c r="E228">
        <v>29</v>
      </c>
      <c r="F228" t="s">
        <v>38</v>
      </c>
      <c r="G228" t="s">
        <v>38</v>
      </c>
      <c r="H228" t="s">
        <v>135</v>
      </c>
      <c r="I228">
        <v>10</v>
      </c>
      <c r="J228" t="s">
        <v>70</v>
      </c>
      <c r="K228">
        <v>1.2</v>
      </c>
      <c r="L228" t="s">
        <v>59</v>
      </c>
      <c r="M228">
        <v>0.78</v>
      </c>
      <c r="N228" t="s">
        <v>88</v>
      </c>
      <c r="O228" t="s">
        <v>25</v>
      </c>
      <c r="P228">
        <v>7</v>
      </c>
      <c r="Q228">
        <v>6</v>
      </c>
    </row>
    <row r="229" spans="1:17" x14ac:dyDescent="0.3">
      <c r="A229" t="s">
        <v>560</v>
      </c>
      <c r="B229" t="s">
        <v>561</v>
      </c>
      <c r="C229" t="s">
        <v>97</v>
      </c>
      <c r="D229" t="s">
        <v>97</v>
      </c>
      <c r="E229">
        <v>54</v>
      </c>
      <c r="F229" t="s">
        <v>149</v>
      </c>
      <c r="G229" t="s">
        <v>30</v>
      </c>
      <c r="H229" t="s">
        <v>39</v>
      </c>
      <c r="I229">
        <v>33</v>
      </c>
      <c r="J229" t="s">
        <v>192</v>
      </c>
      <c r="K229">
        <v>0</v>
      </c>
      <c r="L229" t="s">
        <v>33</v>
      </c>
      <c r="M229">
        <v>0.62</v>
      </c>
      <c r="N229" t="s">
        <v>82</v>
      </c>
      <c r="O229" t="s">
        <v>75</v>
      </c>
      <c r="P229">
        <v>18</v>
      </c>
      <c r="Q229">
        <v>9</v>
      </c>
    </row>
    <row r="230" spans="1:17" x14ac:dyDescent="0.3">
      <c r="A230" t="s">
        <v>562</v>
      </c>
      <c r="B230" t="s">
        <v>563</v>
      </c>
      <c r="C230" t="s">
        <v>113</v>
      </c>
      <c r="D230" t="s">
        <v>118</v>
      </c>
      <c r="E230">
        <v>52</v>
      </c>
      <c r="F230" t="s">
        <v>201</v>
      </c>
      <c r="G230" t="s">
        <v>92</v>
      </c>
      <c r="H230" t="s">
        <v>135</v>
      </c>
      <c r="I230">
        <v>12</v>
      </c>
      <c r="J230" t="s">
        <v>86</v>
      </c>
      <c r="K230">
        <v>1.2</v>
      </c>
      <c r="L230" t="s">
        <v>23</v>
      </c>
      <c r="M230">
        <v>0.76</v>
      </c>
      <c r="N230" t="s">
        <v>82</v>
      </c>
      <c r="O230" t="s">
        <v>34</v>
      </c>
      <c r="P230">
        <v>14</v>
      </c>
      <c r="Q230">
        <v>3</v>
      </c>
    </row>
    <row r="231" spans="1:17" x14ac:dyDescent="0.3">
      <c r="A231" t="s">
        <v>564</v>
      </c>
      <c r="B231" t="s">
        <v>565</v>
      </c>
      <c r="C231" t="s">
        <v>28</v>
      </c>
      <c r="D231" t="s">
        <v>97</v>
      </c>
      <c r="E231">
        <v>55</v>
      </c>
      <c r="F231" t="s">
        <v>64</v>
      </c>
      <c r="G231" t="s">
        <v>65</v>
      </c>
      <c r="H231" t="s">
        <v>21</v>
      </c>
      <c r="I231">
        <v>18</v>
      </c>
      <c r="J231" t="s">
        <v>22</v>
      </c>
      <c r="K231">
        <v>2.9</v>
      </c>
      <c r="L231" t="s">
        <v>23</v>
      </c>
      <c r="M231">
        <v>97</v>
      </c>
      <c r="N231" t="s">
        <v>82</v>
      </c>
      <c r="O231" t="s">
        <v>25</v>
      </c>
      <c r="P231">
        <v>12</v>
      </c>
      <c r="Q231">
        <v>9</v>
      </c>
    </row>
    <row r="232" spans="1:17" x14ac:dyDescent="0.3">
      <c r="A232" t="s">
        <v>566</v>
      </c>
      <c r="B232" t="s">
        <v>567</v>
      </c>
      <c r="C232" t="s">
        <v>37</v>
      </c>
      <c r="D232" t="s">
        <v>118</v>
      </c>
      <c r="E232">
        <v>37</v>
      </c>
      <c r="F232" t="s">
        <v>128</v>
      </c>
      <c r="G232" t="s">
        <v>129</v>
      </c>
      <c r="H232" t="s">
        <v>21</v>
      </c>
      <c r="I232">
        <v>4</v>
      </c>
      <c r="J232" t="s">
        <v>51</v>
      </c>
      <c r="L232" t="s">
        <v>41</v>
      </c>
      <c r="N232" t="s">
        <v>24</v>
      </c>
      <c r="O232" t="s">
        <v>42</v>
      </c>
      <c r="P232">
        <v>3</v>
      </c>
      <c r="Q232">
        <v>2</v>
      </c>
    </row>
    <row r="233" spans="1:17" x14ac:dyDescent="0.3">
      <c r="A233" t="s">
        <v>568</v>
      </c>
      <c r="B233" t="s">
        <v>569</v>
      </c>
      <c r="C233" t="s">
        <v>18</v>
      </c>
      <c r="D233" t="s">
        <v>97</v>
      </c>
      <c r="E233">
        <v>34</v>
      </c>
      <c r="F233" t="s">
        <v>160</v>
      </c>
      <c r="G233" t="s">
        <v>161</v>
      </c>
      <c r="H233" t="s">
        <v>66</v>
      </c>
      <c r="I233">
        <v>11</v>
      </c>
      <c r="J233" t="s">
        <v>81</v>
      </c>
      <c r="K233">
        <v>3.9</v>
      </c>
      <c r="L233" t="s">
        <v>33</v>
      </c>
      <c r="M233">
        <v>0.82</v>
      </c>
      <c r="N233" t="s">
        <v>24</v>
      </c>
      <c r="O233" t="s">
        <v>34</v>
      </c>
      <c r="P233">
        <v>13</v>
      </c>
      <c r="Q233">
        <v>2</v>
      </c>
    </row>
    <row r="234" spans="1:17" x14ac:dyDescent="0.3">
      <c r="A234" t="s">
        <v>570</v>
      </c>
      <c r="B234" t="s">
        <v>571</v>
      </c>
      <c r="C234" t="s">
        <v>63</v>
      </c>
      <c r="D234" t="s">
        <v>118</v>
      </c>
      <c r="E234">
        <v>20</v>
      </c>
      <c r="F234" t="s">
        <v>156</v>
      </c>
      <c r="G234" t="s">
        <v>157</v>
      </c>
      <c r="H234" t="s">
        <v>66</v>
      </c>
      <c r="I234">
        <v>1</v>
      </c>
      <c r="J234" t="s">
        <v>40</v>
      </c>
      <c r="K234">
        <v>3.1</v>
      </c>
      <c r="L234" t="s">
        <v>51</v>
      </c>
      <c r="M234">
        <v>0.71</v>
      </c>
      <c r="N234" t="s">
        <v>60</v>
      </c>
      <c r="O234" t="s">
        <v>75</v>
      </c>
      <c r="P234">
        <v>4</v>
      </c>
      <c r="Q234">
        <v>3</v>
      </c>
    </row>
    <row r="235" spans="1:17" x14ac:dyDescent="0.3">
      <c r="A235" t="s">
        <v>572</v>
      </c>
      <c r="B235" t="s">
        <v>573</v>
      </c>
      <c r="C235" t="s">
        <v>63</v>
      </c>
      <c r="D235" t="s">
        <v>118</v>
      </c>
      <c r="E235">
        <v>22</v>
      </c>
      <c r="F235" t="s">
        <v>201</v>
      </c>
      <c r="G235" t="s">
        <v>92</v>
      </c>
      <c r="H235" t="s">
        <v>93</v>
      </c>
      <c r="I235">
        <v>2</v>
      </c>
      <c r="J235" t="s">
        <v>51</v>
      </c>
      <c r="K235">
        <v>0</v>
      </c>
      <c r="L235" t="s">
        <v>33</v>
      </c>
      <c r="N235" t="s">
        <v>60</v>
      </c>
      <c r="O235" t="s">
        <v>75</v>
      </c>
      <c r="P235">
        <v>5</v>
      </c>
      <c r="Q235">
        <v>1</v>
      </c>
    </row>
    <row r="236" spans="1:17" x14ac:dyDescent="0.3">
      <c r="A236" t="s">
        <v>574</v>
      </c>
      <c r="B236" t="s">
        <v>575</v>
      </c>
      <c r="C236" t="s">
        <v>18</v>
      </c>
      <c r="D236" t="s">
        <v>97</v>
      </c>
      <c r="E236">
        <v>23</v>
      </c>
      <c r="F236" t="s">
        <v>133</v>
      </c>
      <c r="G236" t="s">
        <v>134</v>
      </c>
      <c r="H236" t="s">
        <v>39</v>
      </c>
      <c r="I236">
        <v>2</v>
      </c>
      <c r="J236" t="s">
        <v>40</v>
      </c>
      <c r="K236">
        <v>3.2</v>
      </c>
      <c r="L236" t="s">
        <v>74</v>
      </c>
      <c r="N236" t="s">
        <v>88</v>
      </c>
      <c r="O236" t="s">
        <v>75</v>
      </c>
      <c r="P236">
        <v>2</v>
      </c>
      <c r="Q236">
        <v>1</v>
      </c>
    </row>
    <row r="237" spans="1:17" x14ac:dyDescent="0.3">
      <c r="A237" t="s">
        <v>576</v>
      </c>
      <c r="B237" t="s">
        <v>577</v>
      </c>
      <c r="C237" t="s">
        <v>45</v>
      </c>
      <c r="D237" t="s">
        <v>97</v>
      </c>
      <c r="E237">
        <v>53</v>
      </c>
      <c r="F237" t="s">
        <v>133</v>
      </c>
      <c r="G237" t="s">
        <v>134</v>
      </c>
      <c r="H237" t="s">
        <v>21</v>
      </c>
      <c r="I237">
        <v>34</v>
      </c>
      <c r="J237" t="s">
        <v>52</v>
      </c>
      <c r="L237" t="s">
        <v>94</v>
      </c>
      <c r="N237" t="s">
        <v>24</v>
      </c>
      <c r="O237" t="s">
        <v>42</v>
      </c>
      <c r="P237">
        <v>14</v>
      </c>
      <c r="Q237">
        <v>9</v>
      </c>
    </row>
    <row r="238" spans="1:17" x14ac:dyDescent="0.3">
      <c r="A238" t="s">
        <v>578</v>
      </c>
      <c r="B238" t="s">
        <v>579</v>
      </c>
      <c r="C238" t="s">
        <v>45</v>
      </c>
      <c r="D238" t="s">
        <v>97</v>
      </c>
      <c r="E238">
        <v>56</v>
      </c>
      <c r="F238" t="s">
        <v>133</v>
      </c>
      <c r="G238" t="s">
        <v>134</v>
      </c>
      <c r="H238" t="s">
        <v>39</v>
      </c>
      <c r="I238">
        <v>27</v>
      </c>
      <c r="J238" t="s">
        <v>22</v>
      </c>
      <c r="K238">
        <v>4.7</v>
      </c>
      <c r="L238" t="s">
        <v>74</v>
      </c>
      <c r="M238">
        <v>0.69</v>
      </c>
      <c r="N238" t="s">
        <v>88</v>
      </c>
      <c r="O238" t="s">
        <v>25</v>
      </c>
      <c r="P238">
        <v>19</v>
      </c>
      <c r="Q238">
        <v>7</v>
      </c>
    </row>
    <row r="239" spans="1:17" x14ac:dyDescent="0.3">
      <c r="A239" t="s">
        <v>580</v>
      </c>
      <c r="B239" t="s">
        <v>581</v>
      </c>
      <c r="C239" t="s">
        <v>113</v>
      </c>
      <c r="D239" t="s">
        <v>118</v>
      </c>
      <c r="E239">
        <v>27</v>
      </c>
      <c r="F239" t="s">
        <v>149</v>
      </c>
      <c r="G239" t="s">
        <v>30</v>
      </c>
      <c r="H239" t="s">
        <v>57</v>
      </c>
      <c r="I239">
        <v>4</v>
      </c>
      <c r="J239" t="s">
        <v>103</v>
      </c>
      <c r="K239">
        <v>5</v>
      </c>
      <c r="L239" t="s">
        <v>23</v>
      </c>
      <c r="M239">
        <v>0.88</v>
      </c>
      <c r="N239" t="s">
        <v>60</v>
      </c>
      <c r="O239" t="s">
        <v>42</v>
      </c>
      <c r="P239">
        <v>5</v>
      </c>
      <c r="Q239">
        <v>1</v>
      </c>
    </row>
    <row r="240" spans="1:17" x14ac:dyDescent="0.3">
      <c r="A240" t="s">
        <v>582</v>
      </c>
      <c r="B240" t="s">
        <v>583</v>
      </c>
      <c r="C240" t="s">
        <v>118</v>
      </c>
      <c r="D240" t="s">
        <v>118</v>
      </c>
      <c r="E240">
        <v>34</v>
      </c>
      <c r="F240" t="s">
        <v>19</v>
      </c>
      <c r="G240" t="s">
        <v>20</v>
      </c>
      <c r="H240" t="s">
        <v>31</v>
      </c>
      <c r="I240">
        <v>11</v>
      </c>
      <c r="J240" t="s">
        <v>70</v>
      </c>
      <c r="L240" t="s">
        <v>59</v>
      </c>
      <c r="M240">
        <v>0.67</v>
      </c>
      <c r="N240" t="s">
        <v>88</v>
      </c>
      <c r="O240" t="s">
        <v>34</v>
      </c>
      <c r="P240">
        <v>13</v>
      </c>
      <c r="Q240">
        <v>9</v>
      </c>
    </row>
    <row r="241" spans="1:17" x14ac:dyDescent="0.3">
      <c r="A241" t="s">
        <v>584</v>
      </c>
      <c r="B241" t="s">
        <v>585</v>
      </c>
      <c r="C241" t="s">
        <v>113</v>
      </c>
      <c r="D241" t="s">
        <v>118</v>
      </c>
      <c r="E241">
        <v>29</v>
      </c>
      <c r="F241" t="s">
        <v>73</v>
      </c>
      <c r="G241" t="s">
        <v>30</v>
      </c>
      <c r="H241" t="s">
        <v>46</v>
      </c>
      <c r="I241">
        <v>4</v>
      </c>
      <c r="J241" t="s">
        <v>119</v>
      </c>
      <c r="K241">
        <v>4</v>
      </c>
      <c r="L241" t="s">
        <v>23</v>
      </c>
      <c r="N241" t="s">
        <v>60</v>
      </c>
      <c r="O241" t="s">
        <v>75</v>
      </c>
      <c r="P241">
        <v>3</v>
      </c>
      <c r="Q241">
        <v>2</v>
      </c>
    </row>
    <row r="242" spans="1:17" x14ac:dyDescent="0.3">
      <c r="A242" t="s">
        <v>586</v>
      </c>
      <c r="B242" t="s">
        <v>587</v>
      </c>
      <c r="C242" t="s">
        <v>113</v>
      </c>
      <c r="D242" t="s">
        <v>118</v>
      </c>
      <c r="E242">
        <v>34</v>
      </c>
      <c r="F242" t="s">
        <v>114</v>
      </c>
      <c r="G242" t="s">
        <v>115</v>
      </c>
      <c r="H242" t="s">
        <v>57</v>
      </c>
      <c r="I242">
        <v>11</v>
      </c>
      <c r="J242" t="s">
        <v>51</v>
      </c>
      <c r="K242">
        <v>1.2</v>
      </c>
      <c r="L242" t="s">
        <v>33</v>
      </c>
      <c r="N242" t="s">
        <v>24</v>
      </c>
      <c r="O242" t="s">
        <v>42</v>
      </c>
      <c r="P242">
        <v>11</v>
      </c>
      <c r="Q242">
        <v>4</v>
      </c>
    </row>
    <row r="243" spans="1:17" x14ac:dyDescent="0.3">
      <c r="A243" t="s">
        <v>588</v>
      </c>
      <c r="B243" t="s">
        <v>589</v>
      </c>
      <c r="C243" t="s">
        <v>50</v>
      </c>
      <c r="D243" t="s">
        <v>97</v>
      </c>
      <c r="E243">
        <v>32</v>
      </c>
      <c r="F243" t="s">
        <v>201</v>
      </c>
      <c r="G243" t="s">
        <v>92</v>
      </c>
      <c r="H243" t="s">
        <v>57</v>
      </c>
      <c r="I243">
        <v>1</v>
      </c>
      <c r="J243" t="s">
        <v>22</v>
      </c>
      <c r="K243">
        <v>4.7</v>
      </c>
      <c r="L243" t="s">
        <v>23</v>
      </c>
      <c r="M243">
        <v>0.67</v>
      </c>
      <c r="N243" t="s">
        <v>82</v>
      </c>
      <c r="O243" t="s">
        <v>42</v>
      </c>
      <c r="P243">
        <v>5</v>
      </c>
      <c r="Q243">
        <v>1</v>
      </c>
    </row>
    <row r="244" spans="1:17" x14ac:dyDescent="0.3">
      <c r="A244" t="s">
        <v>590</v>
      </c>
      <c r="B244" t="s">
        <v>591</v>
      </c>
      <c r="C244" t="s">
        <v>18</v>
      </c>
      <c r="D244" t="s">
        <v>97</v>
      </c>
      <c r="E244">
        <v>21</v>
      </c>
      <c r="F244" t="s">
        <v>175</v>
      </c>
      <c r="G244" t="s">
        <v>176</v>
      </c>
      <c r="H244" t="s">
        <v>135</v>
      </c>
      <c r="I244">
        <v>2</v>
      </c>
      <c r="J244" t="s">
        <v>162</v>
      </c>
      <c r="K244">
        <v>2.4</v>
      </c>
      <c r="L244" t="s">
        <v>51</v>
      </c>
      <c r="M244">
        <v>0.86</v>
      </c>
      <c r="N244" t="s">
        <v>24</v>
      </c>
      <c r="O244" t="s">
        <v>25</v>
      </c>
      <c r="P244">
        <v>4</v>
      </c>
      <c r="Q244">
        <v>2</v>
      </c>
    </row>
    <row r="245" spans="1:17" x14ac:dyDescent="0.3">
      <c r="A245" t="s">
        <v>592</v>
      </c>
      <c r="B245" t="s">
        <v>593</v>
      </c>
      <c r="C245" t="s">
        <v>78</v>
      </c>
      <c r="D245" t="s">
        <v>118</v>
      </c>
      <c r="E245">
        <v>20</v>
      </c>
      <c r="F245" t="s">
        <v>201</v>
      </c>
      <c r="G245" t="s">
        <v>92</v>
      </c>
      <c r="H245" t="s">
        <v>39</v>
      </c>
      <c r="I245">
        <v>2</v>
      </c>
      <c r="J245" t="s">
        <v>51</v>
      </c>
      <c r="K245">
        <v>1.1000000000000001</v>
      </c>
      <c r="L245" t="s">
        <v>59</v>
      </c>
      <c r="M245">
        <v>0.69</v>
      </c>
      <c r="N245" t="s">
        <v>88</v>
      </c>
      <c r="O245" t="s">
        <v>25</v>
      </c>
      <c r="P245">
        <v>3</v>
      </c>
      <c r="Q245">
        <v>1</v>
      </c>
    </row>
    <row r="246" spans="1:17" x14ac:dyDescent="0.3">
      <c r="A246" t="s">
        <v>594</v>
      </c>
      <c r="B246" t="s">
        <v>595</v>
      </c>
      <c r="C246" t="s">
        <v>28</v>
      </c>
      <c r="D246" t="s">
        <v>97</v>
      </c>
      <c r="E246">
        <v>35</v>
      </c>
      <c r="F246" t="s">
        <v>73</v>
      </c>
      <c r="G246" t="s">
        <v>30</v>
      </c>
      <c r="H246" t="s">
        <v>31</v>
      </c>
      <c r="I246">
        <v>10</v>
      </c>
      <c r="J246" t="s">
        <v>40</v>
      </c>
      <c r="K246">
        <v>1.4</v>
      </c>
      <c r="L246" t="s">
        <v>74</v>
      </c>
      <c r="M246">
        <v>0.85</v>
      </c>
      <c r="N246" t="s">
        <v>88</v>
      </c>
      <c r="O246" t="s">
        <v>75</v>
      </c>
      <c r="P246">
        <v>8</v>
      </c>
      <c r="Q246">
        <v>4</v>
      </c>
    </row>
    <row r="247" spans="1:17" x14ac:dyDescent="0.3">
      <c r="A247" t="s">
        <v>596</v>
      </c>
      <c r="B247" t="s">
        <v>597</v>
      </c>
      <c r="C247" t="s">
        <v>18</v>
      </c>
      <c r="D247" t="s">
        <v>97</v>
      </c>
      <c r="E247">
        <v>47</v>
      </c>
      <c r="F247" t="s">
        <v>73</v>
      </c>
      <c r="G247" t="s">
        <v>30</v>
      </c>
      <c r="H247" t="s">
        <v>93</v>
      </c>
      <c r="I247">
        <v>18</v>
      </c>
      <c r="J247" t="s">
        <v>86</v>
      </c>
      <c r="K247">
        <v>3.4</v>
      </c>
      <c r="L247" t="s">
        <v>23</v>
      </c>
      <c r="M247">
        <v>60</v>
      </c>
      <c r="N247" t="s">
        <v>24</v>
      </c>
      <c r="O247" t="s">
        <v>42</v>
      </c>
      <c r="P247">
        <v>11</v>
      </c>
      <c r="Q247">
        <v>10</v>
      </c>
    </row>
    <row r="248" spans="1:17" x14ac:dyDescent="0.3">
      <c r="A248" t="s">
        <v>598</v>
      </c>
      <c r="B248" t="s">
        <v>599</v>
      </c>
      <c r="C248" t="s">
        <v>18</v>
      </c>
      <c r="D248" t="s">
        <v>97</v>
      </c>
      <c r="E248">
        <v>41</v>
      </c>
      <c r="F248" t="s">
        <v>79</v>
      </c>
      <c r="G248" t="s">
        <v>80</v>
      </c>
      <c r="H248" t="s">
        <v>21</v>
      </c>
      <c r="I248">
        <v>4</v>
      </c>
      <c r="J248" t="s">
        <v>86</v>
      </c>
      <c r="K248">
        <v>2.7</v>
      </c>
      <c r="L248" t="s">
        <v>33</v>
      </c>
      <c r="M248">
        <v>70</v>
      </c>
      <c r="N248" t="s">
        <v>24</v>
      </c>
      <c r="O248" t="s">
        <v>42</v>
      </c>
      <c r="P248">
        <v>2</v>
      </c>
      <c r="Q248">
        <v>2</v>
      </c>
    </row>
    <row r="249" spans="1:17" x14ac:dyDescent="0.3">
      <c r="A249" t="s">
        <v>600</v>
      </c>
      <c r="B249" t="s">
        <v>601</v>
      </c>
      <c r="C249" t="s">
        <v>37</v>
      </c>
      <c r="D249" t="s">
        <v>118</v>
      </c>
      <c r="E249">
        <v>58</v>
      </c>
      <c r="F249" t="s">
        <v>91</v>
      </c>
      <c r="G249" t="s">
        <v>92</v>
      </c>
      <c r="H249" t="s">
        <v>46</v>
      </c>
      <c r="I249">
        <v>23</v>
      </c>
      <c r="J249" t="s">
        <v>51</v>
      </c>
      <c r="K249">
        <v>4.9000000000000004</v>
      </c>
      <c r="L249" t="s">
        <v>59</v>
      </c>
      <c r="N249" t="s">
        <v>60</v>
      </c>
      <c r="O249" t="s">
        <v>25</v>
      </c>
      <c r="P249">
        <v>19</v>
      </c>
      <c r="Q249">
        <v>5</v>
      </c>
    </row>
    <row r="250" spans="1:17" x14ac:dyDescent="0.3">
      <c r="A250" t="s">
        <v>602</v>
      </c>
      <c r="B250" t="s">
        <v>603</v>
      </c>
      <c r="C250" t="s">
        <v>63</v>
      </c>
      <c r="D250" t="s">
        <v>118</v>
      </c>
      <c r="E250">
        <v>34</v>
      </c>
      <c r="F250" t="s">
        <v>197</v>
      </c>
      <c r="G250" t="s">
        <v>198</v>
      </c>
      <c r="H250" t="s">
        <v>66</v>
      </c>
      <c r="I250">
        <v>6</v>
      </c>
      <c r="J250" t="s">
        <v>103</v>
      </c>
      <c r="K250">
        <v>1.9</v>
      </c>
      <c r="L250" t="s">
        <v>33</v>
      </c>
      <c r="M250">
        <v>0.81</v>
      </c>
      <c r="N250" t="s">
        <v>88</v>
      </c>
      <c r="O250" t="s">
        <v>42</v>
      </c>
      <c r="P250">
        <v>9</v>
      </c>
      <c r="Q250">
        <v>6</v>
      </c>
    </row>
    <row r="251" spans="1:17" x14ac:dyDescent="0.3">
      <c r="A251" t="s">
        <v>604</v>
      </c>
      <c r="B251" t="s">
        <v>605</v>
      </c>
      <c r="C251" t="s">
        <v>18</v>
      </c>
      <c r="D251" t="s">
        <v>97</v>
      </c>
      <c r="E251">
        <v>50</v>
      </c>
      <c r="F251" t="s">
        <v>114</v>
      </c>
      <c r="G251" t="s">
        <v>115</v>
      </c>
      <c r="H251" t="s">
        <v>31</v>
      </c>
      <c r="I251">
        <v>5</v>
      </c>
      <c r="J251" t="s">
        <v>22</v>
      </c>
      <c r="L251" t="s">
        <v>33</v>
      </c>
      <c r="N251" t="s">
        <v>88</v>
      </c>
      <c r="O251" t="s">
        <v>42</v>
      </c>
      <c r="P251">
        <v>4</v>
      </c>
      <c r="Q251">
        <v>1</v>
      </c>
    </row>
    <row r="252" spans="1:17" x14ac:dyDescent="0.3">
      <c r="A252" t="s">
        <v>606</v>
      </c>
      <c r="B252" t="s">
        <v>607</v>
      </c>
      <c r="C252" t="s">
        <v>18</v>
      </c>
      <c r="D252" t="s">
        <v>97</v>
      </c>
      <c r="E252">
        <v>42</v>
      </c>
      <c r="F252" t="s">
        <v>201</v>
      </c>
      <c r="G252" t="s">
        <v>92</v>
      </c>
      <c r="H252" t="s">
        <v>110</v>
      </c>
      <c r="I252">
        <v>19</v>
      </c>
      <c r="J252" t="s">
        <v>67</v>
      </c>
      <c r="K252">
        <v>4.5999999999999996</v>
      </c>
      <c r="L252" t="s">
        <v>23</v>
      </c>
      <c r="M252">
        <v>0.78</v>
      </c>
      <c r="N252" t="s">
        <v>24</v>
      </c>
      <c r="O252" t="s">
        <v>42</v>
      </c>
      <c r="P252">
        <v>18</v>
      </c>
      <c r="Q252">
        <v>13</v>
      </c>
    </row>
    <row r="253" spans="1:17" x14ac:dyDescent="0.3">
      <c r="A253" t="s">
        <v>608</v>
      </c>
      <c r="B253" t="s">
        <v>609</v>
      </c>
      <c r="C253" t="s">
        <v>113</v>
      </c>
      <c r="D253" t="s">
        <v>118</v>
      </c>
      <c r="E253">
        <v>43</v>
      </c>
      <c r="F253" t="s">
        <v>38</v>
      </c>
      <c r="G253" t="s">
        <v>38</v>
      </c>
      <c r="H253" t="s">
        <v>93</v>
      </c>
      <c r="I253">
        <v>6</v>
      </c>
      <c r="J253" t="s">
        <v>40</v>
      </c>
      <c r="K253">
        <v>0</v>
      </c>
      <c r="L253" t="s">
        <v>23</v>
      </c>
      <c r="M253">
        <v>81</v>
      </c>
      <c r="N253" t="s">
        <v>82</v>
      </c>
      <c r="O253" t="s">
        <v>25</v>
      </c>
      <c r="P253">
        <v>8</v>
      </c>
      <c r="Q253">
        <v>13</v>
      </c>
    </row>
    <row r="254" spans="1:17" x14ac:dyDescent="0.3">
      <c r="A254" t="s">
        <v>610</v>
      </c>
      <c r="B254" t="s">
        <v>611</v>
      </c>
      <c r="C254" t="s">
        <v>118</v>
      </c>
      <c r="D254" t="s">
        <v>118</v>
      </c>
      <c r="E254">
        <v>34</v>
      </c>
      <c r="F254" t="s">
        <v>38</v>
      </c>
      <c r="G254" t="s">
        <v>38</v>
      </c>
      <c r="H254" t="s">
        <v>66</v>
      </c>
      <c r="I254">
        <v>8</v>
      </c>
      <c r="J254" t="s">
        <v>103</v>
      </c>
      <c r="K254">
        <v>1.8</v>
      </c>
      <c r="L254" t="s">
        <v>33</v>
      </c>
      <c r="M254">
        <v>0.71</v>
      </c>
      <c r="N254" t="s">
        <v>88</v>
      </c>
      <c r="O254" t="s">
        <v>75</v>
      </c>
      <c r="P254">
        <v>8</v>
      </c>
      <c r="Q254">
        <v>9</v>
      </c>
    </row>
    <row r="255" spans="1:17" x14ac:dyDescent="0.3">
      <c r="A255" t="s">
        <v>612</v>
      </c>
      <c r="B255" t="s">
        <v>613</v>
      </c>
      <c r="C255" t="s">
        <v>118</v>
      </c>
      <c r="D255" t="s">
        <v>118</v>
      </c>
      <c r="E255">
        <v>24</v>
      </c>
      <c r="F255" t="s">
        <v>212</v>
      </c>
      <c r="G255" t="s">
        <v>92</v>
      </c>
      <c r="H255" t="s">
        <v>31</v>
      </c>
      <c r="I255">
        <v>3</v>
      </c>
      <c r="J255" t="s">
        <v>103</v>
      </c>
      <c r="K255">
        <v>2</v>
      </c>
      <c r="L255" t="s">
        <v>59</v>
      </c>
      <c r="N255" t="s">
        <v>82</v>
      </c>
      <c r="O255" t="s">
        <v>34</v>
      </c>
      <c r="P255">
        <v>2</v>
      </c>
      <c r="Q255">
        <v>1</v>
      </c>
    </row>
    <row r="256" spans="1:17" x14ac:dyDescent="0.3">
      <c r="A256" t="s">
        <v>614</v>
      </c>
      <c r="B256" t="s">
        <v>615</v>
      </c>
      <c r="C256" t="s">
        <v>63</v>
      </c>
      <c r="D256" t="s">
        <v>118</v>
      </c>
      <c r="E256">
        <v>48</v>
      </c>
      <c r="F256" t="s">
        <v>175</v>
      </c>
      <c r="G256" t="s">
        <v>176</v>
      </c>
      <c r="H256" t="s">
        <v>93</v>
      </c>
      <c r="I256">
        <v>8</v>
      </c>
      <c r="J256" t="s">
        <v>52</v>
      </c>
      <c r="K256">
        <v>5</v>
      </c>
      <c r="L256" t="s">
        <v>33</v>
      </c>
      <c r="M256">
        <v>0.99</v>
      </c>
      <c r="N256" t="s">
        <v>24</v>
      </c>
      <c r="O256" t="s">
        <v>75</v>
      </c>
      <c r="P256">
        <v>6</v>
      </c>
      <c r="Q256">
        <v>9</v>
      </c>
    </row>
    <row r="257" spans="1:17" x14ac:dyDescent="0.3">
      <c r="A257" t="s">
        <v>616</v>
      </c>
      <c r="B257" t="s">
        <v>617</v>
      </c>
      <c r="C257" t="s">
        <v>45</v>
      </c>
      <c r="D257" t="s">
        <v>97</v>
      </c>
      <c r="E257">
        <v>39</v>
      </c>
      <c r="F257" t="s">
        <v>133</v>
      </c>
      <c r="G257" t="s">
        <v>134</v>
      </c>
      <c r="H257" t="s">
        <v>66</v>
      </c>
      <c r="I257">
        <v>12</v>
      </c>
      <c r="J257" t="s">
        <v>142</v>
      </c>
      <c r="K257">
        <v>3.2</v>
      </c>
      <c r="L257" t="s">
        <v>74</v>
      </c>
      <c r="M257">
        <v>0.66</v>
      </c>
      <c r="N257" t="s">
        <v>24</v>
      </c>
      <c r="O257" t="s">
        <v>34</v>
      </c>
      <c r="P257">
        <v>15</v>
      </c>
      <c r="Q257">
        <v>6</v>
      </c>
    </row>
    <row r="258" spans="1:17" x14ac:dyDescent="0.3">
      <c r="A258" t="s">
        <v>618</v>
      </c>
      <c r="B258" t="s">
        <v>619</v>
      </c>
      <c r="C258" t="s">
        <v>45</v>
      </c>
      <c r="D258" t="s">
        <v>97</v>
      </c>
      <c r="E258">
        <v>57</v>
      </c>
      <c r="F258" t="s">
        <v>29</v>
      </c>
      <c r="G258" t="s">
        <v>30</v>
      </c>
      <c r="H258" t="s">
        <v>21</v>
      </c>
      <c r="I258">
        <v>30</v>
      </c>
      <c r="J258" t="s">
        <v>58</v>
      </c>
      <c r="K258">
        <v>2.4</v>
      </c>
      <c r="L258" t="s">
        <v>51</v>
      </c>
      <c r="M258">
        <v>0.8</v>
      </c>
      <c r="N258" t="s">
        <v>60</v>
      </c>
      <c r="O258" t="s">
        <v>42</v>
      </c>
      <c r="P258">
        <v>13</v>
      </c>
      <c r="Q258">
        <v>8</v>
      </c>
    </row>
    <row r="259" spans="1:17" x14ac:dyDescent="0.3">
      <c r="A259" t="s">
        <v>620</v>
      </c>
      <c r="B259" t="s">
        <v>621</v>
      </c>
      <c r="C259" t="s">
        <v>28</v>
      </c>
      <c r="D259" t="s">
        <v>97</v>
      </c>
      <c r="E259">
        <v>44</v>
      </c>
      <c r="F259" t="s">
        <v>149</v>
      </c>
      <c r="G259" t="s">
        <v>30</v>
      </c>
      <c r="H259" t="s">
        <v>46</v>
      </c>
      <c r="I259">
        <v>21</v>
      </c>
      <c r="J259" t="s">
        <v>22</v>
      </c>
      <c r="K259">
        <v>2.9</v>
      </c>
      <c r="L259" t="s">
        <v>23</v>
      </c>
      <c r="M259">
        <v>0.83</v>
      </c>
      <c r="N259" t="s">
        <v>88</v>
      </c>
      <c r="O259" t="s">
        <v>75</v>
      </c>
      <c r="P259">
        <v>17</v>
      </c>
      <c r="Q259">
        <v>1</v>
      </c>
    </row>
    <row r="260" spans="1:17" x14ac:dyDescent="0.3">
      <c r="A260" t="s">
        <v>622</v>
      </c>
      <c r="B260" t="s">
        <v>623</v>
      </c>
      <c r="C260" t="s">
        <v>37</v>
      </c>
      <c r="D260" t="s">
        <v>118</v>
      </c>
      <c r="E260">
        <v>37</v>
      </c>
      <c r="F260" t="s">
        <v>128</v>
      </c>
      <c r="G260" t="s">
        <v>129</v>
      </c>
      <c r="H260" t="s">
        <v>93</v>
      </c>
      <c r="I260">
        <v>17</v>
      </c>
      <c r="J260" t="s">
        <v>336</v>
      </c>
      <c r="K260">
        <v>0</v>
      </c>
      <c r="L260" t="s">
        <v>87</v>
      </c>
      <c r="M260">
        <v>87</v>
      </c>
      <c r="N260" t="s">
        <v>82</v>
      </c>
      <c r="O260" t="s">
        <v>34</v>
      </c>
      <c r="P260">
        <v>16</v>
      </c>
      <c r="Q260">
        <v>7</v>
      </c>
    </row>
    <row r="261" spans="1:17" x14ac:dyDescent="0.3">
      <c r="A261" t="s">
        <v>624</v>
      </c>
      <c r="B261" t="s">
        <v>625</v>
      </c>
      <c r="C261" t="s">
        <v>118</v>
      </c>
      <c r="D261" t="s">
        <v>118</v>
      </c>
      <c r="E261">
        <v>50</v>
      </c>
      <c r="F261" t="s">
        <v>79</v>
      </c>
      <c r="G261" t="s">
        <v>80</v>
      </c>
      <c r="H261" t="s">
        <v>66</v>
      </c>
      <c r="I261">
        <v>9</v>
      </c>
      <c r="J261" t="s">
        <v>52</v>
      </c>
      <c r="K261">
        <v>3</v>
      </c>
      <c r="L261" t="s">
        <v>23</v>
      </c>
      <c r="M261">
        <v>76</v>
      </c>
      <c r="N261" t="s">
        <v>60</v>
      </c>
      <c r="O261" t="s">
        <v>25</v>
      </c>
      <c r="P261">
        <v>15</v>
      </c>
      <c r="Q261">
        <v>3</v>
      </c>
    </row>
    <row r="262" spans="1:17" x14ac:dyDescent="0.3">
      <c r="A262" t="s">
        <v>626</v>
      </c>
      <c r="B262" t="s">
        <v>627</v>
      </c>
      <c r="C262" t="s">
        <v>118</v>
      </c>
      <c r="D262" t="s">
        <v>118</v>
      </c>
      <c r="E262">
        <v>50</v>
      </c>
      <c r="F262" t="s">
        <v>212</v>
      </c>
      <c r="G262" t="s">
        <v>92</v>
      </c>
      <c r="H262" t="s">
        <v>93</v>
      </c>
      <c r="I262">
        <v>2</v>
      </c>
      <c r="J262" t="s">
        <v>40</v>
      </c>
      <c r="K262">
        <v>1.6</v>
      </c>
      <c r="L262" t="s">
        <v>181</v>
      </c>
      <c r="M262">
        <v>0.89</v>
      </c>
      <c r="N262" t="s">
        <v>88</v>
      </c>
      <c r="O262" t="s">
        <v>25</v>
      </c>
      <c r="P262">
        <v>3</v>
      </c>
      <c r="Q262">
        <v>1</v>
      </c>
    </row>
    <row r="263" spans="1:17" x14ac:dyDescent="0.3">
      <c r="A263" t="s">
        <v>628</v>
      </c>
      <c r="B263" t="s">
        <v>629</v>
      </c>
      <c r="C263" t="s">
        <v>97</v>
      </c>
      <c r="D263" t="s">
        <v>97</v>
      </c>
      <c r="E263">
        <v>28</v>
      </c>
      <c r="F263" t="s">
        <v>156</v>
      </c>
      <c r="G263" t="s">
        <v>157</v>
      </c>
      <c r="H263" t="s">
        <v>39</v>
      </c>
      <c r="I263">
        <v>1</v>
      </c>
      <c r="J263" t="s">
        <v>162</v>
      </c>
      <c r="K263">
        <v>3.6</v>
      </c>
      <c r="L263" t="s">
        <v>87</v>
      </c>
      <c r="M263">
        <v>0.94</v>
      </c>
      <c r="N263" t="s">
        <v>60</v>
      </c>
      <c r="O263" t="s">
        <v>75</v>
      </c>
      <c r="P263">
        <v>3</v>
      </c>
      <c r="Q263">
        <v>1</v>
      </c>
    </row>
    <row r="264" spans="1:17" x14ac:dyDescent="0.3">
      <c r="A264" t="s">
        <v>630</v>
      </c>
      <c r="B264" t="s">
        <v>631</v>
      </c>
      <c r="C264" t="s">
        <v>118</v>
      </c>
      <c r="D264" t="s">
        <v>118</v>
      </c>
      <c r="E264">
        <v>48</v>
      </c>
      <c r="F264" t="s">
        <v>19</v>
      </c>
      <c r="G264" t="s">
        <v>20</v>
      </c>
      <c r="H264" t="s">
        <v>46</v>
      </c>
      <c r="I264">
        <v>23</v>
      </c>
      <c r="J264" t="s">
        <v>51</v>
      </c>
      <c r="K264">
        <v>2.1</v>
      </c>
      <c r="L264" t="s">
        <v>23</v>
      </c>
      <c r="M264">
        <v>0.68</v>
      </c>
      <c r="N264" t="s">
        <v>24</v>
      </c>
      <c r="O264" t="s">
        <v>75</v>
      </c>
      <c r="P264">
        <v>14</v>
      </c>
      <c r="Q264">
        <v>7</v>
      </c>
    </row>
    <row r="265" spans="1:17" x14ac:dyDescent="0.3">
      <c r="A265" t="s">
        <v>632</v>
      </c>
      <c r="B265" t="s">
        <v>633</v>
      </c>
      <c r="C265" t="s">
        <v>118</v>
      </c>
      <c r="D265" t="s">
        <v>118</v>
      </c>
      <c r="E265">
        <v>42</v>
      </c>
      <c r="F265" t="s">
        <v>38</v>
      </c>
      <c r="G265" t="s">
        <v>38</v>
      </c>
      <c r="H265" t="s">
        <v>110</v>
      </c>
      <c r="I265">
        <v>8</v>
      </c>
      <c r="J265" t="s">
        <v>52</v>
      </c>
      <c r="K265">
        <v>3.6</v>
      </c>
      <c r="L265" t="s">
        <v>33</v>
      </c>
      <c r="M265">
        <v>0.96</v>
      </c>
      <c r="N265" t="s">
        <v>88</v>
      </c>
      <c r="O265" t="s">
        <v>42</v>
      </c>
      <c r="P265">
        <v>9</v>
      </c>
      <c r="Q265">
        <v>7</v>
      </c>
    </row>
    <row r="266" spans="1:17" x14ac:dyDescent="0.3">
      <c r="A266" t="s">
        <v>634</v>
      </c>
      <c r="B266" t="s">
        <v>635</v>
      </c>
      <c r="C266" t="s">
        <v>97</v>
      </c>
      <c r="D266" t="s">
        <v>97</v>
      </c>
      <c r="E266">
        <v>37</v>
      </c>
      <c r="F266" t="s">
        <v>149</v>
      </c>
      <c r="G266" t="s">
        <v>30</v>
      </c>
      <c r="H266" t="s">
        <v>66</v>
      </c>
      <c r="I266">
        <v>6</v>
      </c>
      <c r="J266" t="s">
        <v>142</v>
      </c>
      <c r="K266">
        <v>2.7</v>
      </c>
      <c r="L266" t="s">
        <v>74</v>
      </c>
      <c r="M266">
        <v>0.91</v>
      </c>
      <c r="N266" t="s">
        <v>60</v>
      </c>
      <c r="O266" t="s">
        <v>75</v>
      </c>
      <c r="P266">
        <v>6</v>
      </c>
      <c r="Q266">
        <v>4</v>
      </c>
    </row>
    <row r="267" spans="1:17" x14ac:dyDescent="0.3">
      <c r="A267" t="s">
        <v>636</v>
      </c>
      <c r="B267" t="s">
        <v>637</v>
      </c>
      <c r="C267" t="s">
        <v>118</v>
      </c>
      <c r="D267" t="s">
        <v>118</v>
      </c>
      <c r="E267">
        <v>21</v>
      </c>
      <c r="F267" t="s">
        <v>114</v>
      </c>
      <c r="G267" t="s">
        <v>115</v>
      </c>
      <c r="H267" t="s">
        <v>21</v>
      </c>
      <c r="I267">
        <v>1</v>
      </c>
      <c r="J267" t="s">
        <v>22</v>
      </c>
      <c r="K267">
        <v>2.1</v>
      </c>
      <c r="L267" t="s">
        <v>33</v>
      </c>
      <c r="M267">
        <v>0.92</v>
      </c>
      <c r="N267" t="s">
        <v>60</v>
      </c>
      <c r="O267" t="s">
        <v>42</v>
      </c>
      <c r="P267">
        <v>5</v>
      </c>
      <c r="Q267">
        <v>4</v>
      </c>
    </row>
    <row r="268" spans="1:17" x14ac:dyDescent="0.3">
      <c r="A268" t="s">
        <v>638</v>
      </c>
      <c r="B268" t="s">
        <v>639</v>
      </c>
      <c r="C268" t="s">
        <v>78</v>
      </c>
      <c r="D268" t="s">
        <v>118</v>
      </c>
      <c r="E268">
        <v>50</v>
      </c>
      <c r="F268" t="s">
        <v>133</v>
      </c>
      <c r="G268" t="s">
        <v>134</v>
      </c>
      <c r="H268" t="s">
        <v>46</v>
      </c>
      <c r="I268">
        <v>19</v>
      </c>
      <c r="J268" t="s">
        <v>47</v>
      </c>
      <c r="K268">
        <v>4.9000000000000004</v>
      </c>
      <c r="L268" t="s">
        <v>51</v>
      </c>
      <c r="M268">
        <v>0.82</v>
      </c>
      <c r="N268" t="s">
        <v>82</v>
      </c>
      <c r="O268" t="s">
        <v>42</v>
      </c>
      <c r="P268">
        <v>15</v>
      </c>
      <c r="Q268">
        <v>15</v>
      </c>
    </row>
    <row r="269" spans="1:17" x14ac:dyDescent="0.3">
      <c r="A269" t="s">
        <v>640</v>
      </c>
      <c r="B269" t="s">
        <v>641</v>
      </c>
      <c r="C269" t="s">
        <v>45</v>
      </c>
      <c r="D269" t="s">
        <v>97</v>
      </c>
      <c r="E269">
        <v>22</v>
      </c>
      <c r="F269" t="s">
        <v>91</v>
      </c>
      <c r="G269" t="s">
        <v>92</v>
      </c>
      <c r="H269" t="s">
        <v>57</v>
      </c>
      <c r="I269">
        <v>2</v>
      </c>
      <c r="J269" t="s">
        <v>52</v>
      </c>
      <c r="K269">
        <v>2.1</v>
      </c>
      <c r="L269" t="s">
        <v>51</v>
      </c>
      <c r="N269" t="s">
        <v>60</v>
      </c>
      <c r="O269" t="s">
        <v>25</v>
      </c>
      <c r="P269">
        <v>2</v>
      </c>
      <c r="Q269">
        <v>2</v>
      </c>
    </row>
    <row r="270" spans="1:17" x14ac:dyDescent="0.3">
      <c r="A270" t="s">
        <v>642</v>
      </c>
      <c r="B270" t="s">
        <v>643</v>
      </c>
      <c r="C270" t="s">
        <v>97</v>
      </c>
      <c r="D270" t="s">
        <v>97</v>
      </c>
      <c r="E270">
        <v>39</v>
      </c>
      <c r="F270" t="s">
        <v>106</v>
      </c>
      <c r="G270" t="s">
        <v>107</v>
      </c>
      <c r="H270" t="s">
        <v>46</v>
      </c>
      <c r="I270">
        <v>21</v>
      </c>
      <c r="J270" t="s">
        <v>22</v>
      </c>
      <c r="K270">
        <v>0</v>
      </c>
      <c r="L270" t="s">
        <v>181</v>
      </c>
      <c r="M270">
        <v>0.91</v>
      </c>
      <c r="N270" t="s">
        <v>88</v>
      </c>
      <c r="O270" t="s">
        <v>25</v>
      </c>
      <c r="P270">
        <v>17</v>
      </c>
      <c r="Q270">
        <v>13</v>
      </c>
    </row>
    <row r="271" spans="1:17" x14ac:dyDescent="0.3">
      <c r="A271" t="s">
        <v>644</v>
      </c>
      <c r="B271" t="s">
        <v>645</v>
      </c>
      <c r="C271" t="s">
        <v>97</v>
      </c>
      <c r="D271" t="s">
        <v>97</v>
      </c>
      <c r="E271">
        <v>25</v>
      </c>
      <c r="F271" t="s">
        <v>106</v>
      </c>
      <c r="G271" t="s">
        <v>107</v>
      </c>
      <c r="H271" t="s">
        <v>135</v>
      </c>
      <c r="I271">
        <v>3</v>
      </c>
      <c r="J271" t="s">
        <v>81</v>
      </c>
      <c r="K271">
        <v>2.8</v>
      </c>
      <c r="L271" t="s">
        <v>87</v>
      </c>
      <c r="M271">
        <v>86</v>
      </c>
      <c r="N271" t="s">
        <v>88</v>
      </c>
      <c r="O271" t="s">
        <v>34</v>
      </c>
      <c r="P271">
        <v>3</v>
      </c>
      <c r="Q271">
        <v>2</v>
      </c>
    </row>
    <row r="272" spans="1:17" x14ac:dyDescent="0.3">
      <c r="A272" t="s">
        <v>646</v>
      </c>
      <c r="B272" t="s">
        <v>647</v>
      </c>
      <c r="C272" t="s">
        <v>28</v>
      </c>
      <c r="D272" t="s">
        <v>97</v>
      </c>
      <c r="E272">
        <v>47</v>
      </c>
      <c r="F272" t="s">
        <v>175</v>
      </c>
      <c r="G272" t="s">
        <v>176</v>
      </c>
      <c r="H272" t="s">
        <v>31</v>
      </c>
      <c r="I272">
        <v>14</v>
      </c>
      <c r="J272" t="s">
        <v>51</v>
      </c>
      <c r="L272" t="s">
        <v>59</v>
      </c>
      <c r="M272">
        <v>0.69</v>
      </c>
      <c r="N272" t="s">
        <v>82</v>
      </c>
      <c r="O272" t="s">
        <v>25</v>
      </c>
      <c r="P272">
        <v>12</v>
      </c>
      <c r="Q272">
        <v>13</v>
      </c>
    </row>
    <row r="273" spans="1:17" x14ac:dyDescent="0.3">
      <c r="A273" t="s">
        <v>648</v>
      </c>
      <c r="B273" t="s">
        <v>649</v>
      </c>
      <c r="C273" t="s">
        <v>18</v>
      </c>
      <c r="D273" t="s">
        <v>97</v>
      </c>
      <c r="E273">
        <v>35</v>
      </c>
      <c r="F273" t="s">
        <v>175</v>
      </c>
      <c r="G273" t="s">
        <v>176</v>
      </c>
      <c r="H273" t="s">
        <v>93</v>
      </c>
      <c r="I273">
        <v>10</v>
      </c>
      <c r="J273" t="s">
        <v>32</v>
      </c>
      <c r="K273">
        <v>4.7</v>
      </c>
      <c r="L273" t="s">
        <v>74</v>
      </c>
      <c r="M273">
        <v>0.84</v>
      </c>
      <c r="N273" t="s">
        <v>88</v>
      </c>
      <c r="O273" t="s">
        <v>25</v>
      </c>
      <c r="P273">
        <v>7</v>
      </c>
      <c r="Q273">
        <v>13</v>
      </c>
    </row>
    <row r="274" spans="1:17" x14ac:dyDescent="0.3">
      <c r="A274" t="s">
        <v>650</v>
      </c>
      <c r="B274" t="s">
        <v>651</v>
      </c>
      <c r="C274" t="s">
        <v>18</v>
      </c>
      <c r="D274" t="s">
        <v>97</v>
      </c>
      <c r="F274" t="s">
        <v>85</v>
      </c>
      <c r="G274" t="s">
        <v>30</v>
      </c>
      <c r="H274" t="s">
        <v>98</v>
      </c>
      <c r="I274">
        <v>5</v>
      </c>
      <c r="J274" t="s">
        <v>22</v>
      </c>
      <c r="K274">
        <v>1.3</v>
      </c>
      <c r="L274" t="s">
        <v>23</v>
      </c>
      <c r="M274">
        <v>0.6</v>
      </c>
      <c r="N274" t="s">
        <v>24</v>
      </c>
      <c r="O274" t="s">
        <v>75</v>
      </c>
      <c r="P274">
        <v>5</v>
      </c>
      <c r="Q274">
        <v>2</v>
      </c>
    </row>
    <row r="275" spans="1:17" x14ac:dyDescent="0.3">
      <c r="A275" t="s">
        <v>652</v>
      </c>
      <c r="B275" t="s">
        <v>653</v>
      </c>
      <c r="C275" t="s">
        <v>37</v>
      </c>
      <c r="D275" t="s">
        <v>118</v>
      </c>
      <c r="E275">
        <v>35</v>
      </c>
      <c r="F275" t="s">
        <v>55</v>
      </c>
      <c r="G275" t="s">
        <v>56</v>
      </c>
      <c r="H275" t="s">
        <v>21</v>
      </c>
      <c r="I275">
        <v>6</v>
      </c>
      <c r="J275" t="s">
        <v>67</v>
      </c>
      <c r="K275">
        <v>1.6</v>
      </c>
      <c r="L275" t="s">
        <v>33</v>
      </c>
      <c r="M275">
        <v>0.97</v>
      </c>
      <c r="N275" t="s">
        <v>88</v>
      </c>
      <c r="O275" t="s">
        <v>25</v>
      </c>
      <c r="P275">
        <v>13</v>
      </c>
      <c r="Q275">
        <v>6</v>
      </c>
    </row>
    <row r="276" spans="1:17" x14ac:dyDescent="0.3">
      <c r="A276" t="s">
        <v>654</v>
      </c>
      <c r="B276" t="s">
        <v>655</v>
      </c>
      <c r="C276" t="s">
        <v>118</v>
      </c>
      <c r="D276" t="s">
        <v>118</v>
      </c>
      <c r="E276">
        <v>59</v>
      </c>
      <c r="F276" t="s">
        <v>156</v>
      </c>
      <c r="G276" t="s">
        <v>157</v>
      </c>
      <c r="H276" t="s">
        <v>46</v>
      </c>
      <c r="I276">
        <v>21</v>
      </c>
      <c r="J276" t="s">
        <v>22</v>
      </c>
      <c r="K276">
        <v>0</v>
      </c>
      <c r="L276" t="s">
        <v>51</v>
      </c>
      <c r="M276">
        <v>0.7</v>
      </c>
      <c r="N276" t="s">
        <v>88</v>
      </c>
      <c r="O276" t="s">
        <v>34</v>
      </c>
      <c r="P276">
        <v>17</v>
      </c>
      <c r="Q276">
        <v>7</v>
      </c>
    </row>
    <row r="277" spans="1:17" x14ac:dyDescent="0.3">
      <c r="A277" t="s">
        <v>656</v>
      </c>
      <c r="B277" t="s">
        <v>657</v>
      </c>
      <c r="C277" t="s">
        <v>28</v>
      </c>
      <c r="D277" t="s">
        <v>97</v>
      </c>
      <c r="E277">
        <v>26</v>
      </c>
      <c r="F277" t="s">
        <v>197</v>
      </c>
      <c r="G277" t="s">
        <v>198</v>
      </c>
      <c r="H277" t="s">
        <v>93</v>
      </c>
      <c r="I277">
        <v>4</v>
      </c>
      <c r="J277" t="s">
        <v>32</v>
      </c>
      <c r="K277">
        <v>3.6</v>
      </c>
      <c r="L277" t="s">
        <v>181</v>
      </c>
      <c r="M277">
        <v>0.81</v>
      </c>
      <c r="N277" t="s">
        <v>60</v>
      </c>
      <c r="O277" t="s">
        <v>75</v>
      </c>
      <c r="P277">
        <v>5</v>
      </c>
      <c r="Q277">
        <v>2</v>
      </c>
    </row>
    <row r="278" spans="1:17" x14ac:dyDescent="0.3">
      <c r="A278" t="s">
        <v>658</v>
      </c>
      <c r="B278" t="s">
        <v>659</v>
      </c>
      <c r="C278" t="s">
        <v>78</v>
      </c>
      <c r="D278" t="s">
        <v>118</v>
      </c>
      <c r="E278">
        <v>44</v>
      </c>
      <c r="F278" t="s">
        <v>145</v>
      </c>
      <c r="G278" t="s">
        <v>146</v>
      </c>
      <c r="H278" t="s">
        <v>135</v>
      </c>
      <c r="I278">
        <v>18</v>
      </c>
      <c r="J278" t="s">
        <v>162</v>
      </c>
      <c r="K278">
        <v>4.7</v>
      </c>
      <c r="L278" t="s">
        <v>33</v>
      </c>
      <c r="M278">
        <v>0.88</v>
      </c>
      <c r="N278" t="s">
        <v>60</v>
      </c>
      <c r="O278" t="s">
        <v>34</v>
      </c>
      <c r="P278">
        <v>15</v>
      </c>
      <c r="Q278">
        <v>10</v>
      </c>
    </row>
    <row r="279" spans="1:17" x14ac:dyDescent="0.3">
      <c r="A279" t="s">
        <v>660</v>
      </c>
      <c r="B279" t="s">
        <v>661</v>
      </c>
      <c r="C279" t="s">
        <v>97</v>
      </c>
      <c r="D279" t="s">
        <v>97</v>
      </c>
      <c r="E279">
        <v>31</v>
      </c>
      <c r="F279" t="s">
        <v>175</v>
      </c>
      <c r="G279" t="s">
        <v>176</v>
      </c>
      <c r="H279" t="s">
        <v>93</v>
      </c>
      <c r="I279">
        <v>12</v>
      </c>
      <c r="J279" t="s">
        <v>47</v>
      </c>
      <c r="L279" t="s">
        <v>33</v>
      </c>
      <c r="M279">
        <v>1</v>
      </c>
      <c r="N279" t="s">
        <v>88</v>
      </c>
      <c r="O279" t="s">
        <v>25</v>
      </c>
      <c r="P279">
        <v>15</v>
      </c>
      <c r="Q279">
        <v>13</v>
      </c>
    </row>
    <row r="280" spans="1:17" x14ac:dyDescent="0.3">
      <c r="A280" t="s">
        <v>662</v>
      </c>
      <c r="B280" t="s">
        <v>663</v>
      </c>
      <c r="C280" t="s">
        <v>37</v>
      </c>
      <c r="D280" t="s">
        <v>118</v>
      </c>
      <c r="E280">
        <v>60</v>
      </c>
      <c r="F280" t="s">
        <v>79</v>
      </c>
      <c r="G280" t="s">
        <v>80</v>
      </c>
      <c r="H280" t="s">
        <v>66</v>
      </c>
      <c r="I280">
        <v>6</v>
      </c>
      <c r="J280" t="s">
        <v>51</v>
      </c>
      <c r="K280">
        <v>3.2</v>
      </c>
      <c r="L280" t="s">
        <v>23</v>
      </c>
      <c r="M280">
        <v>95</v>
      </c>
      <c r="N280" t="s">
        <v>82</v>
      </c>
      <c r="O280" t="s">
        <v>34</v>
      </c>
      <c r="P280">
        <v>10</v>
      </c>
      <c r="Q280">
        <v>5</v>
      </c>
    </row>
    <row r="281" spans="1:17" x14ac:dyDescent="0.3">
      <c r="A281" t="s">
        <v>664</v>
      </c>
      <c r="B281" t="s">
        <v>665</v>
      </c>
      <c r="C281" t="s">
        <v>50</v>
      </c>
      <c r="D281" t="s">
        <v>97</v>
      </c>
      <c r="E281">
        <v>23</v>
      </c>
      <c r="F281" t="s">
        <v>85</v>
      </c>
      <c r="G281" t="s">
        <v>30</v>
      </c>
      <c r="H281" t="s">
        <v>21</v>
      </c>
      <c r="I281">
        <v>4</v>
      </c>
      <c r="J281" t="s">
        <v>336</v>
      </c>
      <c r="L281" t="s">
        <v>23</v>
      </c>
      <c r="M281">
        <v>0.71</v>
      </c>
      <c r="N281" t="s">
        <v>60</v>
      </c>
      <c r="O281" t="s">
        <v>75</v>
      </c>
      <c r="P281">
        <v>3</v>
      </c>
      <c r="Q281">
        <v>5</v>
      </c>
    </row>
    <row r="282" spans="1:17" x14ac:dyDescent="0.3">
      <c r="A282" t="s">
        <v>666</v>
      </c>
      <c r="B282" t="s">
        <v>667</v>
      </c>
      <c r="C282" t="s">
        <v>113</v>
      </c>
      <c r="D282" t="s">
        <v>118</v>
      </c>
      <c r="E282">
        <v>42</v>
      </c>
      <c r="F282" t="s">
        <v>64</v>
      </c>
      <c r="G282" t="s">
        <v>65</v>
      </c>
      <c r="H282" t="s">
        <v>93</v>
      </c>
      <c r="I282">
        <v>13</v>
      </c>
      <c r="J282" t="s">
        <v>142</v>
      </c>
      <c r="K282">
        <v>4.7</v>
      </c>
      <c r="L282" t="s">
        <v>41</v>
      </c>
      <c r="M282">
        <v>0.85</v>
      </c>
      <c r="N282" t="s">
        <v>82</v>
      </c>
      <c r="O282" t="s">
        <v>42</v>
      </c>
      <c r="P282">
        <v>9</v>
      </c>
      <c r="Q282">
        <v>3</v>
      </c>
    </row>
    <row r="283" spans="1:17" x14ac:dyDescent="0.3">
      <c r="A283" t="s">
        <v>668</v>
      </c>
      <c r="B283" t="s">
        <v>669</v>
      </c>
      <c r="C283" t="s">
        <v>18</v>
      </c>
      <c r="D283" t="s">
        <v>97</v>
      </c>
      <c r="E283">
        <v>48</v>
      </c>
      <c r="F283" t="s">
        <v>114</v>
      </c>
      <c r="G283" t="s">
        <v>115</v>
      </c>
      <c r="H283" t="s">
        <v>31</v>
      </c>
      <c r="I283">
        <v>6</v>
      </c>
      <c r="J283" t="s">
        <v>52</v>
      </c>
      <c r="L283" t="s">
        <v>41</v>
      </c>
      <c r="M283">
        <v>0.96</v>
      </c>
      <c r="N283" t="s">
        <v>88</v>
      </c>
      <c r="O283" t="s">
        <v>34</v>
      </c>
      <c r="P283">
        <v>11</v>
      </c>
      <c r="Q283">
        <v>7</v>
      </c>
    </row>
    <row r="284" spans="1:17" x14ac:dyDescent="0.3">
      <c r="A284" t="s">
        <v>670</v>
      </c>
      <c r="B284" t="s">
        <v>671</v>
      </c>
      <c r="C284" t="s">
        <v>63</v>
      </c>
      <c r="D284" t="s">
        <v>118</v>
      </c>
      <c r="E284">
        <v>42</v>
      </c>
      <c r="F284" t="s">
        <v>55</v>
      </c>
      <c r="G284" t="s">
        <v>56</v>
      </c>
      <c r="H284" t="s">
        <v>39</v>
      </c>
      <c r="I284">
        <v>10</v>
      </c>
      <c r="J284" t="s">
        <v>336</v>
      </c>
      <c r="K284">
        <v>2.4</v>
      </c>
      <c r="L284" t="s">
        <v>94</v>
      </c>
      <c r="M284">
        <v>0.92</v>
      </c>
      <c r="N284" t="s">
        <v>88</v>
      </c>
      <c r="O284" t="s">
        <v>34</v>
      </c>
      <c r="P284">
        <v>11</v>
      </c>
      <c r="Q284">
        <v>6</v>
      </c>
    </row>
    <row r="285" spans="1:17" x14ac:dyDescent="0.3">
      <c r="A285" t="s">
        <v>672</v>
      </c>
      <c r="B285" t="s">
        <v>673</v>
      </c>
      <c r="C285" t="s">
        <v>113</v>
      </c>
      <c r="D285" t="s">
        <v>118</v>
      </c>
      <c r="E285">
        <v>52</v>
      </c>
      <c r="F285" t="s">
        <v>133</v>
      </c>
      <c r="G285" t="s">
        <v>134</v>
      </c>
      <c r="H285" t="s">
        <v>98</v>
      </c>
      <c r="I285">
        <v>20</v>
      </c>
      <c r="J285" t="s">
        <v>40</v>
      </c>
      <c r="L285" t="s">
        <v>59</v>
      </c>
      <c r="M285">
        <v>0.79</v>
      </c>
      <c r="N285" t="s">
        <v>24</v>
      </c>
      <c r="O285" t="s">
        <v>75</v>
      </c>
      <c r="P285">
        <v>14</v>
      </c>
      <c r="Q285">
        <v>10</v>
      </c>
    </row>
    <row r="286" spans="1:17" x14ac:dyDescent="0.3">
      <c r="A286" t="s">
        <v>674</v>
      </c>
      <c r="B286" t="s">
        <v>675</v>
      </c>
      <c r="C286" t="s">
        <v>50</v>
      </c>
      <c r="D286" t="s">
        <v>97</v>
      </c>
      <c r="E286">
        <v>55</v>
      </c>
      <c r="F286" t="s">
        <v>106</v>
      </c>
      <c r="G286" t="s">
        <v>107</v>
      </c>
      <c r="H286" t="s">
        <v>46</v>
      </c>
      <c r="I286">
        <v>20</v>
      </c>
      <c r="J286" t="s">
        <v>103</v>
      </c>
      <c r="K286">
        <v>2.9</v>
      </c>
      <c r="L286" t="s">
        <v>59</v>
      </c>
      <c r="N286" t="s">
        <v>60</v>
      </c>
      <c r="O286" t="s">
        <v>75</v>
      </c>
      <c r="P286">
        <v>12</v>
      </c>
      <c r="Q286">
        <v>11</v>
      </c>
    </row>
    <row r="287" spans="1:17" x14ac:dyDescent="0.3">
      <c r="A287" t="s">
        <v>676</v>
      </c>
      <c r="B287" t="s">
        <v>677</v>
      </c>
      <c r="C287" t="s">
        <v>18</v>
      </c>
      <c r="D287" t="s">
        <v>97</v>
      </c>
      <c r="E287">
        <v>58</v>
      </c>
      <c r="F287" t="s">
        <v>175</v>
      </c>
      <c r="G287" t="s">
        <v>176</v>
      </c>
      <c r="H287" t="s">
        <v>98</v>
      </c>
      <c r="I287">
        <v>11</v>
      </c>
      <c r="J287" t="s">
        <v>40</v>
      </c>
      <c r="K287">
        <v>0</v>
      </c>
      <c r="L287" t="s">
        <v>23</v>
      </c>
      <c r="N287" t="s">
        <v>88</v>
      </c>
      <c r="O287" t="s">
        <v>34</v>
      </c>
      <c r="P287">
        <v>8</v>
      </c>
      <c r="Q287">
        <v>5</v>
      </c>
    </row>
    <row r="288" spans="1:17" x14ac:dyDescent="0.3">
      <c r="A288" t="s">
        <v>678</v>
      </c>
      <c r="B288" t="s">
        <v>679</v>
      </c>
      <c r="C288" t="s">
        <v>28</v>
      </c>
      <c r="D288" t="s">
        <v>97</v>
      </c>
      <c r="E288">
        <v>46</v>
      </c>
      <c r="F288" t="s">
        <v>133</v>
      </c>
      <c r="G288" t="s">
        <v>134</v>
      </c>
      <c r="H288" t="s">
        <v>135</v>
      </c>
      <c r="I288">
        <v>12</v>
      </c>
      <c r="J288" t="s">
        <v>162</v>
      </c>
      <c r="K288">
        <v>0</v>
      </c>
      <c r="L288" t="s">
        <v>59</v>
      </c>
      <c r="M288">
        <v>0.89</v>
      </c>
      <c r="N288" t="s">
        <v>24</v>
      </c>
      <c r="O288" t="s">
        <v>25</v>
      </c>
      <c r="P288">
        <v>10</v>
      </c>
      <c r="Q288">
        <v>4</v>
      </c>
    </row>
    <row r="289" spans="1:17" x14ac:dyDescent="0.3">
      <c r="A289" t="s">
        <v>680</v>
      </c>
      <c r="B289" t="s">
        <v>681</v>
      </c>
      <c r="C289" t="s">
        <v>28</v>
      </c>
      <c r="D289" t="s">
        <v>97</v>
      </c>
      <c r="E289">
        <v>45</v>
      </c>
      <c r="F289" t="s">
        <v>212</v>
      </c>
      <c r="G289" t="s">
        <v>92</v>
      </c>
      <c r="H289" t="s">
        <v>135</v>
      </c>
      <c r="I289">
        <v>1</v>
      </c>
      <c r="J289" t="s">
        <v>22</v>
      </c>
      <c r="K289">
        <v>1.5</v>
      </c>
      <c r="L289" t="s">
        <v>33</v>
      </c>
      <c r="M289">
        <v>1</v>
      </c>
      <c r="N289" t="s">
        <v>60</v>
      </c>
      <c r="O289" t="s">
        <v>34</v>
      </c>
      <c r="P289">
        <v>4</v>
      </c>
      <c r="Q289">
        <v>4</v>
      </c>
    </row>
    <row r="290" spans="1:17" x14ac:dyDescent="0.3">
      <c r="A290" t="s">
        <v>682</v>
      </c>
      <c r="B290" t="s">
        <v>683</v>
      </c>
      <c r="C290" t="s">
        <v>28</v>
      </c>
      <c r="D290" t="s">
        <v>97</v>
      </c>
      <c r="E290">
        <v>56</v>
      </c>
      <c r="F290" t="s">
        <v>114</v>
      </c>
      <c r="G290" t="s">
        <v>115</v>
      </c>
      <c r="H290" t="s">
        <v>135</v>
      </c>
      <c r="I290">
        <v>2</v>
      </c>
      <c r="J290" t="s">
        <v>52</v>
      </c>
      <c r="K290">
        <v>1.9</v>
      </c>
      <c r="L290" t="s">
        <v>33</v>
      </c>
      <c r="M290">
        <v>0.81</v>
      </c>
      <c r="N290" t="s">
        <v>88</v>
      </c>
      <c r="O290" t="s">
        <v>75</v>
      </c>
      <c r="P290">
        <v>1</v>
      </c>
      <c r="Q290">
        <v>1</v>
      </c>
    </row>
    <row r="291" spans="1:17" x14ac:dyDescent="0.3">
      <c r="A291" t="s">
        <v>684</v>
      </c>
      <c r="B291" t="s">
        <v>685</v>
      </c>
      <c r="C291" t="s">
        <v>37</v>
      </c>
      <c r="D291" t="s">
        <v>118</v>
      </c>
      <c r="E291">
        <v>44</v>
      </c>
      <c r="F291" t="s">
        <v>85</v>
      </c>
      <c r="G291" t="s">
        <v>30</v>
      </c>
      <c r="H291" t="s">
        <v>21</v>
      </c>
      <c r="I291">
        <v>13</v>
      </c>
      <c r="J291" t="s">
        <v>22</v>
      </c>
      <c r="K291">
        <v>3.1</v>
      </c>
      <c r="L291" t="s">
        <v>94</v>
      </c>
      <c r="M291">
        <v>95</v>
      </c>
      <c r="N291" t="s">
        <v>88</v>
      </c>
      <c r="O291" t="s">
        <v>42</v>
      </c>
      <c r="P291">
        <v>10</v>
      </c>
      <c r="Q291">
        <v>3</v>
      </c>
    </row>
    <row r="292" spans="1:17" x14ac:dyDescent="0.3">
      <c r="A292" t="s">
        <v>686</v>
      </c>
      <c r="B292" t="s">
        <v>687</v>
      </c>
      <c r="C292" t="s">
        <v>118</v>
      </c>
      <c r="D292" t="s">
        <v>118</v>
      </c>
      <c r="E292">
        <v>46</v>
      </c>
      <c r="F292" t="s">
        <v>64</v>
      </c>
      <c r="G292" t="s">
        <v>65</v>
      </c>
      <c r="H292" t="s">
        <v>93</v>
      </c>
      <c r="I292">
        <v>0</v>
      </c>
      <c r="J292" t="s">
        <v>51</v>
      </c>
      <c r="K292">
        <v>1.8</v>
      </c>
      <c r="L292" t="s">
        <v>41</v>
      </c>
      <c r="M292">
        <v>0.88</v>
      </c>
      <c r="N292" t="s">
        <v>60</v>
      </c>
      <c r="O292" t="s">
        <v>42</v>
      </c>
      <c r="P292">
        <v>3</v>
      </c>
      <c r="Q292">
        <v>2</v>
      </c>
    </row>
    <row r="293" spans="1:17" x14ac:dyDescent="0.3">
      <c r="A293" t="s">
        <v>688</v>
      </c>
      <c r="B293" t="s">
        <v>689</v>
      </c>
      <c r="C293" t="s">
        <v>97</v>
      </c>
      <c r="D293" t="s">
        <v>97</v>
      </c>
      <c r="E293">
        <v>27</v>
      </c>
      <c r="F293" t="s">
        <v>106</v>
      </c>
      <c r="G293" t="s">
        <v>107</v>
      </c>
      <c r="H293" t="s">
        <v>46</v>
      </c>
      <c r="I293">
        <v>7</v>
      </c>
      <c r="J293" t="s">
        <v>52</v>
      </c>
      <c r="K293">
        <v>2.4</v>
      </c>
      <c r="L293" t="s">
        <v>87</v>
      </c>
      <c r="M293">
        <v>0.66</v>
      </c>
      <c r="N293" t="s">
        <v>60</v>
      </c>
      <c r="O293" t="s">
        <v>25</v>
      </c>
      <c r="P293">
        <v>12</v>
      </c>
      <c r="Q293">
        <v>8</v>
      </c>
    </row>
    <row r="294" spans="1:17" x14ac:dyDescent="0.3">
      <c r="A294" t="s">
        <v>690</v>
      </c>
      <c r="B294" t="s">
        <v>691</v>
      </c>
      <c r="C294" t="s">
        <v>28</v>
      </c>
      <c r="D294" t="s">
        <v>97</v>
      </c>
      <c r="E294">
        <v>49</v>
      </c>
      <c r="F294" t="s">
        <v>114</v>
      </c>
      <c r="G294" t="s">
        <v>115</v>
      </c>
      <c r="H294" t="s">
        <v>21</v>
      </c>
      <c r="I294">
        <v>13</v>
      </c>
      <c r="J294" t="s">
        <v>22</v>
      </c>
      <c r="K294">
        <v>4.2</v>
      </c>
      <c r="L294" t="s">
        <v>33</v>
      </c>
      <c r="M294">
        <v>0.84</v>
      </c>
      <c r="N294" t="s">
        <v>60</v>
      </c>
      <c r="O294" t="s">
        <v>34</v>
      </c>
      <c r="P294">
        <v>7</v>
      </c>
      <c r="Q294">
        <v>4</v>
      </c>
    </row>
    <row r="295" spans="1:17" x14ac:dyDescent="0.3">
      <c r="A295" t="s">
        <v>692</v>
      </c>
      <c r="B295" t="s">
        <v>693</v>
      </c>
      <c r="C295" t="s">
        <v>118</v>
      </c>
      <c r="D295" t="s">
        <v>118</v>
      </c>
      <c r="E295">
        <v>53</v>
      </c>
      <c r="F295" t="s">
        <v>201</v>
      </c>
      <c r="G295" t="s">
        <v>92</v>
      </c>
      <c r="H295" t="s">
        <v>46</v>
      </c>
      <c r="I295">
        <v>21</v>
      </c>
      <c r="J295" t="s">
        <v>81</v>
      </c>
      <c r="K295">
        <v>1.4</v>
      </c>
      <c r="L295" t="s">
        <v>41</v>
      </c>
      <c r="N295" t="s">
        <v>88</v>
      </c>
      <c r="O295" t="s">
        <v>42</v>
      </c>
      <c r="P295">
        <v>20</v>
      </c>
      <c r="Q295">
        <v>7</v>
      </c>
    </row>
    <row r="296" spans="1:17" x14ac:dyDescent="0.3">
      <c r="A296" t="s">
        <v>694</v>
      </c>
      <c r="B296" t="s">
        <v>695</v>
      </c>
      <c r="C296" t="s">
        <v>118</v>
      </c>
      <c r="D296" t="s">
        <v>118</v>
      </c>
      <c r="E296">
        <v>56</v>
      </c>
      <c r="F296" t="s">
        <v>29</v>
      </c>
      <c r="G296" t="s">
        <v>30</v>
      </c>
      <c r="H296" t="s">
        <v>46</v>
      </c>
      <c r="I296">
        <v>19</v>
      </c>
      <c r="J296" t="s">
        <v>86</v>
      </c>
      <c r="K296">
        <v>1.2</v>
      </c>
      <c r="L296" t="s">
        <v>94</v>
      </c>
      <c r="M296">
        <v>0.82</v>
      </c>
      <c r="N296" t="s">
        <v>88</v>
      </c>
      <c r="O296" t="s">
        <v>34</v>
      </c>
      <c r="P296">
        <v>11</v>
      </c>
      <c r="Q296">
        <v>3</v>
      </c>
    </row>
    <row r="297" spans="1:17" x14ac:dyDescent="0.3">
      <c r="A297" t="s">
        <v>696</v>
      </c>
      <c r="B297" t="s">
        <v>697</v>
      </c>
      <c r="C297" t="s">
        <v>28</v>
      </c>
      <c r="D297" t="s">
        <v>97</v>
      </c>
      <c r="E297">
        <v>56</v>
      </c>
      <c r="F297" t="s">
        <v>85</v>
      </c>
      <c r="G297" t="s">
        <v>30</v>
      </c>
      <c r="H297" t="s">
        <v>110</v>
      </c>
      <c r="I297">
        <v>34</v>
      </c>
      <c r="J297" t="s">
        <v>51</v>
      </c>
      <c r="K297">
        <v>2.1</v>
      </c>
      <c r="L297" t="s">
        <v>87</v>
      </c>
      <c r="M297">
        <v>0.84</v>
      </c>
      <c r="N297" t="s">
        <v>24</v>
      </c>
      <c r="O297" t="s">
        <v>75</v>
      </c>
      <c r="P297">
        <v>17</v>
      </c>
      <c r="Q297">
        <v>11</v>
      </c>
    </row>
    <row r="298" spans="1:17" x14ac:dyDescent="0.3">
      <c r="A298" t="s">
        <v>698</v>
      </c>
      <c r="B298" t="s">
        <v>699</v>
      </c>
      <c r="C298" t="s">
        <v>78</v>
      </c>
      <c r="D298" t="s">
        <v>118</v>
      </c>
      <c r="E298">
        <v>38</v>
      </c>
      <c r="F298" t="s">
        <v>175</v>
      </c>
      <c r="G298" t="s">
        <v>176</v>
      </c>
      <c r="H298" t="s">
        <v>66</v>
      </c>
      <c r="I298">
        <v>3</v>
      </c>
      <c r="J298" t="s">
        <v>22</v>
      </c>
      <c r="K298">
        <v>1.4</v>
      </c>
      <c r="L298" t="s">
        <v>59</v>
      </c>
      <c r="M298">
        <v>0.73</v>
      </c>
      <c r="N298" t="s">
        <v>82</v>
      </c>
      <c r="O298" t="s">
        <v>42</v>
      </c>
      <c r="P298">
        <v>3</v>
      </c>
      <c r="Q298">
        <v>5</v>
      </c>
    </row>
    <row r="299" spans="1:17" x14ac:dyDescent="0.3">
      <c r="A299" t="s">
        <v>700</v>
      </c>
      <c r="B299" t="s">
        <v>701</v>
      </c>
      <c r="C299" t="s">
        <v>113</v>
      </c>
      <c r="D299" t="s">
        <v>118</v>
      </c>
      <c r="E299">
        <v>20</v>
      </c>
      <c r="F299" t="s">
        <v>133</v>
      </c>
      <c r="G299" t="s">
        <v>134</v>
      </c>
      <c r="H299" t="s">
        <v>31</v>
      </c>
      <c r="I299">
        <v>0</v>
      </c>
      <c r="J299" t="s">
        <v>52</v>
      </c>
      <c r="K299">
        <v>3.8</v>
      </c>
      <c r="L299" t="s">
        <v>51</v>
      </c>
      <c r="M299">
        <v>0.93</v>
      </c>
      <c r="N299" t="s">
        <v>60</v>
      </c>
      <c r="O299" t="s">
        <v>25</v>
      </c>
      <c r="P299">
        <v>5</v>
      </c>
      <c r="Q299">
        <v>2</v>
      </c>
    </row>
    <row r="300" spans="1:17" x14ac:dyDescent="0.3">
      <c r="A300" t="s">
        <v>702</v>
      </c>
      <c r="B300" t="s">
        <v>703</v>
      </c>
      <c r="C300" t="s">
        <v>50</v>
      </c>
      <c r="D300" t="s">
        <v>97</v>
      </c>
      <c r="E300">
        <v>38</v>
      </c>
      <c r="F300" t="s">
        <v>149</v>
      </c>
      <c r="G300" t="s">
        <v>30</v>
      </c>
      <c r="H300" t="s">
        <v>135</v>
      </c>
      <c r="I300">
        <v>20</v>
      </c>
      <c r="J300" t="s">
        <v>40</v>
      </c>
      <c r="K300">
        <v>0</v>
      </c>
      <c r="L300" t="s">
        <v>51</v>
      </c>
      <c r="M300">
        <v>0.64</v>
      </c>
      <c r="N300" t="s">
        <v>88</v>
      </c>
      <c r="O300" t="s">
        <v>75</v>
      </c>
      <c r="P300">
        <v>10</v>
      </c>
      <c r="Q300">
        <v>2</v>
      </c>
    </row>
    <row r="301" spans="1:17" x14ac:dyDescent="0.3">
      <c r="A301" t="s">
        <v>704</v>
      </c>
      <c r="B301" t="s">
        <v>705</v>
      </c>
      <c r="C301" t="s">
        <v>18</v>
      </c>
      <c r="D301" t="s">
        <v>97</v>
      </c>
      <c r="F301" t="s">
        <v>55</v>
      </c>
      <c r="G301" t="s">
        <v>56</v>
      </c>
      <c r="H301" t="s">
        <v>31</v>
      </c>
      <c r="I301">
        <v>6</v>
      </c>
      <c r="J301" t="s">
        <v>86</v>
      </c>
      <c r="K301">
        <v>3.5</v>
      </c>
      <c r="L301" t="s">
        <v>23</v>
      </c>
      <c r="M301">
        <v>0.76</v>
      </c>
      <c r="N301" t="s">
        <v>88</v>
      </c>
      <c r="O301" t="s">
        <v>25</v>
      </c>
      <c r="P301">
        <v>15</v>
      </c>
      <c r="Q301">
        <v>6</v>
      </c>
    </row>
    <row r="302" spans="1:17" x14ac:dyDescent="0.3">
      <c r="A302" t="s">
        <v>706</v>
      </c>
      <c r="B302" t="s">
        <v>707</v>
      </c>
      <c r="C302" t="s">
        <v>78</v>
      </c>
      <c r="D302" t="s">
        <v>118</v>
      </c>
      <c r="E302">
        <v>46</v>
      </c>
      <c r="F302" t="s">
        <v>114</v>
      </c>
      <c r="G302" t="s">
        <v>115</v>
      </c>
      <c r="H302" t="s">
        <v>135</v>
      </c>
      <c r="I302">
        <v>13</v>
      </c>
      <c r="J302" t="s">
        <v>251</v>
      </c>
      <c r="K302">
        <v>0</v>
      </c>
      <c r="L302" t="s">
        <v>94</v>
      </c>
      <c r="M302">
        <v>0.97</v>
      </c>
      <c r="N302" t="s">
        <v>60</v>
      </c>
      <c r="O302" t="s">
        <v>75</v>
      </c>
      <c r="P302">
        <v>9</v>
      </c>
      <c r="Q302">
        <v>12</v>
      </c>
    </row>
    <row r="303" spans="1:17" x14ac:dyDescent="0.3">
      <c r="A303" t="s">
        <v>708</v>
      </c>
      <c r="B303" t="s">
        <v>709</v>
      </c>
      <c r="C303" t="s">
        <v>118</v>
      </c>
      <c r="D303" t="s">
        <v>118</v>
      </c>
      <c r="E303">
        <v>36</v>
      </c>
      <c r="F303" t="s">
        <v>175</v>
      </c>
      <c r="G303" t="s">
        <v>176</v>
      </c>
      <c r="H303" t="s">
        <v>66</v>
      </c>
      <c r="I303">
        <v>9</v>
      </c>
      <c r="J303" t="s">
        <v>103</v>
      </c>
      <c r="K303">
        <v>2.2000000000000002</v>
      </c>
      <c r="L303" t="s">
        <v>23</v>
      </c>
      <c r="M303">
        <v>0.95</v>
      </c>
      <c r="N303" t="s">
        <v>82</v>
      </c>
      <c r="O303" t="s">
        <v>42</v>
      </c>
      <c r="P303">
        <v>11</v>
      </c>
      <c r="Q303">
        <v>1</v>
      </c>
    </row>
    <row r="304" spans="1:17" x14ac:dyDescent="0.3">
      <c r="A304" t="s">
        <v>710</v>
      </c>
      <c r="B304" t="s">
        <v>711</v>
      </c>
      <c r="C304" t="s">
        <v>118</v>
      </c>
      <c r="D304" t="s">
        <v>118</v>
      </c>
      <c r="E304">
        <v>33</v>
      </c>
      <c r="F304" t="s">
        <v>145</v>
      </c>
      <c r="G304" t="s">
        <v>146</v>
      </c>
      <c r="H304" t="s">
        <v>46</v>
      </c>
      <c r="I304">
        <v>2</v>
      </c>
      <c r="J304" t="s">
        <v>103</v>
      </c>
      <c r="K304">
        <v>2.5</v>
      </c>
      <c r="L304" t="s">
        <v>59</v>
      </c>
      <c r="M304">
        <v>0.65</v>
      </c>
      <c r="N304" t="s">
        <v>60</v>
      </c>
      <c r="O304" t="s">
        <v>25</v>
      </c>
      <c r="P304">
        <v>4</v>
      </c>
      <c r="Q304">
        <v>1</v>
      </c>
    </row>
    <row r="305" spans="1:17" x14ac:dyDescent="0.3">
      <c r="A305" t="s">
        <v>712</v>
      </c>
      <c r="B305" t="s">
        <v>713</v>
      </c>
      <c r="C305" t="s">
        <v>45</v>
      </c>
      <c r="D305" t="s">
        <v>97</v>
      </c>
      <c r="E305">
        <v>37</v>
      </c>
      <c r="F305" t="s">
        <v>149</v>
      </c>
      <c r="G305" t="s">
        <v>30</v>
      </c>
      <c r="H305" t="s">
        <v>39</v>
      </c>
      <c r="I305">
        <v>0</v>
      </c>
      <c r="J305" t="s">
        <v>119</v>
      </c>
      <c r="K305">
        <v>4.7</v>
      </c>
      <c r="L305" t="s">
        <v>23</v>
      </c>
      <c r="M305">
        <v>0.77</v>
      </c>
      <c r="N305" t="s">
        <v>82</v>
      </c>
      <c r="O305" t="s">
        <v>25</v>
      </c>
      <c r="P305">
        <v>3</v>
      </c>
      <c r="Q305">
        <v>2</v>
      </c>
    </row>
    <row r="306" spans="1:17" x14ac:dyDescent="0.3">
      <c r="A306" t="s">
        <v>714</v>
      </c>
      <c r="B306" t="s">
        <v>715</v>
      </c>
      <c r="C306" t="s">
        <v>118</v>
      </c>
      <c r="D306" t="s">
        <v>118</v>
      </c>
      <c r="E306">
        <v>20</v>
      </c>
      <c r="F306" t="s">
        <v>160</v>
      </c>
      <c r="G306" t="s">
        <v>161</v>
      </c>
      <c r="H306" t="s">
        <v>66</v>
      </c>
      <c r="I306">
        <v>0</v>
      </c>
      <c r="J306" t="s">
        <v>162</v>
      </c>
      <c r="K306">
        <v>3.9</v>
      </c>
      <c r="L306" t="s">
        <v>59</v>
      </c>
      <c r="N306" t="s">
        <v>88</v>
      </c>
      <c r="O306" t="s">
        <v>75</v>
      </c>
      <c r="P306">
        <v>1</v>
      </c>
      <c r="Q306">
        <v>1</v>
      </c>
    </row>
    <row r="307" spans="1:17" x14ac:dyDescent="0.3">
      <c r="A307" t="s">
        <v>716</v>
      </c>
      <c r="B307" t="s">
        <v>717</v>
      </c>
      <c r="C307" t="s">
        <v>28</v>
      </c>
      <c r="D307" t="s">
        <v>97</v>
      </c>
      <c r="E307">
        <v>48</v>
      </c>
      <c r="F307" t="s">
        <v>197</v>
      </c>
      <c r="G307" t="s">
        <v>198</v>
      </c>
      <c r="H307" t="s">
        <v>66</v>
      </c>
      <c r="I307">
        <v>2</v>
      </c>
      <c r="J307" t="s">
        <v>103</v>
      </c>
      <c r="K307">
        <v>1.6</v>
      </c>
      <c r="L307" t="s">
        <v>41</v>
      </c>
      <c r="M307">
        <v>0.67</v>
      </c>
      <c r="N307" t="s">
        <v>82</v>
      </c>
      <c r="O307" t="s">
        <v>25</v>
      </c>
      <c r="P307">
        <v>5</v>
      </c>
      <c r="Q307">
        <v>2</v>
      </c>
    </row>
    <row r="308" spans="1:17" x14ac:dyDescent="0.3">
      <c r="A308" t="s">
        <v>718</v>
      </c>
      <c r="B308" t="s">
        <v>719</v>
      </c>
      <c r="C308" t="s">
        <v>37</v>
      </c>
      <c r="D308" t="s">
        <v>118</v>
      </c>
      <c r="E308">
        <v>27</v>
      </c>
      <c r="F308" t="s">
        <v>156</v>
      </c>
      <c r="G308" t="s">
        <v>157</v>
      </c>
      <c r="H308" t="s">
        <v>98</v>
      </c>
      <c r="I308">
        <v>2</v>
      </c>
      <c r="J308" t="s">
        <v>81</v>
      </c>
      <c r="L308" t="s">
        <v>23</v>
      </c>
      <c r="M308">
        <v>0.84</v>
      </c>
      <c r="N308" t="s">
        <v>24</v>
      </c>
      <c r="O308" t="s">
        <v>75</v>
      </c>
      <c r="P308">
        <v>2</v>
      </c>
      <c r="Q308">
        <v>3</v>
      </c>
    </row>
    <row r="309" spans="1:17" x14ac:dyDescent="0.3">
      <c r="A309" t="s">
        <v>720</v>
      </c>
      <c r="B309" t="s">
        <v>721</v>
      </c>
      <c r="C309" t="s">
        <v>113</v>
      </c>
      <c r="D309" t="s">
        <v>118</v>
      </c>
      <c r="E309">
        <v>34</v>
      </c>
      <c r="F309" t="s">
        <v>133</v>
      </c>
      <c r="G309" t="s">
        <v>134</v>
      </c>
      <c r="H309" t="s">
        <v>31</v>
      </c>
      <c r="I309">
        <v>1</v>
      </c>
      <c r="J309" t="s">
        <v>52</v>
      </c>
      <c r="K309">
        <v>3.6</v>
      </c>
      <c r="L309" t="s">
        <v>33</v>
      </c>
      <c r="M309">
        <v>0.87</v>
      </c>
      <c r="N309" t="s">
        <v>88</v>
      </c>
      <c r="O309" t="s">
        <v>75</v>
      </c>
      <c r="P309">
        <v>2</v>
      </c>
      <c r="Q309">
        <v>2</v>
      </c>
    </row>
    <row r="310" spans="1:17" x14ac:dyDescent="0.3">
      <c r="A310" t="s">
        <v>722</v>
      </c>
      <c r="B310" t="s">
        <v>723</v>
      </c>
      <c r="C310" t="s">
        <v>118</v>
      </c>
      <c r="D310" t="s">
        <v>118</v>
      </c>
      <c r="E310">
        <v>55</v>
      </c>
      <c r="F310" t="s">
        <v>128</v>
      </c>
      <c r="G310" t="s">
        <v>129</v>
      </c>
      <c r="H310" t="s">
        <v>135</v>
      </c>
      <c r="I310">
        <v>14</v>
      </c>
      <c r="J310" t="s">
        <v>130</v>
      </c>
      <c r="K310">
        <v>1.2</v>
      </c>
      <c r="L310" t="s">
        <v>87</v>
      </c>
      <c r="M310">
        <v>0.91</v>
      </c>
      <c r="N310" t="s">
        <v>24</v>
      </c>
      <c r="O310" t="s">
        <v>75</v>
      </c>
      <c r="P310">
        <v>7</v>
      </c>
      <c r="Q310">
        <v>6</v>
      </c>
    </row>
    <row r="311" spans="1:17" x14ac:dyDescent="0.3">
      <c r="A311" t="s">
        <v>724</v>
      </c>
      <c r="B311" t="s">
        <v>725</v>
      </c>
      <c r="C311" t="s">
        <v>45</v>
      </c>
      <c r="D311" t="s">
        <v>97</v>
      </c>
      <c r="E311">
        <v>44</v>
      </c>
      <c r="F311" t="s">
        <v>175</v>
      </c>
      <c r="G311" t="s">
        <v>176</v>
      </c>
      <c r="H311" t="s">
        <v>135</v>
      </c>
      <c r="I311">
        <v>14</v>
      </c>
      <c r="J311" t="s">
        <v>67</v>
      </c>
      <c r="K311">
        <v>3</v>
      </c>
      <c r="L311" t="s">
        <v>23</v>
      </c>
      <c r="M311">
        <v>0.78</v>
      </c>
      <c r="N311" t="s">
        <v>60</v>
      </c>
      <c r="O311" t="s">
        <v>75</v>
      </c>
      <c r="P311">
        <v>13</v>
      </c>
      <c r="Q311">
        <v>6</v>
      </c>
    </row>
    <row r="312" spans="1:17" x14ac:dyDescent="0.3">
      <c r="A312" t="s">
        <v>726</v>
      </c>
      <c r="B312" t="s">
        <v>727</v>
      </c>
      <c r="C312" t="s">
        <v>37</v>
      </c>
      <c r="D312" t="s">
        <v>118</v>
      </c>
      <c r="E312">
        <v>31</v>
      </c>
      <c r="F312" t="s">
        <v>55</v>
      </c>
      <c r="G312" t="s">
        <v>56</v>
      </c>
      <c r="H312" t="s">
        <v>93</v>
      </c>
      <c r="I312">
        <v>2</v>
      </c>
      <c r="J312" t="s">
        <v>40</v>
      </c>
      <c r="K312">
        <v>3.9</v>
      </c>
      <c r="L312" t="s">
        <v>23</v>
      </c>
      <c r="N312" t="s">
        <v>60</v>
      </c>
      <c r="O312" t="s">
        <v>42</v>
      </c>
      <c r="P312">
        <v>4</v>
      </c>
      <c r="Q312">
        <v>1</v>
      </c>
    </row>
    <row r="313" spans="1:17" x14ac:dyDescent="0.3">
      <c r="A313" t="s">
        <v>728</v>
      </c>
      <c r="B313" t="s">
        <v>729</v>
      </c>
      <c r="C313" t="s">
        <v>63</v>
      </c>
      <c r="D313" t="s">
        <v>118</v>
      </c>
      <c r="E313">
        <v>34</v>
      </c>
      <c r="F313" t="s">
        <v>29</v>
      </c>
      <c r="G313" t="s">
        <v>30</v>
      </c>
      <c r="H313" t="s">
        <v>110</v>
      </c>
      <c r="I313">
        <v>1</v>
      </c>
      <c r="J313" t="s">
        <v>86</v>
      </c>
      <c r="K313">
        <v>1.7</v>
      </c>
      <c r="L313" t="s">
        <v>51</v>
      </c>
      <c r="M313">
        <v>74</v>
      </c>
      <c r="N313" t="s">
        <v>60</v>
      </c>
      <c r="O313" t="s">
        <v>75</v>
      </c>
      <c r="P313">
        <v>4</v>
      </c>
      <c r="Q313">
        <v>4</v>
      </c>
    </row>
    <row r="314" spans="1:17" x14ac:dyDescent="0.3">
      <c r="A314" t="s">
        <v>730</v>
      </c>
      <c r="B314" t="s">
        <v>731</v>
      </c>
      <c r="C314" t="s">
        <v>45</v>
      </c>
      <c r="D314" t="s">
        <v>97</v>
      </c>
      <c r="E314">
        <v>47</v>
      </c>
      <c r="F314" t="s">
        <v>128</v>
      </c>
      <c r="G314" t="s">
        <v>129</v>
      </c>
      <c r="H314" t="s">
        <v>110</v>
      </c>
      <c r="I314">
        <v>13</v>
      </c>
      <c r="J314" t="s">
        <v>162</v>
      </c>
      <c r="K314">
        <v>4.5</v>
      </c>
      <c r="L314" t="s">
        <v>51</v>
      </c>
      <c r="M314">
        <v>0.91</v>
      </c>
      <c r="N314" t="s">
        <v>82</v>
      </c>
      <c r="O314" t="s">
        <v>34</v>
      </c>
      <c r="P314">
        <v>7</v>
      </c>
      <c r="Q314">
        <v>6</v>
      </c>
    </row>
    <row r="315" spans="1:17" x14ac:dyDescent="0.3">
      <c r="A315" t="s">
        <v>732</v>
      </c>
      <c r="B315" t="s">
        <v>733</v>
      </c>
      <c r="C315" t="s">
        <v>63</v>
      </c>
      <c r="D315" t="s">
        <v>118</v>
      </c>
      <c r="E315">
        <v>50</v>
      </c>
      <c r="F315" t="s">
        <v>73</v>
      </c>
      <c r="G315" t="s">
        <v>30</v>
      </c>
      <c r="H315" t="s">
        <v>39</v>
      </c>
      <c r="I315">
        <v>23</v>
      </c>
      <c r="J315" t="s">
        <v>47</v>
      </c>
      <c r="K315">
        <v>3.6</v>
      </c>
      <c r="L315" t="s">
        <v>74</v>
      </c>
      <c r="M315">
        <v>0.71</v>
      </c>
      <c r="N315" t="s">
        <v>88</v>
      </c>
      <c r="O315" t="s">
        <v>25</v>
      </c>
      <c r="P315">
        <v>12</v>
      </c>
      <c r="Q315">
        <v>9</v>
      </c>
    </row>
    <row r="316" spans="1:17" x14ac:dyDescent="0.3">
      <c r="A316" t="s">
        <v>734</v>
      </c>
      <c r="B316" t="s">
        <v>735</v>
      </c>
      <c r="C316" t="s">
        <v>113</v>
      </c>
      <c r="D316" t="s">
        <v>118</v>
      </c>
      <c r="E316">
        <v>39</v>
      </c>
      <c r="F316" t="s">
        <v>38</v>
      </c>
      <c r="G316" t="s">
        <v>38</v>
      </c>
      <c r="H316" t="s">
        <v>98</v>
      </c>
      <c r="J316" t="s">
        <v>67</v>
      </c>
      <c r="K316">
        <v>3.6</v>
      </c>
      <c r="L316" t="s">
        <v>94</v>
      </c>
      <c r="M316">
        <v>0.87</v>
      </c>
      <c r="N316" t="s">
        <v>60</v>
      </c>
      <c r="O316" t="s">
        <v>34</v>
      </c>
      <c r="P316">
        <v>5</v>
      </c>
      <c r="Q316">
        <v>1</v>
      </c>
    </row>
    <row r="317" spans="1:17" x14ac:dyDescent="0.3">
      <c r="A317" t="s">
        <v>736</v>
      </c>
      <c r="B317" t="s">
        <v>737</v>
      </c>
      <c r="C317" t="s">
        <v>28</v>
      </c>
      <c r="D317" t="s">
        <v>97</v>
      </c>
      <c r="E317">
        <v>26</v>
      </c>
      <c r="F317" t="s">
        <v>91</v>
      </c>
      <c r="G317" t="s">
        <v>92</v>
      </c>
      <c r="H317" t="s">
        <v>21</v>
      </c>
      <c r="I317">
        <v>3</v>
      </c>
      <c r="J317" t="s">
        <v>32</v>
      </c>
      <c r="K317">
        <v>2.8</v>
      </c>
      <c r="L317" t="s">
        <v>33</v>
      </c>
      <c r="M317">
        <v>0.61</v>
      </c>
      <c r="N317" t="s">
        <v>60</v>
      </c>
      <c r="O317" t="s">
        <v>42</v>
      </c>
      <c r="P317">
        <v>1</v>
      </c>
      <c r="Q317">
        <v>1</v>
      </c>
    </row>
    <row r="318" spans="1:17" x14ac:dyDescent="0.3">
      <c r="A318" t="s">
        <v>738</v>
      </c>
      <c r="B318" t="s">
        <v>739</v>
      </c>
      <c r="C318" t="s">
        <v>113</v>
      </c>
      <c r="D318" t="s">
        <v>118</v>
      </c>
      <c r="F318" t="s">
        <v>55</v>
      </c>
      <c r="G318" t="s">
        <v>56</v>
      </c>
      <c r="H318" t="s">
        <v>110</v>
      </c>
      <c r="I318">
        <v>0</v>
      </c>
      <c r="J318" t="s">
        <v>251</v>
      </c>
      <c r="K318">
        <v>5</v>
      </c>
      <c r="L318" t="s">
        <v>41</v>
      </c>
      <c r="N318" t="s">
        <v>88</v>
      </c>
      <c r="O318" t="s">
        <v>34</v>
      </c>
      <c r="P318">
        <v>1</v>
      </c>
      <c r="Q318">
        <v>4</v>
      </c>
    </row>
    <row r="319" spans="1:17" x14ac:dyDescent="0.3">
      <c r="A319" t="s">
        <v>740</v>
      </c>
      <c r="B319" t="s">
        <v>741</v>
      </c>
      <c r="C319" t="s">
        <v>37</v>
      </c>
      <c r="D319" t="s">
        <v>118</v>
      </c>
      <c r="E319">
        <v>32</v>
      </c>
      <c r="F319" t="s">
        <v>38</v>
      </c>
      <c r="G319" t="s">
        <v>38</v>
      </c>
      <c r="H319" t="s">
        <v>39</v>
      </c>
      <c r="I319">
        <v>0</v>
      </c>
      <c r="J319" t="s">
        <v>22</v>
      </c>
      <c r="K319">
        <v>1.4</v>
      </c>
      <c r="L319" t="s">
        <v>33</v>
      </c>
      <c r="M319">
        <v>0.81</v>
      </c>
      <c r="N319" t="s">
        <v>60</v>
      </c>
      <c r="O319" t="s">
        <v>25</v>
      </c>
      <c r="P319">
        <v>2</v>
      </c>
      <c r="Q319">
        <v>1</v>
      </c>
    </row>
    <row r="320" spans="1:17" x14ac:dyDescent="0.3">
      <c r="A320" t="s">
        <v>742</v>
      </c>
      <c r="B320" t="s">
        <v>743</v>
      </c>
      <c r="C320" t="s">
        <v>97</v>
      </c>
      <c r="D320" t="s">
        <v>97</v>
      </c>
      <c r="E320">
        <v>55</v>
      </c>
      <c r="F320" t="s">
        <v>145</v>
      </c>
      <c r="G320" t="s">
        <v>146</v>
      </c>
      <c r="H320" t="s">
        <v>66</v>
      </c>
      <c r="I320">
        <v>17</v>
      </c>
      <c r="J320" t="s">
        <v>52</v>
      </c>
      <c r="L320" t="s">
        <v>51</v>
      </c>
      <c r="N320" t="s">
        <v>24</v>
      </c>
      <c r="O320" t="s">
        <v>34</v>
      </c>
      <c r="P320">
        <v>18</v>
      </c>
      <c r="Q320">
        <v>13</v>
      </c>
    </row>
    <row r="321" spans="1:17" x14ac:dyDescent="0.3">
      <c r="A321" t="s">
        <v>744</v>
      </c>
      <c r="B321" t="s">
        <v>745</v>
      </c>
      <c r="C321" t="s">
        <v>113</v>
      </c>
      <c r="D321" t="s">
        <v>118</v>
      </c>
      <c r="E321">
        <v>32</v>
      </c>
      <c r="F321" t="s">
        <v>91</v>
      </c>
      <c r="G321" t="s">
        <v>92</v>
      </c>
      <c r="H321" t="s">
        <v>135</v>
      </c>
      <c r="I321">
        <v>9</v>
      </c>
      <c r="J321" t="s">
        <v>70</v>
      </c>
      <c r="K321">
        <v>4.5999999999999996</v>
      </c>
      <c r="L321" t="s">
        <v>33</v>
      </c>
      <c r="M321">
        <v>0.84</v>
      </c>
      <c r="N321" t="s">
        <v>88</v>
      </c>
      <c r="O321" t="s">
        <v>42</v>
      </c>
      <c r="P321">
        <v>9</v>
      </c>
      <c r="Q321">
        <v>2</v>
      </c>
    </row>
    <row r="322" spans="1:17" x14ac:dyDescent="0.3">
      <c r="A322" t="s">
        <v>746</v>
      </c>
      <c r="B322" t="s">
        <v>747</v>
      </c>
      <c r="C322" t="s">
        <v>63</v>
      </c>
      <c r="D322" t="s">
        <v>118</v>
      </c>
      <c r="E322">
        <v>30</v>
      </c>
      <c r="F322" t="s">
        <v>133</v>
      </c>
      <c r="G322" t="s">
        <v>134</v>
      </c>
      <c r="H322" t="s">
        <v>21</v>
      </c>
      <c r="I322">
        <v>4</v>
      </c>
      <c r="J322" t="s">
        <v>142</v>
      </c>
      <c r="K322">
        <v>3.3</v>
      </c>
      <c r="L322" t="s">
        <v>181</v>
      </c>
      <c r="N322" t="s">
        <v>88</v>
      </c>
      <c r="O322" t="s">
        <v>75</v>
      </c>
      <c r="P322">
        <v>4</v>
      </c>
      <c r="Q322">
        <v>4</v>
      </c>
    </row>
    <row r="323" spans="1:17" x14ac:dyDescent="0.3">
      <c r="A323" t="s">
        <v>748</v>
      </c>
      <c r="B323" t="s">
        <v>749</v>
      </c>
      <c r="C323" t="s">
        <v>50</v>
      </c>
      <c r="D323" t="s">
        <v>97</v>
      </c>
      <c r="E323">
        <v>37</v>
      </c>
      <c r="F323" t="s">
        <v>149</v>
      </c>
      <c r="G323" t="s">
        <v>30</v>
      </c>
      <c r="H323" t="s">
        <v>98</v>
      </c>
      <c r="I323">
        <v>0</v>
      </c>
      <c r="J323" t="s">
        <v>47</v>
      </c>
      <c r="K323">
        <v>3.7</v>
      </c>
      <c r="L323" t="s">
        <v>33</v>
      </c>
      <c r="N323" t="s">
        <v>88</v>
      </c>
      <c r="O323" t="s">
        <v>34</v>
      </c>
      <c r="P323">
        <v>3</v>
      </c>
      <c r="Q323">
        <v>5</v>
      </c>
    </row>
    <row r="324" spans="1:17" x14ac:dyDescent="0.3">
      <c r="A324" t="s">
        <v>750</v>
      </c>
      <c r="B324" t="s">
        <v>751</v>
      </c>
      <c r="C324" t="s">
        <v>113</v>
      </c>
      <c r="D324" t="s">
        <v>118</v>
      </c>
      <c r="E324">
        <v>52</v>
      </c>
      <c r="F324" t="s">
        <v>128</v>
      </c>
      <c r="G324" t="s">
        <v>129</v>
      </c>
      <c r="H324" t="s">
        <v>39</v>
      </c>
      <c r="I324">
        <v>33</v>
      </c>
      <c r="J324" t="s">
        <v>51</v>
      </c>
      <c r="K324">
        <v>0</v>
      </c>
      <c r="L324" t="s">
        <v>33</v>
      </c>
      <c r="M324">
        <v>0.6</v>
      </c>
      <c r="N324" t="s">
        <v>24</v>
      </c>
      <c r="O324" t="s">
        <v>42</v>
      </c>
      <c r="P324">
        <v>13</v>
      </c>
      <c r="Q324">
        <v>7</v>
      </c>
    </row>
    <row r="325" spans="1:17" x14ac:dyDescent="0.3">
      <c r="A325" t="s">
        <v>752</v>
      </c>
      <c r="B325" t="s">
        <v>753</v>
      </c>
      <c r="C325" t="s">
        <v>118</v>
      </c>
      <c r="D325" t="s">
        <v>118</v>
      </c>
      <c r="E325">
        <v>48</v>
      </c>
      <c r="F325" t="s">
        <v>114</v>
      </c>
      <c r="G325" t="s">
        <v>115</v>
      </c>
      <c r="H325" t="s">
        <v>98</v>
      </c>
      <c r="I325">
        <v>18</v>
      </c>
      <c r="J325" t="s">
        <v>40</v>
      </c>
      <c r="K325">
        <v>0</v>
      </c>
      <c r="L325" t="s">
        <v>94</v>
      </c>
      <c r="M325">
        <v>0.64</v>
      </c>
      <c r="N325" t="s">
        <v>88</v>
      </c>
      <c r="O325" t="s">
        <v>42</v>
      </c>
      <c r="P325">
        <v>11</v>
      </c>
      <c r="Q325">
        <v>16</v>
      </c>
    </row>
    <row r="326" spans="1:17" x14ac:dyDescent="0.3">
      <c r="A326" t="s">
        <v>754</v>
      </c>
      <c r="B326" t="s">
        <v>755</v>
      </c>
      <c r="C326" t="s">
        <v>28</v>
      </c>
      <c r="D326" t="s">
        <v>97</v>
      </c>
      <c r="E326">
        <v>28</v>
      </c>
      <c r="F326" t="s">
        <v>106</v>
      </c>
      <c r="G326" t="s">
        <v>107</v>
      </c>
      <c r="H326" t="s">
        <v>31</v>
      </c>
      <c r="I326">
        <v>9</v>
      </c>
      <c r="J326" t="s">
        <v>86</v>
      </c>
      <c r="L326" t="s">
        <v>33</v>
      </c>
      <c r="M326">
        <v>0.64</v>
      </c>
      <c r="N326" t="s">
        <v>24</v>
      </c>
      <c r="O326" t="s">
        <v>25</v>
      </c>
      <c r="P326">
        <v>14</v>
      </c>
      <c r="Q326">
        <v>12</v>
      </c>
    </row>
    <row r="327" spans="1:17" x14ac:dyDescent="0.3">
      <c r="A327" t="s">
        <v>756</v>
      </c>
      <c r="B327" t="s">
        <v>757</v>
      </c>
      <c r="C327" t="s">
        <v>28</v>
      </c>
      <c r="D327" t="s">
        <v>97</v>
      </c>
      <c r="E327">
        <v>58</v>
      </c>
      <c r="F327" t="s">
        <v>212</v>
      </c>
      <c r="G327" t="s">
        <v>92</v>
      </c>
      <c r="H327" t="s">
        <v>66</v>
      </c>
      <c r="I327">
        <v>40</v>
      </c>
      <c r="J327" t="s">
        <v>103</v>
      </c>
      <c r="K327">
        <v>3.4</v>
      </c>
      <c r="L327" t="s">
        <v>33</v>
      </c>
      <c r="M327">
        <v>1</v>
      </c>
      <c r="N327" t="s">
        <v>88</v>
      </c>
      <c r="O327" t="s">
        <v>25</v>
      </c>
      <c r="P327">
        <v>11</v>
      </c>
      <c r="Q327">
        <v>12</v>
      </c>
    </row>
    <row r="328" spans="1:17" x14ac:dyDescent="0.3">
      <c r="A328" t="s">
        <v>758</v>
      </c>
      <c r="B328" t="s">
        <v>759</v>
      </c>
      <c r="C328" t="s">
        <v>37</v>
      </c>
      <c r="D328" t="s">
        <v>118</v>
      </c>
      <c r="E328">
        <v>30</v>
      </c>
      <c r="F328" t="s">
        <v>91</v>
      </c>
      <c r="G328" t="s">
        <v>92</v>
      </c>
      <c r="H328" t="s">
        <v>46</v>
      </c>
      <c r="I328">
        <v>1</v>
      </c>
      <c r="J328" t="s">
        <v>86</v>
      </c>
      <c r="K328">
        <v>1.6</v>
      </c>
      <c r="L328" t="s">
        <v>74</v>
      </c>
      <c r="M328">
        <v>100</v>
      </c>
      <c r="N328" t="s">
        <v>82</v>
      </c>
      <c r="O328" t="s">
        <v>34</v>
      </c>
      <c r="P328">
        <v>4</v>
      </c>
      <c r="Q328">
        <v>1</v>
      </c>
    </row>
    <row r="329" spans="1:17" x14ac:dyDescent="0.3">
      <c r="A329" t="s">
        <v>760</v>
      </c>
      <c r="B329" t="s">
        <v>761</v>
      </c>
      <c r="C329" t="s">
        <v>97</v>
      </c>
      <c r="D329" t="s">
        <v>97</v>
      </c>
      <c r="E329">
        <v>47</v>
      </c>
      <c r="F329" t="s">
        <v>197</v>
      </c>
      <c r="G329" t="s">
        <v>198</v>
      </c>
      <c r="H329" t="s">
        <v>31</v>
      </c>
      <c r="I329">
        <v>5</v>
      </c>
      <c r="J329" t="s">
        <v>162</v>
      </c>
      <c r="K329">
        <v>1.9</v>
      </c>
      <c r="L329" t="s">
        <v>23</v>
      </c>
      <c r="N329" t="s">
        <v>60</v>
      </c>
      <c r="O329" t="s">
        <v>75</v>
      </c>
      <c r="P329">
        <v>5</v>
      </c>
      <c r="Q329">
        <v>1</v>
      </c>
    </row>
    <row r="330" spans="1:17" x14ac:dyDescent="0.3">
      <c r="A330" t="s">
        <v>762</v>
      </c>
      <c r="B330" t="s">
        <v>763</v>
      </c>
      <c r="C330" t="s">
        <v>37</v>
      </c>
      <c r="D330" t="s">
        <v>118</v>
      </c>
      <c r="E330">
        <v>44</v>
      </c>
      <c r="F330" t="s">
        <v>91</v>
      </c>
      <c r="G330" t="s">
        <v>92</v>
      </c>
      <c r="H330" t="s">
        <v>57</v>
      </c>
      <c r="I330">
        <v>4</v>
      </c>
      <c r="J330" t="s">
        <v>81</v>
      </c>
      <c r="K330">
        <v>0</v>
      </c>
      <c r="L330" t="s">
        <v>74</v>
      </c>
      <c r="M330">
        <v>0.83</v>
      </c>
      <c r="N330" t="s">
        <v>82</v>
      </c>
      <c r="O330" t="s">
        <v>42</v>
      </c>
      <c r="P330">
        <v>5</v>
      </c>
      <c r="Q330">
        <v>1</v>
      </c>
    </row>
    <row r="331" spans="1:17" x14ac:dyDescent="0.3">
      <c r="A331" t="s">
        <v>764</v>
      </c>
      <c r="B331" t="s">
        <v>765</v>
      </c>
      <c r="C331" t="s">
        <v>113</v>
      </c>
      <c r="D331" t="s">
        <v>118</v>
      </c>
      <c r="E331">
        <v>56</v>
      </c>
      <c r="F331" t="s">
        <v>19</v>
      </c>
      <c r="G331" t="s">
        <v>20</v>
      </c>
      <c r="H331" t="s">
        <v>135</v>
      </c>
      <c r="I331">
        <v>13</v>
      </c>
      <c r="J331" t="s">
        <v>70</v>
      </c>
      <c r="L331" t="s">
        <v>33</v>
      </c>
      <c r="M331">
        <v>0.87</v>
      </c>
      <c r="N331" t="s">
        <v>60</v>
      </c>
      <c r="O331" t="s">
        <v>34</v>
      </c>
      <c r="P331">
        <v>9</v>
      </c>
      <c r="Q331">
        <v>10</v>
      </c>
    </row>
    <row r="332" spans="1:17" x14ac:dyDescent="0.3">
      <c r="A332" t="s">
        <v>766</v>
      </c>
      <c r="B332" t="s">
        <v>767</v>
      </c>
      <c r="C332" t="s">
        <v>97</v>
      </c>
      <c r="D332" t="s">
        <v>97</v>
      </c>
      <c r="E332">
        <v>53</v>
      </c>
      <c r="F332" t="s">
        <v>73</v>
      </c>
      <c r="G332" t="s">
        <v>30</v>
      </c>
      <c r="H332" t="s">
        <v>31</v>
      </c>
      <c r="I332">
        <v>33</v>
      </c>
      <c r="J332" t="s">
        <v>251</v>
      </c>
      <c r="L332" t="s">
        <v>181</v>
      </c>
      <c r="M332">
        <v>0.75</v>
      </c>
      <c r="N332" t="s">
        <v>24</v>
      </c>
      <c r="O332" t="s">
        <v>42</v>
      </c>
      <c r="P332">
        <v>12</v>
      </c>
      <c r="Q332">
        <v>1</v>
      </c>
    </row>
    <row r="333" spans="1:17" x14ac:dyDescent="0.3">
      <c r="A333" t="s">
        <v>768</v>
      </c>
      <c r="B333" t="s">
        <v>769</v>
      </c>
      <c r="C333" t="s">
        <v>78</v>
      </c>
      <c r="D333" t="s">
        <v>118</v>
      </c>
      <c r="E333">
        <v>59</v>
      </c>
      <c r="F333" t="s">
        <v>85</v>
      </c>
      <c r="G333" t="s">
        <v>30</v>
      </c>
      <c r="H333" t="s">
        <v>31</v>
      </c>
      <c r="I333">
        <v>22</v>
      </c>
      <c r="J333" t="s">
        <v>86</v>
      </c>
      <c r="K333">
        <v>1.1000000000000001</v>
      </c>
      <c r="L333" t="s">
        <v>87</v>
      </c>
      <c r="M333">
        <v>0.61</v>
      </c>
      <c r="N333" t="s">
        <v>82</v>
      </c>
      <c r="O333" t="s">
        <v>42</v>
      </c>
      <c r="P333">
        <v>10</v>
      </c>
      <c r="Q333">
        <v>19</v>
      </c>
    </row>
    <row r="334" spans="1:17" x14ac:dyDescent="0.3">
      <c r="A334" t="s">
        <v>770</v>
      </c>
      <c r="B334" t="s">
        <v>771</v>
      </c>
      <c r="C334" t="s">
        <v>113</v>
      </c>
      <c r="D334" t="s">
        <v>118</v>
      </c>
      <c r="E334">
        <v>60</v>
      </c>
      <c r="F334" t="s">
        <v>73</v>
      </c>
      <c r="G334" t="s">
        <v>30</v>
      </c>
      <c r="H334" t="s">
        <v>110</v>
      </c>
      <c r="I334">
        <v>34</v>
      </c>
      <c r="J334" t="s">
        <v>51</v>
      </c>
      <c r="K334">
        <v>2.5</v>
      </c>
      <c r="L334" t="s">
        <v>59</v>
      </c>
      <c r="M334">
        <v>0.93</v>
      </c>
      <c r="N334" t="s">
        <v>88</v>
      </c>
      <c r="O334" t="s">
        <v>75</v>
      </c>
      <c r="P334">
        <v>20</v>
      </c>
      <c r="Q334">
        <v>9</v>
      </c>
    </row>
    <row r="335" spans="1:17" x14ac:dyDescent="0.3">
      <c r="A335" t="s">
        <v>772</v>
      </c>
      <c r="B335" t="s">
        <v>773</v>
      </c>
      <c r="C335" t="s">
        <v>28</v>
      </c>
      <c r="D335" t="s">
        <v>97</v>
      </c>
      <c r="E335">
        <v>33</v>
      </c>
      <c r="F335" t="s">
        <v>38</v>
      </c>
      <c r="G335" t="s">
        <v>38</v>
      </c>
      <c r="H335" t="s">
        <v>31</v>
      </c>
      <c r="I335">
        <v>8</v>
      </c>
      <c r="J335" t="s">
        <v>130</v>
      </c>
      <c r="K335">
        <v>3.6</v>
      </c>
      <c r="L335" t="s">
        <v>33</v>
      </c>
      <c r="N335" t="s">
        <v>60</v>
      </c>
      <c r="O335" t="s">
        <v>75</v>
      </c>
      <c r="P335">
        <v>8</v>
      </c>
      <c r="Q335">
        <v>3</v>
      </c>
    </row>
    <row r="336" spans="1:17" x14ac:dyDescent="0.3">
      <c r="A336" t="s">
        <v>774</v>
      </c>
      <c r="B336" t="s">
        <v>775</v>
      </c>
      <c r="C336" t="s">
        <v>97</v>
      </c>
      <c r="D336" t="s">
        <v>97</v>
      </c>
      <c r="E336">
        <v>21</v>
      </c>
      <c r="F336" t="s">
        <v>91</v>
      </c>
      <c r="G336" t="s">
        <v>92</v>
      </c>
      <c r="H336" t="s">
        <v>46</v>
      </c>
      <c r="I336">
        <v>1</v>
      </c>
      <c r="J336" t="s">
        <v>336</v>
      </c>
      <c r="L336" t="s">
        <v>59</v>
      </c>
      <c r="M336">
        <v>0.99</v>
      </c>
      <c r="N336" t="s">
        <v>60</v>
      </c>
      <c r="O336" t="s">
        <v>34</v>
      </c>
      <c r="P336">
        <v>4</v>
      </c>
      <c r="Q336">
        <v>2</v>
      </c>
    </row>
    <row r="337" spans="1:17" x14ac:dyDescent="0.3">
      <c r="A337" t="s">
        <v>776</v>
      </c>
      <c r="B337" t="s">
        <v>777</v>
      </c>
      <c r="C337" t="s">
        <v>37</v>
      </c>
      <c r="D337" t="s">
        <v>118</v>
      </c>
      <c r="E337">
        <v>54</v>
      </c>
      <c r="F337" t="s">
        <v>85</v>
      </c>
      <c r="G337" t="s">
        <v>30</v>
      </c>
      <c r="H337" t="s">
        <v>93</v>
      </c>
      <c r="I337">
        <v>20</v>
      </c>
      <c r="J337" t="s">
        <v>40</v>
      </c>
      <c r="K337">
        <v>4.4000000000000004</v>
      </c>
      <c r="L337" t="s">
        <v>23</v>
      </c>
      <c r="M337">
        <v>73</v>
      </c>
      <c r="N337" t="s">
        <v>82</v>
      </c>
      <c r="O337" t="s">
        <v>75</v>
      </c>
      <c r="P337">
        <v>20</v>
      </c>
      <c r="Q337">
        <v>12</v>
      </c>
    </row>
    <row r="338" spans="1:17" x14ac:dyDescent="0.3">
      <c r="A338" t="s">
        <v>778</v>
      </c>
      <c r="B338" t="s">
        <v>779</v>
      </c>
      <c r="C338" t="s">
        <v>97</v>
      </c>
      <c r="D338" t="s">
        <v>97</v>
      </c>
      <c r="E338">
        <v>33</v>
      </c>
      <c r="F338" t="s">
        <v>73</v>
      </c>
      <c r="G338" t="s">
        <v>30</v>
      </c>
      <c r="H338" t="s">
        <v>39</v>
      </c>
      <c r="I338">
        <v>11</v>
      </c>
      <c r="J338" t="s">
        <v>103</v>
      </c>
      <c r="K338">
        <v>2.1</v>
      </c>
      <c r="L338" t="s">
        <v>23</v>
      </c>
      <c r="M338">
        <v>0.96</v>
      </c>
      <c r="N338" t="s">
        <v>24</v>
      </c>
      <c r="O338" t="s">
        <v>75</v>
      </c>
      <c r="P338">
        <v>7</v>
      </c>
      <c r="Q338">
        <v>5</v>
      </c>
    </row>
    <row r="339" spans="1:17" x14ac:dyDescent="0.3">
      <c r="A339" t="s">
        <v>780</v>
      </c>
      <c r="B339" t="s">
        <v>781</v>
      </c>
      <c r="C339" t="s">
        <v>97</v>
      </c>
      <c r="D339" t="s">
        <v>97</v>
      </c>
      <c r="E339">
        <v>57</v>
      </c>
      <c r="F339" t="s">
        <v>79</v>
      </c>
      <c r="G339" t="s">
        <v>80</v>
      </c>
      <c r="H339" t="s">
        <v>66</v>
      </c>
      <c r="I339">
        <v>2</v>
      </c>
      <c r="J339" t="s">
        <v>86</v>
      </c>
      <c r="K339">
        <v>0</v>
      </c>
      <c r="L339" t="s">
        <v>59</v>
      </c>
      <c r="M339">
        <v>0.6</v>
      </c>
      <c r="N339" t="s">
        <v>82</v>
      </c>
      <c r="O339" t="s">
        <v>34</v>
      </c>
      <c r="P339">
        <v>5</v>
      </c>
      <c r="Q339">
        <v>2</v>
      </c>
    </row>
    <row r="340" spans="1:17" x14ac:dyDescent="0.3">
      <c r="A340" t="s">
        <v>782</v>
      </c>
      <c r="B340" t="s">
        <v>783</v>
      </c>
      <c r="C340" t="s">
        <v>113</v>
      </c>
      <c r="D340" t="s">
        <v>118</v>
      </c>
      <c r="E340">
        <v>36</v>
      </c>
      <c r="F340" t="s">
        <v>133</v>
      </c>
      <c r="G340" t="s">
        <v>134</v>
      </c>
      <c r="H340" t="s">
        <v>39</v>
      </c>
      <c r="I340">
        <v>6</v>
      </c>
      <c r="J340" t="s">
        <v>162</v>
      </c>
      <c r="K340">
        <v>1</v>
      </c>
      <c r="L340" t="s">
        <v>94</v>
      </c>
      <c r="M340">
        <v>0.64</v>
      </c>
      <c r="N340" t="s">
        <v>24</v>
      </c>
      <c r="O340" t="s">
        <v>75</v>
      </c>
      <c r="P340">
        <v>15</v>
      </c>
      <c r="Q340">
        <v>6</v>
      </c>
    </row>
    <row r="341" spans="1:17" x14ac:dyDescent="0.3">
      <c r="A341" t="s">
        <v>784</v>
      </c>
      <c r="B341" t="s">
        <v>785</v>
      </c>
      <c r="C341" t="s">
        <v>118</v>
      </c>
      <c r="D341" t="s">
        <v>118</v>
      </c>
      <c r="E341">
        <v>50</v>
      </c>
      <c r="F341" t="s">
        <v>38</v>
      </c>
      <c r="G341" t="s">
        <v>38</v>
      </c>
      <c r="H341" t="s">
        <v>21</v>
      </c>
      <c r="I341">
        <v>20</v>
      </c>
      <c r="J341" t="s">
        <v>130</v>
      </c>
      <c r="K341">
        <v>0</v>
      </c>
      <c r="L341" t="s">
        <v>23</v>
      </c>
      <c r="N341" t="s">
        <v>24</v>
      </c>
      <c r="O341" t="s">
        <v>25</v>
      </c>
      <c r="P341">
        <v>18</v>
      </c>
      <c r="Q341">
        <v>7</v>
      </c>
    </row>
    <row r="342" spans="1:17" x14ac:dyDescent="0.3">
      <c r="A342" t="s">
        <v>786</v>
      </c>
      <c r="B342" t="s">
        <v>787</v>
      </c>
      <c r="C342" t="s">
        <v>18</v>
      </c>
      <c r="D342" t="s">
        <v>97</v>
      </c>
      <c r="E342">
        <v>37</v>
      </c>
      <c r="F342" t="s">
        <v>149</v>
      </c>
      <c r="G342" t="s">
        <v>30</v>
      </c>
      <c r="H342" t="s">
        <v>110</v>
      </c>
      <c r="J342" t="s">
        <v>336</v>
      </c>
      <c r="K342">
        <v>4.9000000000000004</v>
      </c>
      <c r="L342" t="s">
        <v>41</v>
      </c>
      <c r="N342" t="s">
        <v>60</v>
      </c>
      <c r="O342" t="s">
        <v>42</v>
      </c>
      <c r="P342">
        <v>5</v>
      </c>
      <c r="Q342">
        <v>3</v>
      </c>
    </row>
    <row r="343" spans="1:17" x14ac:dyDescent="0.3">
      <c r="A343" t="s">
        <v>788</v>
      </c>
      <c r="B343" t="s">
        <v>789</v>
      </c>
      <c r="C343" t="s">
        <v>113</v>
      </c>
      <c r="D343" t="s">
        <v>118</v>
      </c>
      <c r="E343">
        <v>53</v>
      </c>
      <c r="F343" t="s">
        <v>19</v>
      </c>
      <c r="G343" t="s">
        <v>20</v>
      </c>
      <c r="H343" t="s">
        <v>57</v>
      </c>
      <c r="I343">
        <v>4</v>
      </c>
      <c r="J343" t="s">
        <v>52</v>
      </c>
      <c r="K343">
        <v>4.7</v>
      </c>
      <c r="L343" t="s">
        <v>181</v>
      </c>
      <c r="M343">
        <v>0.99</v>
      </c>
      <c r="N343" t="s">
        <v>82</v>
      </c>
      <c r="O343" t="s">
        <v>42</v>
      </c>
      <c r="P343">
        <v>2</v>
      </c>
      <c r="Q343">
        <v>1</v>
      </c>
    </row>
    <row r="344" spans="1:17" x14ac:dyDescent="0.3">
      <c r="A344" t="s">
        <v>790</v>
      </c>
      <c r="B344" t="s">
        <v>791</v>
      </c>
      <c r="C344" t="s">
        <v>97</v>
      </c>
      <c r="D344" t="s">
        <v>97</v>
      </c>
      <c r="E344">
        <v>22</v>
      </c>
      <c r="F344" t="s">
        <v>19</v>
      </c>
      <c r="G344" t="s">
        <v>20</v>
      </c>
      <c r="H344" t="s">
        <v>21</v>
      </c>
      <c r="I344">
        <v>3</v>
      </c>
      <c r="J344" t="s">
        <v>70</v>
      </c>
      <c r="K344">
        <v>2.1</v>
      </c>
      <c r="L344" t="s">
        <v>23</v>
      </c>
      <c r="N344" t="s">
        <v>82</v>
      </c>
      <c r="O344" t="s">
        <v>42</v>
      </c>
      <c r="P344">
        <v>4</v>
      </c>
      <c r="Q344">
        <v>1</v>
      </c>
    </row>
    <row r="345" spans="1:17" x14ac:dyDescent="0.3">
      <c r="A345" t="s">
        <v>792</v>
      </c>
      <c r="B345" t="s">
        <v>793</v>
      </c>
      <c r="C345" t="s">
        <v>97</v>
      </c>
      <c r="D345" t="s">
        <v>97</v>
      </c>
      <c r="E345">
        <v>55</v>
      </c>
      <c r="F345" t="s">
        <v>55</v>
      </c>
      <c r="G345" t="s">
        <v>56</v>
      </c>
      <c r="H345" t="s">
        <v>31</v>
      </c>
      <c r="I345">
        <v>33</v>
      </c>
      <c r="J345" t="s">
        <v>86</v>
      </c>
      <c r="K345">
        <v>1.5</v>
      </c>
      <c r="L345" t="s">
        <v>94</v>
      </c>
      <c r="M345">
        <v>0.71</v>
      </c>
      <c r="N345" t="s">
        <v>24</v>
      </c>
      <c r="O345" t="s">
        <v>42</v>
      </c>
      <c r="P345">
        <v>10</v>
      </c>
      <c r="Q345">
        <v>11</v>
      </c>
    </row>
    <row r="346" spans="1:17" x14ac:dyDescent="0.3">
      <c r="A346" t="s">
        <v>794</v>
      </c>
      <c r="B346" t="s">
        <v>795</v>
      </c>
      <c r="C346" t="s">
        <v>78</v>
      </c>
      <c r="D346" t="s">
        <v>118</v>
      </c>
      <c r="E346">
        <v>22</v>
      </c>
      <c r="F346" t="s">
        <v>29</v>
      </c>
      <c r="G346" t="s">
        <v>30</v>
      </c>
      <c r="H346" t="s">
        <v>98</v>
      </c>
      <c r="I346">
        <v>1</v>
      </c>
      <c r="J346" t="s">
        <v>51</v>
      </c>
      <c r="K346">
        <v>2.6</v>
      </c>
      <c r="L346" t="s">
        <v>23</v>
      </c>
      <c r="M346">
        <v>0.72</v>
      </c>
      <c r="N346" t="s">
        <v>82</v>
      </c>
      <c r="O346" t="s">
        <v>34</v>
      </c>
      <c r="P346">
        <v>5</v>
      </c>
      <c r="Q346">
        <v>1</v>
      </c>
    </row>
    <row r="347" spans="1:17" x14ac:dyDescent="0.3">
      <c r="A347" t="s">
        <v>796</v>
      </c>
      <c r="B347" t="s">
        <v>797</v>
      </c>
      <c r="C347" t="s">
        <v>18</v>
      </c>
      <c r="D347" t="s">
        <v>97</v>
      </c>
      <c r="E347">
        <v>45</v>
      </c>
      <c r="F347" t="s">
        <v>79</v>
      </c>
      <c r="G347" t="s">
        <v>80</v>
      </c>
      <c r="H347" t="s">
        <v>46</v>
      </c>
      <c r="I347">
        <v>23</v>
      </c>
      <c r="J347" t="s">
        <v>119</v>
      </c>
      <c r="K347">
        <v>0</v>
      </c>
      <c r="L347" t="s">
        <v>23</v>
      </c>
      <c r="M347">
        <v>0.66</v>
      </c>
      <c r="N347" t="s">
        <v>88</v>
      </c>
      <c r="O347" t="s">
        <v>42</v>
      </c>
      <c r="P347">
        <v>10</v>
      </c>
      <c r="Q347">
        <v>6</v>
      </c>
    </row>
    <row r="348" spans="1:17" x14ac:dyDescent="0.3">
      <c r="A348" t="s">
        <v>798</v>
      </c>
      <c r="B348" t="s">
        <v>799</v>
      </c>
      <c r="C348" t="s">
        <v>113</v>
      </c>
      <c r="D348" t="s">
        <v>118</v>
      </c>
      <c r="E348">
        <v>36</v>
      </c>
      <c r="F348" t="s">
        <v>156</v>
      </c>
      <c r="G348" t="s">
        <v>157</v>
      </c>
      <c r="H348" t="s">
        <v>66</v>
      </c>
      <c r="I348">
        <v>13</v>
      </c>
      <c r="J348" t="s">
        <v>86</v>
      </c>
      <c r="L348" t="s">
        <v>41</v>
      </c>
      <c r="M348">
        <v>0.78</v>
      </c>
      <c r="N348" t="s">
        <v>88</v>
      </c>
      <c r="O348" t="s">
        <v>42</v>
      </c>
      <c r="P348">
        <v>15</v>
      </c>
      <c r="Q348">
        <v>10</v>
      </c>
    </row>
    <row r="349" spans="1:17" x14ac:dyDescent="0.3">
      <c r="A349" t="s">
        <v>800</v>
      </c>
      <c r="B349" t="s">
        <v>801</v>
      </c>
      <c r="C349" t="s">
        <v>63</v>
      </c>
      <c r="D349" t="s">
        <v>118</v>
      </c>
      <c r="E349">
        <v>23</v>
      </c>
      <c r="F349" t="s">
        <v>29</v>
      </c>
      <c r="G349" t="s">
        <v>30</v>
      </c>
      <c r="H349" t="s">
        <v>110</v>
      </c>
      <c r="I349">
        <v>1</v>
      </c>
      <c r="J349" t="s">
        <v>336</v>
      </c>
      <c r="K349">
        <v>4</v>
      </c>
      <c r="L349" t="s">
        <v>94</v>
      </c>
      <c r="M349">
        <v>100</v>
      </c>
      <c r="N349" t="s">
        <v>82</v>
      </c>
      <c r="O349" t="s">
        <v>42</v>
      </c>
      <c r="P349">
        <v>1</v>
      </c>
      <c r="Q349">
        <v>3</v>
      </c>
    </row>
    <row r="350" spans="1:17" x14ac:dyDescent="0.3">
      <c r="A350" t="s">
        <v>802</v>
      </c>
      <c r="B350" t="s">
        <v>803</v>
      </c>
      <c r="C350" t="s">
        <v>113</v>
      </c>
      <c r="D350" t="s">
        <v>118</v>
      </c>
      <c r="E350">
        <v>55</v>
      </c>
      <c r="F350" t="s">
        <v>19</v>
      </c>
      <c r="G350" t="s">
        <v>20</v>
      </c>
      <c r="H350" t="s">
        <v>110</v>
      </c>
      <c r="I350">
        <v>15</v>
      </c>
      <c r="J350" t="s">
        <v>86</v>
      </c>
      <c r="K350">
        <v>4.5</v>
      </c>
      <c r="L350" t="s">
        <v>51</v>
      </c>
      <c r="N350" t="s">
        <v>82</v>
      </c>
      <c r="O350" t="s">
        <v>42</v>
      </c>
      <c r="P350">
        <v>9</v>
      </c>
      <c r="Q350">
        <v>10</v>
      </c>
    </row>
    <row r="351" spans="1:17" x14ac:dyDescent="0.3">
      <c r="A351" t="s">
        <v>804</v>
      </c>
      <c r="B351" t="s">
        <v>805</v>
      </c>
      <c r="C351" t="s">
        <v>45</v>
      </c>
      <c r="D351" t="s">
        <v>97</v>
      </c>
      <c r="E351">
        <v>50</v>
      </c>
      <c r="F351" t="s">
        <v>128</v>
      </c>
      <c r="G351" t="s">
        <v>129</v>
      </c>
      <c r="H351" t="s">
        <v>31</v>
      </c>
      <c r="I351">
        <v>18</v>
      </c>
      <c r="J351" t="s">
        <v>103</v>
      </c>
      <c r="K351">
        <v>3.8</v>
      </c>
      <c r="L351" t="s">
        <v>23</v>
      </c>
      <c r="M351">
        <v>67</v>
      </c>
      <c r="N351" t="s">
        <v>24</v>
      </c>
      <c r="O351" t="s">
        <v>25</v>
      </c>
      <c r="P351">
        <v>14</v>
      </c>
      <c r="Q351">
        <v>6</v>
      </c>
    </row>
    <row r="352" spans="1:17" x14ac:dyDescent="0.3">
      <c r="A352" t="s">
        <v>806</v>
      </c>
      <c r="B352" t="s">
        <v>807</v>
      </c>
      <c r="C352" t="s">
        <v>37</v>
      </c>
      <c r="D352" t="s">
        <v>118</v>
      </c>
      <c r="E352">
        <v>48</v>
      </c>
      <c r="F352" t="s">
        <v>73</v>
      </c>
      <c r="G352" t="s">
        <v>30</v>
      </c>
      <c r="H352" t="s">
        <v>135</v>
      </c>
      <c r="I352">
        <v>21</v>
      </c>
      <c r="J352" t="s">
        <v>40</v>
      </c>
      <c r="K352">
        <v>4</v>
      </c>
      <c r="L352" t="s">
        <v>23</v>
      </c>
      <c r="M352">
        <v>0.78</v>
      </c>
      <c r="N352" t="s">
        <v>88</v>
      </c>
      <c r="O352" t="s">
        <v>42</v>
      </c>
      <c r="P352">
        <v>20</v>
      </c>
      <c r="Q352">
        <v>7</v>
      </c>
    </row>
    <row r="353" spans="1:17" x14ac:dyDescent="0.3">
      <c r="A353" t="s">
        <v>808</v>
      </c>
      <c r="B353" t="s">
        <v>809</v>
      </c>
      <c r="C353" t="s">
        <v>78</v>
      </c>
      <c r="D353" t="s">
        <v>118</v>
      </c>
      <c r="E353">
        <v>23</v>
      </c>
      <c r="F353" t="s">
        <v>55</v>
      </c>
      <c r="G353" t="s">
        <v>56</v>
      </c>
      <c r="H353" t="s">
        <v>110</v>
      </c>
      <c r="I353">
        <v>1</v>
      </c>
      <c r="J353" t="s">
        <v>47</v>
      </c>
      <c r="K353">
        <v>4.9000000000000004</v>
      </c>
      <c r="L353" t="s">
        <v>87</v>
      </c>
      <c r="M353">
        <v>0.78</v>
      </c>
      <c r="N353" t="s">
        <v>88</v>
      </c>
      <c r="O353" t="s">
        <v>25</v>
      </c>
      <c r="P353">
        <v>3</v>
      </c>
      <c r="Q353">
        <v>3</v>
      </c>
    </row>
    <row r="354" spans="1:17" x14ac:dyDescent="0.3">
      <c r="A354" t="s">
        <v>810</v>
      </c>
      <c r="B354" t="s">
        <v>811</v>
      </c>
      <c r="C354" t="s">
        <v>18</v>
      </c>
      <c r="D354" t="s">
        <v>97</v>
      </c>
      <c r="E354">
        <v>49</v>
      </c>
      <c r="F354" t="s">
        <v>149</v>
      </c>
      <c r="G354" t="s">
        <v>30</v>
      </c>
      <c r="H354" t="s">
        <v>46</v>
      </c>
      <c r="I354">
        <v>25</v>
      </c>
      <c r="J354" t="s">
        <v>58</v>
      </c>
      <c r="K354">
        <v>3.4</v>
      </c>
      <c r="L354" t="s">
        <v>23</v>
      </c>
      <c r="M354">
        <v>0.75</v>
      </c>
      <c r="N354" t="s">
        <v>60</v>
      </c>
      <c r="O354" t="s">
        <v>34</v>
      </c>
      <c r="P354">
        <v>15</v>
      </c>
      <c r="Q354">
        <v>10</v>
      </c>
    </row>
    <row r="355" spans="1:17" x14ac:dyDescent="0.3">
      <c r="A355" t="s">
        <v>812</v>
      </c>
      <c r="B355" t="s">
        <v>813</v>
      </c>
      <c r="C355" t="s">
        <v>45</v>
      </c>
      <c r="D355" t="s">
        <v>97</v>
      </c>
      <c r="E355">
        <v>47</v>
      </c>
      <c r="F355" t="s">
        <v>19</v>
      </c>
      <c r="G355" t="s">
        <v>20</v>
      </c>
      <c r="H355" t="s">
        <v>98</v>
      </c>
      <c r="I355">
        <v>12</v>
      </c>
      <c r="J355" t="s">
        <v>40</v>
      </c>
      <c r="K355">
        <v>2.1</v>
      </c>
      <c r="L355" t="s">
        <v>74</v>
      </c>
      <c r="M355">
        <v>0.67</v>
      </c>
      <c r="N355" t="s">
        <v>24</v>
      </c>
      <c r="O355" t="s">
        <v>75</v>
      </c>
      <c r="P355">
        <v>14</v>
      </c>
      <c r="Q355">
        <v>10</v>
      </c>
    </row>
    <row r="356" spans="1:17" x14ac:dyDescent="0.3">
      <c r="A356" t="s">
        <v>814</v>
      </c>
      <c r="B356" t="s">
        <v>815</v>
      </c>
      <c r="C356" t="s">
        <v>97</v>
      </c>
      <c r="D356" t="s">
        <v>97</v>
      </c>
      <c r="E356">
        <v>56</v>
      </c>
      <c r="F356" t="s">
        <v>106</v>
      </c>
      <c r="G356" t="s">
        <v>107</v>
      </c>
      <c r="H356" t="s">
        <v>39</v>
      </c>
      <c r="I356">
        <v>32</v>
      </c>
      <c r="J356" t="s">
        <v>70</v>
      </c>
      <c r="K356">
        <v>0</v>
      </c>
      <c r="L356" t="s">
        <v>33</v>
      </c>
      <c r="M356">
        <v>0.86</v>
      </c>
      <c r="N356" t="s">
        <v>60</v>
      </c>
      <c r="O356" t="s">
        <v>42</v>
      </c>
      <c r="P356">
        <v>15</v>
      </c>
      <c r="Q356">
        <v>5</v>
      </c>
    </row>
    <row r="357" spans="1:17" x14ac:dyDescent="0.3">
      <c r="A357" t="s">
        <v>816</v>
      </c>
      <c r="B357" t="s">
        <v>817</v>
      </c>
      <c r="C357" t="s">
        <v>78</v>
      </c>
      <c r="D357" t="s">
        <v>118</v>
      </c>
      <c r="E357">
        <v>58</v>
      </c>
      <c r="F357" t="s">
        <v>91</v>
      </c>
      <c r="G357" t="s">
        <v>92</v>
      </c>
      <c r="H357" t="s">
        <v>93</v>
      </c>
      <c r="J357" t="s">
        <v>22</v>
      </c>
      <c r="K357">
        <v>4.5</v>
      </c>
      <c r="L357" t="s">
        <v>181</v>
      </c>
      <c r="M357">
        <v>77</v>
      </c>
      <c r="N357" t="s">
        <v>88</v>
      </c>
      <c r="O357" t="s">
        <v>75</v>
      </c>
      <c r="P357">
        <v>3</v>
      </c>
      <c r="Q357">
        <v>1</v>
      </c>
    </row>
    <row r="358" spans="1:17" x14ac:dyDescent="0.3">
      <c r="A358" t="s">
        <v>818</v>
      </c>
      <c r="B358" t="s">
        <v>819</v>
      </c>
      <c r="C358" t="s">
        <v>63</v>
      </c>
      <c r="D358" t="s">
        <v>118</v>
      </c>
      <c r="E358">
        <v>32</v>
      </c>
      <c r="F358" t="s">
        <v>133</v>
      </c>
      <c r="G358" t="s">
        <v>134</v>
      </c>
      <c r="H358" t="s">
        <v>93</v>
      </c>
      <c r="I358">
        <v>10</v>
      </c>
      <c r="J358" t="s">
        <v>58</v>
      </c>
      <c r="K358">
        <v>3.8</v>
      </c>
      <c r="L358" t="s">
        <v>23</v>
      </c>
      <c r="M358">
        <v>0.61</v>
      </c>
      <c r="N358" t="s">
        <v>24</v>
      </c>
      <c r="O358" t="s">
        <v>75</v>
      </c>
      <c r="P358">
        <v>11</v>
      </c>
      <c r="Q358">
        <v>5</v>
      </c>
    </row>
    <row r="359" spans="1:17" x14ac:dyDescent="0.3">
      <c r="A359" t="s">
        <v>820</v>
      </c>
      <c r="B359" t="s">
        <v>821</v>
      </c>
      <c r="C359" t="s">
        <v>97</v>
      </c>
      <c r="D359" t="s">
        <v>97</v>
      </c>
      <c r="E359">
        <v>52</v>
      </c>
      <c r="F359" t="s">
        <v>114</v>
      </c>
      <c r="G359" t="s">
        <v>115</v>
      </c>
      <c r="H359" t="s">
        <v>93</v>
      </c>
      <c r="I359">
        <v>0</v>
      </c>
      <c r="J359" t="s">
        <v>51</v>
      </c>
      <c r="K359">
        <v>4.3</v>
      </c>
      <c r="L359" t="s">
        <v>23</v>
      </c>
      <c r="M359">
        <v>0.9</v>
      </c>
      <c r="N359" t="s">
        <v>82</v>
      </c>
      <c r="O359" t="s">
        <v>34</v>
      </c>
      <c r="P359">
        <v>1</v>
      </c>
      <c r="Q359">
        <v>1</v>
      </c>
    </row>
    <row r="360" spans="1:17" x14ac:dyDescent="0.3">
      <c r="A360" t="s">
        <v>822</v>
      </c>
      <c r="B360" t="s">
        <v>823</v>
      </c>
      <c r="C360" t="s">
        <v>28</v>
      </c>
      <c r="D360" t="s">
        <v>97</v>
      </c>
      <c r="E360">
        <v>22</v>
      </c>
      <c r="F360" t="s">
        <v>197</v>
      </c>
      <c r="G360" t="s">
        <v>198</v>
      </c>
      <c r="H360" t="s">
        <v>66</v>
      </c>
      <c r="I360">
        <v>1</v>
      </c>
      <c r="J360" t="s">
        <v>40</v>
      </c>
      <c r="K360">
        <v>0</v>
      </c>
      <c r="L360" t="s">
        <v>51</v>
      </c>
      <c r="M360">
        <v>0.98</v>
      </c>
      <c r="N360" t="s">
        <v>24</v>
      </c>
      <c r="O360" t="s">
        <v>75</v>
      </c>
      <c r="P360">
        <v>4</v>
      </c>
      <c r="Q360">
        <v>5</v>
      </c>
    </row>
    <row r="361" spans="1:17" x14ac:dyDescent="0.3">
      <c r="A361" t="s">
        <v>824</v>
      </c>
      <c r="B361" t="s">
        <v>825</v>
      </c>
      <c r="C361" t="s">
        <v>118</v>
      </c>
      <c r="D361" t="s">
        <v>118</v>
      </c>
      <c r="E361">
        <v>20</v>
      </c>
      <c r="F361" t="s">
        <v>114</v>
      </c>
      <c r="G361" t="s">
        <v>115</v>
      </c>
      <c r="H361" t="s">
        <v>98</v>
      </c>
      <c r="I361">
        <v>2</v>
      </c>
      <c r="J361" t="s">
        <v>52</v>
      </c>
      <c r="L361" t="s">
        <v>33</v>
      </c>
      <c r="M361">
        <v>0.99</v>
      </c>
      <c r="N361" t="s">
        <v>82</v>
      </c>
      <c r="O361" t="s">
        <v>25</v>
      </c>
      <c r="P361">
        <v>3</v>
      </c>
      <c r="Q361">
        <v>2</v>
      </c>
    </row>
    <row r="362" spans="1:17" x14ac:dyDescent="0.3">
      <c r="A362" t="s">
        <v>826</v>
      </c>
      <c r="B362" t="s">
        <v>827</v>
      </c>
      <c r="C362" t="s">
        <v>113</v>
      </c>
      <c r="D362" t="s">
        <v>118</v>
      </c>
      <c r="E362">
        <v>56</v>
      </c>
      <c r="F362" t="s">
        <v>55</v>
      </c>
      <c r="G362" t="s">
        <v>56</v>
      </c>
      <c r="H362" t="s">
        <v>66</v>
      </c>
      <c r="I362">
        <v>9</v>
      </c>
      <c r="J362" t="s">
        <v>70</v>
      </c>
      <c r="K362">
        <v>2.6</v>
      </c>
      <c r="L362" t="s">
        <v>23</v>
      </c>
      <c r="M362">
        <v>0.61</v>
      </c>
      <c r="N362" t="s">
        <v>82</v>
      </c>
      <c r="O362" t="s">
        <v>75</v>
      </c>
      <c r="P362">
        <v>10</v>
      </c>
      <c r="Q362">
        <v>5</v>
      </c>
    </row>
    <row r="363" spans="1:17" x14ac:dyDescent="0.3">
      <c r="A363" t="s">
        <v>828</v>
      </c>
      <c r="B363" t="s">
        <v>829</v>
      </c>
      <c r="C363" t="s">
        <v>118</v>
      </c>
      <c r="D363" t="s">
        <v>118</v>
      </c>
      <c r="E363">
        <v>41</v>
      </c>
      <c r="F363" t="s">
        <v>106</v>
      </c>
      <c r="G363" t="s">
        <v>107</v>
      </c>
      <c r="H363" t="s">
        <v>66</v>
      </c>
      <c r="I363">
        <v>22</v>
      </c>
      <c r="J363" t="s">
        <v>119</v>
      </c>
      <c r="K363">
        <v>1.6</v>
      </c>
      <c r="L363" t="s">
        <v>33</v>
      </c>
      <c r="M363">
        <v>0.61</v>
      </c>
      <c r="N363" t="s">
        <v>24</v>
      </c>
      <c r="O363" t="s">
        <v>75</v>
      </c>
      <c r="P363">
        <v>10</v>
      </c>
      <c r="Q363">
        <v>10</v>
      </c>
    </row>
    <row r="364" spans="1:17" x14ac:dyDescent="0.3">
      <c r="A364" t="s">
        <v>830</v>
      </c>
      <c r="B364" t="s">
        <v>831</v>
      </c>
      <c r="C364" t="s">
        <v>118</v>
      </c>
      <c r="D364" t="s">
        <v>118</v>
      </c>
      <c r="E364">
        <v>25</v>
      </c>
      <c r="F364" t="s">
        <v>91</v>
      </c>
      <c r="G364" t="s">
        <v>92</v>
      </c>
      <c r="H364" t="s">
        <v>21</v>
      </c>
      <c r="I364">
        <v>5</v>
      </c>
      <c r="J364" t="s">
        <v>58</v>
      </c>
      <c r="K364">
        <v>2.2999999999999998</v>
      </c>
      <c r="L364" t="s">
        <v>23</v>
      </c>
      <c r="M364">
        <v>0.91</v>
      </c>
      <c r="N364" t="s">
        <v>82</v>
      </c>
      <c r="O364" t="s">
        <v>75</v>
      </c>
      <c r="P364">
        <v>2</v>
      </c>
      <c r="Q364">
        <v>1</v>
      </c>
    </row>
    <row r="365" spans="1:17" x14ac:dyDescent="0.3">
      <c r="A365" t="s">
        <v>832</v>
      </c>
      <c r="B365" t="s">
        <v>833</v>
      </c>
      <c r="C365" t="s">
        <v>28</v>
      </c>
      <c r="D365" t="s">
        <v>97</v>
      </c>
      <c r="E365">
        <v>44</v>
      </c>
      <c r="F365" t="s">
        <v>149</v>
      </c>
      <c r="G365" t="s">
        <v>30</v>
      </c>
      <c r="H365" t="s">
        <v>98</v>
      </c>
      <c r="I365">
        <v>6</v>
      </c>
      <c r="J365" t="s">
        <v>103</v>
      </c>
      <c r="K365">
        <v>4.5999999999999996</v>
      </c>
      <c r="L365" t="s">
        <v>94</v>
      </c>
      <c r="M365">
        <v>72</v>
      </c>
      <c r="N365" t="s">
        <v>60</v>
      </c>
      <c r="O365" t="s">
        <v>42</v>
      </c>
      <c r="P365">
        <v>13</v>
      </c>
      <c r="Q365">
        <v>1</v>
      </c>
    </row>
    <row r="366" spans="1:17" x14ac:dyDescent="0.3">
      <c r="A366" t="s">
        <v>834</v>
      </c>
      <c r="B366" t="s">
        <v>835</v>
      </c>
      <c r="C366" t="s">
        <v>50</v>
      </c>
      <c r="D366" t="s">
        <v>97</v>
      </c>
      <c r="E366">
        <v>46</v>
      </c>
      <c r="F366" t="s">
        <v>29</v>
      </c>
      <c r="G366" t="s">
        <v>30</v>
      </c>
      <c r="H366" t="s">
        <v>46</v>
      </c>
      <c r="I366">
        <v>26</v>
      </c>
      <c r="J366" t="s">
        <v>251</v>
      </c>
      <c r="K366">
        <v>2.1</v>
      </c>
      <c r="L366" t="s">
        <v>51</v>
      </c>
      <c r="N366" t="s">
        <v>88</v>
      </c>
      <c r="O366" t="s">
        <v>42</v>
      </c>
      <c r="P366">
        <v>15</v>
      </c>
      <c r="Q366">
        <v>2</v>
      </c>
    </row>
    <row r="367" spans="1:17" x14ac:dyDescent="0.3">
      <c r="A367" t="s">
        <v>836</v>
      </c>
      <c r="B367" t="s">
        <v>837</v>
      </c>
      <c r="C367" t="s">
        <v>50</v>
      </c>
      <c r="D367" t="s">
        <v>97</v>
      </c>
      <c r="E367">
        <v>40</v>
      </c>
      <c r="F367" t="s">
        <v>133</v>
      </c>
      <c r="G367" t="s">
        <v>134</v>
      </c>
      <c r="H367" t="s">
        <v>21</v>
      </c>
      <c r="J367" t="s">
        <v>86</v>
      </c>
      <c r="K367">
        <v>1.5</v>
      </c>
      <c r="L367" t="s">
        <v>59</v>
      </c>
      <c r="M367">
        <v>0.96</v>
      </c>
      <c r="N367" t="s">
        <v>82</v>
      </c>
      <c r="O367" t="s">
        <v>25</v>
      </c>
      <c r="P367">
        <v>4</v>
      </c>
      <c r="Q367">
        <v>3</v>
      </c>
    </row>
    <row r="368" spans="1:17" x14ac:dyDescent="0.3">
      <c r="A368" t="s">
        <v>838</v>
      </c>
      <c r="B368" t="s">
        <v>839</v>
      </c>
      <c r="C368" t="s">
        <v>37</v>
      </c>
      <c r="D368" t="s">
        <v>118</v>
      </c>
      <c r="F368" t="s">
        <v>197</v>
      </c>
      <c r="G368" t="s">
        <v>198</v>
      </c>
      <c r="H368" t="s">
        <v>57</v>
      </c>
      <c r="I368">
        <v>9</v>
      </c>
      <c r="J368" t="s">
        <v>70</v>
      </c>
      <c r="K368">
        <v>1.7</v>
      </c>
      <c r="L368" t="s">
        <v>33</v>
      </c>
      <c r="M368">
        <v>72</v>
      </c>
      <c r="N368" t="s">
        <v>60</v>
      </c>
      <c r="O368" t="s">
        <v>25</v>
      </c>
      <c r="P368">
        <v>9</v>
      </c>
      <c r="Q368">
        <v>12</v>
      </c>
    </row>
    <row r="369" spans="1:17" x14ac:dyDescent="0.3">
      <c r="A369" t="s">
        <v>840</v>
      </c>
      <c r="B369" t="s">
        <v>841</v>
      </c>
      <c r="C369" t="s">
        <v>113</v>
      </c>
      <c r="D369" t="s">
        <v>118</v>
      </c>
      <c r="E369">
        <v>31</v>
      </c>
      <c r="F369" t="s">
        <v>106</v>
      </c>
      <c r="G369" t="s">
        <v>107</v>
      </c>
      <c r="H369" t="s">
        <v>66</v>
      </c>
      <c r="I369">
        <v>11</v>
      </c>
      <c r="J369" t="s">
        <v>51</v>
      </c>
      <c r="K369">
        <v>3.3</v>
      </c>
      <c r="L369" t="s">
        <v>23</v>
      </c>
      <c r="N369" t="s">
        <v>82</v>
      </c>
      <c r="O369" t="s">
        <v>42</v>
      </c>
      <c r="P369">
        <v>15</v>
      </c>
      <c r="Q369">
        <v>10</v>
      </c>
    </row>
    <row r="370" spans="1:17" x14ac:dyDescent="0.3">
      <c r="A370" t="s">
        <v>842</v>
      </c>
      <c r="B370" t="s">
        <v>843</v>
      </c>
      <c r="C370" t="s">
        <v>63</v>
      </c>
      <c r="D370" t="s">
        <v>118</v>
      </c>
      <c r="E370">
        <v>33</v>
      </c>
      <c r="F370" t="s">
        <v>133</v>
      </c>
      <c r="G370" t="s">
        <v>134</v>
      </c>
      <c r="H370" t="s">
        <v>135</v>
      </c>
      <c r="J370" t="s">
        <v>47</v>
      </c>
      <c r="K370">
        <v>4.3</v>
      </c>
      <c r="L370" t="s">
        <v>33</v>
      </c>
      <c r="M370">
        <v>0.63</v>
      </c>
      <c r="N370" t="s">
        <v>88</v>
      </c>
      <c r="O370" t="s">
        <v>25</v>
      </c>
      <c r="P370">
        <v>2</v>
      </c>
      <c r="Q370">
        <v>4</v>
      </c>
    </row>
    <row r="371" spans="1:17" x14ac:dyDescent="0.3">
      <c r="A371" t="s">
        <v>844</v>
      </c>
      <c r="B371" t="s">
        <v>845</v>
      </c>
      <c r="C371" t="s">
        <v>28</v>
      </c>
      <c r="D371" t="s">
        <v>97</v>
      </c>
      <c r="E371">
        <v>31</v>
      </c>
      <c r="F371" t="s">
        <v>128</v>
      </c>
      <c r="G371" t="s">
        <v>129</v>
      </c>
      <c r="H371" t="s">
        <v>135</v>
      </c>
      <c r="I371">
        <v>3</v>
      </c>
      <c r="J371" t="s">
        <v>142</v>
      </c>
      <c r="L371" t="s">
        <v>41</v>
      </c>
      <c r="N371" t="s">
        <v>60</v>
      </c>
      <c r="O371" t="s">
        <v>42</v>
      </c>
      <c r="P371">
        <v>1</v>
      </c>
      <c r="Q371">
        <v>2</v>
      </c>
    </row>
    <row r="372" spans="1:17" x14ac:dyDescent="0.3">
      <c r="A372" t="s">
        <v>846</v>
      </c>
      <c r="B372" t="s">
        <v>847</v>
      </c>
      <c r="C372" t="s">
        <v>45</v>
      </c>
      <c r="D372" t="s">
        <v>97</v>
      </c>
      <c r="E372">
        <v>49</v>
      </c>
      <c r="F372" t="s">
        <v>19</v>
      </c>
      <c r="G372" t="s">
        <v>20</v>
      </c>
      <c r="H372" t="s">
        <v>66</v>
      </c>
      <c r="I372">
        <v>15</v>
      </c>
      <c r="J372" t="s">
        <v>67</v>
      </c>
      <c r="K372">
        <v>2.6</v>
      </c>
      <c r="L372" t="s">
        <v>41</v>
      </c>
      <c r="M372">
        <v>0.83</v>
      </c>
      <c r="N372" t="s">
        <v>88</v>
      </c>
      <c r="O372" t="s">
        <v>34</v>
      </c>
      <c r="P372">
        <v>13</v>
      </c>
      <c r="Q372">
        <v>9</v>
      </c>
    </row>
    <row r="373" spans="1:17" x14ac:dyDescent="0.3">
      <c r="A373" t="s">
        <v>848</v>
      </c>
      <c r="B373" t="s">
        <v>849</v>
      </c>
      <c r="C373" t="s">
        <v>37</v>
      </c>
      <c r="D373" t="s">
        <v>118</v>
      </c>
      <c r="E373">
        <v>35</v>
      </c>
      <c r="F373" t="s">
        <v>201</v>
      </c>
      <c r="G373" t="s">
        <v>92</v>
      </c>
      <c r="H373" t="s">
        <v>39</v>
      </c>
      <c r="I373">
        <v>12</v>
      </c>
      <c r="J373" t="s">
        <v>336</v>
      </c>
      <c r="K373">
        <v>4.0999999999999996</v>
      </c>
      <c r="L373" t="s">
        <v>51</v>
      </c>
      <c r="M373">
        <v>0.94</v>
      </c>
      <c r="N373" t="s">
        <v>88</v>
      </c>
      <c r="O373" t="s">
        <v>75</v>
      </c>
      <c r="P373">
        <v>8</v>
      </c>
      <c r="Q373">
        <v>5</v>
      </c>
    </row>
    <row r="374" spans="1:17" x14ac:dyDescent="0.3">
      <c r="A374" t="s">
        <v>850</v>
      </c>
      <c r="B374" t="s">
        <v>851</v>
      </c>
      <c r="C374" t="s">
        <v>113</v>
      </c>
      <c r="D374" t="s">
        <v>118</v>
      </c>
      <c r="E374">
        <v>45</v>
      </c>
      <c r="F374" t="s">
        <v>114</v>
      </c>
      <c r="G374" t="s">
        <v>115</v>
      </c>
      <c r="H374" t="s">
        <v>66</v>
      </c>
      <c r="I374">
        <v>19</v>
      </c>
      <c r="J374" t="s">
        <v>47</v>
      </c>
      <c r="K374">
        <v>2.2000000000000002</v>
      </c>
      <c r="L374" t="s">
        <v>33</v>
      </c>
      <c r="M374">
        <v>0.78</v>
      </c>
      <c r="N374" t="s">
        <v>60</v>
      </c>
      <c r="O374" t="s">
        <v>75</v>
      </c>
      <c r="P374">
        <v>10</v>
      </c>
      <c r="Q374">
        <v>14</v>
      </c>
    </row>
    <row r="375" spans="1:17" x14ac:dyDescent="0.3">
      <c r="A375" t="s">
        <v>852</v>
      </c>
      <c r="B375" t="s">
        <v>853</v>
      </c>
      <c r="C375" t="s">
        <v>50</v>
      </c>
      <c r="D375" t="s">
        <v>97</v>
      </c>
      <c r="E375">
        <v>39</v>
      </c>
      <c r="F375" t="s">
        <v>55</v>
      </c>
      <c r="G375" t="s">
        <v>56</v>
      </c>
      <c r="H375" t="s">
        <v>66</v>
      </c>
      <c r="I375">
        <v>13</v>
      </c>
      <c r="J375" t="s">
        <v>52</v>
      </c>
      <c r="K375">
        <v>1.1000000000000001</v>
      </c>
      <c r="L375" t="s">
        <v>33</v>
      </c>
      <c r="N375" t="s">
        <v>60</v>
      </c>
      <c r="O375" t="s">
        <v>25</v>
      </c>
      <c r="P375">
        <v>8</v>
      </c>
      <c r="Q375">
        <v>4</v>
      </c>
    </row>
    <row r="376" spans="1:17" x14ac:dyDescent="0.3">
      <c r="A376" t="s">
        <v>854</v>
      </c>
      <c r="B376" t="s">
        <v>855</v>
      </c>
      <c r="C376" t="s">
        <v>78</v>
      </c>
      <c r="D376" t="s">
        <v>118</v>
      </c>
      <c r="F376" t="s">
        <v>91</v>
      </c>
      <c r="G376" t="s">
        <v>92</v>
      </c>
      <c r="H376" t="s">
        <v>21</v>
      </c>
      <c r="J376" t="s">
        <v>81</v>
      </c>
      <c r="K376">
        <v>2.1</v>
      </c>
      <c r="L376" t="s">
        <v>33</v>
      </c>
      <c r="M376">
        <v>0.82</v>
      </c>
      <c r="N376" t="s">
        <v>60</v>
      </c>
      <c r="O376" t="s">
        <v>42</v>
      </c>
      <c r="P376">
        <v>1</v>
      </c>
      <c r="Q376">
        <v>1</v>
      </c>
    </row>
    <row r="377" spans="1:17" x14ac:dyDescent="0.3">
      <c r="A377" t="s">
        <v>856</v>
      </c>
      <c r="B377" t="s">
        <v>857</v>
      </c>
      <c r="C377" t="s">
        <v>37</v>
      </c>
      <c r="D377" t="s">
        <v>118</v>
      </c>
      <c r="E377">
        <v>24</v>
      </c>
      <c r="F377" t="s">
        <v>38</v>
      </c>
      <c r="G377" t="s">
        <v>38</v>
      </c>
      <c r="H377" t="s">
        <v>98</v>
      </c>
      <c r="I377">
        <v>3</v>
      </c>
      <c r="J377" t="s">
        <v>58</v>
      </c>
      <c r="K377">
        <v>2.2999999999999998</v>
      </c>
      <c r="L377" t="s">
        <v>59</v>
      </c>
      <c r="M377">
        <v>0.66</v>
      </c>
      <c r="N377" t="s">
        <v>24</v>
      </c>
      <c r="O377" t="s">
        <v>42</v>
      </c>
      <c r="P377">
        <v>4</v>
      </c>
      <c r="Q377">
        <v>5</v>
      </c>
    </row>
    <row r="378" spans="1:17" x14ac:dyDescent="0.3">
      <c r="A378" t="s">
        <v>858</v>
      </c>
      <c r="B378" t="s">
        <v>859</v>
      </c>
      <c r="C378" t="s">
        <v>118</v>
      </c>
      <c r="D378" t="s">
        <v>118</v>
      </c>
      <c r="E378">
        <v>50</v>
      </c>
      <c r="F378" t="s">
        <v>29</v>
      </c>
      <c r="G378" t="s">
        <v>30</v>
      </c>
      <c r="H378" t="s">
        <v>39</v>
      </c>
      <c r="I378">
        <v>26</v>
      </c>
      <c r="J378" t="s">
        <v>51</v>
      </c>
      <c r="K378">
        <v>3.6</v>
      </c>
      <c r="L378" t="s">
        <v>33</v>
      </c>
      <c r="M378">
        <v>82</v>
      </c>
      <c r="N378" t="s">
        <v>60</v>
      </c>
      <c r="O378" t="s">
        <v>25</v>
      </c>
      <c r="P378">
        <v>11</v>
      </c>
      <c r="Q378">
        <v>9</v>
      </c>
    </row>
    <row r="379" spans="1:17" x14ac:dyDescent="0.3">
      <c r="A379" t="s">
        <v>860</v>
      </c>
      <c r="B379" t="s">
        <v>861</v>
      </c>
      <c r="C379" t="s">
        <v>50</v>
      </c>
      <c r="D379" t="s">
        <v>97</v>
      </c>
      <c r="E379">
        <v>23</v>
      </c>
      <c r="F379" t="s">
        <v>38</v>
      </c>
      <c r="G379" t="s">
        <v>38</v>
      </c>
      <c r="H379" t="s">
        <v>135</v>
      </c>
      <c r="I379">
        <v>4</v>
      </c>
      <c r="J379" t="s">
        <v>336</v>
      </c>
      <c r="K379">
        <v>4.7</v>
      </c>
      <c r="L379" t="s">
        <v>74</v>
      </c>
      <c r="M379">
        <v>0.84</v>
      </c>
      <c r="N379" t="s">
        <v>60</v>
      </c>
      <c r="O379" t="s">
        <v>42</v>
      </c>
      <c r="P379">
        <v>4</v>
      </c>
      <c r="Q379">
        <v>4</v>
      </c>
    </row>
    <row r="380" spans="1:17" x14ac:dyDescent="0.3">
      <c r="A380" t="s">
        <v>862</v>
      </c>
      <c r="B380" t="s">
        <v>863</v>
      </c>
      <c r="C380" t="s">
        <v>78</v>
      </c>
      <c r="D380" t="s">
        <v>118</v>
      </c>
      <c r="E380">
        <v>27</v>
      </c>
      <c r="F380" t="s">
        <v>149</v>
      </c>
      <c r="G380" t="s">
        <v>30</v>
      </c>
      <c r="H380" t="s">
        <v>98</v>
      </c>
      <c r="I380">
        <v>8</v>
      </c>
      <c r="J380" t="s">
        <v>162</v>
      </c>
      <c r="K380">
        <v>4.8</v>
      </c>
      <c r="L380" t="s">
        <v>41</v>
      </c>
      <c r="M380">
        <v>0.81</v>
      </c>
      <c r="N380" t="s">
        <v>60</v>
      </c>
      <c r="O380" t="s">
        <v>34</v>
      </c>
      <c r="P380">
        <v>6</v>
      </c>
      <c r="Q380">
        <v>8</v>
      </c>
    </row>
    <row r="381" spans="1:17" x14ac:dyDescent="0.3">
      <c r="A381" t="s">
        <v>864</v>
      </c>
      <c r="B381" t="s">
        <v>865</v>
      </c>
      <c r="C381" t="s">
        <v>118</v>
      </c>
      <c r="D381" t="s">
        <v>118</v>
      </c>
      <c r="E381">
        <v>58</v>
      </c>
      <c r="F381" t="s">
        <v>175</v>
      </c>
      <c r="G381" t="s">
        <v>176</v>
      </c>
      <c r="H381" t="s">
        <v>57</v>
      </c>
      <c r="I381">
        <v>10</v>
      </c>
      <c r="J381" t="s">
        <v>103</v>
      </c>
      <c r="K381">
        <v>4.2</v>
      </c>
      <c r="L381" t="s">
        <v>41</v>
      </c>
      <c r="M381">
        <v>71</v>
      </c>
      <c r="N381" t="s">
        <v>60</v>
      </c>
      <c r="O381" t="s">
        <v>75</v>
      </c>
      <c r="P381">
        <v>7</v>
      </c>
      <c r="Q381">
        <v>5</v>
      </c>
    </row>
    <row r="382" spans="1:17" x14ac:dyDescent="0.3">
      <c r="A382" t="s">
        <v>866</v>
      </c>
      <c r="B382" t="s">
        <v>867</v>
      </c>
      <c r="C382" t="s">
        <v>63</v>
      </c>
      <c r="D382" t="s">
        <v>118</v>
      </c>
      <c r="E382">
        <v>37</v>
      </c>
      <c r="F382" t="s">
        <v>19</v>
      </c>
      <c r="G382" t="s">
        <v>20</v>
      </c>
      <c r="H382" t="s">
        <v>135</v>
      </c>
      <c r="I382">
        <v>5</v>
      </c>
      <c r="J382" t="s">
        <v>51</v>
      </c>
      <c r="K382">
        <v>4.8</v>
      </c>
      <c r="L382" t="s">
        <v>33</v>
      </c>
      <c r="M382">
        <v>0.61</v>
      </c>
      <c r="N382" t="s">
        <v>82</v>
      </c>
      <c r="O382" t="s">
        <v>25</v>
      </c>
      <c r="P382">
        <v>2</v>
      </c>
      <c r="Q382">
        <v>1</v>
      </c>
    </row>
    <row r="383" spans="1:17" x14ac:dyDescent="0.3">
      <c r="A383" t="s">
        <v>868</v>
      </c>
      <c r="B383" t="s">
        <v>869</v>
      </c>
      <c r="C383" t="s">
        <v>78</v>
      </c>
      <c r="D383" t="s">
        <v>118</v>
      </c>
      <c r="E383">
        <v>39</v>
      </c>
      <c r="F383" t="s">
        <v>212</v>
      </c>
      <c r="G383" t="s">
        <v>92</v>
      </c>
      <c r="H383" t="s">
        <v>21</v>
      </c>
      <c r="I383">
        <v>18</v>
      </c>
      <c r="J383" t="s">
        <v>103</v>
      </c>
      <c r="K383">
        <v>4</v>
      </c>
      <c r="L383" t="s">
        <v>33</v>
      </c>
      <c r="M383">
        <v>0.66</v>
      </c>
      <c r="N383" t="s">
        <v>24</v>
      </c>
      <c r="O383" t="s">
        <v>25</v>
      </c>
      <c r="P383">
        <v>10</v>
      </c>
      <c r="Q383">
        <v>8</v>
      </c>
    </row>
    <row r="384" spans="1:17" x14ac:dyDescent="0.3">
      <c r="A384" t="s">
        <v>870</v>
      </c>
      <c r="B384" t="s">
        <v>871</v>
      </c>
      <c r="C384" t="s">
        <v>28</v>
      </c>
      <c r="D384" t="s">
        <v>97</v>
      </c>
      <c r="E384">
        <v>46</v>
      </c>
      <c r="F384" t="s">
        <v>160</v>
      </c>
      <c r="G384" t="s">
        <v>161</v>
      </c>
      <c r="H384" t="s">
        <v>66</v>
      </c>
      <c r="I384">
        <v>10</v>
      </c>
      <c r="J384" t="s">
        <v>142</v>
      </c>
      <c r="K384">
        <v>2.5</v>
      </c>
      <c r="L384" t="s">
        <v>74</v>
      </c>
      <c r="M384">
        <v>0.97</v>
      </c>
      <c r="N384" t="s">
        <v>88</v>
      </c>
      <c r="O384" t="s">
        <v>42</v>
      </c>
      <c r="P384">
        <v>13</v>
      </c>
      <c r="Q384">
        <v>2</v>
      </c>
    </row>
    <row r="385" spans="1:17" x14ac:dyDescent="0.3">
      <c r="A385" t="s">
        <v>872</v>
      </c>
      <c r="B385" t="s">
        <v>873</v>
      </c>
      <c r="C385" t="s">
        <v>97</v>
      </c>
      <c r="D385" t="s">
        <v>97</v>
      </c>
      <c r="F385" t="s">
        <v>85</v>
      </c>
      <c r="G385" t="s">
        <v>30</v>
      </c>
      <c r="H385" t="s">
        <v>93</v>
      </c>
      <c r="I385">
        <v>0</v>
      </c>
      <c r="J385" t="s">
        <v>336</v>
      </c>
      <c r="K385">
        <v>4.8</v>
      </c>
      <c r="L385" t="s">
        <v>23</v>
      </c>
      <c r="M385">
        <v>0.74</v>
      </c>
      <c r="N385" t="s">
        <v>60</v>
      </c>
      <c r="O385" t="s">
        <v>25</v>
      </c>
      <c r="P385">
        <v>2</v>
      </c>
      <c r="Q385">
        <v>1</v>
      </c>
    </row>
    <row r="386" spans="1:17" x14ac:dyDescent="0.3">
      <c r="A386" t="s">
        <v>874</v>
      </c>
      <c r="B386" t="s">
        <v>875</v>
      </c>
      <c r="C386" t="s">
        <v>18</v>
      </c>
      <c r="D386" t="s">
        <v>97</v>
      </c>
      <c r="E386">
        <v>39</v>
      </c>
      <c r="F386" t="s">
        <v>201</v>
      </c>
      <c r="G386" t="s">
        <v>92</v>
      </c>
      <c r="H386" t="s">
        <v>21</v>
      </c>
      <c r="I386">
        <v>21</v>
      </c>
      <c r="J386" t="s">
        <v>52</v>
      </c>
      <c r="K386">
        <v>4.7</v>
      </c>
      <c r="L386" t="s">
        <v>59</v>
      </c>
      <c r="M386">
        <v>0.61</v>
      </c>
      <c r="N386" t="s">
        <v>82</v>
      </c>
      <c r="O386" t="s">
        <v>34</v>
      </c>
      <c r="P386">
        <v>15</v>
      </c>
      <c r="Q386">
        <v>6</v>
      </c>
    </row>
    <row r="387" spans="1:17" x14ac:dyDescent="0.3">
      <c r="A387" t="s">
        <v>876</v>
      </c>
      <c r="B387" t="s">
        <v>877</v>
      </c>
      <c r="C387" t="s">
        <v>113</v>
      </c>
      <c r="D387" t="s">
        <v>118</v>
      </c>
      <c r="E387">
        <v>59</v>
      </c>
      <c r="F387" t="s">
        <v>160</v>
      </c>
      <c r="G387" t="s">
        <v>161</v>
      </c>
      <c r="H387" t="s">
        <v>21</v>
      </c>
      <c r="I387">
        <v>25</v>
      </c>
      <c r="J387" t="s">
        <v>162</v>
      </c>
      <c r="K387">
        <v>4</v>
      </c>
      <c r="L387" t="s">
        <v>23</v>
      </c>
      <c r="M387">
        <v>0.9</v>
      </c>
      <c r="N387" t="s">
        <v>82</v>
      </c>
      <c r="O387" t="s">
        <v>42</v>
      </c>
      <c r="P387">
        <v>15</v>
      </c>
      <c r="Q387">
        <v>9</v>
      </c>
    </row>
    <row r="388" spans="1:17" x14ac:dyDescent="0.3">
      <c r="A388" t="s">
        <v>878</v>
      </c>
      <c r="B388" t="s">
        <v>879</v>
      </c>
      <c r="C388" t="s">
        <v>63</v>
      </c>
      <c r="D388" t="s">
        <v>118</v>
      </c>
      <c r="E388">
        <v>21</v>
      </c>
      <c r="F388" t="s">
        <v>55</v>
      </c>
      <c r="G388" t="s">
        <v>56</v>
      </c>
      <c r="H388" t="s">
        <v>110</v>
      </c>
      <c r="I388">
        <v>0</v>
      </c>
      <c r="J388" t="s">
        <v>47</v>
      </c>
      <c r="K388">
        <v>4.0999999999999996</v>
      </c>
      <c r="L388" t="s">
        <v>94</v>
      </c>
      <c r="M388">
        <v>0.97</v>
      </c>
      <c r="N388" t="s">
        <v>82</v>
      </c>
      <c r="O388" t="s">
        <v>42</v>
      </c>
      <c r="P388">
        <v>4</v>
      </c>
      <c r="Q388">
        <v>1</v>
      </c>
    </row>
    <row r="389" spans="1:17" x14ac:dyDescent="0.3">
      <c r="A389" t="s">
        <v>880</v>
      </c>
      <c r="B389" t="s">
        <v>881</v>
      </c>
      <c r="C389" t="s">
        <v>28</v>
      </c>
      <c r="D389" t="s">
        <v>97</v>
      </c>
      <c r="E389">
        <v>23</v>
      </c>
      <c r="F389" t="s">
        <v>149</v>
      </c>
      <c r="G389" t="s">
        <v>30</v>
      </c>
      <c r="H389" t="s">
        <v>110</v>
      </c>
      <c r="I389">
        <v>5</v>
      </c>
      <c r="J389" t="s">
        <v>22</v>
      </c>
      <c r="K389">
        <v>3.2</v>
      </c>
      <c r="L389" t="s">
        <v>33</v>
      </c>
      <c r="N389" t="s">
        <v>88</v>
      </c>
      <c r="O389" t="s">
        <v>42</v>
      </c>
      <c r="P389">
        <v>5</v>
      </c>
      <c r="Q389">
        <v>5</v>
      </c>
    </row>
    <row r="390" spans="1:17" x14ac:dyDescent="0.3">
      <c r="A390" t="s">
        <v>882</v>
      </c>
      <c r="B390" t="s">
        <v>883</v>
      </c>
      <c r="C390" t="s">
        <v>63</v>
      </c>
      <c r="D390" t="s">
        <v>118</v>
      </c>
      <c r="E390">
        <v>27</v>
      </c>
      <c r="F390" t="s">
        <v>160</v>
      </c>
      <c r="G390" t="s">
        <v>161</v>
      </c>
      <c r="H390" t="s">
        <v>46</v>
      </c>
      <c r="I390">
        <v>1</v>
      </c>
      <c r="J390" t="s">
        <v>162</v>
      </c>
      <c r="K390">
        <v>4.3</v>
      </c>
      <c r="L390" t="s">
        <v>41</v>
      </c>
      <c r="M390">
        <v>0.76</v>
      </c>
      <c r="N390" t="s">
        <v>60</v>
      </c>
      <c r="O390" t="s">
        <v>42</v>
      </c>
      <c r="P390">
        <v>4</v>
      </c>
      <c r="Q390">
        <v>3</v>
      </c>
    </row>
    <row r="391" spans="1:17" x14ac:dyDescent="0.3">
      <c r="A391" t="s">
        <v>884</v>
      </c>
      <c r="B391" t="s">
        <v>885</v>
      </c>
      <c r="C391" t="s">
        <v>63</v>
      </c>
      <c r="D391" t="s">
        <v>118</v>
      </c>
      <c r="E391">
        <v>27</v>
      </c>
      <c r="F391" t="s">
        <v>197</v>
      </c>
      <c r="G391" t="s">
        <v>198</v>
      </c>
      <c r="H391" t="s">
        <v>98</v>
      </c>
      <c r="I391">
        <v>4</v>
      </c>
      <c r="J391" t="s">
        <v>86</v>
      </c>
      <c r="K391">
        <v>4.4000000000000004</v>
      </c>
      <c r="L391" t="s">
        <v>23</v>
      </c>
      <c r="M391">
        <v>0.92</v>
      </c>
      <c r="N391" t="s">
        <v>24</v>
      </c>
      <c r="O391" t="s">
        <v>34</v>
      </c>
      <c r="P391">
        <v>4</v>
      </c>
      <c r="Q391">
        <v>4</v>
      </c>
    </row>
    <row r="392" spans="1:17" x14ac:dyDescent="0.3">
      <c r="A392" t="s">
        <v>886</v>
      </c>
      <c r="B392" t="s">
        <v>887</v>
      </c>
      <c r="C392" t="s">
        <v>45</v>
      </c>
      <c r="D392" t="s">
        <v>97</v>
      </c>
      <c r="E392">
        <v>48</v>
      </c>
      <c r="F392" t="s">
        <v>175</v>
      </c>
      <c r="G392" t="s">
        <v>176</v>
      </c>
      <c r="H392" t="s">
        <v>66</v>
      </c>
      <c r="I392">
        <v>21</v>
      </c>
      <c r="J392" t="s">
        <v>86</v>
      </c>
      <c r="K392">
        <v>2.2999999999999998</v>
      </c>
      <c r="L392" t="s">
        <v>23</v>
      </c>
      <c r="N392" t="s">
        <v>24</v>
      </c>
      <c r="O392" t="s">
        <v>42</v>
      </c>
      <c r="P392">
        <v>14</v>
      </c>
      <c r="Q392">
        <v>10</v>
      </c>
    </row>
    <row r="393" spans="1:17" x14ac:dyDescent="0.3">
      <c r="A393" t="s">
        <v>888</v>
      </c>
      <c r="B393" t="s">
        <v>889</v>
      </c>
      <c r="C393" t="s">
        <v>78</v>
      </c>
      <c r="D393" t="s">
        <v>118</v>
      </c>
      <c r="E393">
        <v>21</v>
      </c>
      <c r="F393" t="s">
        <v>175</v>
      </c>
      <c r="G393" t="s">
        <v>176</v>
      </c>
      <c r="H393" t="s">
        <v>57</v>
      </c>
      <c r="I393">
        <v>1</v>
      </c>
      <c r="J393" t="s">
        <v>142</v>
      </c>
      <c r="K393">
        <v>2.4</v>
      </c>
      <c r="L393" t="s">
        <v>33</v>
      </c>
      <c r="M393">
        <v>0.66</v>
      </c>
      <c r="N393" t="s">
        <v>82</v>
      </c>
      <c r="O393" t="s">
        <v>25</v>
      </c>
      <c r="P393">
        <v>4</v>
      </c>
      <c r="Q393">
        <v>4</v>
      </c>
    </row>
    <row r="394" spans="1:17" x14ac:dyDescent="0.3">
      <c r="A394" t="s">
        <v>890</v>
      </c>
      <c r="B394" t="s">
        <v>891</v>
      </c>
      <c r="C394" t="s">
        <v>63</v>
      </c>
      <c r="D394" t="s">
        <v>118</v>
      </c>
      <c r="E394">
        <v>37</v>
      </c>
      <c r="F394" t="s">
        <v>19</v>
      </c>
      <c r="G394" t="s">
        <v>20</v>
      </c>
      <c r="H394" t="s">
        <v>110</v>
      </c>
      <c r="J394" t="s">
        <v>40</v>
      </c>
      <c r="K394">
        <v>4.5999999999999996</v>
      </c>
      <c r="L394" t="s">
        <v>23</v>
      </c>
      <c r="M394">
        <v>0.83</v>
      </c>
      <c r="N394" t="s">
        <v>88</v>
      </c>
      <c r="O394" t="s">
        <v>34</v>
      </c>
      <c r="P394">
        <v>1</v>
      </c>
      <c r="Q394">
        <v>1</v>
      </c>
    </row>
    <row r="395" spans="1:17" x14ac:dyDescent="0.3">
      <c r="A395" t="s">
        <v>892</v>
      </c>
      <c r="B395" t="s">
        <v>893</v>
      </c>
      <c r="C395" t="s">
        <v>45</v>
      </c>
      <c r="D395" t="s">
        <v>97</v>
      </c>
      <c r="E395">
        <v>31</v>
      </c>
      <c r="F395" t="s">
        <v>38</v>
      </c>
      <c r="G395" t="s">
        <v>38</v>
      </c>
      <c r="H395" t="s">
        <v>93</v>
      </c>
      <c r="I395">
        <v>10</v>
      </c>
      <c r="J395" t="s">
        <v>40</v>
      </c>
      <c r="K395">
        <v>0</v>
      </c>
      <c r="L395" t="s">
        <v>181</v>
      </c>
      <c r="N395" t="s">
        <v>88</v>
      </c>
      <c r="O395" t="s">
        <v>75</v>
      </c>
      <c r="P395">
        <v>10</v>
      </c>
      <c r="Q395">
        <v>4</v>
      </c>
    </row>
    <row r="396" spans="1:17" x14ac:dyDescent="0.3">
      <c r="A396" t="s">
        <v>894</v>
      </c>
      <c r="B396" t="s">
        <v>895</v>
      </c>
      <c r="C396" t="s">
        <v>18</v>
      </c>
      <c r="D396" t="s">
        <v>97</v>
      </c>
      <c r="E396">
        <v>41</v>
      </c>
      <c r="F396" t="s">
        <v>160</v>
      </c>
      <c r="G396" t="s">
        <v>161</v>
      </c>
      <c r="H396" t="s">
        <v>21</v>
      </c>
      <c r="I396">
        <v>21</v>
      </c>
      <c r="J396" t="s">
        <v>51</v>
      </c>
      <c r="K396">
        <v>0</v>
      </c>
      <c r="L396" t="s">
        <v>94</v>
      </c>
      <c r="N396" t="s">
        <v>88</v>
      </c>
      <c r="O396" t="s">
        <v>75</v>
      </c>
      <c r="P396">
        <v>10</v>
      </c>
      <c r="Q396">
        <v>9</v>
      </c>
    </row>
    <row r="397" spans="1:17" x14ac:dyDescent="0.3">
      <c r="A397" t="s">
        <v>896</v>
      </c>
      <c r="B397" t="s">
        <v>897</v>
      </c>
      <c r="C397" t="s">
        <v>37</v>
      </c>
      <c r="D397" t="s">
        <v>118</v>
      </c>
      <c r="E397">
        <v>31</v>
      </c>
      <c r="F397" t="s">
        <v>145</v>
      </c>
      <c r="G397" t="s">
        <v>146</v>
      </c>
      <c r="H397" t="s">
        <v>98</v>
      </c>
      <c r="I397">
        <v>0</v>
      </c>
      <c r="J397" t="s">
        <v>142</v>
      </c>
      <c r="K397">
        <v>4.2</v>
      </c>
      <c r="L397" t="s">
        <v>94</v>
      </c>
      <c r="M397">
        <v>82</v>
      </c>
      <c r="N397" t="s">
        <v>24</v>
      </c>
      <c r="O397" t="s">
        <v>25</v>
      </c>
      <c r="P397">
        <v>5</v>
      </c>
      <c r="Q397">
        <v>1</v>
      </c>
    </row>
    <row r="398" spans="1:17" x14ac:dyDescent="0.3">
      <c r="A398" t="s">
        <v>898</v>
      </c>
      <c r="B398" t="s">
        <v>899</v>
      </c>
      <c r="C398" t="s">
        <v>28</v>
      </c>
      <c r="D398" t="s">
        <v>97</v>
      </c>
      <c r="E398">
        <v>58</v>
      </c>
      <c r="F398" t="s">
        <v>91</v>
      </c>
      <c r="G398" t="s">
        <v>92</v>
      </c>
      <c r="H398" t="s">
        <v>66</v>
      </c>
      <c r="I398">
        <v>0</v>
      </c>
      <c r="J398" t="s">
        <v>40</v>
      </c>
      <c r="K398">
        <v>2.2999999999999998</v>
      </c>
      <c r="L398" t="s">
        <v>23</v>
      </c>
      <c r="M398">
        <v>0.77</v>
      </c>
      <c r="N398" t="s">
        <v>82</v>
      </c>
      <c r="O398" t="s">
        <v>25</v>
      </c>
      <c r="P398">
        <v>5</v>
      </c>
      <c r="Q398">
        <v>2</v>
      </c>
    </row>
    <row r="399" spans="1:17" x14ac:dyDescent="0.3">
      <c r="A399" t="s">
        <v>900</v>
      </c>
      <c r="B399" t="s">
        <v>901</v>
      </c>
      <c r="C399" t="s">
        <v>18</v>
      </c>
      <c r="D399" t="s">
        <v>97</v>
      </c>
      <c r="E399">
        <v>45</v>
      </c>
      <c r="F399" t="s">
        <v>55</v>
      </c>
      <c r="G399" t="s">
        <v>56</v>
      </c>
      <c r="H399" t="s">
        <v>66</v>
      </c>
      <c r="I399">
        <v>17</v>
      </c>
      <c r="J399" t="s">
        <v>81</v>
      </c>
      <c r="K399">
        <v>4.7</v>
      </c>
      <c r="L399" t="s">
        <v>33</v>
      </c>
      <c r="M399">
        <v>0.73</v>
      </c>
      <c r="N399" t="s">
        <v>60</v>
      </c>
      <c r="O399" t="s">
        <v>34</v>
      </c>
      <c r="P399">
        <v>15</v>
      </c>
      <c r="Q399">
        <v>11</v>
      </c>
    </row>
    <row r="400" spans="1:17" x14ac:dyDescent="0.3">
      <c r="A400" t="s">
        <v>902</v>
      </c>
      <c r="B400" t="s">
        <v>903</v>
      </c>
      <c r="C400" t="s">
        <v>63</v>
      </c>
      <c r="D400" t="s">
        <v>118</v>
      </c>
      <c r="E400">
        <v>51</v>
      </c>
      <c r="F400" t="s">
        <v>133</v>
      </c>
      <c r="G400" t="s">
        <v>134</v>
      </c>
      <c r="H400" t="s">
        <v>98</v>
      </c>
      <c r="I400">
        <v>5</v>
      </c>
      <c r="J400" t="s">
        <v>51</v>
      </c>
      <c r="K400">
        <v>3</v>
      </c>
      <c r="L400" t="s">
        <v>33</v>
      </c>
      <c r="M400">
        <v>0.88</v>
      </c>
      <c r="N400" t="s">
        <v>24</v>
      </c>
      <c r="O400" t="s">
        <v>75</v>
      </c>
      <c r="P400">
        <v>2</v>
      </c>
      <c r="Q400">
        <v>4</v>
      </c>
    </row>
    <row r="401" spans="1:17" x14ac:dyDescent="0.3">
      <c r="A401" t="s">
        <v>904</v>
      </c>
      <c r="B401" t="s">
        <v>905</v>
      </c>
      <c r="C401" t="s">
        <v>78</v>
      </c>
      <c r="D401" t="s">
        <v>118</v>
      </c>
      <c r="E401">
        <v>54</v>
      </c>
      <c r="F401" t="s">
        <v>73</v>
      </c>
      <c r="G401" t="s">
        <v>30</v>
      </c>
      <c r="H401" t="s">
        <v>93</v>
      </c>
      <c r="I401">
        <v>3</v>
      </c>
      <c r="J401" t="s">
        <v>130</v>
      </c>
      <c r="K401">
        <v>2.4</v>
      </c>
      <c r="L401" t="s">
        <v>23</v>
      </c>
      <c r="M401">
        <v>0.81</v>
      </c>
      <c r="N401" t="s">
        <v>82</v>
      </c>
      <c r="O401" t="s">
        <v>75</v>
      </c>
      <c r="P401">
        <v>2</v>
      </c>
      <c r="Q401">
        <v>3</v>
      </c>
    </row>
    <row r="402" spans="1:17" x14ac:dyDescent="0.3">
      <c r="A402" t="s">
        <v>906</v>
      </c>
      <c r="B402" t="s">
        <v>907</v>
      </c>
      <c r="C402" t="s">
        <v>113</v>
      </c>
      <c r="D402" t="s">
        <v>118</v>
      </c>
      <c r="E402">
        <v>22</v>
      </c>
      <c r="F402" t="s">
        <v>145</v>
      </c>
      <c r="G402" t="s">
        <v>146</v>
      </c>
      <c r="H402" t="s">
        <v>66</v>
      </c>
      <c r="I402">
        <v>1</v>
      </c>
      <c r="J402" t="s">
        <v>162</v>
      </c>
      <c r="K402">
        <v>1.7</v>
      </c>
      <c r="L402" t="s">
        <v>41</v>
      </c>
      <c r="M402">
        <v>0.78</v>
      </c>
      <c r="N402" t="s">
        <v>82</v>
      </c>
      <c r="O402" t="s">
        <v>75</v>
      </c>
      <c r="P402">
        <v>1</v>
      </c>
      <c r="Q402">
        <v>2</v>
      </c>
    </row>
    <row r="403" spans="1:17" x14ac:dyDescent="0.3">
      <c r="A403" t="s">
        <v>908</v>
      </c>
      <c r="B403" t="s">
        <v>909</v>
      </c>
      <c r="C403" t="s">
        <v>113</v>
      </c>
      <c r="D403" t="s">
        <v>118</v>
      </c>
      <c r="E403">
        <v>36</v>
      </c>
      <c r="F403" t="s">
        <v>79</v>
      </c>
      <c r="G403" t="s">
        <v>80</v>
      </c>
      <c r="H403" t="s">
        <v>98</v>
      </c>
      <c r="I403">
        <v>2</v>
      </c>
      <c r="J403" t="s">
        <v>103</v>
      </c>
      <c r="K403">
        <v>0</v>
      </c>
      <c r="L403" t="s">
        <v>59</v>
      </c>
      <c r="M403">
        <v>0.92</v>
      </c>
      <c r="N403" t="s">
        <v>60</v>
      </c>
      <c r="O403" t="s">
        <v>75</v>
      </c>
      <c r="P403">
        <v>5</v>
      </c>
      <c r="Q403">
        <v>1</v>
      </c>
    </row>
    <row r="404" spans="1:17" x14ac:dyDescent="0.3">
      <c r="A404" t="s">
        <v>910</v>
      </c>
      <c r="B404" t="s">
        <v>911</v>
      </c>
      <c r="C404" t="s">
        <v>78</v>
      </c>
      <c r="D404" t="s">
        <v>118</v>
      </c>
      <c r="E404">
        <v>50</v>
      </c>
      <c r="F404" t="s">
        <v>38</v>
      </c>
      <c r="G404" t="s">
        <v>38</v>
      </c>
      <c r="H404" t="s">
        <v>110</v>
      </c>
      <c r="I404">
        <v>32</v>
      </c>
      <c r="J404" t="s">
        <v>58</v>
      </c>
      <c r="L404" t="s">
        <v>23</v>
      </c>
      <c r="M404">
        <v>0.64</v>
      </c>
      <c r="N404" t="s">
        <v>60</v>
      </c>
      <c r="O404" t="s">
        <v>75</v>
      </c>
      <c r="P404">
        <v>12</v>
      </c>
      <c r="Q404">
        <v>15</v>
      </c>
    </row>
    <row r="405" spans="1:17" x14ac:dyDescent="0.3">
      <c r="A405" t="s">
        <v>912</v>
      </c>
      <c r="B405" t="s">
        <v>913</v>
      </c>
      <c r="C405" t="s">
        <v>97</v>
      </c>
      <c r="D405" t="s">
        <v>97</v>
      </c>
      <c r="E405">
        <v>41</v>
      </c>
      <c r="F405" t="s">
        <v>29</v>
      </c>
      <c r="G405" t="s">
        <v>30</v>
      </c>
      <c r="H405" t="s">
        <v>21</v>
      </c>
      <c r="I405">
        <v>14</v>
      </c>
      <c r="J405" t="s">
        <v>52</v>
      </c>
      <c r="K405">
        <v>0</v>
      </c>
      <c r="L405" t="s">
        <v>94</v>
      </c>
      <c r="M405">
        <v>0.78</v>
      </c>
      <c r="N405" t="s">
        <v>60</v>
      </c>
      <c r="O405" t="s">
        <v>42</v>
      </c>
      <c r="P405">
        <v>7</v>
      </c>
      <c r="Q405">
        <v>10</v>
      </c>
    </row>
    <row r="406" spans="1:17" x14ac:dyDescent="0.3">
      <c r="A406" t="s">
        <v>914</v>
      </c>
      <c r="B406" t="s">
        <v>915</v>
      </c>
      <c r="C406" t="s">
        <v>113</v>
      </c>
      <c r="D406" t="s">
        <v>118</v>
      </c>
      <c r="F406" t="s">
        <v>175</v>
      </c>
      <c r="G406" t="s">
        <v>176</v>
      </c>
      <c r="H406" t="s">
        <v>46</v>
      </c>
      <c r="I406">
        <v>10</v>
      </c>
      <c r="J406" t="s">
        <v>162</v>
      </c>
      <c r="K406">
        <v>1.8</v>
      </c>
      <c r="L406" t="s">
        <v>87</v>
      </c>
      <c r="M406">
        <v>85</v>
      </c>
      <c r="N406" t="s">
        <v>88</v>
      </c>
      <c r="O406" t="s">
        <v>25</v>
      </c>
      <c r="P406">
        <v>6</v>
      </c>
      <c r="Q406">
        <v>4</v>
      </c>
    </row>
    <row r="407" spans="1:17" x14ac:dyDescent="0.3">
      <c r="A407" t="s">
        <v>916</v>
      </c>
      <c r="B407" t="s">
        <v>917</v>
      </c>
      <c r="C407" t="s">
        <v>28</v>
      </c>
      <c r="D407" t="s">
        <v>97</v>
      </c>
      <c r="E407">
        <v>51</v>
      </c>
      <c r="F407" t="s">
        <v>55</v>
      </c>
      <c r="G407" t="s">
        <v>56</v>
      </c>
      <c r="H407" t="s">
        <v>98</v>
      </c>
      <c r="I407">
        <v>27</v>
      </c>
      <c r="J407" t="s">
        <v>81</v>
      </c>
      <c r="K407">
        <v>0</v>
      </c>
      <c r="L407" t="s">
        <v>181</v>
      </c>
      <c r="M407">
        <v>0.78</v>
      </c>
      <c r="N407" t="s">
        <v>60</v>
      </c>
      <c r="O407" t="s">
        <v>42</v>
      </c>
      <c r="P407">
        <v>14</v>
      </c>
      <c r="Q407">
        <v>11</v>
      </c>
    </row>
    <row r="408" spans="1:17" x14ac:dyDescent="0.3">
      <c r="A408" t="s">
        <v>918</v>
      </c>
      <c r="B408" t="s">
        <v>919</v>
      </c>
      <c r="C408" t="s">
        <v>37</v>
      </c>
      <c r="D408" t="s">
        <v>118</v>
      </c>
      <c r="E408">
        <v>21</v>
      </c>
      <c r="F408" t="s">
        <v>156</v>
      </c>
      <c r="G408" t="s">
        <v>157</v>
      </c>
      <c r="H408" t="s">
        <v>57</v>
      </c>
      <c r="I408">
        <v>2</v>
      </c>
      <c r="J408" t="s">
        <v>58</v>
      </c>
      <c r="K408">
        <v>3.8</v>
      </c>
      <c r="L408" t="s">
        <v>33</v>
      </c>
      <c r="M408">
        <v>0.98</v>
      </c>
      <c r="N408" t="s">
        <v>82</v>
      </c>
      <c r="O408" t="s">
        <v>75</v>
      </c>
      <c r="P408">
        <v>2</v>
      </c>
      <c r="Q408">
        <v>1</v>
      </c>
    </row>
    <row r="409" spans="1:17" x14ac:dyDescent="0.3">
      <c r="A409" t="s">
        <v>920</v>
      </c>
      <c r="B409" t="s">
        <v>921</v>
      </c>
      <c r="C409" t="s">
        <v>78</v>
      </c>
      <c r="D409" t="s">
        <v>118</v>
      </c>
      <c r="E409">
        <v>51</v>
      </c>
      <c r="F409" t="s">
        <v>106</v>
      </c>
      <c r="G409" t="s">
        <v>107</v>
      </c>
      <c r="H409" t="s">
        <v>57</v>
      </c>
      <c r="I409">
        <v>33</v>
      </c>
      <c r="J409" t="s">
        <v>70</v>
      </c>
      <c r="K409">
        <v>0</v>
      </c>
      <c r="L409" t="s">
        <v>94</v>
      </c>
      <c r="M409">
        <v>0.63</v>
      </c>
      <c r="N409" t="s">
        <v>60</v>
      </c>
      <c r="O409" t="s">
        <v>34</v>
      </c>
      <c r="P409">
        <v>16</v>
      </c>
      <c r="Q409">
        <v>14</v>
      </c>
    </row>
    <row r="410" spans="1:17" x14ac:dyDescent="0.3">
      <c r="A410" t="s">
        <v>922</v>
      </c>
      <c r="B410" t="s">
        <v>923</v>
      </c>
      <c r="C410" t="s">
        <v>50</v>
      </c>
      <c r="D410" t="s">
        <v>97</v>
      </c>
      <c r="E410">
        <v>37</v>
      </c>
      <c r="F410" t="s">
        <v>64</v>
      </c>
      <c r="G410" t="s">
        <v>65</v>
      </c>
      <c r="H410" t="s">
        <v>39</v>
      </c>
      <c r="I410">
        <v>11</v>
      </c>
      <c r="J410" t="s">
        <v>70</v>
      </c>
      <c r="K410">
        <v>3.6</v>
      </c>
      <c r="L410" t="s">
        <v>41</v>
      </c>
      <c r="M410">
        <v>0.73</v>
      </c>
      <c r="N410" t="s">
        <v>82</v>
      </c>
      <c r="O410" t="s">
        <v>34</v>
      </c>
      <c r="P410">
        <v>14</v>
      </c>
      <c r="Q410">
        <v>7</v>
      </c>
    </row>
    <row r="411" spans="1:17" x14ac:dyDescent="0.3">
      <c r="A411" t="s">
        <v>924</v>
      </c>
      <c r="B411" t="s">
        <v>925</v>
      </c>
      <c r="C411" t="s">
        <v>18</v>
      </c>
      <c r="D411" t="s">
        <v>97</v>
      </c>
      <c r="E411">
        <v>20</v>
      </c>
      <c r="F411" t="s">
        <v>212</v>
      </c>
      <c r="G411" t="s">
        <v>92</v>
      </c>
      <c r="H411" t="s">
        <v>39</v>
      </c>
      <c r="I411">
        <v>2</v>
      </c>
      <c r="J411" t="s">
        <v>52</v>
      </c>
      <c r="K411">
        <v>0</v>
      </c>
      <c r="L411" t="s">
        <v>23</v>
      </c>
      <c r="M411">
        <v>0.94</v>
      </c>
      <c r="N411" t="s">
        <v>24</v>
      </c>
      <c r="O411" t="s">
        <v>75</v>
      </c>
      <c r="P411">
        <v>2</v>
      </c>
      <c r="Q411">
        <v>4</v>
      </c>
    </row>
    <row r="412" spans="1:17" x14ac:dyDescent="0.3">
      <c r="A412" t="s">
        <v>926</v>
      </c>
      <c r="B412" t="s">
        <v>927</v>
      </c>
      <c r="C412" t="s">
        <v>97</v>
      </c>
      <c r="D412" t="s">
        <v>97</v>
      </c>
      <c r="E412">
        <v>50</v>
      </c>
      <c r="F412" t="s">
        <v>29</v>
      </c>
      <c r="G412" t="s">
        <v>30</v>
      </c>
      <c r="H412" t="s">
        <v>46</v>
      </c>
      <c r="I412">
        <v>31</v>
      </c>
      <c r="J412" t="s">
        <v>81</v>
      </c>
      <c r="K412">
        <v>4.0999999999999996</v>
      </c>
      <c r="L412" t="s">
        <v>51</v>
      </c>
      <c r="M412">
        <v>0.81</v>
      </c>
      <c r="N412" t="s">
        <v>88</v>
      </c>
      <c r="O412" t="s">
        <v>75</v>
      </c>
      <c r="P412">
        <v>11</v>
      </c>
      <c r="Q412">
        <v>3</v>
      </c>
    </row>
    <row r="413" spans="1:17" x14ac:dyDescent="0.3">
      <c r="A413" t="s">
        <v>928</v>
      </c>
      <c r="B413" t="s">
        <v>929</v>
      </c>
      <c r="C413" t="s">
        <v>28</v>
      </c>
      <c r="D413" t="s">
        <v>97</v>
      </c>
      <c r="E413">
        <v>58</v>
      </c>
      <c r="F413" t="s">
        <v>79</v>
      </c>
      <c r="G413" t="s">
        <v>80</v>
      </c>
      <c r="H413" t="s">
        <v>39</v>
      </c>
      <c r="I413">
        <v>17</v>
      </c>
      <c r="J413" t="s">
        <v>81</v>
      </c>
      <c r="K413">
        <v>2.6</v>
      </c>
      <c r="L413" t="s">
        <v>33</v>
      </c>
      <c r="M413">
        <v>0.61</v>
      </c>
      <c r="N413" t="s">
        <v>24</v>
      </c>
      <c r="O413" t="s">
        <v>34</v>
      </c>
      <c r="P413">
        <v>20</v>
      </c>
      <c r="Q413">
        <v>1</v>
      </c>
    </row>
    <row r="414" spans="1:17" x14ac:dyDescent="0.3">
      <c r="A414" t="s">
        <v>930</v>
      </c>
      <c r="B414" t="s">
        <v>931</v>
      </c>
      <c r="C414" t="s">
        <v>28</v>
      </c>
      <c r="D414" t="s">
        <v>97</v>
      </c>
      <c r="E414">
        <v>40</v>
      </c>
      <c r="F414" t="s">
        <v>128</v>
      </c>
      <c r="G414" t="s">
        <v>129</v>
      </c>
      <c r="H414" t="s">
        <v>93</v>
      </c>
      <c r="I414">
        <v>2</v>
      </c>
      <c r="J414" t="s">
        <v>251</v>
      </c>
      <c r="K414">
        <v>0</v>
      </c>
      <c r="L414" t="s">
        <v>23</v>
      </c>
      <c r="N414" t="s">
        <v>24</v>
      </c>
      <c r="O414" t="s">
        <v>42</v>
      </c>
      <c r="P414">
        <v>3</v>
      </c>
      <c r="Q414">
        <v>5</v>
      </c>
    </row>
    <row r="415" spans="1:17" x14ac:dyDescent="0.3">
      <c r="A415" t="s">
        <v>932</v>
      </c>
      <c r="B415" t="s">
        <v>933</v>
      </c>
      <c r="C415" t="s">
        <v>45</v>
      </c>
      <c r="D415" t="s">
        <v>97</v>
      </c>
      <c r="E415">
        <v>26</v>
      </c>
      <c r="F415" t="s">
        <v>160</v>
      </c>
      <c r="G415" t="s">
        <v>161</v>
      </c>
      <c r="H415" t="s">
        <v>46</v>
      </c>
      <c r="I415">
        <v>2</v>
      </c>
      <c r="J415" t="s">
        <v>162</v>
      </c>
      <c r="K415">
        <v>1.3</v>
      </c>
      <c r="L415" t="s">
        <v>181</v>
      </c>
      <c r="M415">
        <v>0.83</v>
      </c>
      <c r="N415" t="s">
        <v>82</v>
      </c>
      <c r="O415" t="s">
        <v>42</v>
      </c>
      <c r="P415">
        <v>1</v>
      </c>
      <c r="Q415">
        <v>5</v>
      </c>
    </row>
    <row r="416" spans="1:17" x14ac:dyDescent="0.3">
      <c r="A416" t="s">
        <v>934</v>
      </c>
      <c r="B416" t="s">
        <v>935</v>
      </c>
      <c r="C416" t="s">
        <v>28</v>
      </c>
      <c r="D416" t="s">
        <v>97</v>
      </c>
      <c r="E416">
        <v>44</v>
      </c>
      <c r="F416" t="s">
        <v>133</v>
      </c>
      <c r="G416" t="s">
        <v>134</v>
      </c>
      <c r="H416" t="s">
        <v>98</v>
      </c>
      <c r="I416">
        <v>22</v>
      </c>
      <c r="J416" t="s">
        <v>52</v>
      </c>
      <c r="K416">
        <v>4.0999999999999996</v>
      </c>
      <c r="L416" t="s">
        <v>94</v>
      </c>
      <c r="N416" t="s">
        <v>24</v>
      </c>
      <c r="O416" t="s">
        <v>75</v>
      </c>
      <c r="P416">
        <v>15</v>
      </c>
      <c r="Q416">
        <v>5</v>
      </c>
    </row>
    <row r="417" spans="1:17" x14ac:dyDescent="0.3">
      <c r="A417" t="s">
        <v>936</v>
      </c>
      <c r="B417" t="s">
        <v>937</v>
      </c>
      <c r="C417" t="s">
        <v>37</v>
      </c>
      <c r="D417" t="s">
        <v>118</v>
      </c>
      <c r="E417">
        <v>42</v>
      </c>
      <c r="F417" t="s">
        <v>201</v>
      </c>
      <c r="G417" t="s">
        <v>92</v>
      </c>
      <c r="H417" t="s">
        <v>135</v>
      </c>
      <c r="I417">
        <v>8</v>
      </c>
      <c r="J417" t="s">
        <v>81</v>
      </c>
      <c r="K417">
        <v>2.4</v>
      </c>
      <c r="L417" t="s">
        <v>181</v>
      </c>
      <c r="M417">
        <v>0.68</v>
      </c>
      <c r="N417" t="s">
        <v>82</v>
      </c>
      <c r="O417" t="s">
        <v>42</v>
      </c>
      <c r="P417">
        <v>7</v>
      </c>
      <c r="Q417">
        <v>11</v>
      </c>
    </row>
    <row r="418" spans="1:17" x14ac:dyDescent="0.3">
      <c r="A418" t="s">
        <v>938</v>
      </c>
      <c r="B418" t="s">
        <v>358</v>
      </c>
      <c r="C418" t="s">
        <v>113</v>
      </c>
      <c r="D418" t="s">
        <v>118</v>
      </c>
      <c r="E418">
        <v>38</v>
      </c>
      <c r="F418" t="s">
        <v>201</v>
      </c>
      <c r="G418" t="s">
        <v>92</v>
      </c>
      <c r="H418" t="s">
        <v>66</v>
      </c>
      <c r="I418">
        <v>9</v>
      </c>
      <c r="J418" t="s">
        <v>81</v>
      </c>
      <c r="K418">
        <v>0</v>
      </c>
      <c r="L418" t="s">
        <v>23</v>
      </c>
      <c r="M418">
        <v>0.74</v>
      </c>
      <c r="N418" t="s">
        <v>60</v>
      </c>
      <c r="O418" t="s">
        <v>34</v>
      </c>
      <c r="P418">
        <v>9</v>
      </c>
      <c r="Q418">
        <v>9</v>
      </c>
    </row>
    <row r="419" spans="1:17" x14ac:dyDescent="0.3">
      <c r="A419" t="s">
        <v>939</v>
      </c>
      <c r="B419" t="s">
        <v>940</v>
      </c>
      <c r="C419" t="s">
        <v>37</v>
      </c>
      <c r="D419" t="s">
        <v>118</v>
      </c>
      <c r="E419">
        <v>51</v>
      </c>
      <c r="F419" t="s">
        <v>160</v>
      </c>
      <c r="G419" t="s">
        <v>161</v>
      </c>
      <c r="H419" t="s">
        <v>46</v>
      </c>
      <c r="I419">
        <v>32</v>
      </c>
      <c r="J419" t="s">
        <v>22</v>
      </c>
      <c r="K419">
        <v>4.4000000000000004</v>
      </c>
      <c r="L419" t="s">
        <v>59</v>
      </c>
      <c r="M419">
        <v>91</v>
      </c>
      <c r="N419" t="s">
        <v>60</v>
      </c>
      <c r="O419" t="s">
        <v>42</v>
      </c>
      <c r="P419">
        <v>14</v>
      </c>
      <c r="Q419">
        <v>15</v>
      </c>
    </row>
    <row r="420" spans="1:17" x14ac:dyDescent="0.3">
      <c r="A420" t="s">
        <v>941</v>
      </c>
      <c r="B420" t="s">
        <v>942</v>
      </c>
      <c r="C420" t="s">
        <v>50</v>
      </c>
      <c r="D420" t="s">
        <v>97</v>
      </c>
      <c r="E420">
        <v>36</v>
      </c>
      <c r="F420" t="s">
        <v>156</v>
      </c>
      <c r="G420" t="s">
        <v>157</v>
      </c>
      <c r="H420" t="s">
        <v>57</v>
      </c>
      <c r="I420">
        <v>8</v>
      </c>
      <c r="J420" t="s">
        <v>32</v>
      </c>
      <c r="K420">
        <v>2.2000000000000002</v>
      </c>
      <c r="L420" t="s">
        <v>33</v>
      </c>
      <c r="M420">
        <v>0.97</v>
      </c>
      <c r="N420" t="s">
        <v>82</v>
      </c>
      <c r="O420" t="s">
        <v>75</v>
      </c>
      <c r="P420">
        <v>10</v>
      </c>
      <c r="Q420">
        <v>5</v>
      </c>
    </row>
    <row r="421" spans="1:17" x14ac:dyDescent="0.3">
      <c r="A421" t="s">
        <v>943</v>
      </c>
      <c r="B421" t="s">
        <v>944</v>
      </c>
      <c r="C421" t="s">
        <v>28</v>
      </c>
      <c r="D421" t="s">
        <v>97</v>
      </c>
      <c r="E421">
        <v>37</v>
      </c>
      <c r="F421" t="s">
        <v>29</v>
      </c>
      <c r="G421" t="s">
        <v>30</v>
      </c>
      <c r="H421" t="s">
        <v>31</v>
      </c>
      <c r="I421">
        <v>10</v>
      </c>
      <c r="J421" t="s">
        <v>52</v>
      </c>
      <c r="K421">
        <v>0</v>
      </c>
      <c r="L421" t="s">
        <v>23</v>
      </c>
      <c r="M421">
        <v>0.96</v>
      </c>
      <c r="N421" t="s">
        <v>60</v>
      </c>
      <c r="O421" t="s">
        <v>34</v>
      </c>
      <c r="P421">
        <v>15</v>
      </c>
      <c r="Q421">
        <v>12</v>
      </c>
    </row>
    <row r="422" spans="1:17" x14ac:dyDescent="0.3">
      <c r="A422" t="s">
        <v>945</v>
      </c>
      <c r="B422" t="s">
        <v>946</v>
      </c>
      <c r="C422" t="s">
        <v>37</v>
      </c>
      <c r="D422" t="s">
        <v>118</v>
      </c>
      <c r="E422">
        <v>31</v>
      </c>
      <c r="F422" t="s">
        <v>175</v>
      </c>
      <c r="G422" t="s">
        <v>176</v>
      </c>
      <c r="H422" t="s">
        <v>110</v>
      </c>
      <c r="I422">
        <v>0</v>
      </c>
      <c r="J422" t="s">
        <v>40</v>
      </c>
      <c r="K422">
        <v>1.1000000000000001</v>
      </c>
      <c r="L422" t="s">
        <v>94</v>
      </c>
      <c r="M422">
        <v>0.73</v>
      </c>
      <c r="N422" t="s">
        <v>88</v>
      </c>
      <c r="O422" t="s">
        <v>42</v>
      </c>
      <c r="P422">
        <v>2</v>
      </c>
      <c r="Q422">
        <v>1</v>
      </c>
    </row>
    <row r="423" spans="1:17" x14ac:dyDescent="0.3">
      <c r="A423" t="s">
        <v>947</v>
      </c>
      <c r="B423" t="s">
        <v>948</v>
      </c>
      <c r="C423" t="s">
        <v>18</v>
      </c>
      <c r="D423" t="s">
        <v>97</v>
      </c>
      <c r="E423">
        <v>47</v>
      </c>
      <c r="F423" t="s">
        <v>114</v>
      </c>
      <c r="G423" t="s">
        <v>115</v>
      </c>
      <c r="H423" t="s">
        <v>98</v>
      </c>
      <c r="I423">
        <v>22</v>
      </c>
      <c r="J423" t="s">
        <v>51</v>
      </c>
      <c r="K423">
        <v>1.4</v>
      </c>
      <c r="L423" t="s">
        <v>87</v>
      </c>
      <c r="M423">
        <v>0.72</v>
      </c>
      <c r="N423" t="s">
        <v>24</v>
      </c>
      <c r="O423" t="s">
        <v>25</v>
      </c>
      <c r="P423">
        <v>19</v>
      </c>
      <c r="Q423">
        <v>2</v>
      </c>
    </row>
    <row r="424" spans="1:17" x14ac:dyDescent="0.3">
      <c r="A424" t="s">
        <v>949</v>
      </c>
      <c r="B424" t="s">
        <v>950</v>
      </c>
      <c r="C424" t="s">
        <v>50</v>
      </c>
      <c r="D424" t="s">
        <v>97</v>
      </c>
      <c r="E424">
        <v>60</v>
      </c>
      <c r="F424" t="s">
        <v>201</v>
      </c>
      <c r="G424" t="s">
        <v>92</v>
      </c>
      <c r="H424" t="s">
        <v>93</v>
      </c>
      <c r="I424">
        <v>34</v>
      </c>
      <c r="J424" t="s">
        <v>251</v>
      </c>
      <c r="K424">
        <v>0</v>
      </c>
      <c r="L424" t="s">
        <v>74</v>
      </c>
      <c r="M424">
        <v>0.74</v>
      </c>
      <c r="N424" t="s">
        <v>88</v>
      </c>
      <c r="O424" t="s">
        <v>34</v>
      </c>
      <c r="P424">
        <v>19</v>
      </c>
      <c r="Q424">
        <v>14</v>
      </c>
    </row>
    <row r="425" spans="1:17" x14ac:dyDescent="0.3">
      <c r="A425" t="s">
        <v>951</v>
      </c>
      <c r="B425" t="s">
        <v>952</v>
      </c>
      <c r="C425" t="s">
        <v>28</v>
      </c>
      <c r="D425" t="s">
        <v>97</v>
      </c>
      <c r="E425">
        <v>48</v>
      </c>
      <c r="F425" t="s">
        <v>91</v>
      </c>
      <c r="G425" t="s">
        <v>92</v>
      </c>
      <c r="H425" t="s">
        <v>31</v>
      </c>
      <c r="I425">
        <v>5</v>
      </c>
      <c r="J425" t="s">
        <v>52</v>
      </c>
      <c r="K425">
        <v>1.5</v>
      </c>
      <c r="L425" t="s">
        <v>41</v>
      </c>
      <c r="N425" t="s">
        <v>24</v>
      </c>
      <c r="O425" t="s">
        <v>34</v>
      </c>
      <c r="P425">
        <v>4</v>
      </c>
      <c r="Q425">
        <v>2</v>
      </c>
    </row>
    <row r="426" spans="1:17" x14ac:dyDescent="0.3">
      <c r="A426" t="s">
        <v>953</v>
      </c>
      <c r="B426" t="s">
        <v>954</v>
      </c>
      <c r="C426" t="s">
        <v>45</v>
      </c>
      <c r="D426" t="s">
        <v>97</v>
      </c>
      <c r="E426">
        <v>24</v>
      </c>
      <c r="F426" t="s">
        <v>114</v>
      </c>
      <c r="G426" t="s">
        <v>115</v>
      </c>
      <c r="H426" t="s">
        <v>57</v>
      </c>
      <c r="I426">
        <v>3</v>
      </c>
      <c r="J426" t="s">
        <v>162</v>
      </c>
      <c r="K426">
        <v>0</v>
      </c>
      <c r="L426" t="s">
        <v>33</v>
      </c>
      <c r="N426" t="s">
        <v>60</v>
      </c>
      <c r="O426" t="s">
        <v>25</v>
      </c>
      <c r="P426">
        <v>2</v>
      </c>
      <c r="Q426">
        <v>1</v>
      </c>
    </row>
    <row r="427" spans="1:17" x14ac:dyDescent="0.3">
      <c r="A427" t="s">
        <v>955</v>
      </c>
      <c r="B427" t="s">
        <v>956</v>
      </c>
      <c r="C427" t="s">
        <v>28</v>
      </c>
      <c r="D427" t="s">
        <v>97</v>
      </c>
      <c r="E427">
        <v>35</v>
      </c>
      <c r="F427" t="s">
        <v>55</v>
      </c>
      <c r="G427" t="s">
        <v>56</v>
      </c>
      <c r="H427" t="s">
        <v>135</v>
      </c>
      <c r="I427">
        <v>10</v>
      </c>
      <c r="J427" t="s">
        <v>103</v>
      </c>
      <c r="K427">
        <v>0</v>
      </c>
      <c r="L427" t="s">
        <v>51</v>
      </c>
      <c r="M427">
        <v>0.74</v>
      </c>
      <c r="N427" t="s">
        <v>88</v>
      </c>
      <c r="O427" t="s">
        <v>25</v>
      </c>
      <c r="P427">
        <v>8</v>
      </c>
      <c r="Q427">
        <v>9</v>
      </c>
    </row>
    <row r="428" spans="1:17" x14ac:dyDescent="0.3">
      <c r="A428" t="s">
        <v>957</v>
      </c>
      <c r="B428" t="s">
        <v>958</v>
      </c>
      <c r="C428" t="s">
        <v>78</v>
      </c>
      <c r="D428" t="s">
        <v>118</v>
      </c>
      <c r="E428">
        <v>35</v>
      </c>
      <c r="F428" t="s">
        <v>73</v>
      </c>
      <c r="G428" t="s">
        <v>30</v>
      </c>
      <c r="H428" t="s">
        <v>110</v>
      </c>
      <c r="J428" t="s">
        <v>22</v>
      </c>
      <c r="K428">
        <v>3.5</v>
      </c>
      <c r="L428" t="s">
        <v>94</v>
      </c>
      <c r="M428">
        <v>0.71</v>
      </c>
      <c r="N428" t="s">
        <v>60</v>
      </c>
      <c r="O428" t="s">
        <v>34</v>
      </c>
      <c r="P428">
        <v>2</v>
      </c>
      <c r="Q428">
        <v>1</v>
      </c>
    </row>
    <row r="429" spans="1:17" x14ac:dyDescent="0.3">
      <c r="A429" t="s">
        <v>959</v>
      </c>
      <c r="B429" t="s">
        <v>960</v>
      </c>
      <c r="C429" t="s">
        <v>97</v>
      </c>
      <c r="D429" t="s">
        <v>97</v>
      </c>
      <c r="E429">
        <v>29</v>
      </c>
      <c r="F429" t="s">
        <v>55</v>
      </c>
      <c r="G429" t="s">
        <v>56</v>
      </c>
      <c r="H429" t="s">
        <v>93</v>
      </c>
      <c r="I429">
        <v>6</v>
      </c>
      <c r="J429" t="s">
        <v>51</v>
      </c>
      <c r="K429">
        <v>4.8</v>
      </c>
      <c r="L429" t="s">
        <v>41</v>
      </c>
      <c r="M429">
        <v>0.83</v>
      </c>
      <c r="N429" t="s">
        <v>24</v>
      </c>
      <c r="O429" t="s">
        <v>25</v>
      </c>
      <c r="P429">
        <v>14</v>
      </c>
      <c r="Q429">
        <v>2</v>
      </c>
    </row>
    <row r="430" spans="1:17" x14ac:dyDescent="0.3">
      <c r="A430" t="s">
        <v>961</v>
      </c>
      <c r="B430" t="s">
        <v>962</v>
      </c>
      <c r="C430" t="s">
        <v>97</v>
      </c>
      <c r="D430" t="s">
        <v>97</v>
      </c>
      <c r="E430">
        <v>36</v>
      </c>
      <c r="F430" t="s">
        <v>19</v>
      </c>
      <c r="G430" t="s">
        <v>20</v>
      </c>
      <c r="H430" t="s">
        <v>135</v>
      </c>
      <c r="I430">
        <v>1</v>
      </c>
      <c r="J430" t="s">
        <v>192</v>
      </c>
      <c r="L430" t="s">
        <v>51</v>
      </c>
      <c r="M430">
        <v>0.63</v>
      </c>
      <c r="N430" t="s">
        <v>82</v>
      </c>
      <c r="O430" t="s">
        <v>75</v>
      </c>
      <c r="P430">
        <v>4</v>
      </c>
      <c r="Q430">
        <v>2</v>
      </c>
    </row>
    <row r="431" spans="1:17" x14ac:dyDescent="0.3">
      <c r="A431" t="s">
        <v>963</v>
      </c>
      <c r="B431" t="s">
        <v>964</v>
      </c>
      <c r="C431" t="s">
        <v>28</v>
      </c>
      <c r="D431" t="s">
        <v>97</v>
      </c>
      <c r="E431">
        <v>44</v>
      </c>
      <c r="F431" t="s">
        <v>149</v>
      </c>
      <c r="G431" t="s">
        <v>30</v>
      </c>
      <c r="H431" t="s">
        <v>57</v>
      </c>
      <c r="I431">
        <v>0</v>
      </c>
      <c r="J431" t="s">
        <v>51</v>
      </c>
      <c r="K431">
        <v>4.8</v>
      </c>
      <c r="L431" t="s">
        <v>51</v>
      </c>
      <c r="M431">
        <v>0.84</v>
      </c>
      <c r="N431" t="s">
        <v>82</v>
      </c>
      <c r="O431" t="s">
        <v>75</v>
      </c>
      <c r="P431">
        <v>4</v>
      </c>
      <c r="Q431">
        <v>1</v>
      </c>
    </row>
    <row r="432" spans="1:17" x14ac:dyDescent="0.3">
      <c r="A432" t="s">
        <v>965</v>
      </c>
      <c r="B432" t="s">
        <v>966</v>
      </c>
      <c r="C432" t="s">
        <v>78</v>
      </c>
      <c r="D432" t="s">
        <v>118</v>
      </c>
      <c r="E432">
        <v>44</v>
      </c>
      <c r="F432" t="s">
        <v>175</v>
      </c>
      <c r="G432" t="s">
        <v>176</v>
      </c>
      <c r="H432" t="s">
        <v>46</v>
      </c>
      <c r="J432" t="s">
        <v>51</v>
      </c>
      <c r="K432">
        <v>1.4</v>
      </c>
      <c r="L432" t="s">
        <v>23</v>
      </c>
      <c r="M432">
        <v>0.93</v>
      </c>
      <c r="N432" t="s">
        <v>88</v>
      </c>
      <c r="O432" t="s">
        <v>75</v>
      </c>
      <c r="P432">
        <v>3</v>
      </c>
      <c r="Q432">
        <v>1</v>
      </c>
    </row>
    <row r="433" spans="1:17" x14ac:dyDescent="0.3">
      <c r="A433" t="s">
        <v>967</v>
      </c>
      <c r="B433" t="s">
        <v>968</v>
      </c>
      <c r="C433" t="s">
        <v>63</v>
      </c>
      <c r="D433" t="s">
        <v>118</v>
      </c>
      <c r="E433">
        <v>40</v>
      </c>
      <c r="F433" t="s">
        <v>114</v>
      </c>
      <c r="G433" t="s">
        <v>115</v>
      </c>
      <c r="H433" t="s">
        <v>57</v>
      </c>
      <c r="I433">
        <v>13</v>
      </c>
      <c r="J433" t="s">
        <v>32</v>
      </c>
      <c r="K433">
        <v>1.1000000000000001</v>
      </c>
      <c r="L433" t="s">
        <v>33</v>
      </c>
      <c r="N433" t="s">
        <v>60</v>
      </c>
      <c r="O433" t="s">
        <v>34</v>
      </c>
      <c r="P433">
        <v>13</v>
      </c>
      <c r="Q433">
        <v>9</v>
      </c>
    </row>
    <row r="434" spans="1:17" x14ac:dyDescent="0.3">
      <c r="A434" t="s">
        <v>969</v>
      </c>
      <c r="B434" t="s">
        <v>970</v>
      </c>
      <c r="C434" t="s">
        <v>45</v>
      </c>
      <c r="D434" t="s">
        <v>97</v>
      </c>
      <c r="E434">
        <v>53</v>
      </c>
      <c r="F434" t="s">
        <v>55</v>
      </c>
      <c r="G434" t="s">
        <v>56</v>
      </c>
      <c r="H434" t="s">
        <v>135</v>
      </c>
      <c r="I434">
        <v>13</v>
      </c>
      <c r="J434" t="s">
        <v>81</v>
      </c>
      <c r="K434">
        <v>3.3</v>
      </c>
      <c r="L434" t="s">
        <v>94</v>
      </c>
      <c r="M434">
        <v>0.93</v>
      </c>
      <c r="N434" t="s">
        <v>60</v>
      </c>
      <c r="O434" t="s">
        <v>25</v>
      </c>
      <c r="P434">
        <v>10</v>
      </c>
      <c r="Q434">
        <v>10</v>
      </c>
    </row>
    <row r="435" spans="1:17" x14ac:dyDescent="0.3">
      <c r="A435" t="s">
        <v>971</v>
      </c>
      <c r="B435" t="s">
        <v>972</v>
      </c>
      <c r="C435" t="s">
        <v>18</v>
      </c>
      <c r="D435" t="s">
        <v>97</v>
      </c>
      <c r="E435">
        <v>35</v>
      </c>
      <c r="F435" t="s">
        <v>38</v>
      </c>
      <c r="G435" t="s">
        <v>38</v>
      </c>
      <c r="H435" t="s">
        <v>21</v>
      </c>
      <c r="I435">
        <v>0</v>
      </c>
      <c r="J435" t="s">
        <v>130</v>
      </c>
      <c r="K435">
        <v>4.5999999999999996</v>
      </c>
      <c r="L435" t="s">
        <v>51</v>
      </c>
      <c r="M435">
        <v>0.97</v>
      </c>
      <c r="N435" t="s">
        <v>88</v>
      </c>
      <c r="O435" t="s">
        <v>25</v>
      </c>
      <c r="P435">
        <v>1</v>
      </c>
      <c r="Q435">
        <v>1</v>
      </c>
    </row>
    <row r="436" spans="1:17" x14ac:dyDescent="0.3">
      <c r="A436" t="s">
        <v>973</v>
      </c>
      <c r="B436" t="s">
        <v>974</v>
      </c>
      <c r="C436" t="s">
        <v>28</v>
      </c>
      <c r="D436" t="s">
        <v>97</v>
      </c>
      <c r="E436">
        <v>27</v>
      </c>
      <c r="F436" t="s">
        <v>91</v>
      </c>
      <c r="G436" t="s">
        <v>92</v>
      </c>
      <c r="H436" t="s">
        <v>135</v>
      </c>
      <c r="I436">
        <v>7</v>
      </c>
      <c r="J436" t="s">
        <v>67</v>
      </c>
      <c r="K436">
        <v>2.8</v>
      </c>
      <c r="L436" t="s">
        <v>33</v>
      </c>
      <c r="M436">
        <v>0.92</v>
      </c>
      <c r="N436" t="s">
        <v>82</v>
      </c>
      <c r="O436" t="s">
        <v>42</v>
      </c>
      <c r="P436">
        <v>7</v>
      </c>
      <c r="Q436">
        <v>4</v>
      </c>
    </row>
    <row r="437" spans="1:17" x14ac:dyDescent="0.3">
      <c r="A437" t="s">
        <v>975</v>
      </c>
      <c r="B437" t="s">
        <v>976</v>
      </c>
      <c r="C437" t="s">
        <v>78</v>
      </c>
      <c r="D437" t="s">
        <v>118</v>
      </c>
      <c r="E437">
        <v>34</v>
      </c>
      <c r="F437" t="s">
        <v>29</v>
      </c>
      <c r="G437" t="s">
        <v>30</v>
      </c>
      <c r="H437" t="s">
        <v>110</v>
      </c>
      <c r="I437">
        <v>6</v>
      </c>
      <c r="J437" t="s">
        <v>40</v>
      </c>
      <c r="K437">
        <v>5</v>
      </c>
      <c r="L437" t="s">
        <v>94</v>
      </c>
      <c r="M437">
        <v>0.92</v>
      </c>
      <c r="N437" t="s">
        <v>24</v>
      </c>
      <c r="O437" t="s">
        <v>42</v>
      </c>
      <c r="P437">
        <v>8</v>
      </c>
      <c r="Q437">
        <v>3</v>
      </c>
    </row>
    <row r="438" spans="1:17" x14ac:dyDescent="0.3">
      <c r="A438" t="s">
        <v>977</v>
      </c>
      <c r="B438" t="s">
        <v>978</v>
      </c>
      <c r="C438" t="s">
        <v>37</v>
      </c>
      <c r="D438" t="s">
        <v>118</v>
      </c>
      <c r="E438">
        <v>24</v>
      </c>
      <c r="F438" t="s">
        <v>114</v>
      </c>
      <c r="G438" t="s">
        <v>115</v>
      </c>
      <c r="H438" t="s">
        <v>98</v>
      </c>
      <c r="I438">
        <v>2</v>
      </c>
      <c r="J438" t="s">
        <v>103</v>
      </c>
      <c r="K438">
        <v>4.7</v>
      </c>
      <c r="L438" t="s">
        <v>181</v>
      </c>
      <c r="M438">
        <v>0.68</v>
      </c>
      <c r="N438" t="s">
        <v>88</v>
      </c>
      <c r="O438" t="s">
        <v>25</v>
      </c>
      <c r="P438">
        <v>1</v>
      </c>
      <c r="Q438">
        <v>2</v>
      </c>
    </row>
    <row r="439" spans="1:17" x14ac:dyDescent="0.3">
      <c r="A439" t="s">
        <v>979</v>
      </c>
      <c r="B439" t="s">
        <v>980</v>
      </c>
      <c r="C439" t="s">
        <v>37</v>
      </c>
      <c r="D439" t="s">
        <v>118</v>
      </c>
      <c r="E439">
        <v>57</v>
      </c>
      <c r="F439" t="s">
        <v>73</v>
      </c>
      <c r="G439" t="s">
        <v>30</v>
      </c>
      <c r="H439" t="s">
        <v>93</v>
      </c>
      <c r="I439">
        <v>13</v>
      </c>
      <c r="J439" t="s">
        <v>22</v>
      </c>
      <c r="K439">
        <v>3.5</v>
      </c>
      <c r="L439" t="s">
        <v>181</v>
      </c>
      <c r="M439">
        <v>0.95</v>
      </c>
      <c r="N439" t="s">
        <v>24</v>
      </c>
      <c r="O439" t="s">
        <v>25</v>
      </c>
      <c r="P439">
        <v>13</v>
      </c>
      <c r="Q439">
        <v>3</v>
      </c>
    </row>
    <row r="440" spans="1:17" x14ac:dyDescent="0.3">
      <c r="A440" t="s">
        <v>981</v>
      </c>
      <c r="B440" t="s">
        <v>982</v>
      </c>
      <c r="C440" t="s">
        <v>63</v>
      </c>
      <c r="D440" t="s">
        <v>118</v>
      </c>
      <c r="E440">
        <v>28</v>
      </c>
      <c r="F440" t="s">
        <v>133</v>
      </c>
      <c r="G440" t="s">
        <v>134</v>
      </c>
      <c r="H440" t="s">
        <v>93</v>
      </c>
      <c r="I440">
        <v>7</v>
      </c>
      <c r="J440" t="s">
        <v>251</v>
      </c>
      <c r="K440">
        <v>4.3</v>
      </c>
      <c r="L440" t="s">
        <v>59</v>
      </c>
      <c r="M440">
        <v>0.76</v>
      </c>
      <c r="N440" t="s">
        <v>82</v>
      </c>
      <c r="O440" t="s">
        <v>25</v>
      </c>
      <c r="P440">
        <v>7</v>
      </c>
      <c r="Q440">
        <v>12</v>
      </c>
    </row>
    <row r="441" spans="1:17" x14ac:dyDescent="0.3">
      <c r="A441" t="s">
        <v>983</v>
      </c>
      <c r="B441" t="s">
        <v>984</v>
      </c>
      <c r="C441" t="s">
        <v>45</v>
      </c>
      <c r="D441" t="s">
        <v>97</v>
      </c>
      <c r="E441">
        <v>26</v>
      </c>
      <c r="F441" t="s">
        <v>19</v>
      </c>
      <c r="G441" t="s">
        <v>20</v>
      </c>
      <c r="H441" t="s">
        <v>110</v>
      </c>
      <c r="I441">
        <v>7</v>
      </c>
      <c r="J441" t="s">
        <v>32</v>
      </c>
      <c r="K441">
        <v>3.3</v>
      </c>
      <c r="L441" t="s">
        <v>87</v>
      </c>
      <c r="M441">
        <v>0.66</v>
      </c>
      <c r="N441" t="s">
        <v>60</v>
      </c>
      <c r="O441" t="s">
        <v>34</v>
      </c>
      <c r="P441">
        <v>14</v>
      </c>
      <c r="Q441">
        <v>9</v>
      </c>
    </row>
    <row r="442" spans="1:17" x14ac:dyDescent="0.3">
      <c r="A442" t="s">
        <v>985</v>
      </c>
      <c r="B442" t="s">
        <v>986</v>
      </c>
      <c r="C442" t="s">
        <v>118</v>
      </c>
      <c r="D442" t="s">
        <v>118</v>
      </c>
      <c r="E442">
        <v>34</v>
      </c>
      <c r="F442" t="s">
        <v>91</v>
      </c>
      <c r="G442" t="s">
        <v>92</v>
      </c>
      <c r="H442" t="s">
        <v>31</v>
      </c>
      <c r="I442">
        <v>15</v>
      </c>
      <c r="J442" t="s">
        <v>103</v>
      </c>
      <c r="L442" t="s">
        <v>23</v>
      </c>
      <c r="M442">
        <v>0.73</v>
      </c>
      <c r="N442" t="s">
        <v>82</v>
      </c>
      <c r="O442" t="s">
        <v>25</v>
      </c>
      <c r="P442">
        <v>14</v>
      </c>
      <c r="Q442">
        <v>8</v>
      </c>
    </row>
    <row r="443" spans="1:17" x14ac:dyDescent="0.3">
      <c r="A443" t="s">
        <v>987</v>
      </c>
      <c r="B443" t="s">
        <v>988</v>
      </c>
      <c r="C443" t="s">
        <v>118</v>
      </c>
      <c r="D443" t="s">
        <v>118</v>
      </c>
      <c r="E443">
        <v>43</v>
      </c>
      <c r="F443" t="s">
        <v>106</v>
      </c>
      <c r="G443" t="s">
        <v>107</v>
      </c>
      <c r="H443" t="s">
        <v>57</v>
      </c>
      <c r="J443" t="s">
        <v>336</v>
      </c>
      <c r="K443">
        <v>2.8</v>
      </c>
      <c r="L443" t="s">
        <v>51</v>
      </c>
      <c r="M443">
        <v>0.99</v>
      </c>
      <c r="N443" t="s">
        <v>88</v>
      </c>
      <c r="O443" t="s">
        <v>42</v>
      </c>
      <c r="P443">
        <v>4</v>
      </c>
      <c r="Q443">
        <v>1</v>
      </c>
    </row>
    <row r="444" spans="1:17" x14ac:dyDescent="0.3">
      <c r="A444" t="s">
        <v>989</v>
      </c>
      <c r="B444" t="s">
        <v>990</v>
      </c>
      <c r="C444" t="s">
        <v>113</v>
      </c>
      <c r="D444" t="s">
        <v>118</v>
      </c>
      <c r="E444">
        <v>31</v>
      </c>
      <c r="F444" t="s">
        <v>197</v>
      </c>
      <c r="G444" t="s">
        <v>198</v>
      </c>
      <c r="H444" t="s">
        <v>39</v>
      </c>
      <c r="I444">
        <v>5</v>
      </c>
      <c r="J444" t="s">
        <v>51</v>
      </c>
      <c r="K444">
        <v>2.7</v>
      </c>
      <c r="L444" t="s">
        <v>33</v>
      </c>
      <c r="M444">
        <v>94</v>
      </c>
      <c r="N444" t="s">
        <v>60</v>
      </c>
      <c r="O444" t="s">
        <v>34</v>
      </c>
      <c r="P444">
        <v>4</v>
      </c>
      <c r="Q444">
        <v>1</v>
      </c>
    </row>
    <row r="445" spans="1:17" x14ac:dyDescent="0.3">
      <c r="A445" t="s">
        <v>991</v>
      </c>
      <c r="B445" t="s">
        <v>992</v>
      </c>
      <c r="C445" t="s">
        <v>28</v>
      </c>
      <c r="D445" t="s">
        <v>97</v>
      </c>
      <c r="E445">
        <v>34</v>
      </c>
      <c r="F445" t="s">
        <v>197</v>
      </c>
      <c r="G445" t="s">
        <v>198</v>
      </c>
      <c r="H445" t="s">
        <v>21</v>
      </c>
      <c r="J445" t="s">
        <v>81</v>
      </c>
      <c r="K445">
        <v>0</v>
      </c>
      <c r="L445" t="s">
        <v>59</v>
      </c>
      <c r="M445">
        <v>84</v>
      </c>
      <c r="N445" t="s">
        <v>88</v>
      </c>
      <c r="O445" t="s">
        <v>25</v>
      </c>
      <c r="P445">
        <v>5</v>
      </c>
      <c r="Q445">
        <v>1</v>
      </c>
    </row>
    <row r="446" spans="1:17" x14ac:dyDescent="0.3">
      <c r="A446" t="s">
        <v>993</v>
      </c>
      <c r="B446" t="s">
        <v>994</v>
      </c>
      <c r="C446" t="s">
        <v>45</v>
      </c>
      <c r="D446" t="s">
        <v>97</v>
      </c>
      <c r="E446">
        <v>32</v>
      </c>
      <c r="F446" t="s">
        <v>145</v>
      </c>
      <c r="G446" t="s">
        <v>146</v>
      </c>
      <c r="H446" t="s">
        <v>98</v>
      </c>
      <c r="I446">
        <v>10</v>
      </c>
      <c r="J446" t="s">
        <v>142</v>
      </c>
      <c r="L446" t="s">
        <v>94</v>
      </c>
      <c r="M446">
        <v>0.92</v>
      </c>
      <c r="N446" t="s">
        <v>88</v>
      </c>
      <c r="O446" t="s">
        <v>42</v>
      </c>
      <c r="P446">
        <v>12</v>
      </c>
      <c r="Q446">
        <v>4</v>
      </c>
    </row>
    <row r="447" spans="1:17" x14ac:dyDescent="0.3">
      <c r="A447" t="s">
        <v>995</v>
      </c>
      <c r="B447" t="s">
        <v>996</v>
      </c>
      <c r="C447" t="s">
        <v>63</v>
      </c>
      <c r="D447" t="s">
        <v>118</v>
      </c>
      <c r="E447">
        <v>24</v>
      </c>
      <c r="F447" t="s">
        <v>160</v>
      </c>
      <c r="G447" t="s">
        <v>161</v>
      </c>
      <c r="H447" t="s">
        <v>110</v>
      </c>
      <c r="I447">
        <v>6</v>
      </c>
      <c r="J447" t="s">
        <v>192</v>
      </c>
      <c r="K447">
        <v>4.3</v>
      </c>
      <c r="L447" t="s">
        <v>87</v>
      </c>
      <c r="N447" t="s">
        <v>82</v>
      </c>
      <c r="O447" t="s">
        <v>34</v>
      </c>
      <c r="P447">
        <v>14</v>
      </c>
      <c r="Q447">
        <v>4</v>
      </c>
    </row>
    <row r="448" spans="1:17" x14ac:dyDescent="0.3">
      <c r="A448" t="s">
        <v>997</v>
      </c>
      <c r="B448" t="s">
        <v>998</v>
      </c>
      <c r="C448" t="s">
        <v>37</v>
      </c>
      <c r="D448" t="s">
        <v>118</v>
      </c>
      <c r="E448">
        <v>35</v>
      </c>
      <c r="F448" t="s">
        <v>85</v>
      </c>
      <c r="G448" t="s">
        <v>30</v>
      </c>
      <c r="H448" t="s">
        <v>57</v>
      </c>
      <c r="I448">
        <v>8</v>
      </c>
      <c r="J448" t="s">
        <v>119</v>
      </c>
      <c r="L448" t="s">
        <v>181</v>
      </c>
      <c r="M448">
        <v>90</v>
      </c>
      <c r="N448" t="s">
        <v>88</v>
      </c>
      <c r="O448" t="s">
        <v>25</v>
      </c>
      <c r="P448">
        <v>6</v>
      </c>
      <c r="Q448">
        <v>5</v>
      </c>
    </row>
    <row r="449" spans="1:17" x14ac:dyDescent="0.3">
      <c r="A449" t="s">
        <v>999</v>
      </c>
      <c r="B449" t="s">
        <v>1000</v>
      </c>
      <c r="C449" t="s">
        <v>28</v>
      </c>
      <c r="D449" t="s">
        <v>97</v>
      </c>
      <c r="E449">
        <v>22</v>
      </c>
      <c r="F449" t="s">
        <v>29</v>
      </c>
      <c r="G449" t="s">
        <v>30</v>
      </c>
      <c r="H449" t="s">
        <v>31</v>
      </c>
      <c r="I449">
        <v>4</v>
      </c>
      <c r="J449" t="s">
        <v>162</v>
      </c>
      <c r="L449" t="s">
        <v>23</v>
      </c>
      <c r="M449">
        <v>0.73</v>
      </c>
      <c r="N449" t="s">
        <v>82</v>
      </c>
      <c r="O449" t="s">
        <v>25</v>
      </c>
      <c r="P449">
        <v>1</v>
      </c>
      <c r="Q449">
        <v>1</v>
      </c>
    </row>
    <row r="450" spans="1:17" x14ac:dyDescent="0.3">
      <c r="A450" t="s">
        <v>1001</v>
      </c>
      <c r="B450" t="s">
        <v>1002</v>
      </c>
      <c r="C450" t="s">
        <v>45</v>
      </c>
      <c r="D450" t="s">
        <v>97</v>
      </c>
      <c r="E450">
        <v>55</v>
      </c>
      <c r="F450" t="s">
        <v>160</v>
      </c>
      <c r="G450" t="s">
        <v>161</v>
      </c>
      <c r="H450" t="s">
        <v>57</v>
      </c>
      <c r="I450">
        <v>3</v>
      </c>
      <c r="J450" t="s">
        <v>22</v>
      </c>
      <c r="L450" t="s">
        <v>33</v>
      </c>
      <c r="M450">
        <v>0.73</v>
      </c>
      <c r="N450" t="s">
        <v>60</v>
      </c>
      <c r="O450" t="s">
        <v>25</v>
      </c>
      <c r="P450">
        <v>1</v>
      </c>
      <c r="Q450">
        <v>2</v>
      </c>
    </row>
    <row r="451" spans="1:17" x14ac:dyDescent="0.3">
      <c r="A451" t="s">
        <v>1003</v>
      </c>
      <c r="B451" t="s">
        <v>1004</v>
      </c>
      <c r="C451" t="s">
        <v>50</v>
      </c>
      <c r="D451" t="s">
        <v>97</v>
      </c>
      <c r="E451">
        <v>54</v>
      </c>
      <c r="F451" t="s">
        <v>91</v>
      </c>
      <c r="G451" t="s">
        <v>92</v>
      </c>
      <c r="H451" t="s">
        <v>135</v>
      </c>
      <c r="J451" t="s">
        <v>52</v>
      </c>
      <c r="K451">
        <v>2.9</v>
      </c>
      <c r="L451" t="s">
        <v>74</v>
      </c>
      <c r="M451">
        <v>0.78</v>
      </c>
      <c r="N451" t="s">
        <v>82</v>
      </c>
      <c r="O451" t="s">
        <v>34</v>
      </c>
      <c r="P451">
        <v>3</v>
      </c>
      <c r="Q451">
        <v>3</v>
      </c>
    </row>
    <row r="452" spans="1:17" x14ac:dyDescent="0.3">
      <c r="A452" t="s">
        <v>1005</v>
      </c>
      <c r="B452" t="s">
        <v>1006</v>
      </c>
      <c r="C452" t="s">
        <v>18</v>
      </c>
      <c r="D452" t="s">
        <v>97</v>
      </c>
      <c r="E452">
        <v>36</v>
      </c>
      <c r="F452" t="s">
        <v>55</v>
      </c>
      <c r="G452" t="s">
        <v>56</v>
      </c>
      <c r="H452" t="s">
        <v>98</v>
      </c>
      <c r="I452">
        <v>11</v>
      </c>
      <c r="J452" t="s">
        <v>58</v>
      </c>
      <c r="K452">
        <v>0</v>
      </c>
      <c r="L452" t="s">
        <v>74</v>
      </c>
      <c r="M452">
        <v>0.63</v>
      </c>
      <c r="N452" t="s">
        <v>60</v>
      </c>
      <c r="O452" t="s">
        <v>42</v>
      </c>
      <c r="P452">
        <v>9</v>
      </c>
      <c r="Q452">
        <v>14</v>
      </c>
    </row>
    <row r="453" spans="1:17" x14ac:dyDescent="0.3">
      <c r="A453" t="s">
        <v>1007</v>
      </c>
      <c r="B453" t="s">
        <v>1008</v>
      </c>
      <c r="C453" t="s">
        <v>50</v>
      </c>
      <c r="D453" t="s">
        <v>97</v>
      </c>
      <c r="E453">
        <v>36</v>
      </c>
      <c r="F453" t="s">
        <v>55</v>
      </c>
      <c r="G453" t="s">
        <v>56</v>
      </c>
      <c r="H453" t="s">
        <v>57</v>
      </c>
      <c r="I453">
        <v>17</v>
      </c>
      <c r="J453" t="s">
        <v>40</v>
      </c>
      <c r="K453">
        <v>1.3</v>
      </c>
      <c r="L453" t="s">
        <v>51</v>
      </c>
      <c r="M453">
        <v>0.64</v>
      </c>
      <c r="N453" t="s">
        <v>82</v>
      </c>
      <c r="O453" t="s">
        <v>42</v>
      </c>
      <c r="P453">
        <v>18</v>
      </c>
      <c r="Q453">
        <v>7</v>
      </c>
    </row>
    <row r="454" spans="1:17" x14ac:dyDescent="0.3">
      <c r="A454" t="s">
        <v>1009</v>
      </c>
      <c r="B454" t="s">
        <v>1010</v>
      </c>
      <c r="C454" t="s">
        <v>18</v>
      </c>
      <c r="D454" t="s">
        <v>97</v>
      </c>
      <c r="E454">
        <v>25</v>
      </c>
      <c r="F454" t="s">
        <v>91</v>
      </c>
      <c r="G454" t="s">
        <v>92</v>
      </c>
      <c r="H454" t="s">
        <v>46</v>
      </c>
      <c r="I454">
        <v>1</v>
      </c>
      <c r="J454" t="s">
        <v>103</v>
      </c>
      <c r="K454">
        <v>0</v>
      </c>
      <c r="L454" t="s">
        <v>33</v>
      </c>
      <c r="N454" t="s">
        <v>24</v>
      </c>
      <c r="O454" t="s">
        <v>75</v>
      </c>
      <c r="P454">
        <v>2</v>
      </c>
      <c r="Q454">
        <v>3</v>
      </c>
    </row>
    <row r="455" spans="1:17" x14ac:dyDescent="0.3">
      <c r="A455" t="s">
        <v>1011</v>
      </c>
      <c r="B455" t="s">
        <v>1012</v>
      </c>
      <c r="C455" t="s">
        <v>118</v>
      </c>
      <c r="D455" t="s">
        <v>118</v>
      </c>
      <c r="E455">
        <v>46</v>
      </c>
      <c r="F455" t="s">
        <v>64</v>
      </c>
      <c r="G455" t="s">
        <v>65</v>
      </c>
      <c r="H455" t="s">
        <v>57</v>
      </c>
      <c r="I455">
        <v>16</v>
      </c>
      <c r="J455" t="s">
        <v>162</v>
      </c>
      <c r="K455">
        <v>4.8</v>
      </c>
      <c r="L455" t="s">
        <v>33</v>
      </c>
      <c r="M455">
        <v>0.86</v>
      </c>
      <c r="N455" t="s">
        <v>24</v>
      </c>
      <c r="O455" t="s">
        <v>25</v>
      </c>
      <c r="P455">
        <v>12</v>
      </c>
      <c r="Q455">
        <v>8</v>
      </c>
    </row>
    <row r="456" spans="1:17" x14ac:dyDescent="0.3">
      <c r="A456" t="s">
        <v>1013</v>
      </c>
      <c r="B456" t="s">
        <v>1014</v>
      </c>
      <c r="C456" t="s">
        <v>113</v>
      </c>
      <c r="D456" t="s">
        <v>118</v>
      </c>
      <c r="E456">
        <v>41</v>
      </c>
      <c r="F456" t="s">
        <v>91</v>
      </c>
      <c r="G456" t="s">
        <v>92</v>
      </c>
      <c r="H456" t="s">
        <v>135</v>
      </c>
      <c r="I456">
        <v>11</v>
      </c>
      <c r="J456" t="s">
        <v>47</v>
      </c>
      <c r="K456">
        <v>2.4</v>
      </c>
      <c r="L456" t="s">
        <v>59</v>
      </c>
      <c r="N456" t="s">
        <v>88</v>
      </c>
      <c r="O456" t="s">
        <v>75</v>
      </c>
      <c r="P456">
        <v>9</v>
      </c>
      <c r="Q456">
        <v>2</v>
      </c>
    </row>
    <row r="457" spans="1:17" x14ac:dyDescent="0.3">
      <c r="A457" t="s">
        <v>1015</v>
      </c>
      <c r="B457" t="s">
        <v>1016</v>
      </c>
      <c r="C457" t="s">
        <v>28</v>
      </c>
      <c r="D457" t="s">
        <v>97</v>
      </c>
      <c r="E457">
        <v>21</v>
      </c>
      <c r="F457" t="s">
        <v>145</v>
      </c>
      <c r="G457" t="s">
        <v>146</v>
      </c>
      <c r="H457" t="s">
        <v>31</v>
      </c>
      <c r="I457">
        <v>3</v>
      </c>
      <c r="J457" t="s">
        <v>251</v>
      </c>
      <c r="K457">
        <v>4.7</v>
      </c>
      <c r="L457" t="s">
        <v>41</v>
      </c>
      <c r="M457">
        <v>0.96</v>
      </c>
      <c r="N457" t="s">
        <v>82</v>
      </c>
      <c r="O457" t="s">
        <v>75</v>
      </c>
      <c r="P457">
        <v>2</v>
      </c>
      <c r="Q457">
        <v>1</v>
      </c>
    </row>
    <row r="458" spans="1:17" x14ac:dyDescent="0.3">
      <c r="A458" t="s">
        <v>1017</v>
      </c>
      <c r="B458" t="s">
        <v>1018</v>
      </c>
      <c r="C458" t="s">
        <v>118</v>
      </c>
      <c r="D458" t="s">
        <v>118</v>
      </c>
      <c r="E458">
        <v>29</v>
      </c>
      <c r="F458" t="s">
        <v>73</v>
      </c>
      <c r="G458" t="s">
        <v>30</v>
      </c>
      <c r="H458" t="s">
        <v>39</v>
      </c>
      <c r="J458" t="s">
        <v>192</v>
      </c>
      <c r="K458">
        <v>2</v>
      </c>
      <c r="L458" t="s">
        <v>23</v>
      </c>
      <c r="N458" t="s">
        <v>82</v>
      </c>
      <c r="O458" t="s">
        <v>42</v>
      </c>
      <c r="P458">
        <v>4</v>
      </c>
      <c r="Q458">
        <v>3</v>
      </c>
    </row>
    <row r="459" spans="1:17" x14ac:dyDescent="0.3">
      <c r="A459" t="s">
        <v>1019</v>
      </c>
      <c r="B459" t="s">
        <v>1020</v>
      </c>
      <c r="C459" t="s">
        <v>45</v>
      </c>
      <c r="D459" t="s">
        <v>97</v>
      </c>
      <c r="E459">
        <v>44</v>
      </c>
      <c r="F459" t="s">
        <v>73</v>
      </c>
      <c r="G459" t="s">
        <v>30</v>
      </c>
      <c r="H459" t="s">
        <v>31</v>
      </c>
      <c r="I459">
        <v>3</v>
      </c>
      <c r="J459" t="s">
        <v>81</v>
      </c>
      <c r="K459">
        <v>2.2000000000000002</v>
      </c>
      <c r="L459" t="s">
        <v>23</v>
      </c>
      <c r="M459">
        <v>0.77</v>
      </c>
      <c r="N459" t="s">
        <v>60</v>
      </c>
      <c r="O459" t="s">
        <v>34</v>
      </c>
      <c r="P459">
        <v>4</v>
      </c>
      <c r="Q459">
        <v>1</v>
      </c>
    </row>
    <row r="460" spans="1:17" x14ac:dyDescent="0.3">
      <c r="A460" t="s">
        <v>1021</v>
      </c>
      <c r="B460" t="s">
        <v>1022</v>
      </c>
      <c r="C460" t="s">
        <v>118</v>
      </c>
      <c r="D460" t="s">
        <v>118</v>
      </c>
      <c r="E460">
        <v>40</v>
      </c>
      <c r="F460" t="s">
        <v>149</v>
      </c>
      <c r="G460" t="s">
        <v>30</v>
      </c>
      <c r="H460" t="s">
        <v>135</v>
      </c>
      <c r="I460">
        <v>1</v>
      </c>
      <c r="J460" t="s">
        <v>22</v>
      </c>
      <c r="K460">
        <v>2.1</v>
      </c>
      <c r="L460" t="s">
        <v>33</v>
      </c>
      <c r="N460" t="s">
        <v>88</v>
      </c>
      <c r="O460" t="s">
        <v>34</v>
      </c>
      <c r="P460">
        <v>4</v>
      </c>
      <c r="Q460">
        <v>1</v>
      </c>
    </row>
    <row r="461" spans="1:17" x14ac:dyDescent="0.3">
      <c r="A461" t="s">
        <v>1023</v>
      </c>
      <c r="B461" t="s">
        <v>1024</v>
      </c>
      <c r="C461" t="s">
        <v>50</v>
      </c>
      <c r="D461" t="s">
        <v>97</v>
      </c>
      <c r="E461">
        <v>27</v>
      </c>
      <c r="F461" t="s">
        <v>160</v>
      </c>
      <c r="G461" t="s">
        <v>161</v>
      </c>
      <c r="H461" t="s">
        <v>66</v>
      </c>
      <c r="I461">
        <v>1</v>
      </c>
      <c r="J461" t="s">
        <v>52</v>
      </c>
      <c r="K461">
        <v>1.7</v>
      </c>
      <c r="L461" t="s">
        <v>59</v>
      </c>
      <c r="M461">
        <v>0.65</v>
      </c>
      <c r="N461" t="s">
        <v>82</v>
      </c>
      <c r="O461" t="s">
        <v>42</v>
      </c>
      <c r="P461">
        <v>5</v>
      </c>
      <c r="Q461">
        <v>4</v>
      </c>
    </row>
    <row r="462" spans="1:17" x14ac:dyDescent="0.3">
      <c r="A462" t="s">
        <v>1025</v>
      </c>
      <c r="B462" t="s">
        <v>1026</v>
      </c>
      <c r="C462" t="s">
        <v>78</v>
      </c>
      <c r="D462" t="s">
        <v>118</v>
      </c>
      <c r="E462">
        <v>53</v>
      </c>
      <c r="F462" t="s">
        <v>156</v>
      </c>
      <c r="G462" t="s">
        <v>157</v>
      </c>
      <c r="H462" t="s">
        <v>31</v>
      </c>
      <c r="I462">
        <v>35</v>
      </c>
      <c r="J462" t="s">
        <v>51</v>
      </c>
      <c r="K462">
        <v>5</v>
      </c>
      <c r="L462" t="s">
        <v>33</v>
      </c>
      <c r="M462">
        <v>0.62</v>
      </c>
      <c r="N462" t="s">
        <v>88</v>
      </c>
      <c r="O462" t="s">
        <v>34</v>
      </c>
      <c r="P462">
        <v>14</v>
      </c>
      <c r="Q462">
        <v>9</v>
      </c>
    </row>
    <row r="463" spans="1:17" x14ac:dyDescent="0.3">
      <c r="A463" t="s">
        <v>1027</v>
      </c>
      <c r="B463" t="s">
        <v>1028</v>
      </c>
      <c r="C463" t="s">
        <v>37</v>
      </c>
      <c r="D463" t="s">
        <v>118</v>
      </c>
      <c r="E463">
        <v>20</v>
      </c>
      <c r="F463" t="s">
        <v>79</v>
      </c>
      <c r="G463" t="s">
        <v>80</v>
      </c>
      <c r="H463" t="s">
        <v>66</v>
      </c>
      <c r="I463">
        <v>1</v>
      </c>
      <c r="J463" t="s">
        <v>40</v>
      </c>
      <c r="K463">
        <v>2.9</v>
      </c>
      <c r="L463" t="s">
        <v>181</v>
      </c>
      <c r="M463">
        <v>0.81</v>
      </c>
      <c r="N463" t="s">
        <v>24</v>
      </c>
      <c r="O463" t="s">
        <v>75</v>
      </c>
      <c r="P463">
        <v>1</v>
      </c>
      <c r="Q463">
        <v>1</v>
      </c>
    </row>
    <row r="464" spans="1:17" x14ac:dyDescent="0.3">
      <c r="A464" t="s">
        <v>1029</v>
      </c>
      <c r="B464" t="s">
        <v>1030</v>
      </c>
      <c r="C464" t="s">
        <v>50</v>
      </c>
      <c r="D464" t="s">
        <v>97</v>
      </c>
      <c r="F464" t="s">
        <v>106</v>
      </c>
      <c r="G464" t="s">
        <v>107</v>
      </c>
      <c r="H464" t="s">
        <v>110</v>
      </c>
      <c r="I464">
        <v>12</v>
      </c>
      <c r="J464" t="s">
        <v>81</v>
      </c>
      <c r="K464">
        <v>4.0999999999999996</v>
      </c>
      <c r="L464" t="s">
        <v>94</v>
      </c>
      <c r="M464">
        <v>0.62</v>
      </c>
      <c r="N464" t="s">
        <v>82</v>
      </c>
      <c r="O464" t="s">
        <v>25</v>
      </c>
      <c r="P464">
        <v>7</v>
      </c>
      <c r="Q464">
        <v>4</v>
      </c>
    </row>
    <row r="465" spans="1:17" x14ac:dyDescent="0.3">
      <c r="A465" t="s">
        <v>1031</v>
      </c>
      <c r="B465" t="s">
        <v>1032</v>
      </c>
      <c r="C465" t="s">
        <v>37</v>
      </c>
      <c r="D465" t="s">
        <v>118</v>
      </c>
      <c r="E465">
        <v>26</v>
      </c>
      <c r="F465" t="s">
        <v>201</v>
      </c>
      <c r="G465" t="s">
        <v>92</v>
      </c>
      <c r="H465" t="s">
        <v>46</v>
      </c>
      <c r="I465">
        <v>8</v>
      </c>
      <c r="J465" t="s">
        <v>86</v>
      </c>
      <c r="K465">
        <v>4.9000000000000004</v>
      </c>
      <c r="L465" t="s">
        <v>41</v>
      </c>
      <c r="M465">
        <v>0.87</v>
      </c>
      <c r="N465" t="s">
        <v>82</v>
      </c>
      <c r="O465" t="s">
        <v>42</v>
      </c>
      <c r="P465">
        <v>9</v>
      </c>
      <c r="Q465">
        <v>4</v>
      </c>
    </row>
    <row r="466" spans="1:17" x14ac:dyDescent="0.3">
      <c r="A466" t="s">
        <v>1033</v>
      </c>
      <c r="B466" t="s">
        <v>1034</v>
      </c>
      <c r="C466" t="s">
        <v>50</v>
      </c>
      <c r="D466" t="s">
        <v>97</v>
      </c>
      <c r="E466">
        <v>49</v>
      </c>
      <c r="F466" t="s">
        <v>128</v>
      </c>
      <c r="G466" t="s">
        <v>129</v>
      </c>
      <c r="H466" t="s">
        <v>135</v>
      </c>
      <c r="I466">
        <v>13</v>
      </c>
      <c r="J466" t="s">
        <v>251</v>
      </c>
      <c r="K466">
        <v>2.5</v>
      </c>
      <c r="L466" t="s">
        <v>59</v>
      </c>
      <c r="N466" t="s">
        <v>88</v>
      </c>
      <c r="O466" t="s">
        <v>25</v>
      </c>
      <c r="P466">
        <v>6</v>
      </c>
      <c r="Q466">
        <v>2</v>
      </c>
    </row>
    <row r="467" spans="1:17" x14ac:dyDescent="0.3">
      <c r="A467" t="s">
        <v>1035</v>
      </c>
      <c r="B467" t="s">
        <v>1036</v>
      </c>
      <c r="C467" t="s">
        <v>45</v>
      </c>
      <c r="D467" t="s">
        <v>97</v>
      </c>
      <c r="E467">
        <v>20</v>
      </c>
      <c r="F467" t="s">
        <v>160</v>
      </c>
      <c r="G467" t="s">
        <v>161</v>
      </c>
      <c r="H467" t="s">
        <v>66</v>
      </c>
      <c r="I467">
        <v>0</v>
      </c>
      <c r="J467" t="s">
        <v>130</v>
      </c>
      <c r="K467">
        <v>0</v>
      </c>
      <c r="L467" t="s">
        <v>33</v>
      </c>
      <c r="M467">
        <v>76</v>
      </c>
      <c r="N467" t="s">
        <v>82</v>
      </c>
      <c r="O467" t="s">
        <v>34</v>
      </c>
      <c r="P467">
        <v>5</v>
      </c>
      <c r="Q467">
        <v>3</v>
      </c>
    </row>
    <row r="468" spans="1:17" x14ac:dyDescent="0.3">
      <c r="A468" t="s">
        <v>1037</v>
      </c>
      <c r="B468" t="s">
        <v>1038</v>
      </c>
      <c r="C468" t="s">
        <v>50</v>
      </c>
      <c r="D468" t="s">
        <v>97</v>
      </c>
      <c r="E468">
        <v>39</v>
      </c>
      <c r="F468" t="s">
        <v>197</v>
      </c>
      <c r="G468" t="s">
        <v>198</v>
      </c>
      <c r="H468" t="s">
        <v>21</v>
      </c>
      <c r="I468">
        <v>11</v>
      </c>
      <c r="J468" t="s">
        <v>22</v>
      </c>
      <c r="K468">
        <v>2.8</v>
      </c>
      <c r="L468" t="s">
        <v>51</v>
      </c>
      <c r="M468">
        <v>70</v>
      </c>
      <c r="N468" t="s">
        <v>88</v>
      </c>
      <c r="O468" t="s">
        <v>25</v>
      </c>
      <c r="P468">
        <v>9</v>
      </c>
      <c r="Q468">
        <v>10</v>
      </c>
    </row>
    <row r="469" spans="1:17" x14ac:dyDescent="0.3">
      <c r="A469" t="s">
        <v>1039</v>
      </c>
      <c r="B469" t="s">
        <v>1040</v>
      </c>
      <c r="C469" t="s">
        <v>45</v>
      </c>
      <c r="D469" t="s">
        <v>97</v>
      </c>
      <c r="E469">
        <v>41</v>
      </c>
      <c r="F469" t="s">
        <v>197</v>
      </c>
      <c r="G469" t="s">
        <v>198</v>
      </c>
      <c r="H469" t="s">
        <v>135</v>
      </c>
      <c r="I469">
        <v>19</v>
      </c>
      <c r="J469" t="s">
        <v>22</v>
      </c>
      <c r="K469">
        <v>3.8</v>
      </c>
      <c r="L469" t="s">
        <v>87</v>
      </c>
      <c r="M469">
        <v>0.71</v>
      </c>
      <c r="N469" t="s">
        <v>82</v>
      </c>
      <c r="O469" t="s">
        <v>34</v>
      </c>
      <c r="P469">
        <v>16</v>
      </c>
      <c r="Q469">
        <v>5</v>
      </c>
    </row>
    <row r="470" spans="1:17" x14ac:dyDescent="0.3">
      <c r="A470" t="s">
        <v>1041</v>
      </c>
      <c r="B470" t="s">
        <v>1042</v>
      </c>
      <c r="C470" t="s">
        <v>118</v>
      </c>
      <c r="D470" t="s">
        <v>118</v>
      </c>
      <c r="E470">
        <v>59</v>
      </c>
      <c r="F470" t="s">
        <v>149</v>
      </c>
      <c r="G470" t="s">
        <v>30</v>
      </c>
      <c r="H470" t="s">
        <v>31</v>
      </c>
      <c r="I470">
        <v>30</v>
      </c>
      <c r="J470" t="s">
        <v>130</v>
      </c>
      <c r="K470">
        <v>4.3</v>
      </c>
      <c r="L470" t="s">
        <v>33</v>
      </c>
      <c r="M470">
        <v>0.83</v>
      </c>
      <c r="N470" t="s">
        <v>60</v>
      </c>
      <c r="O470" t="s">
        <v>34</v>
      </c>
      <c r="P470">
        <v>11</v>
      </c>
      <c r="Q470">
        <v>3</v>
      </c>
    </row>
    <row r="471" spans="1:17" x14ac:dyDescent="0.3">
      <c r="A471" t="s">
        <v>1043</v>
      </c>
      <c r="B471" t="s">
        <v>1044</v>
      </c>
      <c r="C471" t="s">
        <v>97</v>
      </c>
      <c r="D471" t="s">
        <v>97</v>
      </c>
      <c r="E471">
        <v>45</v>
      </c>
      <c r="F471" t="s">
        <v>29</v>
      </c>
      <c r="G471" t="s">
        <v>30</v>
      </c>
      <c r="H471" t="s">
        <v>21</v>
      </c>
      <c r="I471">
        <v>8</v>
      </c>
      <c r="J471" t="s">
        <v>86</v>
      </c>
      <c r="K471">
        <v>0</v>
      </c>
      <c r="L471" t="s">
        <v>23</v>
      </c>
      <c r="M471">
        <v>78</v>
      </c>
      <c r="N471" t="s">
        <v>88</v>
      </c>
      <c r="O471" t="s">
        <v>75</v>
      </c>
      <c r="P471">
        <v>7</v>
      </c>
      <c r="Q471">
        <v>9</v>
      </c>
    </row>
    <row r="472" spans="1:17" x14ac:dyDescent="0.3">
      <c r="A472" t="s">
        <v>1045</v>
      </c>
      <c r="B472" t="s">
        <v>1046</v>
      </c>
      <c r="C472" t="s">
        <v>78</v>
      </c>
      <c r="D472" t="s">
        <v>118</v>
      </c>
      <c r="E472">
        <v>22</v>
      </c>
      <c r="F472" t="s">
        <v>64</v>
      </c>
      <c r="G472" t="s">
        <v>65</v>
      </c>
      <c r="H472" t="s">
        <v>98</v>
      </c>
      <c r="I472">
        <v>0</v>
      </c>
      <c r="J472" t="s">
        <v>86</v>
      </c>
      <c r="K472">
        <v>1.3</v>
      </c>
      <c r="L472" t="s">
        <v>33</v>
      </c>
      <c r="M472">
        <v>0.78</v>
      </c>
      <c r="N472" t="s">
        <v>82</v>
      </c>
      <c r="O472" t="s">
        <v>34</v>
      </c>
      <c r="P472">
        <v>2</v>
      </c>
      <c r="Q472">
        <v>1</v>
      </c>
    </row>
    <row r="473" spans="1:17" x14ac:dyDescent="0.3">
      <c r="A473" t="s">
        <v>1047</v>
      </c>
      <c r="B473" t="s">
        <v>1048</v>
      </c>
      <c r="C473" t="s">
        <v>18</v>
      </c>
      <c r="D473" t="s">
        <v>97</v>
      </c>
      <c r="E473">
        <v>48</v>
      </c>
      <c r="F473" t="s">
        <v>114</v>
      </c>
      <c r="G473" t="s">
        <v>115</v>
      </c>
      <c r="H473" t="s">
        <v>31</v>
      </c>
      <c r="I473">
        <v>7</v>
      </c>
      <c r="J473" t="s">
        <v>40</v>
      </c>
      <c r="K473">
        <v>4.7</v>
      </c>
      <c r="L473" t="s">
        <v>94</v>
      </c>
      <c r="M473">
        <v>0.6</v>
      </c>
      <c r="N473" t="s">
        <v>24</v>
      </c>
      <c r="O473" t="s">
        <v>75</v>
      </c>
      <c r="P473">
        <v>13</v>
      </c>
      <c r="Q473">
        <v>10</v>
      </c>
    </row>
    <row r="474" spans="1:17" x14ac:dyDescent="0.3">
      <c r="A474" t="s">
        <v>1049</v>
      </c>
      <c r="B474" t="s">
        <v>1050</v>
      </c>
      <c r="C474" t="s">
        <v>78</v>
      </c>
      <c r="D474" t="s">
        <v>118</v>
      </c>
      <c r="E474">
        <v>36</v>
      </c>
      <c r="F474" t="s">
        <v>156</v>
      </c>
      <c r="G474" t="s">
        <v>157</v>
      </c>
      <c r="H474" t="s">
        <v>21</v>
      </c>
      <c r="I474">
        <v>11</v>
      </c>
      <c r="J474" t="s">
        <v>47</v>
      </c>
      <c r="K474">
        <v>1.3</v>
      </c>
      <c r="L474" t="s">
        <v>74</v>
      </c>
      <c r="N474" t="s">
        <v>82</v>
      </c>
      <c r="O474" t="s">
        <v>75</v>
      </c>
      <c r="P474">
        <v>15</v>
      </c>
      <c r="Q474">
        <v>4</v>
      </c>
    </row>
    <row r="475" spans="1:17" x14ac:dyDescent="0.3">
      <c r="A475" t="s">
        <v>1051</v>
      </c>
      <c r="B475" t="s">
        <v>1052</v>
      </c>
      <c r="C475" t="s">
        <v>28</v>
      </c>
      <c r="D475" t="s">
        <v>97</v>
      </c>
      <c r="E475">
        <v>57</v>
      </c>
      <c r="F475" t="s">
        <v>197</v>
      </c>
      <c r="G475" t="s">
        <v>198</v>
      </c>
      <c r="H475" t="s">
        <v>21</v>
      </c>
      <c r="J475" t="s">
        <v>103</v>
      </c>
      <c r="K475">
        <v>4.8</v>
      </c>
      <c r="L475" t="s">
        <v>33</v>
      </c>
      <c r="N475" t="s">
        <v>24</v>
      </c>
      <c r="O475" t="s">
        <v>75</v>
      </c>
      <c r="P475">
        <v>1</v>
      </c>
      <c r="Q475">
        <v>2</v>
      </c>
    </row>
    <row r="476" spans="1:17" x14ac:dyDescent="0.3">
      <c r="A476" t="s">
        <v>1053</v>
      </c>
      <c r="B476" t="s">
        <v>1054</v>
      </c>
      <c r="C476" t="s">
        <v>78</v>
      </c>
      <c r="D476" t="s">
        <v>118</v>
      </c>
      <c r="E476">
        <v>42</v>
      </c>
      <c r="F476" t="s">
        <v>73</v>
      </c>
      <c r="G476" t="s">
        <v>30</v>
      </c>
      <c r="H476" t="s">
        <v>93</v>
      </c>
      <c r="I476">
        <v>14</v>
      </c>
      <c r="J476" t="s">
        <v>58</v>
      </c>
      <c r="K476">
        <v>1.3</v>
      </c>
      <c r="L476" t="s">
        <v>23</v>
      </c>
      <c r="M476">
        <v>0.94</v>
      </c>
      <c r="N476" t="s">
        <v>24</v>
      </c>
      <c r="O476" t="s">
        <v>42</v>
      </c>
      <c r="P476">
        <v>6</v>
      </c>
      <c r="Q476">
        <v>1</v>
      </c>
    </row>
    <row r="477" spans="1:17" x14ac:dyDescent="0.3">
      <c r="A477" t="s">
        <v>1055</v>
      </c>
      <c r="B477" t="s">
        <v>1056</v>
      </c>
      <c r="C477" t="s">
        <v>63</v>
      </c>
      <c r="D477" t="s">
        <v>118</v>
      </c>
      <c r="E477">
        <v>31</v>
      </c>
      <c r="F477" t="s">
        <v>64</v>
      </c>
      <c r="G477" t="s">
        <v>65</v>
      </c>
      <c r="H477" t="s">
        <v>98</v>
      </c>
      <c r="I477">
        <v>11</v>
      </c>
      <c r="J477" t="s">
        <v>81</v>
      </c>
      <c r="K477">
        <v>4.3</v>
      </c>
      <c r="L477" t="s">
        <v>23</v>
      </c>
      <c r="M477">
        <v>62</v>
      </c>
      <c r="N477" t="s">
        <v>60</v>
      </c>
      <c r="O477" t="s">
        <v>42</v>
      </c>
      <c r="P477">
        <v>7</v>
      </c>
      <c r="Q477">
        <v>14</v>
      </c>
    </row>
    <row r="478" spans="1:17" x14ac:dyDescent="0.3">
      <c r="A478" t="s">
        <v>1057</v>
      </c>
      <c r="B478" t="s">
        <v>1058</v>
      </c>
      <c r="C478" t="s">
        <v>113</v>
      </c>
      <c r="D478" t="s">
        <v>118</v>
      </c>
      <c r="E478">
        <v>52</v>
      </c>
      <c r="F478" t="s">
        <v>212</v>
      </c>
      <c r="G478" t="s">
        <v>92</v>
      </c>
      <c r="H478" t="s">
        <v>98</v>
      </c>
      <c r="I478">
        <v>31</v>
      </c>
      <c r="J478" t="s">
        <v>52</v>
      </c>
      <c r="L478" t="s">
        <v>33</v>
      </c>
      <c r="N478" t="s">
        <v>88</v>
      </c>
      <c r="O478" t="s">
        <v>34</v>
      </c>
      <c r="P478">
        <v>14</v>
      </c>
      <c r="Q478">
        <v>3</v>
      </c>
    </row>
    <row r="479" spans="1:17" x14ac:dyDescent="0.3">
      <c r="A479" t="s">
        <v>1059</v>
      </c>
      <c r="B479" t="s">
        <v>1060</v>
      </c>
      <c r="C479" t="s">
        <v>113</v>
      </c>
      <c r="D479" t="s">
        <v>118</v>
      </c>
      <c r="E479">
        <v>56</v>
      </c>
      <c r="F479" t="s">
        <v>55</v>
      </c>
      <c r="G479" t="s">
        <v>56</v>
      </c>
      <c r="H479" t="s">
        <v>110</v>
      </c>
      <c r="I479">
        <v>16</v>
      </c>
      <c r="J479" t="s">
        <v>130</v>
      </c>
      <c r="K479">
        <v>0</v>
      </c>
      <c r="L479" t="s">
        <v>87</v>
      </c>
      <c r="N479" t="s">
        <v>82</v>
      </c>
      <c r="O479" t="s">
        <v>75</v>
      </c>
      <c r="P479">
        <v>12</v>
      </c>
      <c r="Q479">
        <v>10</v>
      </c>
    </row>
    <row r="480" spans="1:17" x14ac:dyDescent="0.3">
      <c r="A480" t="s">
        <v>1061</v>
      </c>
      <c r="B480" t="s">
        <v>1062</v>
      </c>
      <c r="C480" t="s">
        <v>97</v>
      </c>
      <c r="D480" t="s">
        <v>97</v>
      </c>
      <c r="E480">
        <v>24</v>
      </c>
      <c r="F480" t="s">
        <v>55</v>
      </c>
      <c r="G480" t="s">
        <v>56</v>
      </c>
      <c r="H480" t="s">
        <v>110</v>
      </c>
      <c r="I480">
        <v>6</v>
      </c>
      <c r="J480" t="s">
        <v>52</v>
      </c>
      <c r="K480">
        <v>0</v>
      </c>
      <c r="L480" t="s">
        <v>87</v>
      </c>
      <c r="M480">
        <v>0.84</v>
      </c>
      <c r="N480" t="s">
        <v>60</v>
      </c>
      <c r="O480" t="s">
        <v>42</v>
      </c>
      <c r="P480">
        <v>6</v>
      </c>
      <c r="Q480">
        <v>4</v>
      </c>
    </row>
    <row r="481" spans="1:17" x14ac:dyDescent="0.3">
      <c r="A481" t="s">
        <v>1063</v>
      </c>
      <c r="B481" t="s">
        <v>1064</v>
      </c>
      <c r="C481" t="s">
        <v>37</v>
      </c>
      <c r="D481" t="s">
        <v>118</v>
      </c>
      <c r="E481">
        <v>48</v>
      </c>
      <c r="F481" t="s">
        <v>149</v>
      </c>
      <c r="G481" t="s">
        <v>30</v>
      </c>
      <c r="H481" t="s">
        <v>110</v>
      </c>
      <c r="I481">
        <v>21</v>
      </c>
      <c r="J481" t="s">
        <v>103</v>
      </c>
      <c r="K481">
        <v>2.7</v>
      </c>
      <c r="L481" t="s">
        <v>33</v>
      </c>
      <c r="N481" t="s">
        <v>82</v>
      </c>
      <c r="O481" t="s">
        <v>75</v>
      </c>
      <c r="P481">
        <v>17</v>
      </c>
      <c r="Q481">
        <v>8</v>
      </c>
    </row>
    <row r="482" spans="1:17" x14ac:dyDescent="0.3">
      <c r="A482" t="s">
        <v>1065</v>
      </c>
      <c r="B482" t="s">
        <v>1066</v>
      </c>
      <c r="C482" t="s">
        <v>118</v>
      </c>
      <c r="D482" t="s">
        <v>118</v>
      </c>
      <c r="E482">
        <v>59</v>
      </c>
      <c r="F482" t="s">
        <v>156</v>
      </c>
      <c r="G482" t="s">
        <v>157</v>
      </c>
      <c r="H482" t="s">
        <v>98</v>
      </c>
      <c r="I482">
        <v>13</v>
      </c>
      <c r="J482" t="s">
        <v>86</v>
      </c>
      <c r="K482">
        <v>2.4</v>
      </c>
      <c r="L482" t="s">
        <v>181</v>
      </c>
      <c r="M482">
        <v>65</v>
      </c>
      <c r="N482" t="s">
        <v>24</v>
      </c>
      <c r="O482" t="s">
        <v>25</v>
      </c>
      <c r="P482">
        <v>13</v>
      </c>
      <c r="Q482">
        <v>4</v>
      </c>
    </row>
    <row r="483" spans="1:17" x14ac:dyDescent="0.3">
      <c r="A483" t="s">
        <v>1067</v>
      </c>
      <c r="B483" t="s">
        <v>1068</v>
      </c>
      <c r="C483" t="s">
        <v>78</v>
      </c>
      <c r="D483" t="s">
        <v>118</v>
      </c>
      <c r="F483" t="s">
        <v>85</v>
      </c>
      <c r="G483" t="s">
        <v>30</v>
      </c>
      <c r="H483" t="s">
        <v>46</v>
      </c>
      <c r="J483" t="s">
        <v>86</v>
      </c>
      <c r="K483">
        <v>1.9</v>
      </c>
      <c r="L483" t="s">
        <v>33</v>
      </c>
      <c r="M483">
        <v>0.94</v>
      </c>
      <c r="N483" t="s">
        <v>88</v>
      </c>
      <c r="O483" t="s">
        <v>25</v>
      </c>
      <c r="P483">
        <v>4</v>
      </c>
      <c r="Q483">
        <v>3</v>
      </c>
    </row>
    <row r="484" spans="1:17" x14ac:dyDescent="0.3">
      <c r="A484" t="s">
        <v>1069</v>
      </c>
      <c r="B484" t="s">
        <v>1070</v>
      </c>
      <c r="C484" t="s">
        <v>50</v>
      </c>
      <c r="D484" t="s">
        <v>97</v>
      </c>
      <c r="F484" t="s">
        <v>55</v>
      </c>
      <c r="G484" t="s">
        <v>56</v>
      </c>
      <c r="H484" t="s">
        <v>31</v>
      </c>
      <c r="I484">
        <v>11</v>
      </c>
      <c r="J484" t="s">
        <v>142</v>
      </c>
      <c r="K484">
        <v>3.6</v>
      </c>
      <c r="L484" t="s">
        <v>181</v>
      </c>
      <c r="M484">
        <v>0.69</v>
      </c>
      <c r="N484" t="s">
        <v>82</v>
      </c>
      <c r="O484" t="s">
        <v>25</v>
      </c>
      <c r="P484">
        <v>15</v>
      </c>
      <c r="Q484">
        <v>6</v>
      </c>
    </row>
    <row r="485" spans="1:17" x14ac:dyDescent="0.3">
      <c r="A485" t="s">
        <v>1071</v>
      </c>
      <c r="B485" t="s">
        <v>1072</v>
      </c>
      <c r="C485" t="s">
        <v>63</v>
      </c>
      <c r="D485" t="s">
        <v>118</v>
      </c>
      <c r="E485">
        <v>25</v>
      </c>
      <c r="F485" t="s">
        <v>55</v>
      </c>
      <c r="G485" t="s">
        <v>56</v>
      </c>
      <c r="H485" t="s">
        <v>31</v>
      </c>
      <c r="I485">
        <v>0</v>
      </c>
      <c r="J485" t="s">
        <v>40</v>
      </c>
      <c r="K485">
        <v>2.9</v>
      </c>
      <c r="L485" t="s">
        <v>87</v>
      </c>
      <c r="M485">
        <v>0.65</v>
      </c>
      <c r="N485" t="s">
        <v>82</v>
      </c>
      <c r="O485" t="s">
        <v>34</v>
      </c>
      <c r="P485">
        <v>2</v>
      </c>
      <c r="Q485">
        <v>1</v>
      </c>
    </row>
    <row r="486" spans="1:17" x14ac:dyDescent="0.3">
      <c r="A486" t="s">
        <v>1073</v>
      </c>
      <c r="B486" t="s">
        <v>1074</v>
      </c>
      <c r="C486" t="s">
        <v>37</v>
      </c>
      <c r="D486" t="s">
        <v>118</v>
      </c>
      <c r="E486">
        <v>31</v>
      </c>
      <c r="F486" t="s">
        <v>160</v>
      </c>
      <c r="G486" t="s">
        <v>161</v>
      </c>
      <c r="H486" t="s">
        <v>31</v>
      </c>
      <c r="I486">
        <v>2</v>
      </c>
      <c r="J486" t="s">
        <v>192</v>
      </c>
      <c r="K486">
        <v>2.8</v>
      </c>
      <c r="L486" t="s">
        <v>59</v>
      </c>
      <c r="M486">
        <v>0.6</v>
      </c>
      <c r="N486" t="s">
        <v>24</v>
      </c>
      <c r="O486" t="s">
        <v>75</v>
      </c>
      <c r="P486">
        <v>5</v>
      </c>
      <c r="Q486">
        <v>1</v>
      </c>
    </row>
    <row r="487" spans="1:17" x14ac:dyDescent="0.3">
      <c r="A487" t="s">
        <v>1075</v>
      </c>
      <c r="B487" t="s">
        <v>1076</v>
      </c>
      <c r="C487" t="s">
        <v>78</v>
      </c>
      <c r="D487" t="s">
        <v>118</v>
      </c>
      <c r="E487">
        <v>40</v>
      </c>
      <c r="F487" t="s">
        <v>79</v>
      </c>
      <c r="G487" t="s">
        <v>80</v>
      </c>
      <c r="H487" t="s">
        <v>110</v>
      </c>
      <c r="I487">
        <v>12</v>
      </c>
      <c r="J487" t="s">
        <v>103</v>
      </c>
      <c r="K487">
        <v>2.6</v>
      </c>
      <c r="L487" t="s">
        <v>59</v>
      </c>
      <c r="N487" t="s">
        <v>82</v>
      </c>
      <c r="O487" t="s">
        <v>25</v>
      </c>
      <c r="P487">
        <v>13</v>
      </c>
      <c r="Q487">
        <v>13</v>
      </c>
    </row>
    <row r="488" spans="1:17" x14ac:dyDescent="0.3">
      <c r="A488" t="s">
        <v>1077</v>
      </c>
      <c r="B488" t="s">
        <v>697</v>
      </c>
      <c r="C488" t="s">
        <v>18</v>
      </c>
      <c r="D488" t="s">
        <v>97</v>
      </c>
      <c r="E488">
        <v>48</v>
      </c>
      <c r="F488" t="s">
        <v>145</v>
      </c>
      <c r="G488" t="s">
        <v>146</v>
      </c>
      <c r="H488" t="s">
        <v>21</v>
      </c>
      <c r="I488">
        <v>13</v>
      </c>
      <c r="J488" t="s">
        <v>251</v>
      </c>
      <c r="K488">
        <v>2.7</v>
      </c>
      <c r="L488" t="s">
        <v>51</v>
      </c>
      <c r="M488">
        <v>0.62</v>
      </c>
      <c r="N488" t="s">
        <v>82</v>
      </c>
      <c r="O488" t="s">
        <v>42</v>
      </c>
      <c r="P488">
        <v>8</v>
      </c>
      <c r="Q488">
        <v>4</v>
      </c>
    </row>
    <row r="489" spans="1:17" x14ac:dyDescent="0.3">
      <c r="A489" t="s">
        <v>1078</v>
      </c>
      <c r="B489" t="s">
        <v>1079</v>
      </c>
      <c r="C489" t="s">
        <v>18</v>
      </c>
      <c r="D489" t="s">
        <v>97</v>
      </c>
      <c r="E489">
        <v>24</v>
      </c>
      <c r="F489" t="s">
        <v>175</v>
      </c>
      <c r="G489" t="s">
        <v>176</v>
      </c>
      <c r="H489" t="s">
        <v>31</v>
      </c>
      <c r="I489">
        <v>6</v>
      </c>
      <c r="J489" t="s">
        <v>52</v>
      </c>
      <c r="K489">
        <v>1.1000000000000001</v>
      </c>
      <c r="L489" t="s">
        <v>87</v>
      </c>
      <c r="N489" t="s">
        <v>24</v>
      </c>
      <c r="O489" t="s">
        <v>25</v>
      </c>
      <c r="P489">
        <v>9</v>
      </c>
      <c r="Q489">
        <v>9</v>
      </c>
    </row>
    <row r="490" spans="1:17" x14ac:dyDescent="0.3">
      <c r="A490" t="s">
        <v>1080</v>
      </c>
      <c r="B490" t="s">
        <v>1081</v>
      </c>
      <c r="C490" t="s">
        <v>78</v>
      </c>
      <c r="D490" t="s">
        <v>118</v>
      </c>
      <c r="E490">
        <v>33</v>
      </c>
      <c r="F490" t="s">
        <v>64</v>
      </c>
      <c r="G490" t="s">
        <v>65</v>
      </c>
      <c r="H490" t="s">
        <v>46</v>
      </c>
      <c r="I490">
        <v>10</v>
      </c>
      <c r="J490" t="s">
        <v>130</v>
      </c>
      <c r="K490">
        <v>0</v>
      </c>
      <c r="L490" t="s">
        <v>87</v>
      </c>
      <c r="M490">
        <v>0.89</v>
      </c>
      <c r="N490" t="s">
        <v>60</v>
      </c>
      <c r="O490" t="s">
        <v>25</v>
      </c>
      <c r="P490">
        <v>11</v>
      </c>
      <c r="Q490">
        <v>10</v>
      </c>
    </row>
    <row r="491" spans="1:17" x14ac:dyDescent="0.3">
      <c r="A491" t="s">
        <v>1082</v>
      </c>
      <c r="B491" t="s">
        <v>1083</v>
      </c>
      <c r="C491" t="s">
        <v>97</v>
      </c>
      <c r="D491" t="s">
        <v>97</v>
      </c>
      <c r="E491">
        <v>43</v>
      </c>
      <c r="F491" t="s">
        <v>128</v>
      </c>
      <c r="G491" t="s">
        <v>129</v>
      </c>
      <c r="H491" t="s">
        <v>93</v>
      </c>
      <c r="I491">
        <v>2</v>
      </c>
      <c r="J491" t="s">
        <v>47</v>
      </c>
      <c r="K491">
        <v>0</v>
      </c>
      <c r="L491" t="s">
        <v>87</v>
      </c>
      <c r="M491">
        <v>0.89</v>
      </c>
      <c r="N491" t="s">
        <v>24</v>
      </c>
      <c r="O491" t="s">
        <v>25</v>
      </c>
      <c r="P491">
        <v>5</v>
      </c>
      <c r="Q491">
        <v>1</v>
      </c>
    </row>
    <row r="492" spans="1:17" x14ac:dyDescent="0.3">
      <c r="A492" t="s">
        <v>1084</v>
      </c>
      <c r="B492" t="s">
        <v>1085</v>
      </c>
      <c r="C492" t="s">
        <v>113</v>
      </c>
      <c r="D492" t="s">
        <v>118</v>
      </c>
      <c r="E492">
        <v>43</v>
      </c>
      <c r="F492" t="s">
        <v>212</v>
      </c>
      <c r="G492" t="s">
        <v>92</v>
      </c>
      <c r="H492" t="s">
        <v>21</v>
      </c>
      <c r="I492">
        <v>4</v>
      </c>
      <c r="J492" t="s">
        <v>40</v>
      </c>
      <c r="K492">
        <v>0</v>
      </c>
      <c r="L492" t="s">
        <v>74</v>
      </c>
      <c r="M492">
        <v>1</v>
      </c>
      <c r="N492" t="s">
        <v>60</v>
      </c>
      <c r="O492" t="s">
        <v>34</v>
      </c>
      <c r="P492">
        <v>2</v>
      </c>
      <c r="Q492">
        <v>1</v>
      </c>
    </row>
    <row r="493" spans="1:17" x14ac:dyDescent="0.3">
      <c r="A493" t="s">
        <v>1086</v>
      </c>
      <c r="B493" t="s">
        <v>1087</v>
      </c>
      <c r="C493" t="s">
        <v>28</v>
      </c>
      <c r="D493" t="s">
        <v>97</v>
      </c>
      <c r="E493">
        <v>33</v>
      </c>
      <c r="F493" t="s">
        <v>29</v>
      </c>
      <c r="G493" t="s">
        <v>30</v>
      </c>
      <c r="H493" t="s">
        <v>46</v>
      </c>
      <c r="I493">
        <v>11</v>
      </c>
      <c r="J493" t="s">
        <v>51</v>
      </c>
      <c r="K493">
        <v>4.5999999999999996</v>
      </c>
      <c r="L493" t="s">
        <v>87</v>
      </c>
      <c r="N493" t="s">
        <v>88</v>
      </c>
      <c r="O493" t="s">
        <v>42</v>
      </c>
      <c r="P493">
        <v>15</v>
      </c>
      <c r="Q493">
        <v>2</v>
      </c>
    </row>
    <row r="494" spans="1:17" x14ac:dyDescent="0.3">
      <c r="A494" t="s">
        <v>1088</v>
      </c>
      <c r="B494" t="s">
        <v>1089</v>
      </c>
      <c r="C494" t="s">
        <v>28</v>
      </c>
      <c r="D494" t="s">
        <v>97</v>
      </c>
      <c r="E494">
        <v>49</v>
      </c>
      <c r="F494" t="s">
        <v>145</v>
      </c>
      <c r="G494" t="s">
        <v>146</v>
      </c>
      <c r="H494" t="s">
        <v>93</v>
      </c>
      <c r="I494">
        <v>14</v>
      </c>
      <c r="J494" t="s">
        <v>86</v>
      </c>
      <c r="K494">
        <v>1.5</v>
      </c>
      <c r="L494" t="s">
        <v>51</v>
      </c>
      <c r="M494">
        <v>0.6</v>
      </c>
      <c r="N494" t="s">
        <v>60</v>
      </c>
      <c r="O494" t="s">
        <v>75</v>
      </c>
      <c r="P494">
        <v>15</v>
      </c>
      <c r="Q494">
        <v>10</v>
      </c>
    </row>
    <row r="495" spans="1:17" x14ac:dyDescent="0.3">
      <c r="A495" t="s">
        <v>1090</v>
      </c>
      <c r="B495" t="s">
        <v>1091</v>
      </c>
      <c r="C495" t="s">
        <v>63</v>
      </c>
      <c r="D495" t="s">
        <v>118</v>
      </c>
      <c r="E495">
        <v>55</v>
      </c>
      <c r="F495" t="s">
        <v>149</v>
      </c>
      <c r="G495" t="s">
        <v>30</v>
      </c>
      <c r="H495" t="s">
        <v>93</v>
      </c>
      <c r="I495">
        <v>10</v>
      </c>
      <c r="J495" t="s">
        <v>86</v>
      </c>
      <c r="K495">
        <v>2</v>
      </c>
      <c r="L495" t="s">
        <v>181</v>
      </c>
      <c r="M495">
        <v>0.85</v>
      </c>
      <c r="N495" t="s">
        <v>60</v>
      </c>
      <c r="O495" t="s">
        <v>42</v>
      </c>
      <c r="P495">
        <v>7</v>
      </c>
      <c r="Q495">
        <v>6</v>
      </c>
    </row>
    <row r="496" spans="1:17" x14ac:dyDescent="0.3">
      <c r="A496" t="s">
        <v>1092</v>
      </c>
      <c r="B496" t="s">
        <v>1093</v>
      </c>
      <c r="C496" t="s">
        <v>45</v>
      </c>
      <c r="D496" t="s">
        <v>97</v>
      </c>
      <c r="E496">
        <v>33</v>
      </c>
      <c r="F496" t="s">
        <v>133</v>
      </c>
      <c r="G496" t="s">
        <v>134</v>
      </c>
      <c r="H496" t="s">
        <v>39</v>
      </c>
      <c r="I496">
        <v>3</v>
      </c>
      <c r="J496" t="s">
        <v>47</v>
      </c>
      <c r="K496">
        <v>1.6</v>
      </c>
      <c r="L496" t="s">
        <v>51</v>
      </c>
      <c r="M496">
        <v>0.83</v>
      </c>
      <c r="N496" t="s">
        <v>88</v>
      </c>
      <c r="O496" t="s">
        <v>75</v>
      </c>
      <c r="P496">
        <v>4</v>
      </c>
      <c r="Q496">
        <v>2</v>
      </c>
    </row>
    <row r="497" spans="1:17" x14ac:dyDescent="0.3">
      <c r="A497" t="s">
        <v>1094</v>
      </c>
      <c r="B497" t="s">
        <v>1095</v>
      </c>
      <c r="C497" t="s">
        <v>118</v>
      </c>
      <c r="D497" t="s">
        <v>118</v>
      </c>
      <c r="E497">
        <v>32</v>
      </c>
      <c r="F497" t="s">
        <v>91</v>
      </c>
      <c r="G497" t="s">
        <v>92</v>
      </c>
      <c r="H497" t="s">
        <v>57</v>
      </c>
      <c r="I497">
        <v>3</v>
      </c>
      <c r="J497" t="s">
        <v>58</v>
      </c>
      <c r="K497">
        <v>1.5</v>
      </c>
      <c r="L497" t="s">
        <v>41</v>
      </c>
      <c r="M497">
        <v>0.96</v>
      </c>
      <c r="N497" t="s">
        <v>60</v>
      </c>
      <c r="O497" t="s">
        <v>34</v>
      </c>
      <c r="P497">
        <v>5</v>
      </c>
      <c r="Q497">
        <v>1</v>
      </c>
    </row>
    <row r="498" spans="1:17" x14ac:dyDescent="0.3">
      <c r="A498" t="s">
        <v>1096</v>
      </c>
      <c r="B498" t="s">
        <v>1097</v>
      </c>
      <c r="C498" t="s">
        <v>63</v>
      </c>
      <c r="D498" t="s">
        <v>118</v>
      </c>
      <c r="E498">
        <v>58</v>
      </c>
      <c r="F498" t="s">
        <v>55</v>
      </c>
      <c r="G498" t="s">
        <v>56</v>
      </c>
      <c r="H498" t="s">
        <v>21</v>
      </c>
      <c r="I498">
        <v>33</v>
      </c>
      <c r="J498" t="s">
        <v>51</v>
      </c>
      <c r="K498">
        <v>4.0999999999999996</v>
      </c>
      <c r="L498" t="s">
        <v>94</v>
      </c>
      <c r="M498">
        <v>0.83</v>
      </c>
      <c r="N498" t="s">
        <v>24</v>
      </c>
      <c r="O498" t="s">
        <v>34</v>
      </c>
      <c r="P498">
        <v>19</v>
      </c>
      <c r="Q498">
        <v>3</v>
      </c>
    </row>
    <row r="499" spans="1:17" x14ac:dyDescent="0.3">
      <c r="A499" t="s">
        <v>1098</v>
      </c>
      <c r="B499" t="s">
        <v>1099</v>
      </c>
      <c r="C499" t="s">
        <v>37</v>
      </c>
      <c r="D499" t="s">
        <v>118</v>
      </c>
      <c r="E499">
        <v>49</v>
      </c>
      <c r="F499" t="s">
        <v>64</v>
      </c>
      <c r="G499" t="s">
        <v>65</v>
      </c>
      <c r="H499" t="s">
        <v>66</v>
      </c>
      <c r="I499">
        <v>24</v>
      </c>
      <c r="J499" t="s">
        <v>22</v>
      </c>
      <c r="K499">
        <v>4.7</v>
      </c>
      <c r="L499" t="s">
        <v>23</v>
      </c>
      <c r="M499">
        <v>0.6</v>
      </c>
      <c r="N499" t="s">
        <v>60</v>
      </c>
      <c r="O499" t="s">
        <v>34</v>
      </c>
      <c r="P499">
        <v>20</v>
      </c>
      <c r="Q499">
        <v>3</v>
      </c>
    </row>
    <row r="500" spans="1:17" x14ac:dyDescent="0.3">
      <c r="A500" t="s">
        <v>1100</v>
      </c>
      <c r="B500" t="s">
        <v>1101</v>
      </c>
      <c r="C500" t="s">
        <v>97</v>
      </c>
      <c r="D500" t="s">
        <v>97</v>
      </c>
      <c r="E500">
        <v>22</v>
      </c>
      <c r="F500" t="s">
        <v>145</v>
      </c>
      <c r="G500" t="s">
        <v>146</v>
      </c>
      <c r="H500" t="s">
        <v>93</v>
      </c>
      <c r="I500">
        <v>3</v>
      </c>
      <c r="J500" t="s">
        <v>32</v>
      </c>
      <c r="K500">
        <v>3.6</v>
      </c>
      <c r="L500" t="s">
        <v>33</v>
      </c>
      <c r="M500">
        <v>0.78</v>
      </c>
      <c r="N500" t="s">
        <v>88</v>
      </c>
      <c r="O500" t="s">
        <v>34</v>
      </c>
      <c r="P500">
        <v>3</v>
      </c>
      <c r="Q500">
        <v>4</v>
      </c>
    </row>
    <row r="501" spans="1:17" x14ac:dyDescent="0.3">
      <c r="A501" t="s">
        <v>1102</v>
      </c>
      <c r="B501" t="s">
        <v>1103</v>
      </c>
      <c r="C501" t="s">
        <v>18</v>
      </c>
      <c r="D501" t="s">
        <v>97</v>
      </c>
      <c r="E501">
        <v>40</v>
      </c>
      <c r="F501" t="s">
        <v>160</v>
      </c>
      <c r="G501" t="s">
        <v>161</v>
      </c>
      <c r="H501" t="s">
        <v>46</v>
      </c>
      <c r="I501">
        <v>11</v>
      </c>
      <c r="J501" t="s">
        <v>142</v>
      </c>
      <c r="K501">
        <v>1.8</v>
      </c>
      <c r="L501" t="s">
        <v>33</v>
      </c>
      <c r="M501">
        <v>0.9</v>
      </c>
      <c r="N501" t="s">
        <v>24</v>
      </c>
      <c r="O501" t="s">
        <v>75</v>
      </c>
      <c r="P501">
        <v>13</v>
      </c>
      <c r="Q501">
        <v>10</v>
      </c>
    </row>
    <row r="502" spans="1:17" x14ac:dyDescent="0.3">
      <c r="A502" t="s">
        <v>1104</v>
      </c>
      <c r="B502" t="s">
        <v>1105</v>
      </c>
      <c r="C502" t="s">
        <v>63</v>
      </c>
      <c r="D502" t="s">
        <v>118</v>
      </c>
      <c r="E502">
        <v>55</v>
      </c>
      <c r="F502" t="s">
        <v>29</v>
      </c>
      <c r="G502" t="s">
        <v>30</v>
      </c>
      <c r="H502" t="s">
        <v>66</v>
      </c>
      <c r="I502">
        <v>7</v>
      </c>
      <c r="J502" t="s">
        <v>32</v>
      </c>
      <c r="K502">
        <v>2.1</v>
      </c>
      <c r="L502" t="s">
        <v>23</v>
      </c>
      <c r="M502">
        <v>0.66</v>
      </c>
      <c r="N502" t="s">
        <v>88</v>
      </c>
      <c r="O502" t="s">
        <v>25</v>
      </c>
      <c r="P502">
        <v>8</v>
      </c>
      <c r="Q502">
        <v>9</v>
      </c>
    </row>
    <row r="503" spans="1:17" x14ac:dyDescent="0.3">
      <c r="A503" t="s">
        <v>1106</v>
      </c>
      <c r="B503" t="s">
        <v>1107</v>
      </c>
      <c r="C503" t="s">
        <v>113</v>
      </c>
      <c r="D503" t="s">
        <v>118</v>
      </c>
      <c r="E503">
        <v>32</v>
      </c>
      <c r="F503" t="s">
        <v>201</v>
      </c>
      <c r="G503" t="s">
        <v>92</v>
      </c>
      <c r="H503" t="s">
        <v>110</v>
      </c>
      <c r="I503">
        <v>1</v>
      </c>
      <c r="J503" t="s">
        <v>81</v>
      </c>
      <c r="L503" t="s">
        <v>87</v>
      </c>
      <c r="M503">
        <v>0.7</v>
      </c>
      <c r="N503" t="s">
        <v>88</v>
      </c>
      <c r="O503" t="s">
        <v>75</v>
      </c>
      <c r="P503">
        <v>4</v>
      </c>
      <c r="Q503">
        <v>5</v>
      </c>
    </row>
    <row r="504" spans="1:17" x14ac:dyDescent="0.3">
      <c r="A504" t="s">
        <v>1108</v>
      </c>
      <c r="B504" t="s">
        <v>1109</v>
      </c>
      <c r="C504" t="s">
        <v>28</v>
      </c>
      <c r="D504" t="s">
        <v>97</v>
      </c>
      <c r="E504">
        <v>21</v>
      </c>
      <c r="F504" t="s">
        <v>106</v>
      </c>
      <c r="G504" t="s">
        <v>107</v>
      </c>
      <c r="H504" t="s">
        <v>93</v>
      </c>
      <c r="I504">
        <v>0</v>
      </c>
      <c r="J504" t="s">
        <v>130</v>
      </c>
      <c r="K504">
        <v>4.2</v>
      </c>
      <c r="L504" t="s">
        <v>87</v>
      </c>
      <c r="M504">
        <v>0.79</v>
      </c>
      <c r="N504" t="s">
        <v>82</v>
      </c>
      <c r="O504" t="s">
        <v>42</v>
      </c>
      <c r="P504">
        <v>3</v>
      </c>
      <c r="Q504">
        <v>2</v>
      </c>
    </row>
    <row r="505" spans="1:17" x14ac:dyDescent="0.3">
      <c r="A505" t="s">
        <v>1110</v>
      </c>
      <c r="B505" t="s">
        <v>1111</v>
      </c>
      <c r="C505" t="s">
        <v>113</v>
      </c>
      <c r="D505" t="s">
        <v>118</v>
      </c>
      <c r="E505">
        <v>23</v>
      </c>
      <c r="F505" t="s">
        <v>133</v>
      </c>
      <c r="G505" t="s">
        <v>134</v>
      </c>
      <c r="H505" t="s">
        <v>21</v>
      </c>
      <c r="I505">
        <v>1</v>
      </c>
      <c r="J505" t="s">
        <v>86</v>
      </c>
      <c r="K505">
        <v>0</v>
      </c>
      <c r="L505" t="s">
        <v>23</v>
      </c>
      <c r="M505">
        <v>0.64</v>
      </c>
      <c r="N505" t="s">
        <v>82</v>
      </c>
      <c r="O505" t="s">
        <v>34</v>
      </c>
      <c r="P505">
        <v>2</v>
      </c>
      <c r="Q505">
        <v>3</v>
      </c>
    </row>
    <row r="506" spans="1:17" x14ac:dyDescent="0.3">
      <c r="A506" t="s">
        <v>1112</v>
      </c>
      <c r="B506" t="s">
        <v>1113</v>
      </c>
      <c r="C506" t="s">
        <v>118</v>
      </c>
      <c r="D506" t="s">
        <v>118</v>
      </c>
      <c r="E506">
        <v>21</v>
      </c>
      <c r="F506" t="s">
        <v>85</v>
      </c>
      <c r="G506" t="s">
        <v>30</v>
      </c>
      <c r="H506" t="s">
        <v>31</v>
      </c>
      <c r="I506">
        <v>1</v>
      </c>
      <c r="J506" t="s">
        <v>130</v>
      </c>
      <c r="K506">
        <v>1</v>
      </c>
      <c r="L506" t="s">
        <v>41</v>
      </c>
      <c r="M506">
        <v>0.81</v>
      </c>
      <c r="N506" t="s">
        <v>88</v>
      </c>
      <c r="O506" t="s">
        <v>34</v>
      </c>
      <c r="P506">
        <v>1</v>
      </c>
      <c r="Q506">
        <v>3</v>
      </c>
    </row>
    <row r="507" spans="1:17" x14ac:dyDescent="0.3">
      <c r="A507" t="s">
        <v>1114</v>
      </c>
      <c r="B507" t="s">
        <v>1115</v>
      </c>
      <c r="C507" t="s">
        <v>118</v>
      </c>
      <c r="D507" t="s">
        <v>118</v>
      </c>
      <c r="E507">
        <v>31</v>
      </c>
      <c r="F507" t="s">
        <v>91</v>
      </c>
      <c r="G507" t="s">
        <v>92</v>
      </c>
      <c r="H507" t="s">
        <v>57</v>
      </c>
      <c r="I507">
        <v>7</v>
      </c>
      <c r="J507" t="s">
        <v>103</v>
      </c>
      <c r="K507">
        <v>4.4000000000000004</v>
      </c>
      <c r="L507" t="s">
        <v>23</v>
      </c>
      <c r="M507">
        <v>0.83</v>
      </c>
      <c r="N507" t="s">
        <v>88</v>
      </c>
      <c r="O507" t="s">
        <v>42</v>
      </c>
      <c r="P507">
        <v>12</v>
      </c>
      <c r="Q507">
        <v>6</v>
      </c>
    </row>
    <row r="508" spans="1:17" x14ac:dyDescent="0.3">
      <c r="A508" t="s">
        <v>1116</v>
      </c>
      <c r="B508" t="s">
        <v>1117</v>
      </c>
      <c r="C508" t="s">
        <v>113</v>
      </c>
      <c r="D508" t="s">
        <v>118</v>
      </c>
      <c r="E508">
        <v>21</v>
      </c>
      <c r="F508" t="s">
        <v>201</v>
      </c>
      <c r="G508" t="s">
        <v>92</v>
      </c>
      <c r="H508" t="s">
        <v>21</v>
      </c>
      <c r="J508" t="s">
        <v>86</v>
      </c>
      <c r="K508">
        <v>4</v>
      </c>
      <c r="L508" t="s">
        <v>23</v>
      </c>
      <c r="M508">
        <v>0.91</v>
      </c>
      <c r="N508" t="s">
        <v>88</v>
      </c>
      <c r="O508" t="s">
        <v>75</v>
      </c>
      <c r="P508">
        <v>2</v>
      </c>
      <c r="Q508">
        <v>1</v>
      </c>
    </row>
    <row r="509" spans="1:17" x14ac:dyDescent="0.3">
      <c r="A509" t="s">
        <v>1118</v>
      </c>
      <c r="B509" t="s">
        <v>1119</v>
      </c>
      <c r="C509" t="s">
        <v>37</v>
      </c>
      <c r="D509" t="s">
        <v>118</v>
      </c>
      <c r="E509">
        <v>33</v>
      </c>
      <c r="F509" t="s">
        <v>85</v>
      </c>
      <c r="G509" t="s">
        <v>30</v>
      </c>
      <c r="H509" t="s">
        <v>98</v>
      </c>
      <c r="I509">
        <v>6</v>
      </c>
      <c r="J509" t="s">
        <v>119</v>
      </c>
      <c r="K509">
        <v>3.1</v>
      </c>
      <c r="L509" t="s">
        <v>41</v>
      </c>
      <c r="N509" t="s">
        <v>82</v>
      </c>
      <c r="O509" t="s">
        <v>25</v>
      </c>
      <c r="P509">
        <v>15</v>
      </c>
      <c r="Q509">
        <v>9</v>
      </c>
    </row>
    <row r="510" spans="1:17" x14ac:dyDescent="0.3">
      <c r="A510" t="s">
        <v>1120</v>
      </c>
      <c r="B510" t="s">
        <v>1121</v>
      </c>
      <c r="C510" t="s">
        <v>63</v>
      </c>
      <c r="D510" t="s">
        <v>118</v>
      </c>
      <c r="E510">
        <v>57</v>
      </c>
      <c r="F510" t="s">
        <v>128</v>
      </c>
      <c r="G510" t="s">
        <v>129</v>
      </c>
      <c r="H510" t="s">
        <v>46</v>
      </c>
      <c r="I510">
        <v>5</v>
      </c>
      <c r="J510" t="s">
        <v>103</v>
      </c>
      <c r="K510">
        <v>1.1000000000000001</v>
      </c>
      <c r="L510" t="s">
        <v>74</v>
      </c>
      <c r="M510">
        <v>0.77</v>
      </c>
      <c r="N510" t="s">
        <v>82</v>
      </c>
      <c r="O510" t="s">
        <v>25</v>
      </c>
      <c r="P510">
        <v>2</v>
      </c>
      <c r="Q510">
        <v>3</v>
      </c>
    </row>
    <row r="511" spans="1:17" x14ac:dyDescent="0.3">
      <c r="A511" t="s">
        <v>1122</v>
      </c>
      <c r="B511" t="s">
        <v>1123</v>
      </c>
      <c r="C511" t="s">
        <v>63</v>
      </c>
      <c r="D511" t="s">
        <v>118</v>
      </c>
      <c r="E511">
        <v>52</v>
      </c>
      <c r="F511" t="s">
        <v>73</v>
      </c>
      <c r="G511" t="s">
        <v>30</v>
      </c>
      <c r="H511" t="s">
        <v>110</v>
      </c>
      <c r="I511">
        <v>17</v>
      </c>
      <c r="J511" t="s">
        <v>67</v>
      </c>
      <c r="K511">
        <v>0</v>
      </c>
      <c r="L511" t="s">
        <v>23</v>
      </c>
      <c r="M511">
        <v>0.94</v>
      </c>
      <c r="N511" t="s">
        <v>60</v>
      </c>
      <c r="O511" t="s">
        <v>42</v>
      </c>
      <c r="P511">
        <v>18</v>
      </c>
      <c r="Q511">
        <v>6</v>
      </c>
    </row>
    <row r="512" spans="1:17" x14ac:dyDescent="0.3">
      <c r="A512" t="s">
        <v>1124</v>
      </c>
      <c r="B512" t="s">
        <v>1125</v>
      </c>
      <c r="C512" t="s">
        <v>97</v>
      </c>
      <c r="D512" t="s">
        <v>97</v>
      </c>
      <c r="E512">
        <v>21</v>
      </c>
      <c r="F512" t="s">
        <v>38</v>
      </c>
      <c r="G512" t="s">
        <v>38</v>
      </c>
      <c r="H512" t="s">
        <v>46</v>
      </c>
      <c r="I512">
        <v>0</v>
      </c>
      <c r="J512" t="s">
        <v>142</v>
      </c>
      <c r="K512">
        <v>3.8</v>
      </c>
      <c r="L512" t="s">
        <v>33</v>
      </c>
      <c r="M512">
        <v>0.61</v>
      </c>
      <c r="N512" t="s">
        <v>60</v>
      </c>
      <c r="O512" t="s">
        <v>25</v>
      </c>
      <c r="P512">
        <v>5</v>
      </c>
      <c r="Q512">
        <v>2</v>
      </c>
    </row>
    <row r="513" spans="1:17" x14ac:dyDescent="0.3">
      <c r="A513" t="s">
        <v>1126</v>
      </c>
      <c r="B513" t="s">
        <v>1127</v>
      </c>
      <c r="C513" t="s">
        <v>28</v>
      </c>
      <c r="D513" t="s">
        <v>97</v>
      </c>
      <c r="E513">
        <v>36</v>
      </c>
      <c r="F513" t="s">
        <v>91</v>
      </c>
      <c r="G513" t="s">
        <v>92</v>
      </c>
      <c r="H513" t="s">
        <v>93</v>
      </c>
      <c r="I513">
        <v>8</v>
      </c>
      <c r="J513" t="s">
        <v>22</v>
      </c>
      <c r="K513">
        <v>1.7</v>
      </c>
      <c r="L513" t="s">
        <v>41</v>
      </c>
      <c r="M513">
        <v>0.68</v>
      </c>
      <c r="N513" t="s">
        <v>88</v>
      </c>
      <c r="O513" t="s">
        <v>75</v>
      </c>
      <c r="P513">
        <v>9</v>
      </c>
      <c r="Q513">
        <v>5</v>
      </c>
    </row>
    <row r="514" spans="1:17" x14ac:dyDescent="0.3">
      <c r="A514" t="s">
        <v>1128</v>
      </c>
      <c r="B514" t="s">
        <v>1129</v>
      </c>
      <c r="C514" t="s">
        <v>37</v>
      </c>
      <c r="D514" t="s">
        <v>118</v>
      </c>
      <c r="E514">
        <v>33</v>
      </c>
      <c r="F514" t="s">
        <v>212</v>
      </c>
      <c r="G514" t="s">
        <v>92</v>
      </c>
      <c r="H514" t="s">
        <v>135</v>
      </c>
      <c r="I514">
        <v>13</v>
      </c>
      <c r="J514" t="s">
        <v>40</v>
      </c>
      <c r="K514">
        <v>2.2000000000000002</v>
      </c>
      <c r="L514" t="s">
        <v>41</v>
      </c>
      <c r="M514">
        <v>0.7</v>
      </c>
      <c r="N514" t="s">
        <v>24</v>
      </c>
      <c r="O514" t="s">
        <v>75</v>
      </c>
      <c r="P514">
        <v>8</v>
      </c>
      <c r="Q514">
        <v>10</v>
      </c>
    </row>
    <row r="515" spans="1:17" x14ac:dyDescent="0.3">
      <c r="A515" t="s">
        <v>1130</v>
      </c>
      <c r="B515" t="s">
        <v>1131</v>
      </c>
      <c r="C515" t="s">
        <v>45</v>
      </c>
      <c r="D515" t="s">
        <v>97</v>
      </c>
      <c r="E515">
        <v>54</v>
      </c>
      <c r="F515" t="s">
        <v>85</v>
      </c>
      <c r="G515" t="s">
        <v>30</v>
      </c>
      <c r="H515" t="s">
        <v>66</v>
      </c>
      <c r="I515">
        <v>15</v>
      </c>
      <c r="J515" t="s">
        <v>86</v>
      </c>
      <c r="K515">
        <v>4.0999999999999996</v>
      </c>
      <c r="L515" t="s">
        <v>74</v>
      </c>
      <c r="M515">
        <v>71</v>
      </c>
      <c r="N515" t="s">
        <v>24</v>
      </c>
      <c r="O515" t="s">
        <v>42</v>
      </c>
      <c r="P515">
        <v>14</v>
      </c>
      <c r="Q515">
        <v>6</v>
      </c>
    </row>
    <row r="516" spans="1:17" x14ac:dyDescent="0.3">
      <c r="A516" t="s">
        <v>1132</v>
      </c>
      <c r="B516" t="s">
        <v>1133</v>
      </c>
      <c r="C516" t="s">
        <v>50</v>
      </c>
      <c r="D516" t="s">
        <v>97</v>
      </c>
      <c r="E516">
        <v>33</v>
      </c>
      <c r="F516" t="s">
        <v>73</v>
      </c>
      <c r="G516" t="s">
        <v>30</v>
      </c>
      <c r="H516" t="s">
        <v>21</v>
      </c>
      <c r="I516">
        <v>2</v>
      </c>
      <c r="J516" t="s">
        <v>32</v>
      </c>
      <c r="K516">
        <v>3.8</v>
      </c>
      <c r="L516" t="s">
        <v>59</v>
      </c>
      <c r="N516" t="s">
        <v>82</v>
      </c>
      <c r="O516" t="s">
        <v>75</v>
      </c>
      <c r="P516">
        <v>1</v>
      </c>
      <c r="Q516">
        <v>1</v>
      </c>
    </row>
    <row r="517" spans="1:17" x14ac:dyDescent="0.3">
      <c r="A517" t="s">
        <v>1134</v>
      </c>
      <c r="B517" t="s">
        <v>1135</v>
      </c>
      <c r="C517" t="s">
        <v>50</v>
      </c>
      <c r="D517" t="s">
        <v>97</v>
      </c>
      <c r="E517">
        <v>36</v>
      </c>
      <c r="F517" t="s">
        <v>106</v>
      </c>
      <c r="G517" t="s">
        <v>107</v>
      </c>
      <c r="H517" t="s">
        <v>135</v>
      </c>
      <c r="I517">
        <v>9</v>
      </c>
      <c r="J517" t="s">
        <v>58</v>
      </c>
      <c r="K517">
        <v>0</v>
      </c>
      <c r="L517" t="s">
        <v>87</v>
      </c>
      <c r="M517">
        <v>0.78</v>
      </c>
      <c r="N517" t="s">
        <v>82</v>
      </c>
      <c r="O517" t="s">
        <v>34</v>
      </c>
      <c r="P517">
        <v>12</v>
      </c>
      <c r="Q517">
        <v>1</v>
      </c>
    </row>
    <row r="518" spans="1:17" x14ac:dyDescent="0.3">
      <c r="A518" t="s">
        <v>1136</v>
      </c>
      <c r="B518" t="s">
        <v>1137</v>
      </c>
      <c r="C518" t="s">
        <v>28</v>
      </c>
      <c r="D518" t="s">
        <v>97</v>
      </c>
      <c r="E518">
        <v>36</v>
      </c>
      <c r="F518" t="s">
        <v>79</v>
      </c>
      <c r="G518" t="s">
        <v>80</v>
      </c>
      <c r="H518" t="s">
        <v>57</v>
      </c>
      <c r="I518">
        <v>3</v>
      </c>
      <c r="J518" t="s">
        <v>119</v>
      </c>
      <c r="K518">
        <v>0</v>
      </c>
      <c r="L518" t="s">
        <v>181</v>
      </c>
      <c r="M518">
        <v>75</v>
      </c>
      <c r="N518" t="s">
        <v>82</v>
      </c>
      <c r="O518" t="s">
        <v>42</v>
      </c>
      <c r="P518">
        <v>2</v>
      </c>
      <c r="Q518">
        <v>3</v>
      </c>
    </row>
    <row r="519" spans="1:17" x14ac:dyDescent="0.3">
      <c r="A519" t="s">
        <v>1138</v>
      </c>
      <c r="B519" t="s">
        <v>1139</v>
      </c>
      <c r="C519" t="s">
        <v>45</v>
      </c>
      <c r="D519" t="s">
        <v>97</v>
      </c>
      <c r="E519">
        <v>43</v>
      </c>
      <c r="F519" t="s">
        <v>197</v>
      </c>
      <c r="G519" t="s">
        <v>198</v>
      </c>
      <c r="H519" t="s">
        <v>57</v>
      </c>
      <c r="I519">
        <v>15</v>
      </c>
      <c r="J519" t="s">
        <v>142</v>
      </c>
      <c r="K519">
        <v>4.2</v>
      </c>
      <c r="L519" t="s">
        <v>74</v>
      </c>
      <c r="M519">
        <v>0.91</v>
      </c>
      <c r="N519" t="s">
        <v>88</v>
      </c>
      <c r="O519" t="s">
        <v>75</v>
      </c>
      <c r="P519">
        <v>6</v>
      </c>
      <c r="Q519">
        <v>9</v>
      </c>
    </row>
    <row r="520" spans="1:17" x14ac:dyDescent="0.3">
      <c r="A520" t="s">
        <v>1140</v>
      </c>
      <c r="B520" t="s">
        <v>1141</v>
      </c>
      <c r="C520" t="s">
        <v>118</v>
      </c>
      <c r="D520" t="s">
        <v>118</v>
      </c>
      <c r="E520">
        <v>52</v>
      </c>
      <c r="F520" t="s">
        <v>85</v>
      </c>
      <c r="G520" t="s">
        <v>30</v>
      </c>
      <c r="H520" t="s">
        <v>66</v>
      </c>
      <c r="I520">
        <v>21</v>
      </c>
      <c r="J520" t="s">
        <v>67</v>
      </c>
      <c r="K520">
        <v>2.2000000000000002</v>
      </c>
      <c r="L520" t="s">
        <v>33</v>
      </c>
      <c r="M520">
        <v>0.66</v>
      </c>
      <c r="N520" t="s">
        <v>24</v>
      </c>
      <c r="O520" t="s">
        <v>42</v>
      </c>
      <c r="P520">
        <v>20</v>
      </c>
      <c r="Q520">
        <v>9</v>
      </c>
    </row>
    <row r="521" spans="1:17" x14ac:dyDescent="0.3">
      <c r="A521" t="s">
        <v>1142</v>
      </c>
      <c r="B521" t="s">
        <v>1143</v>
      </c>
      <c r="C521" t="s">
        <v>45</v>
      </c>
      <c r="D521" t="s">
        <v>97</v>
      </c>
      <c r="E521">
        <v>28</v>
      </c>
      <c r="F521" t="s">
        <v>64</v>
      </c>
      <c r="G521" t="s">
        <v>65</v>
      </c>
      <c r="H521" t="s">
        <v>98</v>
      </c>
      <c r="I521">
        <v>2</v>
      </c>
      <c r="J521" t="s">
        <v>67</v>
      </c>
      <c r="K521">
        <v>1.5</v>
      </c>
      <c r="L521" t="s">
        <v>33</v>
      </c>
      <c r="M521">
        <v>0.68</v>
      </c>
      <c r="N521" t="s">
        <v>60</v>
      </c>
      <c r="O521" t="s">
        <v>25</v>
      </c>
      <c r="P521">
        <v>4</v>
      </c>
      <c r="Q521">
        <v>2</v>
      </c>
    </row>
    <row r="522" spans="1:17" x14ac:dyDescent="0.3">
      <c r="A522" t="s">
        <v>1144</v>
      </c>
      <c r="B522" t="s">
        <v>1145</v>
      </c>
      <c r="C522" t="s">
        <v>97</v>
      </c>
      <c r="D522" t="s">
        <v>97</v>
      </c>
      <c r="E522">
        <v>47</v>
      </c>
      <c r="F522" t="s">
        <v>197</v>
      </c>
      <c r="G522" t="s">
        <v>198</v>
      </c>
      <c r="H522" t="s">
        <v>98</v>
      </c>
      <c r="I522">
        <v>21</v>
      </c>
      <c r="J522" t="s">
        <v>251</v>
      </c>
      <c r="K522">
        <v>0</v>
      </c>
      <c r="L522" t="s">
        <v>41</v>
      </c>
      <c r="N522" t="s">
        <v>88</v>
      </c>
      <c r="O522" t="s">
        <v>75</v>
      </c>
      <c r="P522">
        <v>18</v>
      </c>
      <c r="Q522">
        <v>3</v>
      </c>
    </row>
    <row r="523" spans="1:17" x14ac:dyDescent="0.3">
      <c r="A523" t="s">
        <v>1146</v>
      </c>
      <c r="B523" t="s">
        <v>1147</v>
      </c>
      <c r="C523" t="s">
        <v>50</v>
      </c>
      <c r="D523" t="s">
        <v>97</v>
      </c>
      <c r="E523">
        <v>30</v>
      </c>
      <c r="F523" t="s">
        <v>156</v>
      </c>
      <c r="G523" t="s">
        <v>157</v>
      </c>
      <c r="H523" t="s">
        <v>110</v>
      </c>
      <c r="I523">
        <v>0</v>
      </c>
      <c r="J523" t="s">
        <v>32</v>
      </c>
      <c r="K523">
        <v>4.0999999999999996</v>
      </c>
      <c r="L523" t="s">
        <v>23</v>
      </c>
      <c r="M523">
        <v>0.62</v>
      </c>
      <c r="N523" t="s">
        <v>60</v>
      </c>
      <c r="O523" t="s">
        <v>34</v>
      </c>
      <c r="P523">
        <v>3</v>
      </c>
      <c r="Q523">
        <v>1</v>
      </c>
    </row>
    <row r="524" spans="1:17" x14ac:dyDescent="0.3">
      <c r="A524" t="s">
        <v>1148</v>
      </c>
      <c r="B524" t="s">
        <v>1149</v>
      </c>
      <c r="C524" t="s">
        <v>63</v>
      </c>
      <c r="D524" t="s">
        <v>118</v>
      </c>
      <c r="E524">
        <v>36</v>
      </c>
      <c r="F524" t="s">
        <v>160</v>
      </c>
      <c r="G524" t="s">
        <v>161</v>
      </c>
      <c r="H524" t="s">
        <v>21</v>
      </c>
      <c r="I524">
        <v>4</v>
      </c>
      <c r="J524" t="s">
        <v>86</v>
      </c>
      <c r="K524">
        <v>2.6</v>
      </c>
      <c r="L524" t="s">
        <v>181</v>
      </c>
      <c r="M524">
        <v>0.9</v>
      </c>
      <c r="N524" t="s">
        <v>60</v>
      </c>
      <c r="O524" t="s">
        <v>75</v>
      </c>
      <c r="P524">
        <v>2</v>
      </c>
      <c r="Q524">
        <v>4</v>
      </c>
    </row>
    <row r="525" spans="1:17" x14ac:dyDescent="0.3">
      <c r="A525" t="s">
        <v>1150</v>
      </c>
      <c r="B525" t="s">
        <v>1151</v>
      </c>
      <c r="C525" t="s">
        <v>28</v>
      </c>
      <c r="D525" t="s">
        <v>97</v>
      </c>
      <c r="E525">
        <v>45</v>
      </c>
      <c r="F525" t="s">
        <v>73</v>
      </c>
      <c r="G525" t="s">
        <v>30</v>
      </c>
      <c r="H525" t="s">
        <v>93</v>
      </c>
      <c r="I525">
        <v>23</v>
      </c>
      <c r="J525" t="s">
        <v>22</v>
      </c>
      <c r="K525">
        <v>2.4</v>
      </c>
      <c r="L525" t="s">
        <v>59</v>
      </c>
      <c r="M525">
        <v>0.96</v>
      </c>
      <c r="N525" t="s">
        <v>88</v>
      </c>
      <c r="O525" t="s">
        <v>42</v>
      </c>
      <c r="P525">
        <v>14</v>
      </c>
      <c r="Q525">
        <v>1</v>
      </c>
    </row>
    <row r="526" spans="1:17" x14ac:dyDescent="0.3">
      <c r="A526" t="s">
        <v>1152</v>
      </c>
      <c r="B526" t="s">
        <v>1153</v>
      </c>
      <c r="C526" t="s">
        <v>45</v>
      </c>
      <c r="D526" t="s">
        <v>97</v>
      </c>
      <c r="E526">
        <v>51</v>
      </c>
      <c r="F526" t="s">
        <v>73</v>
      </c>
      <c r="G526" t="s">
        <v>30</v>
      </c>
      <c r="H526" t="s">
        <v>21</v>
      </c>
      <c r="I526">
        <v>25</v>
      </c>
      <c r="J526" t="s">
        <v>40</v>
      </c>
      <c r="K526">
        <v>1.4</v>
      </c>
      <c r="L526" t="s">
        <v>94</v>
      </c>
      <c r="M526">
        <v>0.6</v>
      </c>
      <c r="N526" t="s">
        <v>60</v>
      </c>
      <c r="O526" t="s">
        <v>42</v>
      </c>
      <c r="P526">
        <v>17</v>
      </c>
      <c r="Q526">
        <v>7</v>
      </c>
    </row>
    <row r="527" spans="1:17" x14ac:dyDescent="0.3">
      <c r="A527" t="s">
        <v>1154</v>
      </c>
      <c r="B527" t="s">
        <v>1155</v>
      </c>
      <c r="C527" t="s">
        <v>63</v>
      </c>
      <c r="D527" t="s">
        <v>118</v>
      </c>
      <c r="E527">
        <v>46</v>
      </c>
      <c r="F527" t="s">
        <v>79</v>
      </c>
      <c r="G527" t="s">
        <v>80</v>
      </c>
      <c r="H527" t="s">
        <v>31</v>
      </c>
      <c r="I527">
        <v>10</v>
      </c>
      <c r="J527" t="s">
        <v>51</v>
      </c>
      <c r="K527">
        <v>4.5999999999999996</v>
      </c>
      <c r="L527" t="s">
        <v>94</v>
      </c>
      <c r="M527">
        <v>0.62</v>
      </c>
      <c r="N527" t="s">
        <v>24</v>
      </c>
      <c r="O527" t="s">
        <v>75</v>
      </c>
      <c r="P527">
        <v>6</v>
      </c>
      <c r="Q527">
        <v>1</v>
      </c>
    </row>
    <row r="528" spans="1:17" x14ac:dyDescent="0.3">
      <c r="A528" t="s">
        <v>1156</v>
      </c>
      <c r="B528" t="s">
        <v>1157</v>
      </c>
      <c r="C528" t="s">
        <v>28</v>
      </c>
      <c r="D528" t="s">
        <v>97</v>
      </c>
      <c r="E528">
        <v>38</v>
      </c>
      <c r="F528" t="s">
        <v>19</v>
      </c>
      <c r="G528" t="s">
        <v>20</v>
      </c>
      <c r="H528" t="s">
        <v>66</v>
      </c>
      <c r="I528">
        <v>18</v>
      </c>
      <c r="J528" t="s">
        <v>70</v>
      </c>
      <c r="K528">
        <v>4.9000000000000004</v>
      </c>
      <c r="L528" t="s">
        <v>59</v>
      </c>
      <c r="M528">
        <v>0.74</v>
      </c>
      <c r="N528" t="s">
        <v>60</v>
      </c>
      <c r="O528" t="s">
        <v>34</v>
      </c>
      <c r="P528">
        <v>11</v>
      </c>
      <c r="Q528">
        <v>11</v>
      </c>
    </row>
    <row r="529" spans="1:17" x14ac:dyDescent="0.3">
      <c r="A529" t="s">
        <v>1158</v>
      </c>
      <c r="B529" t="s">
        <v>1159</v>
      </c>
      <c r="C529" t="s">
        <v>118</v>
      </c>
      <c r="D529" t="s">
        <v>118</v>
      </c>
      <c r="E529">
        <v>26</v>
      </c>
      <c r="F529" t="s">
        <v>212</v>
      </c>
      <c r="G529" t="s">
        <v>92</v>
      </c>
      <c r="H529" t="s">
        <v>21</v>
      </c>
      <c r="I529">
        <v>1</v>
      </c>
      <c r="J529" t="s">
        <v>142</v>
      </c>
      <c r="K529">
        <v>0</v>
      </c>
      <c r="L529" t="s">
        <v>33</v>
      </c>
      <c r="N529" t="s">
        <v>24</v>
      </c>
      <c r="O529" t="s">
        <v>34</v>
      </c>
      <c r="P529">
        <v>1</v>
      </c>
      <c r="Q529">
        <v>1</v>
      </c>
    </row>
    <row r="530" spans="1:17" x14ac:dyDescent="0.3">
      <c r="A530" t="s">
        <v>1160</v>
      </c>
      <c r="B530" t="s">
        <v>1161</v>
      </c>
      <c r="C530" t="s">
        <v>97</v>
      </c>
      <c r="D530" t="s">
        <v>97</v>
      </c>
      <c r="E530">
        <v>40</v>
      </c>
      <c r="F530" t="s">
        <v>85</v>
      </c>
      <c r="G530" t="s">
        <v>30</v>
      </c>
      <c r="H530" t="s">
        <v>110</v>
      </c>
      <c r="I530">
        <v>12</v>
      </c>
      <c r="J530" t="s">
        <v>52</v>
      </c>
      <c r="K530">
        <v>3.5</v>
      </c>
      <c r="L530" t="s">
        <v>51</v>
      </c>
      <c r="M530">
        <v>0.98</v>
      </c>
      <c r="N530" t="s">
        <v>24</v>
      </c>
      <c r="O530" t="s">
        <v>34</v>
      </c>
      <c r="P530">
        <v>12</v>
      </c>
      <c r="Q530">
        <v>9</v>
      </c>
    </row>
    <row r="531" spans="1:17" x14ac:dyDescent="0.3">
      <c r="A531" t="s">
        <v>1162</v>
      </c>
      <c r="B531" t="s">
        <v>1163</v>
      </c>
      <c r="C531" t="s">
        <v>118</v>
      </c>
      <c r="D531" t="s">
        <v>118</v>
      </c>
      <c r="E531">
        <v>37</v>
      </c>
      <c r="F531" t="s">
        <v>38</v>
      </c>
      <c r="G531" t="s">
        <v>38</v>
      </c>
      <c r="H531" t="s">
        <v>135</v>
      </c>
      <c r="J531" t="s">
        <v>51</v>
      </c>
      <c r="K531">
        <v>1.7</v>
      </c>
      <c r="L531" t="s">
        <v>87</v>
      </c>
      <c r="M531">
        <v>0.63</v>
      </c>
      <c r="N531" t="s">
        <v>24</v>
      </c>
      <c r="O531" t="s">
        <v>42</v>
      </c>
      <c r="P531">
        <v>2</v>
      </c>
      <c r="Q531">
        <v>1</v>
      </c>
    </row>
    <row r="532" spans="1:17" x14ac:dyDescent="0.3">
      <c r="A532" t="s">
        <v>1164</v>
      </c>
      <c r="B532" t="s">
        <v>1165</v>
      </c>
      <c r="C532" t="s">
        <v>113</v>
      </c>
      <c r="D532" t="s">
        <v>118</v>
      </c>
      <c r="E532">
        <v>28</v>
      </c>
      <c r="F532" t="s">
        <v>149</v>
      </c>
      <c r="G532" t="s">
        <v>30</v>
      </c>
      <c r="H532" t="s">
        <v>21</v>
      </c>
      <c r="I532">
        <v>5</v>
      </c>
      <c r="J532" t="s">
        <v>81</v>
      </c>
      <c r="K532">
        <v>0</v>
      </c>
      <c r="L532" t="s">
        <v>87</v>
      </c>
      <c r="M532">
        <v>96</v>
      </c>
      <c r="N532" t="s">
        <v>82</v>
      </c>
      <c r="O532" t="s">
        <v>75</v>
      </c>
      <c r="P532">
        <v>2</v>
      </c>
      <c r="Q532">
        <v>2</v>
      </c>
    </row>
    <row r="533" spans="1:17" x14ac:dyDescent="0.3">
      <c r="A533" t="s">
        <v>1166</v>
      </c>
      <c r="B533" t="s">
        <v>1167</v>
      </c>
      <c r="C533" t="s">
        <v>50</v>
      </c>
      <c r="D533" t="s">
        <v>97</v>
      </c>
      <c r="E533">
        <v>48</v>
      </c>
      <c r="F533" t="s">
        <v>114</v>
      </c>
      <c r="G533" t="s">
        <v>115</v>
      </c>
      <c r="H533" t="s">
        <v>31</v>
      </c>
      <c r="I533">
        <v>28</v>
      </c>
      <c r="J533" t="s">
        <v>336</v>
      </c>
      <c r="K533">
        <v>0</v>
      </c>
      <c r="L533" t="s">
        <v>23</v>
      </c>
      <c r="M533">
        <v>0.88</v>
      </c>
      <c r="N533" t="s">
        <v>60</v>
      </c>
      <c r="O533" t="s">
        <v>25</v>
      </c>
      <c r="P533">
        <v>18</v>
      </c>
      <c r="Q533">
        <v>8</v>
      </c>
    </row>
    <row r="534" spans="1:17" x14ac:dyDescent="0.3">
      <c r="A534" t="s">
        <v>1168</v>
      </c>
      <c r="B534" t="s">
        <v>1169</v>
      </c>
      <c r="C534" t="s">
        <v>78</v>
      </c>
      <c r="D534" t="s">
        <v>118</v>
      </c>
      <c r="E534">
        <v>22</v>
      </c>
      <c r="F534" t="s">
        <v>114</v>
      </c>
      <c r="G534" t="s">
        <v>115</v>
      </c>
      <c r="H534" t="s">
        <v>57</v>
      </c>
      <c r="I534">
        <v>0</v>
      </c>
      <c r="J534" t="s">
        <v>51</v>
      </c>
      <c r="K534">
        <v>4.5999999999999996</v>
      </c>
      <c r="L534" t="s">
        <v>59</v>
      </c>
      <c r="N534" t="s">
        <v>88</v>
      </c>
      <c r="O534" t="s">
        <v>42</v>
      </c>
      <c r="P534">
        <v>4</v>
      </c>
      <c r="Q534">
        <v>1</v>
      </c>
    </row>
    <row r="535" spans="1:17" x14ac:dyDescent="0.3">
      <c r="A535" t="s">
        <v>1170</v>
      </c>
      <c r="B535" t="s">
        <v>1171</v>
      </c>
      <c r="C535" t="s">
        <v>50</v>
      </c>
      <c r="D535" t="s">
        <v>97</v>
      </c>
      <c r="E535">
        <v>41</v>
      </c>
      <c r="F535" t="s">
        <v>38</v>
      </c>
      <c r="G535" t="s">
        <v>38</v>
      </c>
      <c r="H535" t="s">
        <v>46</v>
      </c>
      <c r="I535">
        <v>14</v>
      </c>
      <c r="J535" t="s">
        <v>86</v>
      </c>
      <c r="K535">
        <v>1.1000000000000001</v>
      </c>
      <c r="L535" t="s">
        <v>74</v>
      </c>
      <c r="M535">
        <v>0.73</v>
      </c>
      <c r="N535" t="s">
        <v>88</v>
      </c>
      <c r="O535" t="s">
        <v>34</v>
      </c>
      <c r="P535">
        <v>7</v>
      </c>
      <c r="Q535">
        <v>5</v>
      </c>
    </row>
    <row r="536" spans="1:17" x14ac:dyDescent="0.3">
      <c r="A536" t="s">
        <v>1172</v>
      </c>
      <c r="B536" t="s">
        <v>1173</v>
      </c>
      <c r="C536" t="s">
        <v>78</v>
      </c>
      <c r="D536" t="s">
        <v>118</v>
      </c>
      <c r="E536">
        <v>38</v>
      </c>
      <c r="F536" t="s">
        <v>73</v>
      </c>
      <c r="G536" t="s">
        <v>30</v>
      </c>
      <c r="H536" t="s">
        <v>39</v>
      </c>
      <c r="I536">
        <v>15</v>
      </c>
      <c r="J536" t="s">
        <v>51</v>
      </c>
      <c r="K536">
        <v>4.2</v>
      </c>
      <c r="L536" t="s">
        <v>23</v>
      </c>
      <c r="M536">
        <v>0.88</v>
      </c>
      <c r="N536" t="s">
        <v>60</v>
      </c>
      <c r="O536" t="s">
        <v>75</v>
      </c>
      <c r="P536">
        <v>15</v>
      </c>
      <c r="Q536">
        <v>4</v>
      </c>
    </row>
    <row r="537" spans="1:17" x14ac:dyDescent="0.3">
      <c r="A537" t="s">
        <v>1174</v>
      </c>
      <c r="B537" t="s">
        <v>1175</v>
      </c>
      <c r="C537" t="s">
        <v>28</v>
      </c>
      <c r="D537" t="s">
        <v>97</v>
      </c>
      <c r="E537">
        <v>31</v>
      </c>
      <c r="F537" t="s">
        <v>175</v>
      </c>
      <c r="G537" t="s">
        <v>176</v>
      </c>
      <c r="H537" t="s">
        <v>93</v>
      </c>
      <c r="I537">
        <v>9</v>
      </c>
      <c r="J537" t="s">
        <v>51</v>
      </c>
      <c r="K537">
        <v>0</v>
      </c>
      <c r="L537" t="s">
        <v>59</v>
      </c>
      <c r="M537">
        <v>0.91</v>
      </c>
      <c r="N537" t="s">
        <v>82</v>
      </c>
      <c r="O537" t="s">
        <v>34</v>
      </c>
      <c r="P537">
        <v>10</v>
      </c>
      <c r="Q537">
        <v>5</v>
      </c>
    </row>
    <row r="538" spans="1:17" x14ac:dyDescent="0.3">
      <c r="A538" t="s">
        <v>1176</v>
      </c>
      <c r="B538" t="s">
        <v>1177</v>
      </c>
      <c r="C538" t="s">
        <v>45</v>
      </c>
      <c r="D538" t="s">
        <v>97</v>
      </c>
      <c r="E538">
        <v>30</v>
      </c>
      <c r="F538" t="s">
        <v>197</v>
      </c>
      <c r="G538" t="s">
        <v>198</v>
      </c>
      <c r="H538" t="s">
        <v>31</v>
      </c>
      <c r="I538">
        <v>9</v>
      </c>
      <c r="J538" t="s">
        <v>58</v>
      </c>
      <c r="K538">
        <v>3.9</v>
      </c>
      <c r="L538" t="s">
        <v>181</v>
      </c>
      <c r="M538">
        <v>0.65</v>
      </c>
      <c r="N538" t="s">
        <v>82</v>
      </c>
      <c r="O538" t="s">
        <v>25</v>
      </c>
      <c r="P538">
        <v>15</v>
      </c>
      <c r="Q538">
        <v>13</v>
      </c>
    </row>
    <row r="539" spans="1:17" x14ac:dyDescent="0.3">
      <c r="A539" t="s">
        <v>1178</v>
      </c>
      <c r="B539" t="s">
        <v>1179</v>
      </c>
      <c r="C539" t="s">
        <v>78</v>
      </c>
      <c r="D539" t="s">
        <v>118</v>
      </c>
      <c r="E539">
        <v>51</v>
      </c>
      <c r="F539" t="s">
        <v>201</v>
      </c>
      <c r="G539" t="s">
        <v>92</v>
      </c>
      <c r="H539" t="s">
        <v>93</v>
      </c>
      <c r="I539">
        <v>22</v>
      </c>
      <c r="J539" t="s">
        <v>162</v>
      </c>
      <c r="K539">
        <v>3.4</v>
      </c>
      <c r="L539" t="s">
        <v>74</v>
      </c>
      <c r="M539">
        <v>90</v>
      </c>
      <c r="N539" t="s">
        <v>24</v>
      </c>
      <c r="O539" t="s">
        <v>34</v>
      </c>
      <c r="P539">
        <v>15</v>
      </c>
      <c r="Q539">
        <v>15</v>
      </c>
    </row>
    <row r="540" spans="1:17" x14ac:dyDescent="0.3">
      <c r="A540" t="s">
        <v>1180</v>
      </c>
      <c r="B540" t="s">
        <v>1181</v>
      </c>
      <c r="C540" t="s">
        <v>18</v>
      </c>
      <c r="D540" t="s">
        <v>97</v>
      </c>
      <c r="E540">
        <v>21</v>
      </c>
      <c r="F540" t="s">
        <v>38</v>
      </c>
      <c r="G540" t="s">
        <v>38</v>
      </c>
      <c r="H540" t="s">
        <v>110</v>
      </c>
      <c r="I540">
        <v>0</v>
      </c>
      <c r="J540" t="s">
        <v>142</v>
      </c>
      <c r="K540">
        <v>2.6</v>
      </c>
      <c r="L540" t="s">
        <v>41</v>
      </c>
      <c r="M540">
        <v>0.72</v>
      </c>
      <c r="N540" t="s">
        <v>60</v>
      </c>
      <c r="O540" t="s">
        <v>34</v>
      </c>
      <c r="P540">
        <v>2</v>
      </c>
      <c r="Q540">
        <v>5</v>
      </c>
    </row>
    <row r="541" spans="1:17" x14ac:dyDescent="0.3">
      <c r="A541" t="s">
        <v>1182</v>
      </c>
      <c r="B541" t="s">
        <v>1183</v>
      </c>
      <c r="C541" t="s">
        <v>28</v>
      </c>
      <c r="D541" t="s">
        <v>97</v>
      </c>
      <c r="E541">
        <v>20</v>
      </c>
      <c r="F541" t="s">
        <v>19</v>
      </c>
      <c r="G541" t="s">
        <v>20</v>
      </c>
      <c r="H541" t="s">
        <v>110</v>
      </c>
      <c r="I541">
        <v>1</v>
      </c>
      <c r="J541" t="s">
        <v>70</v>
      </c>
      <c r="K541">
        <v>2.2999999999999998</v>
      </c>
      <c r="L541" t="s">
        <v>33</v>
      </c>
      <c r="M541">
        <v>0.72</v>
      </c>
      <c r="N541" t="s">
        <v>60</v>
      </c>
      <c r="O541" t="s">
        <v>25</v>
      </c>
      <c r="P541">
        <v>1</v>
      </c>
      <c r="Q541">
        <v>2</v>
      </c>
    </row>
    <row r="542" spans="1:17" x14ac:dyDescent="0.3">
      <c r="A542" t="s">
        <v>1184</v>
      </c>
      <c r="B542" t="s">
        <v>1185</v>
      </c>
      <c r="C542" t="s">
        <v>118</v>
      </c>
      <c r="D542" t="s">
        <v>118</v>
      </c>
      <c r="E542">
        <v>30</v>
      </c>
      <c r="F542" t="s">
        <v>106</v>
      </c>
      <c r="G542" t="s">
        <v>107</v>
      </c>
      <c r="H542" t="s">
        <v>21</v>
      </c>
      <c r="I542">
        <v>5</v>
      </c>
      <c r="J542" t="s">
        <v>58</v>
      </c>
      <c r="K542">
        <v>4.8</v>
      </c>
      <c r="L542" t="s">
        <v>41</v>
      </c>
      <c r="N542" t="s">
        <v>88</v>
      </c>
      <c r="O542" t="s">
        <v>75</v>
      </c>
      <c r="P542">
        <v>1</v>
      </c>
      <c r="Q542">
        <v>2</v>
      </c>
    </row>
    <row r="543" spans="1:17" x14ac:dyDescent="0.3">
      <c r="A543" t="s">
        <v>1186</v>
      </c>
      <c r="B543" t="s">
        <v>1187</v>
      </c>
      <c r="C543" t="s">
        <v>78</v>
      </c>
      <c r="D543" t="s">
        <v>118</v>
      </c>
      <c r="E543">
        <v>41</v>
      </c>
      <c r="F543" t="s">
        <v>197</v>
      </c>
      <c r="G543" t="s">
        <v>198</v>
      </c>
      <c r="H543" t="s">
        <v>66</v>
      </c>
      <c r="I543">
        <v>0</v>
      </c>
      <c r="J543" t="s">
        <v>70</v>
      </c>
      <c r="K543">
        <v>4.5</v>
      </c>
      <c r="L543" t="s">
        <v>41</v>
      </c>
      <c r="M543">
        <v>0.68</v>
      </c>
      <c r="N543" t="s">
        <v>60</v>
      </c>
      <c r="O543" t="s">
        <v>42</v>
      </c>
      <c r="P543">
        <v>3</v>
      </c>
      <c r="Q543">
        <v>2</v>
      </c>
    </row>
    <row r="544" spans="1:17" x14ac:dyDescent="0.3">
      <c r="A544" t="s">
        <v>1188</v>
      </c>
      <c r="B544" t="s">
        <v>1189</v>
      </c>
      <c r="C544" t="s">
        <v>118</v>
      </c>
      <c r="D544" t="s">
        <v>118</v>
      </c>
      <c r="E544">
        <v>22</v>
      </c>
      <c r="F544" t="s">
        <v>212</v>
      </c>
      <c r="G544" t="s">
        <v>92</v>
      </c>
      <c r="H544" t="s">
        <v>21</v>
      </c>
      <c r="I544">
        <v>0</v>
      </c>
      <c r="J544" t="s">
        <v>58</v>
      </c>
      <c r="K544">
        <v>0</v>
      </c>
      <c r="L544" t="s">
        <v>23</v>
      </c>
      <c r="M544">
        <v>0.87</v>
      </c>
      <c r="N544" t="s">
        <v>82</v>
      </c>
      <c r="O544" t="s">
        <v>75</v>
      </c>
      <c r="P544">
        <v>5</v>
      </c>
      <c r="Q544">
        <v>3</v>
      </c>
    </row>
    <row r="545" spans="1:17" x14ac:dyDescent="0.3">
      <c r="A545" t="s">
        <v>1190</v>
      </c>
      <c r="B545" t="s">
        <v>1191</v>
      </c>
      <c r="C545" t="s">
        <v>78</v>
      </c>
      <c r="D545" t="s">
        <v>118</v>
      </c>
      <c r="E545">
        <v>45</v>
      </c>
      <c r="F545" t="s">
        <v>201</v>
      </c>
      <c r="G545" t="s">
        <v>92</v>
      </c>
      <c r="H545" t="s">
        <v>98</v>
      </c>
      <c r="I545">
        <v>19</v>
      </c>
      <c r="J545" t="s">
        <v>103</v>
      </c>
      <c r="K545">
        <v>0</v>
      </c>
      <c r="L545" t="s">
        <v>181</v>
      </c>
      <c r="M545">
        <v>0.72</v>
      </c>
      <c r="N545" t="s">
        <v>60</v>
      </c>
      <c r="O545" t="s">
        <v>25</v>
      </c>
      <c r="P545">
        <v>14</v>
      </c>
      <c r="Q545">
        <v>20</v>
      </c>
    </row>
    <row r="546" spans="1:17" x14ac:dyDescent="0.3">
      <c r="A546" t="s">
        <v>1192</v>
      </c>
      <c r="B546" t="s">
        <v>1193</v>
      </c>
      <c r="C546" t="s">
        <v>97</v>
      </c>
      <c r="D546" t="s">
        <v>97</v>
      </c>
      <c r="E546">
        <v>22</v>
      </c>
      <c r="F546" t="s">
        <v>29</v>
      </c>
      <c r="G546" t="s">
        <v>30</v>
      </c>
      <c r="H546" t="s">
        <v>66</v>
      </c>
      <c r="I546">
        <v>2</v>
      </c>
      <c r="J546" t="s">
        <v>86</v>
      </c>
      <c r="K546">
        <v>1.1000000000000001</v>
      </c>
      <c r="L546" t="s">
        <v>181</v>
      </c>
      <c r="M546">
        <v>0.76</v>
      </c>
      <c r="N546" t="s">
        <v>88</v>
      </c>
      <c r="O546" t="s">
        <v>34</v>
      </c>
      <c r="P546">
        <v>4</v>
      </c>
      <c r="Q546">
        <v>1</v>
      </c>
    </row>
    <row r="547" spans="1:17" x14ac:dyDescent="0.3">
      <c r="A547" t="s">
        <v>1194</v>
      </c>
      <c r="B547" t="s">
        <v>1195</v>
      </c>
      <c r="C547" t="s">
        <v>18</v>
      </c>
      <c r="D547" t="s">
        <v>97</v>
      </c>
      <c r="E547">
        <v>20</v>
      </c>
      <c r="F547" t="s">
        <v>79</v>
      </c>
      <c r="G547" t="s">
        <v>80</v>
      </c>
      <c r="H547" t="s">
        <v>31</v>
      </c>
      <c r="I547">
        <v>0</v>
      </c>
      <c r="J547" t="s">
        <v>22</v>
      </c>
      <c r="K547">
        <v>0</v>
      </c>
      <c r="L547" t="s">
        <v>23</v>
      </c>
      <c r="M547">
        <v>63</v>
      </c>
      <c r="N547" t="s">
        <v>24</v>
      </c>
      <c r="O547" t="s">
        <v>75</v>
      </c>
      <c r="P547">
        <v>1</v>
      </c>
      <c r="Q547">
        <v>3</v>
      </c>
    </row>
    <row r="548" spans="1:17" x14ac:dyDescent="0.3">
      <c r="A548" t="s">
        <v>1196</v>
      </c>
      <c r="B548" t="s">
        <v>1197</v>
      </c>
      <c r="C548" t="s">
        <v>28</v>
      </c>
      <c r="D548" t="s">
        <v>97</v>
      </c>
      <c r="E548">
        <v>20</v>
      </c>
      <c r="F548" t="s">
        <v>149</v>
      </c>
      <c r="G548" t="s">
        <v>30</v>
      </c>
      <c r="H548" t="s">
        <v>66</v>
      </c>
      <c r="I548">
        <v>2</v>
      </c>
      <c r="J548" t="s">
        <v>86</v>
      </c>
      <c r="L548" t="s">
        <v>33</v>
      </c>
      <c r="M548">
        <v>0.91</v>
      </c>
      <c r="N548" t="s">
        <v>88</v>
      </c>
      <c r="O548" t="s">
        <v>42</v>
      </c>
      <c r="P548">
        <v>1</v>
      </c>
      <c r="Q548">
        <v>1</v>
      </c>
    </row>
    <row r="549" spans="1:17" x14ac:dyDescent="0.3">
      <c r="A549" t="s">
        <v>1198</v>
      </c>
      <c r="B549" t="s">
        <v>1199</v>
      </c>
      <c r="C549" t="s">
        <v>113</v>
      </c>
      <c r="D549" t="s">
        <v>118</v>
      </c>
      <c r="E549">
        <v>21</v>
      </c>
      <c r="F549" t="s">
        <v>85</v>
      </c>
      <c r="G549" t="s">
        <v>30</v>
      </c>
      <c r="H549" t="s">
        <v>57</v>
      </c>
      <c r="I549">
        <v>0</v>
      </c>
      <c r="J549" t="s">
        <v>22</v>
      </c>
      <c r="L549" t="s">
        <v>23</v>
      </c>
      <c r="M549">
        <v>0.73</v>
      </c>
      <c r="N549" t="s">
        <v>88</v>
      </c>
      <c r="O549" t="s">
        <v>25</v>
      </c>
      <c r="P549">
        <v>1</v>
      </c>
      <c r="Q549">
        <v>1</v>
      </c>
    </row>
    <row r="550" spans="1:17" x14ac:dyDescent="0.3">
      <c r="A550" t="s">
        <v>1200</v>
      </c>
      <c r="B550" t="s">
        <v>1201</v>
      </c>
      <c r="C550" t="s">
        <v>118</v>
      </c>
      <c r="D550" t="s">
        <v>118</v>
      </c>
      <c r="E550">
        <v>22</v>
      </c>
      <c r="F550" t="s">
        <v>55</v>
      </c>
      <c r="G550" t="s">
        <v>56</v>
      </c>
      <c r="H550" t="s">
        <v>98</v>
      </c>
      <c r="I550">
        <v>1</v>
      </c>
      <c r="J550" t="s">
        <v>86</v>
      </c>
      <c r="K550">
        <v>0</v>
      </c>
      <c r="L550" t="s">
        <v>23</v>
      </c>
      <c r="M550">
        <v>0.63</v>
      </c>
      <c r="N550" t="s">
        <v>24</v>
      </c>
      <c r="O550" t="s">
        <v>75</v>
      </c>
      <c r="P550">
        <v>5</v>
      </c>
      <c r="Q550">
        <v>1</v>
      </c>
    </row>
    <row r="551" spans="1:17" x14ac:dyDescent="0.3">
      <c r="A551" t="s">
        <v>1202</v>
      </c>
      <c r="B551" t="s">
        <v>1203</v>
      </c>
      <c r="C551" t="s">
        <v>45</v>
      </c>
      <c r="D551" t="s">
        <v>97</v>
      </c>
      <c r="E551">
        <v>28</v>
      </c>
      <c r="F551" t="s">
        <v>85</v>
      </c>
      <c r="G551" t="s">
        <v>30</v>
      </c>
      <c r="H551" t="s">
        <v>110</v>
      </c>
      <c r="I551">
        <v>3</v>
      </c>
      <c r="J551" t="s">
        <v>336</v>
      </c>
      <c r="L551" t="s">
        <v>33</v>
      </c>
      <c r="M551">
        <v>0.79</v>
      </c>
      <c r="N551" t="s">
        <v>88</v>
      </c>
      <c r="O551" t="s">
        <v>42</v>
      </c>
      <c r="P551">
        <v>2</v>
      </c>
      <c r="Q551">
        <v>1</v>
      </c>
    </row>
    <row r="552" spans="1:17" x14ac:dyDescent="0.3">
      <c r="A552" t="s">
        <v>1204</v>
      </c>
      <c r="B552" t="s">
        <v>1205</v>
      </c>
      <c r="C552" t="s">
        <v>45</v>
      </c>
      <c r="D552" t="s">
        <v>97</v>
      </c>
      <c r="E552">
        <v>59</v>
      </c>
      <c r="F552" t="s">
        <v>91</v>
      </c>
      <c r="G552" t="s">
        <v>92</v>
      </c>
      <c r="H552" t="s">
        <v>57</v>
      </c>
      <c r="J552" t="s">
        <v>162</v>
      </c>
      <c r="K552">
        <v>4.0999999999999996</v>
      </c>
      <c r="L552" t="s">
        <v>23</v>
      </c>
      <c r="M552">
        <v>75</v>
      </c>
      <c r="N552" t="s">
        <v>88</v>
      </c>
      <c r="O552" t="s">
        <v>25</v>
      </c>
      <c r="P552">
        <v>2</v>
      </c>
      <c r="Q552">
        <v>2</v>
      </c>
    </row>
    <row r="553" spans="1:17" x14ac:dyDescent="0.3">
      <c r="A553" t="s">
        <v>1206</v>
      </c>
      <c r="B553" t="s">
        <v>1207</v>
      </c>
      <c r="C553" t="s">
        <v>50</v>
      </c>
      <c r="D553" t="s">
        <v>97</v>
      </c>
      <c r="E553">
        <v>28</v>
      </c>
      <c r="F553" t="s">
        <v>156</v>
      </c>
      <c r="G553" t="s">
        <v>157</v>
      </c>
      <c r="H553" t="s">
        <v>46</v>
      </c>
      <c r="I553">
        <v>1</v>
      </c>
      <c r="J553" t="s">
        <v>51</v>
      </c>
      <c r="K553">
        <v>0</v>
      </c>
      <c r="L553" t="s">
        <v>23</v>
      </c>
      <c r="M553">
        <v>0.7</v>
      </c>
      <c r="N553" t="s">
        <v>60</v>
      </c>
      <c r="O553" t="s">
        <v>42</v>
      </c>
      <c r="P553">
        <v>1</v>
      </c>
      <c r="Q553">
        <v>2</v>
      </c>
    </row>
    <row r="554" spans="1:17" x14ac:dyDescent="0.3">
      <c r="A554" t="s">
        <v>1208</v>
      </c>
      <c r="B554" t="s">
        <v>1209</v>
      </c>
      <c r="C554" t="s">
        <v>45</v>
      </c>
      <c r="D554" t="s">
        <v>97</v>
      </c>
      <c r="E554">
        <v>40</v>
      </c>
      <c r="F554" t="s">
        <v>29</v>
      </c>
      <c r="G554" t="s">
        <v>30</v>
      </c>
      <c r="H554" t="s">
        <v>110</v>
      </c>
      <c r="I554">
        <v>0</v>
      </c>
      <c r="J554" t="s">
        <v>251</v>
      </c>
      <c r="K554">
        <v>1.2</v>
      </c>
      <c r="L554" t="s">
        <v>51</v>
      </c>
      <c r="M554">
        <v>0.87</v>
      </c>
      <c r="N554" t="s">
        <v>60</v>
      </c>
      <c r="O554" t="s">
        <v>25</v>
      </c>
      <c r="P554">
        <v>1</v>
      </c>
      <c r="Q554">
        <v>1</v>
      </c>
    </row>
    <row r="555" spans="1:17" x14ac:dyDescent="0.3">
      <c r="A555" t="s">
        <v>1210</v>
      </c>
      <c r="B555" t="s">
        <v>1211</v>
      </c>
      <c r="C555" t="s">
        <v>113</v>
      </c>
      <c r="D555" t="s">
        <v>118</v>
      </c>
      <c r="E555">
        <v>57</v>
      </c>
      <c r="F555" t="s">
        <v>19</v>
      </c>
      <c r="G555" t="s">
        <v>20</v>
      </c>
      <c r="H555" t="s">
        <v>21</v>
      </c>
      <c r="I555">
        <v>7</v>
      </c>
      <c r="J555" t="s">
        <v>52</v>
      </c>
      <c r="K555">
        <v>1.6</v>
      </c>
      <c r="L555" t="s">
        <v>181</v>
      </c>
      <c r="N555" t="s">
        <v>24</v>
      </c>
      <c r="O555" t="s">
        <v>34</v>
      </c>
      <c r="P555">
        <v>13</v>
      </c>
      <c r="Q555">
        <v>5</v>
      </c>
    </row>
    <row r="556" spans="1:17" x14ac:dyDescent="0.3">
      <c r="A556" t="s">
        <v>1212</v>
      </c>
      <c r="B556" t="s">
        <v>1213</v>
      </c>
      <c r="C556" t="s">
        <v>78</v>
      </c>
      <c r="D556" t="s">
        <v>118</v>
      </c>
      <c r="E556">
        <v>47</v>
      </c>
      <c r="F556" t="s">
        <v>79</v>
      </c>
      <c r="G556" t="s">
        <v>80</v>
      </c>
      <c r="H556" t="s">
        <v>110</v>
      </c>
      <c r="I556">
        <v>1</v>
      </c>
      <c r="J556" t="s">
        <v>40</v>
      </c>
      <c r="K556">
        <v>3.9</v>
      </c>
      <c r="L556" t="s">
        <v>94</v>
      </c>
      <c r="M556">
        <v>0.88</v>
      </c>
      <c r="N556" t="s">
        <v>60</v>
      </c>
      <c r="O556" t="s">
        <v>75</v>
      </c>
      <c r="P556">
        <v>5</v>
      </c>
      <c r="Q556">
        <v>3</v>
      </c>
    </row>
    <row r="557" spans="1:17" x14ac:dyDescent="0.3">
      <c r="A557" t="s">
        <v>1214</v>
      </c>
      <c r="B557" t="s">
        <v>1215</v>
      </c>
      <c r="C557" t="s">
        <v>37</v>
      </c>
      <c r="D557" t="s">
        <v>118</v>
      </c>
      <c r="E557">
        <v>48</v>
      </c>
      <c r="F557" t="s">
        <v>133</v>
      </c>
      <c r="G557" t="s">
        <v>134</v>
      </c>
      <c r="H557" t="s">
        <v>98</v>
      </c>
      <c r="I557">
        <v>21</v>
      </c>
      <c r="J557" t="s">
        <v>86</v>
      </c>
      <c r="K557">
        <v>0</v>
      </c>
      <c r="L557" t="s">
        <v>33</v>
      </c>
      <c r="N557" t="s">
        <v>60</v>
      </c>
      <c r="O557" t="s">
        <v>42</v>
      </c>
      <c r="P557">
        <v>15</v>
      </c>
      <c r="Q557">
        <v>11</v>
      </c>
    </row>
    <row r="558" spans="1:17" x14ac:dyDescent="0.3">
      <c r="A558" t="s">
        <v>1216</v>
      </c>
      <c r="B558" t="s">
        <v>1217</v>
      </c>
      <c r="C558" t="s">
        <v>118</v>
      </c>
      <c r="D558" t="s">
        <v>118</v>
      </c>
      <c r="E558">
        <v>28</v>
      </c>
      <c r="F558" t="s">
        <v>73</v>
      </c>
      <c r="G558" t="s">
        <v>30</v>
      </c>
      <c r="H558" t="s">
        <v>93</v>
      </c>
      <c r="I558">
        <v>1</v>
      </c>
      <c r="J558" t="s">
        <v>336</v>
      </c>
      <c r="K558">
        <v>4.7</v>
      </c>
      <c r="L558" t="s">
        <v>59</v>
      </c>
      <c r="M558">
        <v>0.93</v>
      </c>
      <c r="N558" t="s">
        <v>88</v>
      </c>
      <c r="O558" t="s">
        <v>25</v>
      </c>
      <c r="P558">
        <v>5</v>
      </c>
      <c r="Q558">
        <v>3</v>
      </c>
    </row>
    <row r="559" spans="1:17" x14ac:dyDescent="0.3">
      <c r="A559" t="s">
        <v>1218</v>
      </c>
      <c r="B559" t="s">
        <v>1219</v>
      </c>
      <c r="C559" t="s">
        <v>113</v>
      </c>
      <c r="D559" t="s">
        <v>118</v>
      </c>
      <c r="E559">
        <v>41</v>
      </c>
      <c r="F559" t="s">
        <v>79</v>
      </c>
      <c r="G559" t="s">
        <v>80</v>
      </c>
      <c r="H559" t="s">
        <v>39</v>
      </c>
      <c r="I559">
        <v>15</v>
      </c>
      <c r="J559" t="s">
        <v>51</v>
      </c>
      <c r="K559">
        <v>3.8</v>
      </c>
      <c r="L559" t="s">
        <v>33</v>
      </c>
      <c r="N559" t="s">
        <v>82</v>
      </c>
      <c r="O559" t="s">
        <v>42</v>
      </c>
      <c r="P559">
        <v>13</v>
      </c>
      <c r="Q559">
        <v>5</v>
      </c>
    </row>
    <row r="560" spans="1:17" x14ac:dyDescent="0.3">
      <c r="A560" t="s">
        <v>1220</v>
      </c>
      <c r="B560" t="s">
        <v>1221</v>
      </c>
      <c r="C560" t="s">
        <v>18</v>
      </c>
      <c r="D560" t="s">
        <v>97</v>
      </c>
      <c r="E560">
        <v>57</v>
      </c>
      <c r="F560" t="s">
        <v>175</v>
      </c>
      <c r="G560" t="s">
        <v>176</v>
      </c>
      <c r="H560" t="s">
        <v>98</v>
      </c>
      <c r="I560">
        <v>33</v>
      </c>
      <c r="J560" t="s">
        <v>22</v>
      </c>
      <c r="K560">
        <v>3.5</v>
      </c>
      <c r="L560" t="s">
        <v>181</v>
      </c>
      <c r="M560">
        <v>0.74</v>
      </c>
      <c r="N560" t="s">
        <v>60</v>
      </c>
      <c r="O560" t="s">
        <v>42</v>
      </c>
      <c r="P560">
        <v>19</v>
      </c>
      <c r="Q560">
        <v>17</v>
      </c>
    </row>
    <row r="561" spans="1:17" x14ac:dyDescent="0.3">
      <c r="A561" t="s">
        <v>1222</v>
      </c>
      <c r="B561" t="s">
        <v>1223</v>
      </c>
      <c r="C561" t="s">
        <v>37</v>
      </c>
      <c r="D561" t="s">
        <v>118</v>
      </c>
      <c r="E561">
        <v>60</v>
      </c>
      <c r="F561" t="s">
        <v>91</v>
      </c>
      <c r="G561" t="s">
        <v>92</v>
      </c>
      <c r="H561" t="s">
        <v>39</v>
      </c>
      <c r="I561">
        <v>39</v>
      </c>
      <c r="J561" t="s">
        <v>67</v>
      </c>
      <c r="K561">
        <v>4</v>
      </c>
      <c r="L561" t="s">
        <v>51</v>
      </c>
      <c r="M561">
        <v>0.7</v>
      </c>
      <c r="N561" t="s">
        <v>82</v>
      </c>
      <c r="O561" t="s">
        <v>75</v>
      </c>
      <c r="P561">
        <v>15</v>
      </c>
      <c r="Q561">
        <v>15</v>
      </c>
    </row>
    <row r="562" spans="1:17" x14ac:dyDescent="0.3">
      <c r="A562" t="s">
        <v>1224</v>
      </c>
      <c r="B562" t="s">
        <v>1225</v>
      </c>
      <c r="C562" t="s">
        <v>50</v>
      </c>
      <c r="D562" t="s">
        <v>97</v>
      </c>
      <c r="E562">
        <v>48</v>
      </c>
      <c r="F562" t="s">
        <v>160</v>
      </c>
      <c r="G562" t="s">
        <v>161</v>
      </c>
      <c r="H562" t="s">
        <v>39</v>
      </c>
      <c r="I562">
        <v>21</v>
      </c>
      <c r="J562" t="s">
        <v>52</v>
      </c>
      <c r="K562">
        <v>1.6</v>
      </c>
      <c r="L562" t="s">
        <v>94</v>
      </c>
      <c r="M562">
        <v>0.67</v>
      </c>
      <c r="N562" t="s">
        <v>60</v>
      </c>
      <c r="O562" t="s">
        <v>34</v>
      </c>
      <c r="P562">
        <v>15</v>
      </c>
      <c r="Q562">
        <v>5</v>
      </c>
    </row>
    <row r="563" spans="1:17" x14ac:dyDescent="0.3">
      <c r="A563" t="s">
        <v>1226</v>
      </c>
      <c r="B563" t="s">
        <v>1227</v>
      </c>
      <c r="C563" t="s">
        <v>97</v>
      </c>
      <c r="D563" t="s">
        <v>97</v>
      </c>
      <c r="E563">
        <v>24</v>
      </c>
      <c r="F563" t="s">
        <v>156</v>
      </c>
      <c r="G563" t="s">
        <v>157</v>
      </c>
      <c r="H563" t="s">
        <v>98</v>
      </c>
      <c r="I563">
        <v>5</v>
      </c>
      <c r="J563" t="s">
        <v>86</v>
      </c>
      <c r="K563">
        <v>3</v>
      </c>
      <c r="L563" t="s">
        <v>181</v>
      </c>
      <c r="M563">
        <v>0.86</v>
      </c>
      <c r="N563" t="s">
        <v>60</v>
      </c>
      <c r="O563" t="s">
        <v>42</v>
      </c>
      <c r="P563">
        <v>1</v>
      </c>
      <c r="Q563">
        <v>1</v>
      </c>
    </row>
    <row r="564" spans="1:17" x14ac:dyDescent="0.3">
      <c r="A564" t="s">
        <v>1228</v>
      </c>
      <c r="B564" t="s">
        <v>1229</v>
      </c>
      <c r="C564" t="s">
        <v>28</v>
      </c>
      <c r="D564" t="s">
        <v>97</v>
      </c>
      <c r="E564">
        <v>33</v>
      </c>
      <c r="F564" t="s">
        <v>201</v>
      </c>
      <c r="G564" t="s">
        <v>92</v>
      </c>
      <c r="H564" t="s">
        <v>110</v>
      </c>
      <c r="I564">
        <v>11</v>
      </c>
      <c r="J564" t="s">
        <v>40</v>
      </c>
      <c r="K564">
        <v>5</v>
      </c>
      <c r="L564" t="s">
        <v>87</v>
      </c>
      <c r="M564">
        <v>0.69</v>
      </c>
      <c r="N564" t="s">
        <v>24</v>
      </c>
      <c r="O564" t="s">
        <v>25</v>
      </c>
      <c r="P564">
        <v>8</v>
      </c>
      <c r="Q564">
        <v>9</v>
      </c>
    </row>
    <row r="565" spans="1:17" x14ac:dyDescent="0.3">
      <c r="A565" t="s">
        <v>1230</v>
      </c>
      <c r="B565" t="s">
        <v>1231</v>
      </c>
      <c r="C565" t="s">
        <v>28</v>
      </c>
      <c r="D565" t="s">
        <v>97</v>
      </c>
      <c r="E565">
        <v>20</v>
      </c>
      <c r="F565" t="s">
        <v>79</v>
      </c>
      <c r="G565" t="s">
        <v>80</v>
      </c>
      <c r="H565" t="s">
        <v>39</v>
      </c>
      <c r="I565">
        <v>0</v>
      </c>
      <c r="J565" t="s">
        <v>52</v>
      </c>
      <c r="K565">
        <v>4.8</v>
      </c>
      <c r="L565" t="s">
        <v>87</v>
      </c>
      <c r="M565">
        <v>0.68</v>
      </c>
      <c r="N565" t="s">
        <v>24</v>
      </c>
      <c r="O565" t="s">
        <v>25</v>
      </c>
      <c r="P565">
        <v>5</v>
      </c>
      <c r="Q565">
        <v>3</v>
      </c>
    </row>
    <row r="566" spans="1:17" x14ac:dyDescent="0.3">
      <c r="A566" t="s">
        <v>1232</v>
      </c>
      <c r="B566" t="s">
        <v>1233</v>
      </c>
      <c r="C566" t="s">
        <v>78</v>
      </c>
      <c r="D566" t="s">
        <v>118</v>
      </c>
      <c r="E566">
        <v>59</v>
      </c>
      <c r="F566" t="s">
        <v>85</v>
      </c>
      <c r="G566" t="s">
        <v>30</v>
      </c>
      <c r="H566" t="s">
        <v>110</v>
      </c>
      <c r="I566">
        <v>15</v>
      </c>
      <c r="J566" t="s">
        <v>81</v>
      </c>
      <c r="L566" t="s">
        <v>181</v>
      </c>
      <c r="N566" t="s">
        <v>24</v>
      </c>
      <c r="O566" t="s">
        <v>34</v>
      </c>
      <c r="P566">
        <v>7</v>
      </c>
      <c r="Q566">
        <v>8</v>
      </c>
    </row>
    <row r="567" spans="1:17" x14ac:dyDescent="0.3">
      <c r="A567" t="s">
        <v>1234</v>
      </c>
      <c r="B567" t="s">
        <v>1235</v>
      </c>
      <c r="C567" t="s">
        <v>50</v>
      </c>
      <c r="D567" t="s">
        <v>97</v>
      </c>
      <c r="E567">
        <v>42</v>
      </c>
      <c r="F567" t="s">
        <v>197</v>
      </c>
      <c r="G567" t="s">
        <v>198</v>
      </c>
      <c r="H567" t="s">
        <v>110</v>
      </c>
      <c r="I567">
        <v>22</v>
      </c>
      <c r="J567" t="s">
        <v>51</v>
      </c>
      <c r="K567">
        <v>2.9</v>
      </c>
      <c r="L567" t="s">
        <v>23</v>
      </c>
      <c r="M567">
        <v>0.61</v>
      </c>
      <c r="N567" t="s">
        <v>82</v>
      </c>
      <c r="O567" t="s">
        <v>25</v>
      </c>
      <c r="P567">
        <v>14</v>
      </c>
      <c r="Q567">
        <v>9</v>
      </c>
    </row>
    <row r="568" spans="1:17" x14ac:dyDescent="0.3">
      <c r="A568" t="s">
        <v>1236</v>
      </c>
      <c r="B568" t="s">
        <v>1237</v>
      </c>
      <c r="C568" t="s">
        <v>28</v>
      </c>
      <c r="D568" t="s">
        <v>97</v>
      </c>
      <c r="E568">
        <v>22</v>
      </c>
      <c r="F568" t="s">
        <v>79</v>
      </c>
      <c r="G568" t="s">
        <v>80</v>
      </c>
      <c r="H568" t="s">
        <v>93</v>
      </c>
      <c r="I568">
        <v>3</v>
      </c>
      <c r="J568" t="s">
        <v>51</v>
      </c>
      <c r="K568">
        <v>3</v>
      </c>
      <c r="L568" t="s">
        <v>74</v>
      </c>
      <c r="M568">
        <v>0.96</v>
      </c>
      <c r="N568" t="s">
        <v>88</v>
      </c>
      <c r="O568" t="s">
        <v>34</v>
      </c>
      <c r="P568">
        <v>1</v>
      </c>
      <c r="Q568">
        <v>2</v>
      </c>
    </row>
    <row r="569" spans="1:17" x14ac:dyDescent="0.3">
      <c r="A569" t="s">
        <v>1238</v>
      </c>
      <c r="B569" t="s">
        <v>1239</v>
      </c>
      <c r="C569" t="s">
        <v>113</v>
      </c>
      <c r="D569" t="s">
        <v>118</v>
      </c>
      <c r="E569">
        <v>41</v>
      </c>
      <c r="F569" t="s">
        <v>149</v>
      </c>
      <c r="G569" t="s">
        <v>30</v>
      </c>
      <c r="H569" t="s">
        <v>98</v>
      </c>
      <c r="I569">
        <v>11</v>
      </c>
      <c r="J569" t="s">
        <v>40</v>
      </c>
      <c r="K569">
        <v>3.5</v>
      </c>
      <c r="L569" t="s">
        <v>33</v>
      </c>
      <c r="M569">
        <v>0.68</v>
      </c>
      <c r="N569" t="s">
        <v>60</v>
      </c>
      <c r="O569" t="s">
        <v>25</v>
      </c>
      <c r="P569">
        <v>12</v>
      </c>
      <c r="Q569">
        <v>1</v>
      </c>
    </row>
    <row r="570" spans="1:17" x14ac:dyDescent="0.3">
      <c r="A570" t="s">
        <v>1240</v>
      </c>
      <c r="B570" t="s">
        <v>1241</v>
      </c>
      <c r="C570" t="s">
        <v>97</v>
      </c>
      <c r="D570" t="s">
        <v>97</v>
      </c>
      <c r="E570">
        <v>25</v>
      </c>
      <c r="F570" t="s">
        <v>91</v>
      </c>
      <c r="G570" t="s">
        <v>92</v>
      </c>
      <c r="H570" t="s">
        <v>46</v>
      </c>
      <c r="I570">
        <v>5</v>
      </c>
      <c r="J570" t="s">
        <v>86</v>
      </c>
      <c r="L570" t="s">
        <v>74</v>
      </c>
      <c r="M570">
        <v>0.75</v>
      </c>
      <c r="N570" t="s">
        <v>60</v>
      </c>
      <c r="O570" t="s">
        <v>75</v>
      </c>
      <c r="P570">
        <v>4</v>
      </c>
      <c r="Q570">
        <v>1</v>
      </c>
    </row>
    <row r="571" spans="1:17" x14ac:dyDescent="0.3">
      <c r="A571" t="s">
        <v>1242</v>
      </c>
      <c r="B571" t="s">
        <v>1243</v>
      </c>
      <c r="C571" t="s">
        <v>18</v>
      </c>
      <c r="D571" t="s">
        <v>97</v>
      </c>
      <c r="E571">
        <v>38</v>
      </c>
      <c r="F571" t="s">
        <v>149</v>
      </c>
      <c r="G571" t="s">
        <v>30</v>
      </c>
      <c r="H571" t="s">
        <v>93</v>
      </c>
      <c r="I571">
        <v>3</v>
      </c>
      <c r="J571" t="s">
        <v>86</v>
      </c>
      <c r="K571">
        <v>4.7</v>
      </c>
      <c r="L571" t="s">
        <v>23</v>
      </c>
      <c r="M571">
        <v>0.69</v>
      </c>
      <c r="N571" t="s">
        <v>60</v>
      </c>
      <c r="O571" t="s">
        <v>42</v>
      </c>
      <c r="P571">
        <v>4</v>
      </c>
      <c r="Q571">
        <v>2</v>
      </c>
    </row>
    <row r="572" spans="1:17" x14ac:dyDescent="0.3">
      <c r="A572" t="s">
        <v>1244</v>
      </c>
      <c r="B572" t="s">
        <v>1245</v>
      </c>
      <c r="C572" t="s">
        <v>50</v>
      </c>
      <c r="D572" t="s">
        <v>97</v>
      </c>
      <c r="E572">
        <v>43</v>
      </c>
      <c r="F572" t="s">
        <v>73</v>
      </c>
      <c r="G572" t="s">
        <v>30</v>
      </c>
      <c r="H572" t="s">
        <v>110</v>
      </c>
      <c r="I572">
        <v>1</v>
      </c>
      <c r="J572" t="s">
        <v>51</v>
      </c>
      <c r="K572">
        <v>2.9</v>
      </c>
      <c r="L572" t="s">
        <v>181</v>
      </c>
      <c r="M572">
        <v>0.78</v>
      </c>
      <c r="N572" t="s">
        <v>82</v>
      </c>
      <c r="O572" t="s">
        <v>75</v>
      </c>
      <c r="P572">
        <v>5</v>
      </c>
      <c r="Q572">
        <v>2</v>
      </c>
    </row>
    <row r="573" spans="1:17" x14ac:dyDescent="0.3">
      <c r="A573" t="s">
        <v>1246</v>
      </c>
      <c r="B573" t="s">
        <v>1247</v>
      </c>
      <c r="C573" t="s">
        <v>45</v>
      </c>
      <c r="D573" t="s">
        <v>97</v>
      </c>
      <c r="E573">
        <v>54</v>
      </c>
      <c r="F573" t="s">
        <v>201</v>
      </c>
      <c r="G573" t="s">
        <v>92</v>
      </c>
      <c r="H573" t="s">
        <v>57</v>
      </c>
      <c r="I573">
        <v>1</v>
      </c>
      <c r="J573" t="s">
        <v>103</v>
      </c>
      <c r="K573">
        <v>4.4000000000000004</v>
      </c>
      <c r="L573" t="s">
        <v>94</v>
      </c>
      <c r="N573" t="s">
        <v>24</v>
      </c>
      <c r="O573" t="s">
        <v>42</v>
      </c>
      <c r="P573">
        <v>4</v>
      </c>
      <c r="Q573">
        <v>5</v>
      </c>
    </row>
    <row r="574" spans="1:17" x14ac:dyDescent="0.3">
      <c r="A574" t="s">
        <v>1248</v>
      </c>
      <c r="B574" t="s">
        <v>1249</v>
      </c>
      <c r="C574" t="s">
        <v>45</v>
      </c>
      <c r="D574" t="s">
        <v>97</v>
      </c>
      <c r="E574">
        <v>31</v>
      </c>
      <c r="F574" t="s">
        <v>64</v>
      </c>
      <c r="G574" t="s">
        <v>65</v>
      </c>
      <c r="H574" t="s">
        <v>31</v>
      </c>
      <c r="I574">
        <v>2</v>
      </c>
      <c r="J574" t="s">
        <v>86</v>
      </c>
      <c r="K574">
        <v>2.2999999999999998</v>
      </c>
      <c r="L574" t="s">
        <v>41</v>
      </c>
      <c r="M574">
        <v>0.98</v>
      </c>
      <c r="N574" t="s">
        <v>88</v>
      </c>
      <c r="O574" t="s">
        <v>42</v>
      </c>
      <c r="P574">
        <v>5</v>
      </c>
      <c r="Q574">
        <v>1</v>
      </c>
    </row>
    <row r="575" spans="1:17" x14ac:dyDescent="0.3">
      <c r="A575" t="s">
        <v>1250</v>
      </c>
      <c r="B575" t="s">
        <v>1251</v>
      </c>
      <c r="C575" t="s">
        <v>18</v>
      </c>
      <c r="D575" t="s">
        <v>97</v>
      </c>
      <c r="E575">
        <v>56</v>
      </c>
      <c r="F575" t="s">
        <v>201</v>
      </c>
      <c r="G575" t="s">
        <v>92</v>
      </c>
      <c r="H575" t="s">
        <v>57</v>
      </c>
      <c r="I575">
        <v>3</v>
      </c>
      <c r="J575" t="s">
        <v>58</v>
      </c>
      <c r="K575">
        <v>3.7</v>
      </c>
      <c r="L575" t="s">
        <v>51</v>
      </c>
      <c r="M575">
        <v>0.83</v>
      </c>
      <c r="N575" t="s">
        <v>82</v>
      </c>
      <c r="O575" t="s">
        <v>42</v>
      </c>
      <c r="P575">
        <v>4</v>
      </c>
      <c r="Q575">
        <v>2</v>
      </c>
    </row>
    <row r="576" spans="1:17" x14ac:dyDescent="0.3">
      <c r="A576" t="s">
        <v>1252</v>
      </c>
      <c r="B576" t="s">
        <v>1253</v>
      </c>
      <c r="C576" t="s">
        <v>78</v>
      </c>
      <c r="D576" t="s">
        <v>118</v>
      </c>
      <c r="E576">
        <v>46</v>
      </c>
      <c r="F576" t="s">
        <v>201</v>
      </c>
      <c r="G576" t="s">
        <v>92</v>
      </c>
      <c r="H576" t="s">
        <v>39</v>
      </c>
      <c r="I576">
        <v>11</v>
      </c>
      <c r="J576" t="s">
        <v>51</v>
      </c>
      <c r="K576">
        <v>1.8</v>
      </c>
      <c r="L576" t="s">
        <v>33</v>
      </c>
      <c r="M576">
        <v>0.91</v>
      </c>
      <c r="N576" t="s">
        <v>24</v>
      </c>
      <c r="O576" t="s">
        <v>75</v>
      </c>
      <c r="P576">
        <v>8</v>
      </c>
      <c r="Q576">
        <v>9</v>
      </c>
    </row>
    <row r="577" spans="1:17" x14ac:dyDescent="0.3">
      <c r="A577" t="s">
        <v>1254</v>
      </c>
      <c r="B577" t="s">
        <v>1255</v>
      </c>
      <c r="C577" t="s">
        <v>118</v>
      </c>
      <c r="D577" t="s">
        <v>118</v>
      </c>
      <c r="E577">
        <v>60</v>
      </c>
      <c r="F577" t="s">
        <v>160</v>
      </c>
      <c r="G577" t="s">
        <v>161</v>
      </c>
      <c r="H577" t="s">
        <v>57</v>
      </c>
      <c r="J577" t="s">
        <v>22</v>
      </c>
      <c r="K577">
        <v>0</v>
      </c>
      <c r="L577" t="s">
        <v>33</v>
      </c>
      <c r="M577">
        <v>0.96</v>
      </c>
      <c r="N577" t="s">
        <v>82</v>
      </c>
      <c r="O577" t="s">
        <v>42</v>
      </c>
      <c r="P577">
        <v>5</v>
      </c>
      <c r="Q577">
        <v>1</v>
      </c>
    </row>
    <row r="578" spans="1:17" x14ac:dyDescent="0.3">
      <c r="A578" t="s">
        <v>1256</v>
      </c>
      <c r="B578" t="s">
        <v>1257</v>
      </c>
      <c r="C578" t="s">
        <v>45</v>
      </c>
      <c r="D578" t="s">
        <v>97</v>
      </c>
      <c r="E578">
        <v>28</v>
      </c>
      <c r="F578" t="s">
        <v>133</v>
      </c>
      <c r="G578" t="s">
        <v>134</v>
      </c>
      <c r="H578" t="s">
        <v>39</v>
      </c>
      <c r="I578">
        <v>2</v>
      </c>
      <c r="J578" t="s">
        <v>119</v>
      </c>
      <c r="L578" t="s">
        <v>33</v>
      </c>
      <c r="M578">
        <v>0.85</v>
      </c>
      <c r="N578" t="s">
        <v>88</v>
      </c>
      <c r="O578" t="s">
        <v>75</v>
      </c>
      <c r="P578">
        <v>3</v>
      </c>
      <c r="Q578">
        <v>2</v>
      </c>
    </row>
    <row r="579" spans="1:17" x14ac:dyDescent="0.3">
      <c r="A579" t="s">
        <v>1258</v>
      </c>
      <c r="B579" t="s">
        <v>1259</v>
      </c>
      <c r="C579" t="s">
        <v>45</v>
      </c>
      <c r="D579" t="s">
        <v>97</v>
      </c>
      <c r="E579">
        <v>43</v>
      </c>
      <c r="F579" t="s">
        <v>64</v>
      </c>
      <c r="G579" t="s">
        <v>65</v>
      </c>
      <c r="H579" t="s">
        <v>46</v>
      </c>
      <c r="I579">
        <v>20</v>
      </c>
      <c r="J579" t="s">
        <v>130</v>
      </c>
      <c r="K579">
        <v>2.7</v>
      </c>
      <c r="L579" t="s">
        <v>59</v>
      </c>
      <c r="M579">
        <v>0.72</v>
      </c>
      <c r="N579" t="s">
        <v>24</v>
      </c>
      <c r="O579" t="s">
        <v>34</v>
      </c>
      <c r="P579">
        <v>14</v>
      </c>
      <c r="Q579">
        <v>2</v>
      </c>
    </row>
    <row r="580" spans="1:17" x14ac:dyDescent="0.3">
      <c r="A580" t="s">
        <v>1260</v>
      </c>
      <c r="B580" t="s">
        <v>1261</v>
      </c>
      <c r="C580" t="s">
        <v>78</v>
      </c>
      <c r="D580" t="s">
        <v>118</v>
      </c>
      <c r="E580">
        <v>41</v>
      </c>
      <c r="F580" t="s">
        <v>156</v>
      </c>
      <c r="G580" t="s">
        <v>157</v>
      </c>
      <c r="H580" t="s">
        <v>46</v>
      </c>
      <c r="I580">
        <v>11</v>
      </c>
      <c r="J580" t="s">
        <v>142</v>
      </c>
      <c r="K580">
        <v>4.7</v>
      </c>
      <c r="L580" t="s">
        <v>51</v>
      </c>
      <c r="M580">
        <v>0.69</v>
      </c>
      <c r="N580" t="s">
        <v>82</v>
      </c>
      <c r="O580" t="s">
        <v>25</v>
      </c>
      <c r="P580">
        <v>10</v>
      </c>
      <c r="Q580">
        <v>4</v>
      </c>
    </row>
    <row r="581" spans="1:17" x14ac:dyDescent="0.3">
      <c r="A581" t="s">
        <v>1262</v>
      </c>
      <c r="B581" t="s">
        <v>1263</v>
      </c>
      <c r="C581" t="s">
        <v>37</v>
      </c>
      <c r="D581" t="s">
        <v>118</v>
      </c>
      <c r="E581">
        <v>41</v>
      </c>
      <c r="F581" t="s">
        <v>85</v>
      </c>
      <c r="G581" t="s">
        <v>30</v>
      </c>
      <c r="H581" t="s">
        <v>110</v>
      </c>
      <c r="I581">
        <v>0</v>
      </c>
      <c r="J581" t="s">
        <v>142</v>
      </c>
      <c r="K581">
        <v>3.1</v>
      </c>
      <c r="L581" t="s">
        <v>23</v>
      </c>
      <c r="M581">
        <v>90</v>
      </c>
      <c r="N581" t="s">
        <v>88</v>
      </c>
      <c r="O581" t="s">
        <v>25</v>
      </c>
      <c r="P581">
        <v>4</v>
      </c>
      <c r="Q581">
        <v>1</v>
      </c>
    </row>
    <row r="582" spans="1:17" x14ac:dyDescent="0.3">
      <c r="A582" t="s">
        <v>1264</v>
      </c>
      <c r="B582" t="s">
        <v>1265</v>
      </c>
      <c r="C582" t="s">
        <v>45</v>
      </c>
      <c r="D582" t="s">
        <v>97</v>
      </c>
      <c r="E582">
        <v>40</v>
      </c>
      <c r="F582" t="s">
        <v>85</v>
      </c>
      <c r="G582" t="s">
        <v>30</v>
      </c>
      <c r="H582" t="s">
        <v>31</v>
      </c>
      <c r="I582">
        <v>20</v>
      </c>
      <c r="J582" t="s">
        <v>162</v>
      </c>
      <c r="K582">
        <v>2.2999999999999998</v>
      </c>
      <c r="L582" t="s">
        <v>23</v>
      </c>
      <c r="M582">
        <v>0.92</v>
      </c>
      <c r="N582" t="s">
        <v>60</v>
      </c>
      <c r="O582" t="s">
        <v>42</v>
      </c>
      <c r="P582">
        <v>14</v>
      </c>
      <c r="Q582">
        <v>10</v>
      </c>
    </row>
    <row r="583" spans="1:17" x14ac:dyDescent="0.3">
      <c r="A583" t="s">
        <v>1266</v>
      </c>
      <c r="B583" t="s">
        <v>1267</v>
      </c>
      <c r="C583" t="s">
        <v>118</v>
      </c>
      <c r="D583" t="s">
        <v>118</v>
      </c>
      <c r="E583">
        <v>45</v>
      </c>
      <c r="F583" t="s">
        <v>38</v>
      </c>
      <c r="G583" t="s">
        <v>38</v>
      </c>
      <c r="H583" t="s">
        <v>110</v>
      </c>
      <c r="I583">
        <v>3</v>
      </c>
      <c r="J583" t="s">
        <v>336</v>
      </c>
      <c r="K583">
        <v>1.3</v>
      </c>
      <c r="L583" t="s">
        <v>94</v>
      </c>
      <c r="M583">
        <v>0.91</v>
      </c>
      <c r="N583" t="s">
        <v>88</v>
      </c>
      <c r="O583" t="s">
        <v>75</v>
      </c>
      <c r="P583">
        <v>5</v>
      </c>
      <c r="Q583">
        <v>1</v>
      </c>
    </row>
    <row r="584" spans="1:17" x14ac:dyDescent="0.3">
      <c r="A584" t="s">
        <v>1268</v>
      </c>
      <c r="B584" t="s">
        <v>1269</v>
      </c>
      <c r="C584" t="s">
        <v>78</v>
      </c>
      <c r="D584" t="s">
        <v>118</v>
      </c>
      <c r="E584">
        <v>47</v>
      </c>
      <c r="F584" t="s">
        <v>160</v>
      </c>
      <c r="G584" t="s">
        <v>161</v>
      </c>
      <c r="H584" t="s">
        <v>110</v>
      </c>
      <c r="I584">
        <v>28</v>
      </c>
      <c r="J584" t="s">
        <v>119</v>
      </c>
      <c r="K584">
        <v>2.9</v>
      </c>
      <c r="L584" t="s">
        <v>74</v>
      </c>
      <c r="N584" t="s">
        <v>60</v>
      </c>
      <c r="O584" t="s">
        <v>25</v>
      </c>
      <c r="P584">
        <v>18</v>
      </c>
      <c r="Q584">
        <v>13</v>
      </c>
    </row>
    <row r="585" spans="1:17" x14ac:dyDescent="0.3">
      <c r="A585" t="s">
        <v>1270</v>
      </c>
      <c r="B585" t="s">
        <v>1271</v>
      </c>
      <c r="C585" t="s">
        <v>63</v>
      </c>
      <c r="D585" t="s">
        <v>118</v>
      </c>
      <c r="E585">
        <v>34</v>
      </c>
      <c r="F585" t="s">
        <v>114</v>
      </c>
      <c r="G585" t="s">
        <v>115</v>
      </c>
      <c r="H585" t="s">
        <v>66</v>
      </c>
      <c r="I585">
        <v>0</v>
      </c>
      <c r="J585" t="s">
        <v>86</v>
      </c>
      <c r="K585">
        <v>3.3</v>
      </c>
      <c r="L585" t="s">
        <v>23</v>
      </c>
      <c r="M585">
        <v>0.98</v>
      </c>
      <c r="N585" t="s">
        <v>82</v>
      </c>
      <c r="O585" t="s">
        <v>75</v>
      </c>
      <c r="P585">
        <v>1</v>
      </c>
      <c r="Q585">
        <v>3</v>
      </c>
    </row>
    <row r="586" spans="1:17" x14ac:dyDescent="0.3">
      <c r="A586" t="s">
        <v>1272</v>
      </c>
      <c r="B586" t="s">
        <v>1273</v>
      </c>
      <c r="C586" t="s">
        <v>113</v>
      </c>
      <c r="D586" t="s">
        <v>118</v>
      </c>
      <c r="E586">
        <v>47</v>
      </c>
      <c r="F586" t="s">
        <v>73</v>
      </c>
      <c r="G586" t="s">
        <v>30</v>
      </c>
      <c r="H586" t="s">
        <v>93</v>
      </c>
      <c r="I586">
        <v>4</v>
      </c>
      <c r="J586" t="s">
        <v>336</v>
      </c>
      <c r="K586">
        <v>4.2</v>
      </c>
      <c r="L586" t="s">
        <v>51</v>
      </c>
      <c r="M586">
        <v>0.82</v>
      </c>
      <c r="N586" t="s">
        <v>24</v>
      </c>
      <c r="O586" t="s">
        <v>75</v>
      </c>
      <c r="P586">
        <v>5</v>
      </c>
      <c r="Q586">
        <v>2</v>
      </c>
    </row>
    <row r="587" spans="1:17" x14ac:dyDescent="0.3">
      <c r="A587" t="s">
        <v>1274</v>
      </c>
      <c r="B587" t="s">
        <v>1275</v>
      </c>
      <c r="C587" t="s">
        <v>113</v>
      </c>
      <c r="D587" t="s">
        <v>118</v>
      </c>
      <c r="E587">
        <v>32</v>
      </c>
      <c r="F587" t="s">
        <v>201</v>
      </c>
      <c r="G587" t="s">
        <v>92</v>
      </c>
      <c r="H587" t="s">
        <v>93</v>
      </c>
      <c r="I587">
        <v>9</v>
      </c>
      <c r="J587" t="s">
        <v>70</v>
      </c>
      <c r="K587">
        <v>1.3</v>
      </c>
      <c r="L587" t="s">
        <v>74</v>
      </c>
      <c r="M587">
        <v>0.83</v>
      </c>
      <c r="N587" t="s">
        <v>24</v>
      </c>
      <c r="O587" t="s">
        <v>42</v>
      </c>
      <c r="P587">
        <v>10</v>
      </c>
      <c r="Q587">
        <v>4</v>
      </c>
    </row>
    <row r="588" spans="1:17" x14ac:dyDescent="0.3">
      <c r="A588" t="s">
        <v>1276</v>
      </c>
      <c r="B588" t="s">
        <v>1277</v>
      </c>
      <c r="C588" t="s">
        <v>113</v>
      </c>
      <c r="D588" t="s">
        <v>118</v>
      </c>
      <c r="E588">
        <v>28</v>
      </c>
      <c r="F588" t="s">
        <v>85</v>
      </c>
      <c r="G588" t="s">
        <v>30</v>
      </c>
      <c r="H588" t="s">
        <v>31</v>
      </c>
      <c r="I588">
        <v>2</v>
      </c>
      <c r="J588" t="s">
        <v>251</v>
      </c>
      <c r="K588">
        <v>4.4000000000000004</v>
      </c>
      <c r="L588" t="s">
        <v>74</v>
      </c>
      <c r="N588" t="s">
        <v>82</v>
      </c>
      <c r="O588" t="s">
        <v>25</v>
      </c>
      <c r="P588">
        <v>5</v>
      </c>
      <c r="Q588">
        <v>2</v>
      </c>
    </row>
    <row r="589" spans="1:17" x14ac:dyDescent="0.3">
      <c r="A589" t="s">
        <v>1278</v>
      </c>
      <c r="B589" t="s">
        <v>1279</v>
      </c>
      <c r="C589" t="s">
        <v>63</v>
      </c>
      <c r="D589" t="s">
        <v>118</v>
      </c>
      <c r="E589">
        <v>32</v>
      </c>
      <c r="F589" t="s">
        <v>29</v>
      </c>
      <c r="G589" t="s">
        <v>30</v>
      </c>
      <c r="H589" t="s">
        <v>110</v>
      </c>
      <c r="I589">
        <v>1</v>
      </c>
      <c r="J589" t="s">
        <v>22</v>
      </c>
      <c r="K589">
        <v>3.4</v>
      </c>
      <c r="L589" t="s">
        <v>74</v>
      </c>
      <c r="N589" t="s">
        <v>24</v>
      </c>
      <c r="O589" t="s">
        <v>42</v>
      </c>
      <c r="P589">
        <v>3</v>
      </c>
      <c r="Q589">
        <v>1</v>
      </c>
    </row>
    <row r="590" spans="1:17" x14ac:dyDescent="0.3">
      <c r="A590" t="s">
        <v>1280</v>
      </c>
      <c r="B590" t="s">
        <v>1281</v>
      </c>
      <c r="C590" t="s">
        <v>45</v>
      </c>
      <c r="D590" t="s">
        <v>97</v>
      </c>
      <c r="E590">
        <v>49</v>
      </c>
      <c r="F590" t="s">
        <v>55</v>
      </c>
      <c r="G590" t="s">
        <v>56</v>
      </c>
      <c r="H590" t="s">
        <v>57</v>
      </c>
      <c r="I590">
        <v>2</v>
      </c>
      <c r="J590" t="s">
        <v>251</v>
      </c>
      <c r="K590">
        <v>3.4</v>
      </c>
      <c r="L590" t="s">
        <v>33</v>
      </c>
      <c r="M590">
        <v>0.85</v>
      </c>
      <c r="N590" t="s">
        <v>24</v>
      </c>
      <c r="O590" t="s">
        <v>42</v>
      </c>
      <c r="P590">
        <v>5</v>
      </c>
      <c r="Q590">
        <v>1</v>
      </c>
    </row>
    <row r="591" spans="1:17" x14ac:dyDescent="0.3">
      <c r="A591" t="s">
        <v>1282</v>
      </c>
      <c r="B591" t="s">
        <v>1283</v>
      </c>
      <c r="C591" t="s">
        <v>18</v>
      </c>
      <c r="D591" t="s">
        <v>97</v>
      </c>
      <c r="E591">
        <v>36</v>
      </c>
      <c r="F591" t="s">
        <v>91</v>
      </c>
      <c r="G591" t="s">
        <v>92</v>
      </c>
      <c r="H591" t="s">
        <v>31</v>
      </c>
      <c r="I591">
        <v>16</v>
      </c>
      <c r="J591" t="s">
        <v>336</v>
      </c>
      <c r="K591">
        <v>3.2</v>
      </c>
      <c r="L591" t="s">
        <v>51</v>
      </c>
      <c r="N591" t="s">
        <v>60</v>
      </c>
      <c r="O591" t="s">
        <v>25</v>
      </c>
      <c r="P591">
        <v>18</v>
      </c>
      <c r="Q591">
        <v>2</v>
      </c>
    </row>
    <row r="592" spans="1:17" x14ac:dyDescent="0.3">
      <c r="A592" t="s">
        <v>1284</v>
      </c>
      <c r="B592" t="s">
        <v>1285</v>
      </c>
      <c r="C592" t="s">
        <v>113</v>
      </c>
      <c r="D592" t="s">
        <v>118</v>
      </c>
      <c r="E592">
        <v>59</v>
      </c>
      <c r="F592" t="s">
        <v>201</v>
      </c>
      <c r="G592" t="s">
        <v>92</v>
      </c>
      <c r="H592" t="s">
        <v>21</v>
      </c>
      <c r="I592">
        <v>22</v>
      </c>
      <c r="J592" t="s">
        <v>336</v>
      </c>
      <c r="K592">
        <v>3.6</v>
      </c>
      <c r="L592" t="s">
        <v>41</v>
      </c>
      <c r="M592">
        <v>0.63</v>
      </c>
      <c r="N592" t="s">
        <v>82</v>
      </c>
      <c r="O592" t="s">
        <v>25</v>
      </c>
      <c r="P592">
        <v>16</v>
      </c>
      <c r="Q592">
        <v>6</v>
      </c>
    </row>
    <row r="593" spans="1:17" x14ac:dyDescent="0.3">
      <c r="A593" t="s">
        <v>1286</v>
      </c>
      <c r="B593" t="s">
        <v>1287</v>
      </c>
      <c r="C593" t="s">
        <v>50</v>
      </c>
      <c r="D593" t="s">
        <v>97</v>
      </c>
      <c r="E593">
        <v>52</v>
      </c>
      <c r="F593" t="s">
        <v>149</v>
      </c>
      <c r="G593" t="s">
        <v>30</v>
      </c>
      <c r="H593" t="s">
        <v>98</v>
      </c>
      <c r="I593">
        <v>22</v>
      </c>
      <c r="J593" t="s">
        <v>142</v>
      </c>
      <c r="K593">
        <v>0</v>
      </c>
      <c r="L593" t="s">
        <v>23</v>
      </c>
      <c r="N593" t="s">
        <v>88</v>
      </c>
      <c r="O593" t="s">
        <v>34</v>
      </c>
      <c r="P593">
        <v>14</v>
      </c>
      <c r="Q593">
        <v>10</v>
      </c>
    </row>
    <row r="594" spans="1:17" x14ac:dyDescent="0.3">
      <c r="A594" t="s">
        <v>1288</v>
      </c>
      <c r="B594" t="s">
        <v>1289</v>
      </c>
      <c r="C594" t="s">
        <v>50</v>
      </c>
      <c r="D594" t="s">
        <v>97</v>
      </c>
      <c r="E594">
        <v>24</v>
      </c>
      <c r="F594" t="s">
        <v>197</v>
      </c>
      <c r="G594" t="s">
        <v>198</v>
      </c>
      <c r="H594" t="s">
        <v>21</v>
      </c>
      <c r="I594">
        <v>5</v>
      </c>
      <c r="J594" t="s">
        <v>86</v>
      </c>
      <c r="K594">
        <v>1.8</v>
      </c>
      <c r="L594" t="s">
        <v>33</v>
      </c>
      <c r="M594">
        <v>0.86</v>
      </c>
      <c r="N594" t="s">
        <v>60</v>
      </c>
      <c r="O594" t="s">
        <v>34</v>
      </c>
      <c r="P594">
        <v>4</v>
      </c>
      <c r="Q594">
        <v>2</v>
      </c>
    </row>
    <row r="595" spans="1:17" x14ac:dyDescent="0.3">
      <c r="A595" t="s">
        <v>1290</v>
      </c>
      <c r="B595" t="s">
        <v>1291</v>
      </c>
      <c r="C595" t="s">
        <v>28</v>
      </c>
      <c r="D595" t="s">
        <v>97</v>
      </c>
      <c r="E595">
        <v>26</v>
      </c>
      <c r="F595" t="s">
        <v>29</v>
      </c>
      <c r="G595" t="s">
        <v>30</v>
      </c>
      <c r="H595" t="s">
        <v>39</v>
      </c>
      <c r="I595">
        <v>2</v>
      </c>
      <c r="J595" t="s">
        <v>67</v>
      </c>
      <c r="K595">
        <v>2.5</v>
      </c>
      <c r="L595" t="s">
        <v>87</v>
      </c>
      <c r="M595">
        <v>60</v>
      </c>
      <c r="N595" t="s">
        <v>82</v>
      </c>
      <c r="O595" t="s">
        <v>75</v>
      </c>
      <c r="P595">
        <v>5</v>
      </c>
      <c r="Q595">
        <v>1</v>
      </c>
    </row>
    <row r="596" spans="1:17" x14ac:dyDescent="0.3">
      <c r="A596" t="s">
        <v>1292</v>
      </c>
      <c r="B596" t="s">
        <v>1293</v>
      </c>
      <c r="C596" t="s">
        <v>113</v>
      </c>
      <c r="D596" t="s">
        <v>118</v>
      </c>
      <c r="E596">
        <v>55</v>
      </c>
      <c r="F596" t="s">
        <v>149</v>
      </c>
      <c r="G596" t="s">
        <v>30</v>
      </c>
      <c r="H596" t="s">
        <v>98</v>
      </c>
      <c r="I596">
        <v>24</v>
      </c>
      <c r="J596" t="s">
        <v>86</v>
      </c>
      <c r="K596">
        <v>2</v>
      </c>
      <c r="L596" t="s">
        <v>33</v>
      </c>
      <c r="M596">
        <v>88</v>
      </c>
      <c r="N596" t="s">
        <v>60</v>
      </c>
      <c r="O596" t="s">
        <v>25</v>
      </c>
      <c r="P596">
        <v>15</v>
      </c>
      <c r="Q596">
        <v>3</v>
      </c>
    </row>
    <row r="597" spans="1:17" x14ac:dyDescent="0.3">
      <c r="A597" t="s">
        <v>1294</v>
      </c>
      <c r="B597" t="s">
        <v>1295</v>
      </c>
      <c r="C597" t="s">
        <v>28</v>
      </c>
      <c r="D597" t="s">
        <v>97</v>
      </c>
      <c r="E597">
        <v>56</v>
      </c>
      <c r="F597" t="s">
        <v>19</v>
      </c>
      <c r="G597" t="s">
        <v>20</v>
      </c>
      <c r="H597" t="s">
        <v>31</v>
      </c>
      <c r="I597">
        <v>37</v>
      </c>
      <c r="J597" t="s">
        <v>86</v>
      </c>
      <c r="K597">
        <v>0</v>
      </c>
      <c r="L597" t="s">
        <v>41</v>
      </c>
      <c r="M597">
        <v>0.7</v>
      </c>
      <c r="N597" t="s">
        <v>88</v>
      </c>
      <c r="O597" t="s">
        <v>34</v>
      </c>
      <c r="P597">
        <v>11</v>
      </c>
      <c r="Q597">
        <v>9</v>
      </c>
    </row>
    <row r="598" spans="1:17" x14ac:dyDescent="0.3">
      <c r="A598" t="s">
        <v>1296</v>
      </c>
      <c r="B598" t="s">
        <v>1297</v>
      </c>
      <c r="C598" t="s">
        <v>63</v>
      </c>
      <c r="D598" t="s">
        <v>118</v>
      </c>
      <c r="E598">
        <v>36</v>
      </c>
      <c r="F598" t="s">
        <v>156</v>
      </c>
      <c r="G598" t="s">
        <v>157</v>
      </c>
      <c r="H598" t="s">
        <v>39</v>
      </c>
      <c r="I598">
        <v>3</v>
      </c>
      <c r="J598" t="s">
        <v>119</v>
      </c>
      <c r="K598">
        <v>1.3</v>
      </c>
      <c r="L598" t="s">
        <v>33</v>
      </c>
      <c r="M598">
        <v>0.77</v>
      </c>
      <c r="N598" t="s">
        <v>88</v>
      </c>
      <c r="O598" t="s">
        <v>75</v>
      </c>
      <c r="P598">
        <v>2</v>
      </c>
      <c r="Q598">
        <v>4</v>
      </c>
    </row>
    <row r="599" spans="1:17" x14ac:dyDescent="0.3">
      <c r="A599" t="s">
        <v>1298</v>
      </c>
      <c r="B599" t="s">
        <v>1299</v>
      </c>
      <c r="C599" t="s">
        <v>113</v>
      </c>
      <c r="D599" t="s">
        <v>118</v>
      </c>
      <c r="E599">
        <v>48</v>
      </c>
      <c r="F599" t="s">
        <v>91</v>
      </c>
      <c r="G599" t="s">
        <v>92</v>
      </c>
      <c r="H599" t="s">
        <v>46</v>
      </c>
      <c r="I599">
        <v>18</v>
      </c>
      <c r="J599" t="s">
        <v>103</v>
      </c>
      <c r="K599">
        <v>0</v>
      </c>
      <c r="L599" t="s">
        <v>23</v>
      </c>
      <c r="M599">
        <v>0.8</v>
      </c>
      <c r="N599" t="s">
        <v>82</v>
      </c>
      <c r="O599" t="s">
        <v>75</v>
      </c>
      <c r="P599">
        <v>20</v>
      </c>
      <c r="Q599">
        <v>5</v>
      </c>
    </row>
    <row r="600" spans="1:17" x14ac:dyDescent="0.3">
      <c r="A600" t="s">
        <v>1300</v>
      </c>
      <c r="B600" t="s">
        <v>1301</v>
      </c>
      <c r="C600" t="s">
        <v>118</v>
      </c>
      <c r="D600" t="s">
        <v>118</v>
      </c>
      <c r="E600">
        <v>55</v>
      </c>
      <c r="F600" t="s">
        <v>160</v>
      </c>
      <c r="G600" t="s">
        <v>161</v>
      </c>
      <c r="H600" t="s">
        <v>135</v>
      </c>
      <c r="I600">
        <v>6</v>
      </c>
      <c r="J600" t="s">
        <v>47</v>
      </c>
      <c r="K600">
        <v>3.6</v>
      </c>
      <c r="L600" t="s">
        <v>94</v>
      </c>
      <c r="N600" t="s">
        <v>88</v>
      </c>
      <c r="O600" t="s">
        <v>75</v>
      </c>
      <c r="P600">
        <v>13</v>
      </c>
      <c r="Q600">
        <v>3</v>
      </c>
    </row>
    <row r="601" spans="1:17" x14ac:dyDescent="0.3">
      <c r="A601" t="s">
        <v>1302</v>
      </c>
      <c r="B601" t="s">
        <v>1303</v>
      </c>
      <c r="C601" t="s">
        <v>50</v>
      </c>
      <c r="D601" t="s">
        <v>97</v>
      </c>
      <c r="E601">
        <v>56</v>
      </c>
      <c r="F601" t="s">
        <v>212</v>
      </c>
      <c r="G601" t="s">
        <v>92</v>
      </c>
      <c r="H601" t="s">
        <v>110</v>
      </c>
      <c r="I601">
        <v>17</v>
      </c>
      <c r="J601" t="s">
        <v>51</v>
      </c>
      <c r="K601">
        <v>1.3</v>
      </c>
      <c r="L601" t="s">
        <v>51</v>
      </c>
      <c r="M601">
        <v>0.87</v>
      </c>
      <c r="N601" t="s">
        <v>60</v>
      </c>
      <c r="O601" t="s">
        <v>34</v>
      </c>
      <c r="P601">
        <v>12</v>
      </c>
      <c r="Q601">
        <v>5</v>
      </c>
    </row>
    <row r="602" spans="1:17" x14ac:dyDescent="0.3">
      <c r="A602" t="s">
        <v>1304</v>
      </c>
      <c r="B602" t="s">
        <v>1305</v>
      </c>
      <c r="C602" t="s">
        <v>97</v>
      </c>
      <c r="D602" t="s">
        <v>97</v>
      </c>
      <c r="E602">
        <v>28</v>
      </c>
      <c r="F602" t="s">
        <v>149</v>
      </c>
      <c r="G602" t="s">
        <v>30</v>
      </c>
      <c r="H602" t="s">
        <v>21</v>
      </c>
      <c r="I602">
        <v>1</v>
      </c>
      <c r="J602" t="s">
        <v>103</v>
      </c>
      <c r="K602">
        <v>2.7</v>
      </c>
      <c r="L602" t="s">
        <v>74</v>
      </c>
      <c r="M602">
        <v>0.93</v>
      </c>
      <c r="N602" t="s">
        <v>88</v>
      </c>
      <c r="O602" t="s">
        <v>25</v>
      </c>
      <c r="P602">
        <v>1</v>
      </c>
      <c r="Q602">
        <v>2</v>
      </c>
    </row>
    <row r="603" spans="1:17" x14ac:dyDescent="0.3">
      <c r="A603" t="s">
        <v>1306</v>
      </c>
      <c r="B603" t="s">
        <v>1307</v>
      </c>
      <c r="C603" t="s">
        <v>37</v>
      </c>
      <c r="D603" t="s">
        <v>118</v>
      </c>
      <c r="E603">
        <v>60</v>
      </c>
      <c r="F603" t="s">
        <v>73</v>
      </c>
      <c r="G603" t="s">
        <v>30</v>
      </c>
      <c r="H603" t="s">
        <v>57</v>
      </c>
      <c r="I603">
        <v>39</v>
      </c>
      <c r="J603" t="s">
        <v>32</v>
      </c>
      <c r="K603">
        <v>1.5</v>
      </c>
      <c r="L603" t="s">
        <v>51</v>
      </c>
      <c r="M603">
        <v>88</v>
      </c>
      <c r="N603" t="s">
        <v>60</v>
      </c>
      <c r="O603" t="s">
        <v>42</v>
      </c>
      <c r="P603">
        <v>19</v>
      </c>
      <c r="Q603">
        <v>4</v>
      </c>
    </row>
    <row r="604" spans="1:17" x14ac:dyDescent="0.3">
      <c r="A604" t="s">
        <v>1308</v>
      </c>
      <c r="B604" t="s">
        <v>1309</v>
      </c>
      <c r="C604" t="s">
        <v>37</v>
      </c>
      <c r="D604" t="s">
        <v>118</v>
      </c>
      <c r="E604">
        <v>34</v>
      </c>
      <c r="F604" t="s">
        <v>133</v>
      </c>
      <c r="G604" t="s">
        <v>134</v>
      </c>
      <c r="H604" t="s">
        <v>21</v>
      </c>
      <c r="I604">
        <v>15</v>
      </c>
      <c r="J604" t="s">
        <v>162</v>
      </c>
      <c r="K604">
        <v>0</v>
      </c>
      <c r="L604" t="s">
        <v>23</v>
      </c>
      <c r="M604">
        <v>1</v>
      </c>
      <c r="N604" t="s">
        <v>60</v>
      </c>
      <c r="O604" t="s">
        <v>75</v>
      </c>
      <c r="P604">
        <v>13</v>
      </c>
      <c r="Q604">
        <v>3</v>
      </c>
    </row>
    <row r="605" spans="1:17" x14ac:dyDescent="0.3">
      <c r="A605" t="s">
        <v>1310</v>
      </c>
      <c r="B605" t="s">
        <v>1311</v>
      </c>
      <c r="C605" t="s">
        <v>50</v>
      </c>
      <c r="D605" t="s">
        <v>97</v>
      </c>
      <c r="E605">
        <v>38</v>
      </c>
      <c r="F605" t="s">
        <v>64</v>
      </c>
      <c r="G605" t="s">
        <v>65</v>
      </c>
      <c r="H605" t="s">
        <v>57</v>
      </c>
      <c r="I605">
        <v>13</v>
      </c>
      <c r="J605" t="s">
        <v>47</v>
      </c>
      <c r="K605">
        <v>0</v>
      </c>
      <c r="L605" t="s">
        <v>33</v>
      </c>
      <c r="M605">
        <v>61</v>
      </c>
      <c r="N605" t="s">
        <v>88</v>
      </c>
      <c r="O605" t="s">
        <v>34</v>
      </c>
      <c r="P605">
        <v>13</v>
      </c>
      <c r="Q605">
        <v>2</v>
      </c>
    </row>
    <row r="606" spans="1:17" x14ac:dyDescent="0.3">
      <c r="A606" t="s">
        <v>1312</v>
      </c>
      <c r="B606" t="s">
        <v>1313</v>
      </c>
      <c r="C606" t="s">
        <v>28</v>
      </c>
      <c r="D606" t="s">
        <v>97</v>
      </c>
      <c r="E606">
        <v>51</v>
      </c>
      <c r="F606" t="s">
        <v>133</v>
      </c>
      <c r="G606" t="s">
        <v>134</v>
      </c>
      <c r="H606" t="s">
        <v>46</v>
      </c>
      <c r="I606">
        <v>17</v>
      </c>
      <c r="J606" t="s">
        <v>22</v>
      </c>
      <c r="K606">
        <v>3</v>
      </c>
      <c r="L606" t="s">
        <v>59</v>
      </c>
      <c r="M606">
        <v>0.79</v>
      </c>
      <c r="N606" t="s">
        <v>82</v>
      </c>
      <c r="O606" t="s">
        <v>34</v>
      </c>
      <c r="P606">
        <v>13</v>
      </c>
      <c r="Q606">
        <v>1</v>
      </c>
    </row>
    <row r="607" spans="1:17" x14ac:dyDescent="0.3">
      <c r="A607" t="s">
        <v>1314</v>
      </c>
      <c r="B607" t="s">
        <v>1315</v>
      </c>
      <c r="C607" t="s">
        <v>18</v>
      </c>
      <c r="D607" t="s">
        <v>97</v>
      </c>
      <c r="E607">
        <v>21</v>
      </c>
      <c r="F607" t="s">
        <v>106</v>
      </c>
      <c r="G607" t="s">
        <v>107</v>
      </c>
      <c r="H607" t="s">
        <v>31</v>
      </c>
      <c r="I607">
        <v>1</v>
      </c>
      <c r="J607" t="s">
        <v>52</v>
      </c>
      <c r="K607">
        <v>1.2</v>
      </c>
      <c r="L607" t="s">
        <v>51</v>
      </c>
      <c r="M607">
        <v>0.73</v>
      </c>
      <c r="N607" t="s">
        <v>24</v>
      </c>
      <c r="O607" t="s">
        <v>42</v>
      </c>
      <c r="P607">
        <v>1</v>
      </c>
      <c r="Q607">
        <v>1</v>
      </c>
    </row>
    <row r="608" spans="1:17" x14ac:dyDescent="0.3">
      <c r="A608" t="s">
        <v>1316</v>
      </c>
      <c r="B608" t="s">
        <v>1317</v>
      </c>
      <c r="C608" t="s">
        <v>113</v>
      </c>
      <c r="D608" t="s">
        <v>118</v>
      </c>
      <c r="E608">
        <v>35</v>
      </c>
      <c r="F608" t="s">
        <v>19</v>
      </c>
      <c r="G608" t="s">
        <v>20</v>
      </c>
      <c r="H608" t="s">
        <v>93</v>
      </c>
      <c r="I608">
        <v>16</v>
      </c>
      <c r="J608" t="s">
        <v>51</v>
      </c>
      <c r="K608">
        <v>1.3</v>
      </c>
      <c r="L608" t="s">
        <v>33</v>
      </c>
      <c r="M608">
        <v>0.64</v>
      </c>
      <c r="N608" t="s">
        <v>88</v>
      </c>
      <c r="O608" t="s">
        <v>42</v>
      </c>
      <c r="P608">
        <v>12</v>
      </c>
      <c r="Q608">
        <v>18</v>
      </c>
    </row>
    <row r="609" spans="1:17" x14ac:dyDescent="0.3">
      <c r="A609" t="s">
        <v>1318</v>
      </c>
      <c r="B609" t="s">
        <v>1319</v>
      </c>
      <c r="C609" t="s">
        <v>113</v>
      </c>
      <c r="D609" t="s">
        <v>118</v>
      </c>
      <c r="E609">
        <v>27</v>
      </c>
      <c r="F609" t="s">
        <v>128</v>
      </c>
      <c r="G609" t="s">
        <v>129</v>
      </c>
      <c r="H609" t="s">
        <v>46</v>
      </c>
      <c r="I609">
        <v>9</v>
      </c>
      <c r="J609" t="s">
        <v>251</v>
      </c>
      <c r="L609" t="s">
        <v>74</v>
      </c>
      <c r="N609" t="s">
        <v>60</v>
      </c>
      <c r="O609" t="s">
        <v>34</v>
      </c>
      <c r="P609">
        <v>13</v>
      </c>
      <c r="Q609">
        <v>6</v>
      </c>
    </row>
    <row r="610" spans="1:17" x14ac:dyDescent="0.3">
      <c r="A610" t="s">
        <v>1320</v>
      </c>
      <c r="B610" t="s">
        <v>1321</v>
      </c>
      <c r="C610" t="s">
        <v>28</v>
      </c>
      <c r="D610" t="s">
        <v>97</v>
      </c>
      <c r="E610">
        <v>42</v>
      </c>
      <c r="F610" t="s">
        <v>79</v>
      </c>
      <c r="G610" t="s">
        <v>80</v>
      </c>
      <c r="H610" t="s">
        <v>31</v>
      </c>
      <c r="I610">
        <v>20</v>
      </c>
      <c r="J610" t="s">
        <v>119</v>
      </c>
      <c r="K610">
        <v>3.8</v>
      </c>
      <c r="L610" t="s">
        <v>41</v>
      </c>
      <c r="M610">
        <v>0.93</v>
      </c>
      <c r="N610" t="s">
        <v>60</v>
      </c>
      <c r="O610" t="s">
        <v>25</v>
      </c>
      <c r="P610">
        <v>10</v>
      </c>
      <c r="Q610">
        <v>14</v>
      </c>
    </row>
    <row r="611" spans="1:17" x14ac:dyDescent="0.3">
      <c r="A611" t="s">
        <v>1322</v>
      </c>
      <c r="B611" t="s">
        <v>1323</v>
      </c>
      <c r="C611" t="s">
        <v>45</v>
      </c>
      <c r="D611" t="s">
        <v>97</v>
      </c>
      <c r="E611">
        <v>52</v>
      </c>
      <c r="F611" t="s">
        <v>149</v>
      </c>
      <c r="G611" t="s">
        <v>30</v>
      </c>
      <c r="H611" t="s">
        <v>21</v>
      </c>
      <c r="I611">
        <v>29</v>
      </c>
      <c r="J611" t="s">
        <v>52</v>
      </c>
      <c r="K611">
        <v>3.8</v>
      </c>
      <c r="L611" t="s">
        <v>23</v>
      </c>
      <c r="M611">
        <v>0.68</v>
      </c>
      <c r="N611" t="s">
        <v>88</v>
      </c>
      <c r="O611" t="s">
        <v>42</v>
      </c>
      <c r="P611">
        <v>14</v>
      </c>
      <c r="Q611">
        <v>7</v>
      </c>
    </row>
    <row r="612" spans="1:17" x14ac:dyDescent="0.3">
      <c r="A612" t="s">
        <v>1324</v>
      </c>
      <c r="B612" t="s">
        <v>1325</v>
      </c>
      <c r="C612" t="s">
        <v>37</v>
      </c>
      <c r="D612" t="s">
        <v>118</v>
      </c>
      <c r="E612">
        <v>53</v>
      </c>
      <c r="F612" t="s">
        <v>133</v>
      </c>
      <c r="G612" t="s">
        <v>134</v>
      </c>
      <c r="H612" t="s">
        <v>46</v>
      </c>
      <c r="I612">
        <v>21</v>
      </c>
      <c r="J612" t="s">
        <v>86</v>
      </c>
      <c r="K612">
        <v>4.7</v>
      </c>
      <c r="L612" t="s">
        <v>33</v>
      </c>
      <c r="M612">
        <v>0.62</v>
      </c>
      <c r="N612" t="s">
        <v>82</v>
      </c>
      <c r="O612" t="s">
        <v>34</v>
      </c>
      <c r="P612">
        <v>19</v>
      </c>
      <c r="Q612">
        <v>15</v>
      </c>
    </row>
    <row r="613" spans="1:17" x14ac:dyDescent="0.3">
      <c r="A613" t="s">
        <v>1326</v>
      </c>
      <c r="B613" t="s">
        <v>1327</v>
      </c>
      <c r="C613" t="s">
        <v>28</v>
      </c>
      <c r="D613" t="s">
        <v>97</v>
      </c>
      <c r="E613">
        <v>54</v>
      </c>
      <c r="F613" t="s">
        <v>19</v>
      </c>
      <c r="G613" t="s">
        <v>20</v>
      </c>
      <c r="H613" t="s">
        <v>31</v>
      </c>
      <c r="I613">
        <v>28</v>
      </c>
      <c r="J613" t="s">
        <v>70</v>
      </c>
      <c r="K613">
        <v>1.1000000000000001</v>
      </c>
      <c r="L613" t="s">
        <v>181</v>
      </c>
      <c r="N613" t="s">
        <v>82</v>
      </c>
      <c r="O613" t="s">
        <v>42</v>
      </c>
      <c r="P613">
        <v>13</v>
      </c>
      <c r="Q613">
        <v>2</v>
      </c>
    </row>
    <row r="614" spans="1:17" x14ac:dyDescent="0.3">
      <c r="A614" t="s">
        <v>1328</v>
      </c>
      <c r="B614" t="s">
        <v>1329</v>
      </c>
      <c r="C614" t="s">
        <v>78</v>
      </c>
      <c r="D614" t="s">
        <v>118</v>
      </c>
      <c r="E614">
        <v>51</v>
      </c>
      <c r="F614" t="s">
        <v>106</v>
      </c>
      <c r="G614" t="s">
        <v>107</v>
      </c>
      <c r="H614" t="s">
        <v>39</v>
      </c>
      <c r="I614">
        <v>5</v>
      </c>
      <c r="J614" t="s">
        <v>40</v>
      </c>
      <c r="K614">
        <v>4.2</v>
      </c>
      <c r="L614" t="s">
        <v>33</v>
      </c>
      <c r="M614">
        <v>0.82</v>
      </c>
      <c r="N614" t="s">
        <v>60</v>
      </c>
      <c r="O614" t="s">
        <v>25</v>
      </c>
      <c r="P614">
        <v>4</v>
      </c>
      <c r="Q614">
        <v>2</v>
      </c>
    </row>
    <row r="615" spans="1:17" x14ac:dyDescent="0.3">
      <c r="A615" t="s">
        <v>1330</v>
      </c>
      <c r="B615" t="s">
        <v>1331</v>
      </c>
      <c r="C615" t="s">
        <v>18</v>
      </c>
      <c r="D615" t="s">
        <v>97</v>
      </c>
      <c r="E615">
        <v>30</v>
      </c>
      <c r="F615" t="s">
        <v>133</v>
      </c>
      <c r="G615" t="s">
        <v>134</v>
      </c>
      <c r="H615" t="s">
        <v>46</v>
      </c>
      <c r="I615">
        <v>0</v>
      </c>
      <c r="J615" t="s">
        <v>51</v>
      </c>
      <c r="K615">
        <v>0</v>
      </c>
      <c r="L615" t="s">
        <v>23</v>
      </c>
      <c r="N615" t="s">
        <v>60</v>
      </c>
      <c r="O615" t="s">
        <v>75</v>
      </c>
      <c r="P615">
        <v>1</v>
      </c>
      <c r="Q615">
        <v>5</v>
      </c>
    </row>
    <row r="616" spans="1:17" x14ac:dyDescent="0.3">
      <c r="A616" t="s">
        <v>1332</v>
      </c>
      <c r="B616" t="s">
        <v>1333</v>
      </c>
      <c r="C616" t="s">
        <v>97</v>
      </c>
      <c r="D616" t="s">
        <v>97</v>
      </c>
      <c r="E616">
        <v>45</v>
      </c>
      <c r="F616" t="s">
        <v>55</v>
      </c>
      <c r="G616" t="s">
        <v>56</v>
      </c>
      <c r="H616" t="s">
        <v>135</v>
      </c>
      <c r="I616">
        <v>27</v>
      </c>
      <c r="J616" t="s">
        <v>67</v>
      </c>
      <c r="K616">
        <v>0</v>
      </c>
      <c r="L616" t="s">
        <v>51</v>
      </c>
      <c r="M616">
        <v>0.85</v>
      </c>
      <c r="N616" t="s">
        <v>82</v>
      </c>
      <c r="O616" t="s">
        <v>42</v>
      </c>
      <c r="P616">
        <v>20</v>
      </c>
      <c r="Q616">
        <v>2</v>
      </c>
    </row>
    <row r="617" spans="1:17" x14ac:dyDescent="0.3">
      <c r="A617" t="s">
        <v>1334</v>
      </c>
      <c r="B617" t="s">
        <v>1335</v>
      </c>
      <c r="C617" t="s">
        <v>37</v>
      </c>
      <c r="D617" t="s">
        <v>118</v>
      </c>
      <c r="E617">
        <v>57</v>
      </c>
      <c r="F617" t="s">
        <v>64</v>
      </c>
      <c r="G617" t="s">
        <v>65</v>
      </c>
      <c r="H617" t="s">
        <v>39</v>
      </c>
      <c r="I617">
        <v>26</v>
      </c>
      <c r="J617" t="s">
        <v>32</v>
      </c>
      <c r="K617">
        <v>2.4</v>
      </c>
      <c r="L617" t="s">
        <v>33</v>
      </c>
      <c r="M617">
        <v>0.78</v>
      </c>
      <c r="N617" t="s">
        <v>24</v>
      </c>
      <c r="O617" t="s">
        <v>25</v>
      </c>
      <c r="P617">
        <v>13</v>
      </c>
      <c r="Q617">
        <v>11</v>
      </c>
    </row>
    <row r="618" spans="1:17" x14ac:dyDescent="0.3">
      <c r="A618" t="s">
        <v>1336</v>
      </c>
      <c r="B618" t="s">
        <v>1337</v>
      </c>
      <c r="C618" t="s">
        <v>118</v>
      </c>
      <c r="D618" t="s">
        <v>118</v>
      </c>
      <c r="E618">
        <v>38</v>
      </c>
      <c r="F618" t="s">
        <v>79</v>
      </c>
      <c r="G618" t="s">
        <v>80</v>
      </c>
      <c r="H618" t="s">
        <v>21</v>
      </c>
      <c r="I618">
        <v>19</v>
      </c>
      <c r="J618" t="s">
        <v>86</v>
      </c>
      <c r="K618">
        <v>0</v>
      </c>
      <c r="L618" t="s">
        <v>33</v>
      </c>
      <c r="M618">
        <v>0.86</v>
      </c>
      <c r="N618" t="s">
        <v>88</v>
      </c>
      <c r="O618" t="s">
        <v>34</v>
      </c>
      <c r="P618">
        <v>17</v>
      </c>
      <c r="Q618">
        <v>5</v>
      </c>
    </row>
    <row r="619" spans="1:17" x14ac:dyDescent="0.3">
      <c r="A619" t="s">
        <v>1338</v>
      </c>
      <c r="B619" t="s">
        <v>1339</v>
      </c>
      <c r="C619" t="s">
        <v>28</v>
      </c>
      <c r="D619" t="s">
        <v>97</v>
      </c>
      <c r="E619">
        <v>42</v>
      </c>
      <c r="F619" t="s">
        <v>145</v>
      </c>
      <c r="G619" t="s">
        <v>146</v>
      </c>
      <c r="H619" t="s">
        <v>110</v>
      </c>
      <c r="I619">
        <v>24</v>
      </c>
      <c r="J619" t="s">
        <v>70</v>
      </c>
      <c r="L619" t="s">
        <v>59</v>
      </c>
      <c r="M619">
        <v>0.88</v>
      </c>
      <c r="N619" t="s">
        <v>60</v>
      </c>
      <c r="O619" t="s">
        <v>42</v>
      </c>
      <c r="P619">
        <v>12</v>
      </c>
      <c r="Q619">
        <v>3</v>
      </c>
    </row>
    <row r="620" spans="1:17" x14ac:dyDescent="0.3">
      <c r="A620" t="s">
        <v>1340</v>
      </c>
      <c r="B620" t="s">
        <v>1341</v>
      </c>
      <c r="C620" t="s">
        <v>97</v>
      </c>
      <c r="D620" t="s">
        <v>97</v>
      </c>
      <c r="E620">
        <v>30</v>
      </c>
      <c r="F620" t="s">
        <v>175</v>
      </c>
      <c r="G620" t="s">
        <v>176</v>
      </c>
      <c r="H620" t="s">
        <v>110</v>
      </c>
      <c r="I620">
        <v>7</v>
      </c>
      <c r="J620" t="s">
        <v>52</v>
      </c>
      <c r="K620">
        <v>3.3</v>
      </c>
      <c r="L620" t="s">
        <v>51</v>
      </c>
      <c r="M620">
        <v>0.68</v>
      </c>
      <c r="N620" t="s">
        <v>60</v>
      </c>
      <c r="O620" t="s">
        <v>42</v>
      </c>
      <c r="P620">
        <v>8</v>
      </c>
      <c r="Q620">
        <v>14</v>
      </c>
    </row>
    <row r="621" spans="1:17" x14ac:dyDescent="0.3">
      <c r="A621" t="s">
        <v>1342</v>
      </c>
      <c r="B621" t="s">
        <v>1343</v>
      </c>
      <c r="C621" t="s">
        <v>50</v>
      </c>
      <c r="D621" t="s">
        <v>97</v>
      </c>
      <c r="E621">
        <v>43</v>
      </c>
      <c r="F621" t="s">
        <v>29</v>
      </c>
      <c r="G621" t="s">
        <v>30</v>
      </c>
      <c r="H621" t="s">
        <v>46</v>
      </c>
      <c r="I621">
        <v>13</v>
      </c>
      <c r="J621" t="s">
        <v>251</v>
      </c>
      <c r="K621">
        <v>1.4</v>
      </c>
      <c r="L621" t="s">
        <v>33</v>
      </c>
      <c r="M621">
        <v>0.97</v>
      </c>
      <c r="N621" t="s">
        <v>82</v>
      </c>
      <c r="O621" t="s">
        <v>34</v>
      </c>
      <c r="P621">
        <v>7</v>
      </c>
      <c r="Q621">
        <v>4</v>
      </c>
    </row>
    <row r="622" spans="1:17" x14ac:dyDescent="0.3">
      <c r="A622" t="s">
        <v>1344</v>
      </c>
      <c r="B622" t="s">
        <v>1345</v>
      </c>
      <c r="C622" t="s">
        <v>118</v>
      </c>
      <c r="D622" t="s">
        <v>118</v>
      </c>
      <c r="E622">
        <v>22</v>
      </c>
      <c r="F622" t="s">
        <v>160</v>
      </c>
      <c r="G622" t="s">
        <v>161</v>
      </c>
      <c r="H622" t="s">
        <v>93</v>
      </c>
      <c r="I622">
        <v>2</v>
      </c>
      <c r="J622" t="s">
        <v>192</v>
      </c>
      <c r="K622">
        <v>1.7</v>
      </c>
      <c r="L622" t="s">
        <v>181</v>
      </c>
      <c r="M622">
        <v>0.91</v>
      </c>
      <c r="N622" t="s">
        <v>88</v>
      </c>
      <c r="O622" t="s">
        <v>75</v>
      </c>
      <c r="P622">
        <v>5</v>
      </c>
      <c r="Q622">
        <v>1</v>
      </c>
    </row>
    <row r="623" spans="1:17" x14ac:dyDescent="0.3">
      <c r="A623" t="s">
        <v>1346</v>
      </c>
      <c r="B623" t="s">
        <v>1347</v>
      </c>
      <c r="C623" t="s">
        <v>113</v>
      </c>
      <c r="D623" t="s">
        <v>118</v>
      </c>
      <c r="E623">
        <v>57</v>
      </c>
      <c r="F623" t="s">
        <v>201</v>
      </c>
      <c r="G623" t="s">
        <v>92</v>
      </c>
      <c r="H623" t="s">
        <v>135</v>
      </c>
      <c r="I623">
        <v>37</v>
      </c>
      <c r="J623" t="s">
        <v>52</v>
      </c>
      <c r="K623">
        <v>4.8</v>
      </c>
      <c r="L623" t="s">
        <v>59</v>
      </c>
      <c r="N623" t="s">
        <v>82</v>
      </c>
      <c r="O623" t="s">
        <v>34</v>
      </c>
      <c r="P623">
        <v>10</v>
      </c>
      <c r="Q623">
        <v>7</v>
      </c>
    </row>
    <row r="624" spans="1:17" x14ac:dyDescent="0.3">
      <c r="A624" t="s">
        <v>1348</v>
      </c>
      <c r="B624" t="s">
        <v>1349</v>
      </c>
      <c r="C624" t="s">
        <v>78</v>
      </c>
      <c r="D624" t="s">
        <v>118</v>
      </c>
      <c r="E624">
        <v>44</v>
      </c>
      <c r="F624" t="s">
        <v>85</v>
      </c>
      <c r="G624" t="s">
        <v>30</v>
      </c>
      <c r="H624" t="s">
        <v>39</v>
      </c>
      <c r="I624">
        <v>1</v>
      </c>
      <c r="J624" t="s">
        <v>51</v>
      </c>
      <c r="K624">
        <v>4.8</v>
      </c>
      <c r="L624" t="s">
        <v>41</v>
      </c>
      <c r="M624">
        <v>0.97</v>
      </c>
      <c r="N624" t="s">
        <v>88</v>
      </c>
      <c r="O624" t="s">
        <v>42</v>
      </c>
      <c r="P624">
        <v>1</v>
      </c>
      <c r="Q624">
        <v>1</v>
      </c>
    </row>
    <row r="625" spans="1:17" x14ac:dyDescent="0.3">
      <c r="A625" t="s">
        <v>1350</v>
      </c>
      <c r="B625" t="s">
        <v>1351</v>
      </c>
      <c r="C625" t="s">
        <v>50</v>
      </c>
      <c r="D625" t="s">
        <v>97</v>
      </c>
      <c r="E625">
        <v>46</v>
      </c>
      <c r="F625" t="s">
        <v>197</v>
      </c>
      <c r="G625" t="s">
        <v>198</v>
      </c>
      <c r="H625" t="s">
        <v>110</v>
      </c>
      <c r="I625">
        <v>5</v>
      </c>
      <c r="J625" t="s">
        <v>130</v>
      </c>
      <c r="K625">
        <v>2</v>
      </c>
      <c r="L625" t="s">
        <v>87</v>
      </c>
      <c r="M625">
        <v>0.64</v>
      </c>
      <c r="N625" t="s">
        <v>88</v>
      </c>
      <c r="O625" t="s">
        <v>34</v>
      </c>
      <c r="P625">
        <v>3</v>
      </c>
      <c r="Q625">
        <v>1</v>
      </c>
    </row>
    <row r="626" spans="1:17" x14ac:dyDescent="0.3">
      <c r="A626" t="s">
        <v>1352</v>
      </c>
      <c r="B626" t="s">
        <v>1353</v>
      </c>
      <c r="C626" t="s">
        <v>118</v>
      </c>
      <c r="D626" t="s">
        <v>118</v>
      </c>
      <c r="F626" t="s">
        <v>212</v>
      </c>
      <c r="G626" t="s">
        <v>92</v>
      </c>
      <c r="H626" t="s">
        <v>21</v>
      </c>
      <c r="I626">
        <v>1</v>
      </c>
      <c r="J626" t="s">
        <v>119</v>
      </c>
      <c r="K626">
        <v>2.8</v>
      </c>
      <c r="L626" t="s">
        <v>181</v>
      </c>
      <c r="M626">
        <v>0.87</v>
      </c>
      <c r="N626" t="s">
        <v>88</v>
      </c>
      <c r="O626" t="s">
        <v>25</v>
      </c>
      <c r="P626">
        <v>3</v>
      </c>
      <c r="Q626">
        <v>1</v>
      </c>
    </row>
    <row r="627" spans="1:17" x14ac:dyDescent="0.3">
      <c r="A627" t="s">
        <v>1354</v>
      </c>
      <c r="B627" t="s">
        <v>1355</v>
      </c>
      <c r="C627" t="s">
        <v>97</v>
      </c>
      <c r="D627" t="s">
        <v>97</v>
      </c>
      <c r="E627">
        <v>34</v>
      </c>
      <c r="F627" t="s">
        <v>29</v>
      </c>
      <c r="G627" t="s">
        <v>30</v>
      </c>
      <c r="H627" t="s">
        <v>66</v>
      </c>
      <c r="I627">
        <v>2</v>
      </c>
      <c r="J627" t="s">
        <v>22</v>
      </c>
      <c r="K627">
        <v>0</v>
      </c>
      <c r="L627" t="s">
        <v>23</v>
      </c>
      <c r="M627">
        <v>86</v>
      </c>
      <c r="N627" t="s">
        <v>60</v>
      </c>
      <c r="O627" t="s">
        <v>34</v>
      </c>
      <c r="P627">
        <v>5</v>
      </c>
      <c r="Q627">
        <v>1</v>
      </c>
    </row>
    <row r="628" spans="1:17" x14ac:dyDescent="0.3">
      <c r="A628" t="s">
        <v>1356</v>
      </c>
      <c r="B628" t="s">
        <v>1357</v>
      </c>
      <c r="C628" t="s">
        <v>45</v>
      </c>
      <c r="D628" t="s">
        <v>97</v>
      </c>
      <c r="E628">
        <v>46</v>
      </c>
      <c r="F628" t="s">
        <v>19</v>
      </c>
      <c r="G628" t="s">
        <v>20</v>
      </c>
      <c r="H628" t="s">
        <v>31</v>
      </c>
      <c r="J628" t="s">
        <v>251</v>
      </c>
      <c r="K628">
        <v>4.4000000000000004</v>
      </c>
      <c r="L628" t="s">
        <v>33</v>
      </c>
      <c r="M628">
        <v>97</v>
      </c>
      <c r="N628" t="s">
        <v>24</v>
      </c>
      <c r="O628" t="s">
        <v>42</v>
      </c>
      <c r="P628">
        <v>2</v>
      </c>
      <c r="Q628">
        <v>3</v>
      </c>
    </row>
    <row r="629" spans="1:17" x14ac:dyDescent="0.3">
      <c r="A629" t="s">
        <v>1358</v>
      </c>
      <c r="B629" t="s">
        <v>1359</v>
      </c>
      <c r="C629" t="s">
        <v>18</v>
      </c>
      <c r="D629" t="s">
        <v>97</v>
      </c>
      <c r="E629">
        <v>22</v>
      </c>
      <c r="F629" t="s">
        <v>156</v>
      </c>
      <c r="G629" t="s">
        <v>157</v>
      </c>
      <c r="H629" t="s">
        <v>21</v>
      </c>
      <c r="I629">
        <v>0</v>
      </c>
      <c r="J629" t="s">
        <v>130</v>
      </c>
      <c r="K629">
        <v>4.9000000000000004</v>
      </c>
      <c r="L629" t="s">
        <v>59</v>
      </c>
      <c r="M629">
        <v>0.73</v>
      </c>
      <c r="N629" t="s">
        <v>82</v>
      </c>
      <c r="O629" t="s">
        <v>34</v>
      </c>
      <c r="P629">
        <v>3</v>
      </c>
      <c r="Q629">
        <v>2</v>
      </c>
    </row>
    <row r="630" spans="1:17" x14ac:dyDescent="0.3">
      <c r="A630" t="s">
        <v>1360</v>
      </c>
      <c r="B630" t="s">
        <v>1361</v>
      </c>
      <c r="C630" t="s">
        <v>50</v>
      </c>
      <c r="D630" t="s">
        <v>97</v>
      </c>
      <c r="E630">
        <v>23</v>
      </c>
      <c r="F630" t="s">
        <v>175</v>
      </c>
      <c r="G630" t="s">
        <v>176</v>
      </c>
      <c r="H630" t="s">
        <v>57</v>
      </c>
      <c r="I630">
        <v>0</v>
      </c>
      <c r="J630" t="s">
        <v>67</v>
      </c>
      <c r="K630">
        <v>2.2999999999999998</v>
      </c>
      <c r="L630" t="s">
        <v>51</v>
      </c>
      <c r="M630">
        <v>0.6</v>
      </c>
      <c r="N630" t="s">
        <v>24</v>
      </c>
      <c r="O630" t="s">
        <v>75</v>
      </c>
      <c r="P630">
        <v>4</v>
      </c>
      <c r="Q630">
        <v>1</v>
      </c>
    </row>
    <row r="631" spans="1:17" x14ac:dyDescent="0.3">
      <c r="A631" t="s">
        <v>1362</v>
      </c>
      <c r="B631" t="s">
        <v>1363</v>
      </c>
      <c r="C631" t="s">
        <v>45</v>
      </c>
      <c r="D631" t="s">
        <v>97</v>
      </c>
      <c r="E631">
        <v>60</v>
      </c>
      <c r="F631" t="s">
        <v>79</v>
      </c>
      <c r="G631" t="s">
        <v>80</v>
      </c>
      <c r="H631" t="s">
        <v>46</v>
      </c>
      <c r="I631">
        <v>41</v>
      </c>
      <c r="J631" t="s">
        <v>47</v>
      </c>
      <c r="K631">
        <v>4.9000000000000004</v>
      </c>
      <c r="L631" t="s">
        <v>33</v>
      </c>
      <c r="M631">
        <v>66</v>
      </c>
      <c r="N631" t="s">
        <v>82</v>
      </c>
      <c r="O631" t="s">
        <v>34</v>
      </c>
      <c r="P631">
        <v>20</v>
      </c>
      <c r="Q631">
        <v>19</v>
      </c>
    </row>
    <row r="632" spans="1:17" x14ac:dyDescent="0.3">
      <c r="A632" t="s">
        <v>1364</v>
      </c>
      <c r="B632" t="s">
        <v>1365</v>
      </c>
      <c r="C632" t="s">
        <v>63</v>
      </c>
      <c r="D632" t="s">
        <v>118</v>
      </c>
      <c r="E632">
        <v>20</v>
      </c>
      <c r="F632" t="s">
        <v>149</v>
      </c>
      <c r="G632" t="s">
        <v>30</v>
      </c>
      <c r="H632" t="s">
        <v>110</v>
      </c>
      <c r="J632" t="s">
        <v>192</v>
      </c>
      <c r="K632">
        <v>4.3</v>
      </c>
      <c r="L632" t="s">
        <v>23</v>
      </c>
      <c r="M632">
        <v>0.9</v>
      </c>
      <c r="N632" t="s">
        <v>88</v>
      </c>
      <c r="O632" t="s">
        <v>75</v>
      </c>
      <c r="P632">
        <v>1</v>
      </c>
      <c r="Q632">
        <v>2</v>
      </c>
    </row>
    <row r="633" spans="1:17" x14ac:dyDescent="0.3">
      <c r="A633" t="s">
        <v>1366</v>
      </c>
      <c r="B633" t="s">
        <v>1367</v>
      </c>
      <c r="C633" t="s">
        <v>18</v>
      </c>
      <c r="D633" t="s">
        <v>97</v>
      </c>
      <c r="E633">
        <v>41</v>
      </c>
      <c r="F633" t="s">
        <v>133</v>
      </c>
      <c r="G633" t="s">
        <v>134</v>
      </c>
      <c r="H633" t="s">
        <v>93</v>
      </c>
      <c r="I633">
        <v>23</v>
      </c>
      <c r="J633" t="s">
        <v>192</v>
      </c>
      <c r="K633">
        <v>1.4</v>
      </c>
      <c r="L633" t="s">
        <v>23</v>
      </c>
      <c r="N633" t="s">
        <v>60</v>
      </c>
      <c r="O633" t="s">
        <v>25</v>
      </c>
      <c r="P633">
        <v>11</v>
      </c>
      <c r="Q633">
        <v>4</v>
      </c>
    </row>
    <row r="634" spans="1:17" x14ac:dyDescent="0.3">
      <c r="A634" t="s">
        <v>1368</v>
      </c>
      <c r="B634" t="s">
        <v>1369</v>
      </c>
      <c r="C634" t="s">
        <v>63</v>
      </c>
      <c r="D634" t="s">
        <v>118</v>
      </c>
      <c r="E634">
        <v>24</v>
      </c>
      <c r="F634" t="s">
        <v>156</v>
      </c>
      <c r="G634" t="s">
        <v>157</v>
      </c>
      <c r="H634" t="s">
        <v>31</v>
      </c>
      <c r="I634">
        <v>0</v>
      </c>
      <c r="J634" t="s">
        <v>22</v>
      </c>
      <c r="L634" t="s">
        <v>181</v>
      </c>
      <c r="N634" t="s">
        <v>24</v>
      </c>
      <c r="O634" t="s">
        <v>75</v>
      </c>
      <c r="P634">
        <v>5</v>
      </c>
      <c r="Q634">
        <v>1</v>
      </c>
    </row>
    <row r="635" spans="1:17" x14ac:dyDescent="0.3">
      <c r="A635" t="s">
        <v>1370</v>
      </c>
      <c r="B635" t="s">
        <v>1371</v>
      </c>
      <c r="C635" t="s">
        <v>63</v>
      </c>
      <c r="D635" t="s">
        <v>118</v>
      </c>
      <c r="E635">
        <v>44</v>
      </c>
      <c r="F635" t="s">
        <v>55</v>
      </c>
      <c r="G635" t="s">
        <v>56</v>
      </c>
      <c r="H635" t="s">
        <v>135</v>
      </c>
      <c r="I635">
        <v>4</v>
      </c>
      <c r="J635" t="s">
        <v>51</v>
      </c>
      <c r="K635">
        <v>1.3</v>
      </c>
      <c r="L635" t="s">
        <v>87</v>
      </c>
      <c r="M635">
        <v>77</v>
      </c>
      <c r="N635" t="s">
        <v>60</v>
      </c>
      <c r="O635" t="s">
        <v>34</v>
      </c>
      <c r="P635">
        <v>3</v>
      </c>
      <c r="Q635">
        <v>3</v>
      </c>
    </row>
    <row r="636" spans="1:17" x14ac:dyDescent="0.3">
      <c r="A636" t="s">
        <v>1372</v>
      </c>
      <c r="B636" t="s">
        <v>1373</v>
      </c>
      <c r="C636" t="s">
        <v>78</v>
      </c>
      <c r="D636" t="s">
        <v>118</v>
      </c>
      <c r="E636">
        <v>52</v>
      </c>
      <c r="F636" t="s">
        <v>197</v>
      </c>
      <c r="G636" t="s">
        <v>198</v>
      </c>
      <c r="H636" t="s">
        <v>93</v>
      </c>
      <c r="I636">
        <v>4</v>
      </c>
      <c r="J636" t="s">
        <v>103</v>
      </c>
      <c r="K636">
        <v>2.2999999999999998</v>
      </c>
      <c r="L636" t="s">
        <v>33</v>
      </c>
      <c r="M636">
        <v>0.79</v>
      </c>
      <c r="N636" t="s">
        <v>82</v>
      </c>
      <c r="O636" t="s">
        <v>42</v>
      </c>
      <c r="P636">
        <v>1</v>
      </c>
      <c r="Q636">
        <v>2</v>
      </c>
    </row>
    <row r="637" spans="1:17" x14ac:dyDescent="0.3">
      <c r="A637" t="s">
        <v>1374</v>
      </c>
      <c r="B637" t="s">
        <v>1375</v>
      </c>
      <c r="C637" t="s">
        <v>113</v>
      </c>
      <c r="D637" t="s">
        <v>118</v>
      </c>
      <c r="E637">
        <v>35</v>
      </c>
      <c r="F637" t="s">
        <v>212</v>
      </c>
      <c r="G637" t="s">
        <v>92</v>
      </c>
      <c r="H637" t="s">
        <v>135</v>
      </c>
      <c r="I637">
        <v>13</v>
      </c>
      <c r="J637" t="s">
        <v>86</v>
      </c>
      <c r="K637">
        <v>3.6</v>
      </c>
      <c r="L637" t="s">
        <v>23</v>
      </c>
      <c r="M637">
        <v>0.83</v>
      </c>
      <c r="N637" t="s">
        <v>60</v>
      </c>
      <c r="O637" t="s">
        <v>75</v>
      </c>
      <c r="P637">
        <v>14</v>
      </c>
      <c r="Q637">
        <v>4</v>
      </c>
    </row>
    <row r="638" spans="1:17" x14ac:dyDescent="0.3">
      <c r="A638" t="s">
        <v>1376</v>
      </c>
      <c r="B638" t="s">
        <v>1377</v>
      </c>
      <c r="C638" t="s">
        <v>97</v>
      </c>
      <c r="D638" t="s">
        <v>97</v>
      </c>
      <c r="E638">
        <v>24</v>
      </c>
      <c r="F638" t="s">
        <v>55</v>
      </c>
      <c r="G638" t="s">
        <v>56</v>
      </c>
      <c r="H638" t="s">
        <v>110</v>
      </c>
      <c r="I638">
        <v>2</v>
      </c>
      <c r="J638" t="s">
        <v>81</v>
      </c>
      <c r="L638" t="s">
        <v>41</v>
      </c>
      <c r="M638">
        <v>0.64</v>
      </c>
      <c r="N638" t="s">
        <v>60</v>
      </c>
      <c r="O638" t="s">
        <v>25</v>
      </c>
      <c r="P638">
        <v>4</v>
      </c>
      <c r="Q638">
        <v>2</v>
      </c>
    </row>
    <row r="639" spans="1:17" x14ac:dyDescent="0.3">
      <c r="A639" t="s">
        <v>1378</v>
      </c>
      <c r="B639" t="s">
        <v>1379</v>
      </c>
      <c r="C639" t="s">
        <v>28</v>
      </c>
      <c r="D639" t="s">
        <v>97</v>
      </c>
      <c r="E639">
        <v>46</v>
      </c>
      <c r="F639" t="s">
        <v>29</v>
      </c>
      <c r="G639" t="s">
        <v>30</v>
      </c>
      <c r="H639" t="s">
        <v>98</v>
      </c>
      <c r="I639">
        <v>25</v>
      </c>
      <c r="J639" t="s">
        <v>251</v>
      </c>
      <c r="K639">
        <v>1.3</v>
      </c>
      <c r="L639" t="s">
        <v>181</v>
      </c>
      <c r="M639">
        <v>0.8</v>
      </c>
      <c r="N639" t="s">
        <v>24</v>
      </c>
      <c r="O639" t="s">
        <v>75</v>
      </c>
      <c r="P639">
        <v>18</v>
      </c>
      <c r="Q639">
        <v>5</v>
      </c>
    </row>
    <row r="640" spans="1:17" x14ac:dyDescent="0.3">
      <c r="A640" t="s">
        <v>1380</v>
      </c>
      <c r="B640" t="s">
        <v>1381</v>
      </c>
      <c r="C640" t="s">
        <v>113</v>
      </c>
      <c r="D640" t="s">
        <v>118</v>
      </c>
      <c r="E640">
        <v>57</v>
      </c>
      <c r="F640" t="s">
        <v>201</v>
      </c>
      <c r="G640" t="s">
        <v>92</v>
      </c>
      <c r="H640" t="s">
        <v>31</v>
      </c>
      <c r="I640">
        <v>18</v>
      </c>
      <c r="J640" t="s">
        <v>130</v>
      </c>
      <c r="K640">
        <v>1.1000000000000001</v>
      </c>
      <c r="L640" t="s">
        <v>59</v>
      </c>
      <c r="M640">
        <v>0.9</v>
      </c>
      <c r="N640" t="s">
        <v>88</v>
      </c>
      <c r="O640" t="s">
        <v>75</v>
      </c>
      <c r="P640">
        <v>13</v>
      </c>
      <c r="Q640">
        <v>6</v>
      </c>
    </row>
    <row r="641" spans="1:17" x14ac:dyDescent="0.3">
      <c r="A641" t="s">
        <v>1382</v>
      </c>
      <c r="B641" t="s">
        <v>1383</v>
      </c>
      <c r="C641" t="s">
        <v>45</v>
      </c>
      <c r="D641" t="s">
        <v>97</v>
      </c>
      <c r="E641">
        <v>49</v>
      </c>
      <c r="F641" t="s">
        <v>201</v>
      </c>
      <c r="G641" t="s">
        <v>92</v>
      </c>
      <c r="H641" t="s">
        <v>46</v>
      </c>
      <c r="I641">
        <v>24</v>
      </c>
      <c r="J641" t="s">
        <v>81</v>
      </c>
      <c r="K641">
        <v>0</v>
      </c>
      <c r="L641" t="s">
        <v>23</v>
      </c>
      <c r="M641">
        <v>0.94</v>
      </c>
      <c r="N641" t="s">
        <v>60</v>
      </c>
      <c r="O641" t="s">
        <v>75</v>
      </c>
      <c r="P641">
        <v>14</v>
      </c>
      <c r="Q641">
        <v>8</v>
      </c>
    </row>
    <row r="642" spans="1:17" x14ac:dyDescent="0.3">
      <c r="A642" t="s">
        <v>1384</v>
      </c>
      <c r="B642" t="s">
        <v>1385</v>
      </c>
      <c r="C642" t="s">
        <v>78</v>
      </c>
      <c r="D642" t="s">
        <v>118</v>
      </c>
      <c r="E642">
        <v>41</v>
      </c>
      <c r="F642" t="s">
        <v>106</v>
      </c>
      <c r="G642" t="s">
        <v>107</v>
      </c>
      <c r="H642" t="s">
        <v>57</v>
      </c>
      <c r="I642">
        <v>7</v>
      </c>
      <c r="J642" t="s">
        <v>86</v>
      </c>
      <c r="K642">
        <v>1.8</v>
      </c>
      <c r="L642" t="s">
        <v>59</v>
      </c>
      <c r="M642">
        <v>0.7</v>
      </c>
      <c r="N642" t="s">
        <v>88</v>
      </c>
      <c r="O642" t="s">
        <v>25</v>
      </c>
      <c r="P642">
        <v>14</v>
      </c>
      <c r="Q642">
        <v>6</v>
      </c>
    </row>
    <row r="643" spans="1:17" x14ac:dyDescent="0.3">
      <c r="A643" t="s">
        <v>1386</v>
      </c>
      <c r="B643" t="s">
        <v>1387</v>
      </c>
      <c r="C643" t="s">
        <v>37</v>
      </c>
      <c r="D643" t="s">
        <v>118</v>
      </c>
      <c r="E643">
        <v>22</v>
      </c>
      <c r="F643" t="s">
        <v>201</v>
      </c>
      <c r="G643" t="s">
        <v>92</v>
      </c>
      <c r="H643" t="s">
        <v>135</v>
      </c>
      <c r="I643">
        <v>1</v>
      </c>
      <c r="J643" t="s">
        <v>336</v>
      </c>
      <c r="L643" t="s">
        <v>87</v>
      </c>
      <c r="M643">
        <v>0.75</v>
      </c>
      <c r="N643" t="s">
        <v>82</v>
      </c>
      <c r="O643" t="s">
        <v>34</v>
      </c>
      <c r="P643">
        <v>1</v>
      </c>
      <c r="Q643">
        <v>1</v>
      </c>
    </row>
    <row r="644" spans="1:17" x14ac:dyDescent="0.3">
      <c r="A644" t="s">
        <v>1388</v>
      </c>
      <c r="B644" t="s">
        <v>1389</v>
      </c>
      <c r="C644" t="s">
        <v>37</v>
      </c>
      <c r="D644" t="s">
        <v>118</v>
      </c>
      <c r="E644">
        <v>50</v>
      </c>
      <c r="F644" t="s">
        <v>29</v>
      </c>
      <c r="G644" t="s">
        <v>30</v>
      </c>
      <c r="H644" t="s">
        <v>21</v>
      </c>
      <c r="I644">
        <v>17</v>
      </c>
      <c r="J644" t="s">
        <v>103</v>
      </c>
      <c r="K644">
        <v>3.3</v>
      </c>
      <c r="L644" t="s">
        <v>33</v>
      </c>
      <c r="M644">
        <v>0.69</v>
      </c>
      <c r="N644" t="s">
        <v>60</v>
      </c>
      <c r="O644" t="s">
        <v>75</v>
      </c>
      <c r="P644">
        <v>15</v>
      </c>
      <c r="Q644">
        <v>9</v>
      </c>
    </row>
    <row r="645" spans="1:17" x14ac:dyDescent="0.3">
      <c r="A645" t="s">
        <v>1390</v>
      </c>
      <c r="B645" t="s">
        <v>1391</v>
      </c>
      <c r="C645" t="s">
        <v>37</v>
      </c>
      <c r="D645" t="s">
        <v>118</v>
      </c>
      <c r="E645">
        <v>57</v>
      </c>
      <c r="F645" t="s">
        <v>38</v>
      </c>
      <c r="G645" t="s">
        <v>38</v>
      </c>
      <c r="H645" t="s">
        <v>39</v>
      </c>
      <c r="I645">
        <v>4</v>
      </c>
      <c r="J645" t="s">
        <v>130</v>
      </c>
      <c r="K645">
        <v>4.2</v>
      </c>
      <c r="L645" t="s">
        <v>23</v>
      </c>
      <c r="N645" t="s">
        <v>24</v>
      </c>
      <c r="O645" t="s">
        <v>75</v>
      </c>
      <c r="P645">
        <v>5</v>
      </c>
      <c r="Q645">
        <v>2</v>
      </c>
    </row>
    <row r="646" spans="1:17" x14ac:dyDescent="0.3">
      <c r="A646" t="s">
        <v>1392</v>
      </c>
      <c r="B646" t="s">
        <v>1393</v>
      </c>
      <c r="C646" t="s">
        <v>28</v>
      </c>
      <c r="D646" t="s">
        <v>97</v>
      </c>
      <c r="E646">
        <v>47</v>
      </c>
      <c r="F646" t="s">
        <v>201</v>
      </c>
      <c r="G646" t="s">
        <v>92</v>
      </c>
      <c r="H646" t="s">
        <v>57</v>
      </c>
      <c r="I646">
        <v>29</v>
      </c>
      <c r="J646" t="s">
        <v>81</v>
      </c>
      <c r="L646" t="s">
        <v>33</v>
      </c>
      <c r="M646">
        <v>0.79</v>
      </c>
      <c r="N646" t="s">
        <v>82</v>
      </c>
      <c r="O646" t="s">
        <v>42</v>
      </c>
      <c r="P646">
        <v>14</v>
      </c>
      <c r="Q646">
        <v>5</v>
      </c>
    </row>
    <row r="647" spans="1:17" x14ac:dyDescent="0.3">
      <c r="A647" t="s">
        <v>1394</v>
      </c>
      <c r="B647" t="s">
        <v>1395</v>
      </c>
      <c r="C647" t="s">
        <v>113</v>
      </c>
      <c r="D647" t="s">
        <v>118</v>
      </c>
      <c r="E647">
        <v>24</v>
      </c>
      <c r="F647" t="s">
        <v>175</v>
      </c>
      <c r="G647" t="s">
        <v>176</v>
      </c>
      <c r="H647" t="s">
        <v>66</v>
      </c>
      <c r="I647">
        <v>2</v>
      </c>
      <c r="J647" t="s">
        <v>251</v>
      </c>
      <c r="K647">
        <v>3.8</v>
      </c>
      <c r="L647" t="s">
        <v>33</v>
      </c>
      <c r="M647">
        <v>0.71</v>
      </c>
      <c r="N647" t="s">
        <v>82</v>
      </c>
      <c r="O647" t="s">
        <v>25</v>
      </c>
      <c r="P647">
        <v>5</v>
      </c>
      <c r="Q647">
        <v>1</v>
      </c>
    </row>
    <row r="648" spans="1:17" x14ac:dyDescent="0.3">
      <c r="A648" t="s">
        <v>1396</v>
      </c>
      <c r="B648" t="s">
        <v>1397</v>
      </c>
      <c r="C648" t="s">
        <v>37</v>
      </c>
      <c r="D648" t="s">
        <v>118</v>
      </c>
      <c r="F648" t="s">
        <v>114</v>
      </c>
      <c r="G648" t="s">
        <v>115</v>
      </c>
      <c r="H648" t="s">
        <v>98</v>
      </c>
      <c r="I648">
        <v>9</v>
      </c>
      <c r="J648" t="s">
        <v>22</v>
      </c>
      <c r="K648">
        <v>4.8</v>
      </c>
      <c r="L648" t="s">
        <v>94</v>
      </c>
      <c r="M648">
        <v>0.72</v>
      </c>
      <c r="N648" t="s">
        <v>24</v>
      </c>
      <c r="O648" t="s">
        <v>75</v>
      </c>
      <c r="P648">
        <v>12</v>
      </c>
      <c r="Q648">
        <v>10</v>
      </c>
    </row>
    <row r="649" spans="1:17" x14ac:dyDescent="0.3">
      <c r="A649" t="s">
        <v>1398</v>
      </c>
      <c r="B649" t="s">
        <v>1399</v>
      </c>
      <c r="C649" t="s">
        <v>28</v>
      </c>
      <c r="D649" t="s">
        <v>97</v>
      </c>
      <c r="E649">
        <v>50</v>
      </c>
      <c r="F649" t="s">
        <v>38</v>
      </c>
      <c r="G649" t="s">
        <v>38</v>
      </c>
      <c r="H649" t="s">
        <v>110</v>
      </c>
      <c r="I649">
        <v>10</v>
      </c>
      <c r="J649" t="s">
        <v>251</v>
      </c>
      <c r="K649">
        <v>4.3</v>
      </c>
      <c r="L649" t="s">
        <v>41</v>
      </c>
      <c r="M649">
        <v>0.93</v>
      </c>
      <c r="N649" t="s">
        <v>60</v>
      </c>
      <c r="O649" t="s">
        <v>25</v>
      </c>
      <c r="P649">
        <v>8</v>
      </c>
      <c r="Q649">
        <v>5</v>
      </c>
    </row>
    <row r="650" spans="1:17" x14ac:dyDescent="0.3">
      <c r="A650" t="s">
        <v>1400</v>
      </c>
      <c r="B650" t="s">
        <v>1401</v>
      </c>
      <c r="C650" t="s">
        <v>113</v>
      </c>
      <c r="D650" t="s">
        <v>118</v>
      </c>
      <c r="E650">
        <v>46</v>
      </c>
      <c r="F650" t="s">
        <v>128</v>
      </c>
      <c r="G650" t="s">
        <v>129</v>
      </c>
      <c r="H650" t="s">
        <v>135</v>
      </c>
      <c r="I650">
        <v>20</v>
      </c>
      <c r="J650" t="s">
        <v>51</v>
      </c>
      <c r="K650">
        <v>4.8</v>
      </c>
      <c r="L650" t="s">
        <v>33</v>
      </c>
      <c r="M650">
        <v>0.82</v>
      </c>
      <c r="N650" t="s">
        <v>60</v>
      </c>
      <c r="O650" t="s">
        <v>75</v>
      </c>
      <c r="P650">
        <v>10</v>
      </c>
      <c r="Q650">
        <v>9</v>
      </c>
    </row>
    <row r="651" spans="1:17" x14ac:dyDescent="0.3">
      <c r="A651" t="s">
        <v>1402</v>
      </c>
      <c r="B651" t="s">
        <v>1403</v>
      </c>
      <c r="C651" t="s">
        <v>37</v>
      </c>
      <c r="D651" t="s">
        <v>118</v>
      </c>
      <c r="E651">
        <v>51</v>
      </c>
      <c r="F651" t="s">
        <v>29</v>
      </c>
      <c r="G651" t="s">
        <v>30</v>
      </c>
      <c r="H651" t="s">
        <v>98</v>
      </c>
      <c r="I651">
        <v>9</v>
      </c>
      <c r="J651" t="s">
        <v>47</v>
      </c>
      <c r="L651" t="s">
        <v>41</v>
      </c>
      <c r="M651">
        <v>60</v>
      </c>
      <c r="N651" t="s">
        <v>82</v>
      </c>
      <c r="O651" t="s">
        <v>34</v>
      </c>
      <c r="P651">
        <v>12</v>
      </c>
      <c r="Q651">
        <v>5</v>
      </c>
    </row>
    <row r="652" spans="1:17" x14ac:dyDescent="0.3">
      <c r="A652" t="s">
        <v>1404</v>
      </c>
      <c r="B652" t="s">
        <v>1405</v>
      </c>
      <c r="C652" t="s">
        <v>78</v>
      </c>
      <c r="D652" t="s">
        <v>118</v>
      </c>
      <c r="E652">
        <v>51</v>
      </c>
      <c r="F652" t="s">
        <v>85</v>
      </c>
      <c r="G652" t="s">
        <v>30</v>
      </c>
      <c r="H652" t="s">
        <v>57</v>
      </c>
      <c r="I652">
        <v>12</v>
      </c>
      <c r="J652" t="s">
        <v>162</v>
      </c>
      <c r="K652">
        <v>4</v>
      </c>
      <c r="L652" t="s">
        <v>23</v>
      </c>
      <c r="M652">
        <v>93</v>
      </c>
      <c r="N652" t="s">
        <v>60</v>
      </c>
      <c r="O652" t="s">
        <v>34</v>
      </c>
      <c r="P652">
        <v>15</v>
      </c>
      <c r="Q652">
        <v>3</v>
      </c>
    </row>
    <row r="653" spans="1:17" x14ac:dyDescent="0.3">
      <c r="A653" t="s">
        <v>1406</v>
      </c>
      <c r="B653" t="s">
        <v>1407</v>
      </c>
      <c r="C653" t="s">
        <v>63</v>
      </c>
      <c r="D653" t="s">
        <v>118</v>
      </c>
      <c r="E653">
        <v>27</v>
      </c>
      <c r="F653" t="s">
        <v>85</v>
      </c>
      <c r="G653" t="s">
        <v>30</v>
      </c>
      <c r="H653" t="s">
        <v>57</v>
      </c>
      <c r="I653">
        <v>3</v>
      </c>
      <c r="J653" t="s">
        <v>119</v>
      </c>
      <c r="L653" t="s">
        <v>59</v>
      </c>
      <c r="N653" t="s">
        <v>88</v>
      </c>
      <c r="O653" t="s">
        <v>75</v>
      </c>
      <c r="P653">
        <v>1</v>
      </c>
      <c r="Q653">
        <v>3</v>
      </c>
    </row>
    <row r="654" spans="1:17" x14ac:dyDescent="0.3">
      <c r="A654" t="s">
        <v>1408</v>
      </c>
      <c r="B654" t="s">
        <v>1409</v>
      </c>
      <c r="C654" t="s">
        <v>78</v>
      </c>
      <c r="D654" t="s">
        <v>118</v>
      </c>
      <c r="E654">
        <v>42</v>
      </c>
      <c r="F654" t="s">
        <v>212</v>
      </c>
      <c r="G654" t="s">
        <v>92</v>
      </c>
      <c r="H654" t="s">
        <v>46</v>
      </c>
      <c r="I654">
        <v>13</v>
      </c>
      <c r="J654" t="s">
        <v>52</v>
      </c>
      <c r="K654">
        <v>0</v>
      </c>
      <c r="L654" t="s">
        <v>59</v>
      </c>
      <c r="M654">
        <v>0.74</v>
      </c>
      <c r="N654" t="s">
        <v>24</v>
      </c>
      <c r="O654" t="s">
        <v>34</v>
      </c>
      <c r="P654">
        <v>12</v>
      </c>
      <c r="Q654">
        <v>8</v>
      </c>
    </row>
    <row r="655" spans="1:17" x14ac:dyDescent="0.3">
      <c r="A655" t="s">
        <v>1410</v>
      </c>
      <c r="B655" t="s">
        <v>1411</v>
      </c>
      <c r="C655" t="s">
        <v>78</v>
      </c>
      <c r="D655" t="s">
        <v>118</v>
      </c>
      <c r="E655">
        <v>25</v>
      </c>
      <c r="F655" t="s">
        <v>38</v>
      </c>
      <c r="G655" t="s">
        <v>38</v>
      </c>
      <c r="H655" t="s">
        <v>93</v>
      </c>
      <c r="I655">
        <v>4</v>
      </c>
      <c r="J655" t="s">
        <v>47</v>
      </c>
      <c r="K655">
        <v>2.2999999999999998</v>
      </c>
      <c r="L655" t="s">
        <v>87</v>
      </c>
      <c r="M655">
        <v>73</v>
      </c>
      <c r="N655" t="s">
        <v>88</v>
      </c>
      <c r="O655" t="s">
        <v>75</v>
      </c>
      <c r="P655">
        <v>1</v>
      </c>
      <c r="Q655">
        <v>1</v>
      </c>
    </row>
    <row r="656" spans="1:17" x14ac:dyDescent="0.3">
      <c r="A656" t="s">
        <v>1412</v>
      </c>
      <c r="B656" t="s">
        <v>1413</v>
      </c>
      <c r="C656" t="s">
        <v>97</v>
      </c>
      <c r="D656" t="s">
        <v>97</v>
      </c>
      <c r="E656">
        <v>32</v>
      </c>
      <c r="F656" t="s">
        <v>38</v>
      </c>
      <c r="G656" t="s">
        <v>38</v>
      </c>
      <c r="H656" t="s">
        <v>66</v>
      </c>
      <c r="I656">
        <v>9</v>
      </c>
      <c r="J656" t="s">
        <v>103</v>
      </c>
      <c r="L656" t="s">
        <v>41</v>
      </c>
      <c r="M656">
        <v>0.96</v>
      </c>
      <c r="N656" t="s">
        <v>60</v>
      </c>
      <c r="O656" t="s">
        <v>34</v>
      </c>
      <c r="P656">
        <v>11</v>
      </c>
      <c r="Q656">
        <v>5</v>
      </c>
    </row>
    <row r="657" spans="1:17" x14ac:dyDescent="0.3">
      <c r="A657" t="s">
        <v>1414</v>
      </c>
      <c r="B657" t="s">
        <v>1415</v>
      </c>
      <c r="C657" t="s">
        <v>50</v>
      </c>
      <c r="D657" t="s">
        <v>97</v>
      </c>
      <c r="E657">
        <v>59</v>
      </c>
      <c r="F657" t="s">
        <v>149</v>
      </c>
      <c r="G657" t="s">
        <v>30</v>
      </c>
      <c r="H657" t="s">
        <v>39</v>
      </c>
      <c r="I657">
        <v>14</v>
      </c>
      <c r="J657" t="s">
        <v>52</v>
      </c>
      <c r="K657">
        <v>3.8</v>
      </c>
      <c r="L657" t="s">
        <v>51</v>
      </c>
      <c r="M657">
        <v>0.66</v>
      </c>
      <c r="N657" t="s">
        <v>82</v>
      </c>
      <c r="O657" t="s">
        <v>42</v>
      </c>
      <c r="P657">
        <v>8</v>
      </c>
      <c r="Q657">
        <v>8</v>
      </c>
    </row>
    <row r="658" spans="1:17" x14ac:dyDescent="0.3">
      <c r="A658" t="s">
        <v>1416</v>
      </c>
      <c r="B658" t="s">
        <v>1417</v>
      </c>
      <c r="C658" t="s">
        <v>28</v>
      </c>
      <c r="D658" t="s">
        <v>97</v>
      </c>
      <c r="E658">
        <v>59</v>
      </c>
      <c r="F658" t="s">
        <v>156</v>
      </c>
      <c r="G658" t="s">
        <v>157</v>
      </c>
      <c r="H658" t="s">
        <v>98</v>
      </c>
      <c r="I658">
        <v>37</v>
      </c>
      <c r="J658" t="s">
        <v>52</v>
      </c>
      <c r="K658">
        <v>4</v>
      </c>
      <c r="L658" t="s">
        <v>59</v>
      </c>
      <c r="M658">
        <v>0.62</v>
      </c>
      <c r="N658" t="s">
        <v>24</v>
      </c>
      <c r="O658" t="s">
        <v>42</v>
      </c>
      <c r="P658">
        <v>20</v>
      </c>
      <c r="Q658">
        <v>2</v>
      </c>
    </row>
    <row r="659" spans="1:17" x14ac:dyDescent="0.3">
      <c r="A659" t="s">
        <v>1418</v>
      </c>
      <c r="B659" t="s">
        <v>1419</v>
      </c>
      <c r="C659" t="s">
        <v>118</v>
      </c>
      <c r="D659" t="s">
        <v>118</v>
      </c>
      <c r="E659">
        <v>29</v>
      </c>
      <c r="F659" t="s">
        <v>38</v>
      </c>
      <c r="G659" t="s">
        <v>38</v>
      </c>
      <c r="H659" t="s">
        <v>39</v>
      </c>
      <c r="I659">
        <v>2</v>
      </c>
      <c r="J659" t="s">
        <v>67</v>
      </c>
      <c r="K659">
        <v>2.2000000000000002</v>
      </c>
      <c r="L659" t="s">
        <v>94</v>
      </c>
      <c r="M659">
        <v>0.85</v>
      </c>
      <c r="N659" t="s">
        <v>60</v>
      </c>
      <c r="O659" t="s">
        <v>42</v>
      </c>
      <c r="P659">
        <v>5</v>
      </c>
      <c r="Q659">
        <v>1</v>
      </c>
    </row>
    <row r="660" spans="1:17" x14ac:dyDescent="0.3">
      <c r="A660" t="s">
        <v>1420</v>
      </c>
      <c r="B660" t="s">
        <v>1421</v>
      </c>
      <c r="C660" t="s">
        <v>78</v>
      </c>
      <c r="D660" t="s">
        <v>118</v>
      </c>
      <c r="E660">
        <v>58</v>
      </c>
      <c r="F660" t="s">
        <v>197</v>
      </c>
      <c r="G660" t="s">
        <v>198</v>
      </c>
      <c r="H660" t="s">
        <v>57</v>
      </c>
      <c r="I660">
        <v>11</v>
      </c>
      <c r="J660" t="s">
        <v>22</v>
      </c>
      <c r="K660">
        <v>4.3</v>
      </c>
      <c r="L660" t="s">
        <v>23</v>
      </c>
      <c r="M660">
        <v>0.66</v>
      </c>
      <c r="N660" t="s">
        <v>60</v>
      </c>
      <c r="O660" t="s">
        <v>25</v>
      </c>
      <c r="P660">
        <v>6</v>
      </c>
      <c r="Q660">
        <v>3</v>
      </c>
    </row>
    <row r="661" spans="1:17" x14ac:dyDescent="0.3">
      <c r="A661" t="s">
        <v>1422</v>
      </c>
      <c r="B661" t="s">
        <v>1423</v>
      </c>
      <c r="C661" t="s">
        <v>18</v>
      </c>
      <c r="D661" t="s">
        <v>97</v>
      </c>
      <c r="E661">
        <v>56</v>
      </c>
      <c r="F661" t="s">
        <v>149</v>
      </c>
      <c r="G661" t="s">
        <v>30</v>
      </c>
      <c r="H661" t="s">
        <v>98</v>
      </c>
      <c r="I661">
        <v>19</v>
      </c>
      <c r="J661" t="s">
        <v>162</v>
      </c>
      <c r="K661">
        <v>0</v>
      </c>
      <c r="L661" t="s">
        <v>23</v>
      </c>
      <c r="M661">
        <v>0.87</v>
      </c>
      <c r="N661" t="s">
        <v>82</v>
      </c>
      <c r="O661" t="s">
        <v>25</v>
      </c>
      <c r="P661">
        <v>16</v>
      </c>
      <c r="Q661">
        <v>5</v>
      </c>
    </row>
    <row r="662" spans="1:17" x14ac:dyDescent="0.3">
      <c r="A662" t="s">
        <v>1424</v>
      </c>
      <c r="B662" t="s">
        <v>1425</v>
      </c>
      <c r="C662" t="s">
        <v>45</v>
      </c>
      <c r="D662" t="s">
        <v>97</v>
      </c>
      <c r="E662">
        <v>36</v>
      </c>
      <c r="F662" t="s">
        <v>73</v>
      </c>
      <c r="G662" t="s">
        <v>30</v>
      </c>
      <c r="H662" t="s">
        <v>135</v>
      </c>
      <c r="I662">
        <v>9</v>
      </c>
      <c r="J662" t="s">
        <v>162</v>
      </c>
      <c r="K662">
        <v>0</v>
      </c>
      <c r="L662" t="s">
        <v>33</v>
      </c>
      <c r="M662">
        <v>68</v>
      </c>
      <c r="N662" t="s">
        <v>82</v>
      </c>
      <c r="O662" t="s">
        <v>42</v>
      </c>
      <c r="P662">
        <v>9</v>
      </c>
      <c r="Q662">
        <v>10</v>
      </c>
    </row>
    <row r="663" spans="1:17" x14ac:dyDescent="0.3">
      <c r="A663" t="s">
        <v>1426</v>
      </c>
      <c r="B663" t="s">
        <v>1427</v>
      </c>
      <c r="C663" t="s">
        <v>97</v>
      </c>
      <c r="D663" t="s">
        <v>97</v>
      </c>
      <c r="E663">
        <v>52</v>
      </c>
      <c r="F663" t="s">
        <v>149</v>
      </c>
      <c r="G663" t="s">
        <v>30</v>
      </c>
      <c r="H663" t="s">
        <v>93</v>
      </c>
      <c r="I663">
        <v>16</v>
      </c>
      <c r="J663" t="s">
        <v>22</v>
      </c>
      <c r="K663">
        <v>4</v>
      </c>
      <c r="L663" t="s">
        <v>33</v>
      </c>
      <c r="N663" t="s">
        <v>88</v>
      </c>
      <c r="O663" t="s">
        <v>25</v>
      </c>
      <c r="P663">
        <v>10</v>
      </c>
      <c r="Q663">
        <v>11</v>
      </c>
    </row>
    <row r="664" spans="1:17" x14ac:dyDescent="0.3">
      <c r="A664" t="s">
        <v>1428</v>
      </c>
      <c r="B664" t="s">
        <v>1429</v>
      </c>
      <c r="C664" t="s">
        <v>97</v>
      </c>
      <c r="D664" t="s">
        <v>97</v>
      </c>
      <c r="E664">
        <v>42</v>
      </c>
      <c r="F664" t="s">
        <v>55</v>
      </c>
      <c r="G664" t="s">
        <v>56</v>
      </c>
      <c r="H664" t="s">
        <v>31</v>
      </c>
      <c r="I664">
        <v>8</v>
      </c>
      <c r="J664" t="s">
        <v>119</v>
      </c>
      <c r="L664" t="s">
        <v>51</v>
      </c>
      <c r="N664" t="s">
        <v>24</v>
      </c>
      <c r="O664" t="s">
        <v>34</v>
      </c>
      <c r="P664">
        <v>6</v>
      </c>
      <c r="Q664">
        <v>11</v>
      </c>
    </row>
    <row r="665" spans="1:17" x14ac:dyDescent="0.3">
      <c r="A665" t="s">
        <v>1430</v>
      </c>
      <c r="B665" t="s">
        <v>1431</v>
      </c>
      <c r="C665" t="s">
        <v>28</v>
      </c>
      <c r="D665" t="s">
        <v>97</v>
      </c>
      <c r="E665">
        <v>59</v>
      </c>
      <c r="F665" t="s">
        <v>114</v>
      </c>
      <c r="G665" t="s">
        <v>115</v>
      </c>
      <c r="H665" t="s">
        <v>31</v>
      </c>
      <c r="I665">
        <v>34</v>
      </c>
      <c r="J665" t="s">
        <v>22</v>
      </c>
      <c r="K665">
        <v>2</v>
      </c>
      <c r="L665" t="s">
        <v>33</v>
      </c>
      <c r="M665">
        <v>0.79</v>
      </c>
      <c r="N665" t="s">
        <v>24</v>
      </c>
      <c r="O665" t="s">
        <v>75</v>
      </c>
      <c r="P665">
        <v>18</v>
      </c>
      <c r="Q665">
        <v>8</v>
      </c>
    </row>
    <row r="666" spans="1:17" x14ac:dyDescent="0.3">
      <c r="A666" t="s">
        <v>1432</v>
      </c>
      <c r="B666" t="s">
        <v>1433</v>
      </c>
      <c r="C666" t="s">
        <v>37</v>
      </c>
      <c r="D666" t="s">
        <v>118</v>
      </c>
      <c r="E666">
        <v>33</v>
      </c>
      <c r="F666" t="s">
        <v>55</v>
      </c>
      <c r="G666" t="s">
        <v>56</v>
      </c>
      <c r="H666" t="s">
        <v>31</v>
      </c>
      <c r="I666">
        <v>5</v>
      </c>
      <c r="J666" t="s">
        <v>81</v>
      </c>
      <c r="K666">
        <v>4.7</v>
      </c>
      <c r="L666" t="s">
        <v>33</v>
      </c>
      <c r="M666">
        <v>0.88</v>
      </c>
      <c r="N666" t="s">
        <v>82</v>
      </c>
      <c r="O666" t="s">
        <v>75</v>
      </c>
      <c r="P666">
        <v>4</v>
      </c>
      <c r="Q666">
        <v>2</v>
      </c>
    </row>
    <row r="667" spans="1:17" x14ac:dyDescent="0.3">
      <c r="A667" t="s">
        <v>1434</v>
      </c>
      <c r="B667" t="s">
        <v>1435</v>
      </c>
      <c r="C667" t="s">
        <v>45</v>
      </c>
      <c r="D667" t="s">
        <v>97</v>
      </c>
      <c r="E667">
        <v>55</v>
      </c>
      <c r="F667" t="s">
        <v>149</v>
      </c>
      <c r="G667" t="s">
        <v>30</v>
      </c>
      <c r="H667" t="s">
        <v>46</v>
      </c>
      <c r="I667">
        <v>14</v>
      </c>
      <c r="J667" t="s">
        <v>119</v>
      </c>
      <c r="K667">
        <v>3.6</v>
      </c>
      <c r="L667" t="s">
        <v>33</v>
      </c>
      <c r="M667">
        <v>0.81</v>
      </c>
      <c r="N667" t="s">
        <v>88</v>
      </c>
      <c r="O667" t="s">
        <v>75</v>
      </c>
      <c r="P667">
        <v>9</v>
      </c>
      <c r="Q667">
        <v>7</v>
      </c>
    </row>
    <row r="668" spans="1:17" x14ac:dyDescent="0.3">
      <c r="A668" t="s">
        <v>1436</v>
      </c>
      <c r="B668" t="s">
        <v>1437</v>
      </c>
      <c r="C668" t="s">
        <v>37</v>
      </c>
      <c r="D668" t="s">
        <v>118</v>
      </c>
      <c r="E668">
        <v>47</v>
      </c>
      <c r="F668" t="s">
        <v>133</v>
      </c>
      <c r="G668" t="s">
        <v>134</v>
      </c>
      <c r="H668" t="s">
        <v>93</v>
      </c>
      <c r="I668">
        <v>17</v>
      </c>
      <c r="J668" t="s">
        <v>40</v>
      </c>
      <c r="K668">
        <v>1.2</v>
      </c>
      <c r="L668" t="s">
        <v>41</v>
      </c>
      <c r="N668" t="s">
        <v>24</v>
      </c>
      <c r="O668" t="s">
        <v>42</v>
      </c>
      <c r="P668">
        <v>14</v>
      </c>
      <c r="Q668">
        <v>5</v>
      </c>
    </row>
    <row r="669" spans="1:17" x14ac:dyDescent="0.3">
      <c r="A669" t="s">
        <v>1438</v>
      </c>
      <c r="B669" t="s">
        <v>1439</v>
      </c>
      <c r="C669" t="s">
        <v>28</v>
      </c>
      <c r="D669" t="s">
        <v>97</v>
      </c>
      <c r="E669">
        <v>29</v>
      </c>
      <c r="F669" t="s">
        <v>201</v>
      </c>
      <c r="G669" t="s">
        <v>92</v>
      </c>
      <c r="H669" t="s">
        <v>57</v>
      </c>
      <c r="I669">
        <v>10</v>
      </c>
      <c r="J669" t="s">
        <v>51</v>
      </c>
      <c r="K669">
        <v>4.4000000000000004</v>
      </c>
      <c r="L669" t="s">
        <v>94</v>
      </c>
      <c r="M669">
        <v>0.67</v>
      </c>
      <c r="N669" t="s">
        <v>82</v>
      </c>
      <c r="O669" t="s">
        <v>25</v>
      </c>
      <c r="P669">
        <v>15</v>
      </c>
      <c r="Q669">
        <v>5</v>
      </c>
    </row>
    <row r="670" spans="1:17" x14ac:dyDescent="0.3">
      <c r="A670" t="s">
        <v>1440</v>
      </c>
      <c r="B670" t="s">
        <v>1441</v>
      </c>
      <c r="C670" t="s">
        <v>97</v>
      </c>
      <c r="D670" t="s">
        <v>97</v>
      </c>
      <c r="E670">
        <v>30</v>
      </c>
      <c r="F670" t="s">
        <v>85</v>
      </c>
      <c r="G670" t="s">
        <v>30</v>
      </c>
      <c r="H670" t="s">
        <v>110</v>
      </c>
      <c r="I670">
        <v>8</v>
      </c>
      <c r="J670" t="s">
        <v>22</v>
      </c>
      <c r="K670">
        <v>1.4</v>
      </c>
      <c r="L670" t="s">
        <v>87</v>
      </c>
      <c r="M670">
        <v>62</v>
      </c>
      <c r="N670" t="s">
        <v>60</v>
      </c>
      <c r="O670" t="s">
        <v>34</v>
      </c>
      <c r="P670">
        <v>14</v>
      </c>
      <c r="Q670">
        <v>5</v>
      </c>
    </row>
    <row r="671" spans="1:17" x14ac:dyDescent="0.3">
      <c r="A671" t="s">
        <v>1442</v>
      </c>
      <c r="B671" t="s">
        <v>1443</v>
      </c>
      <c r="C671" t="s">
        <v>28</v>
      </c>
      <c r="D671" t="s">
        <v>97</v>
      </c>
      <c r="E671">
        <v>25</v>
      </c>
      <c r="F671" t="s">
        <v>149</v>
      </c>
      <c r="G671" t="s">
        <v>30</v>
      </c>
      <c r="H671" t="s">
        <v>110</v>
      </c>
      <c r="I671">
        <v>1</v>
      </c>
      <c r="J671" t="s">
        <v>130</v>
      </c>
      <c r="K671">
        <v>3.2</v>
      </c>
      <c r="L671" t="s">
        <v>23</v>
      </c>
      <c r="M671">
        <v>0.87</v>
      </c>
      <c r="N671" t="s">
        <v>24</v>
      </c>
      <c r="O671" t="s">
        <v>34</v>
      </c>
      <c r="P671">
        <v>3</v>
      </c>
      <c r="Q671">
        <v>2</v>
      </c>
    </row>
    <row r="672" spans="1:17" x14ac:dyDescent="0.3">
      <c r="A672" t="s">
        <v>1444</v>
      </c>
      <c r="B672" t="s">
        <v>1445</v>
      </c>
      <c r="C672" t="s">
        <v>50</v>
      </c>
      <c r="D672" t="s">
        <v>97</v>
      </c>
      <c r="E672">
        <v>28</v>
      </c>
      <c r="F672" t="s">
        <v>160</v>
      </c>
      <c r="G672" t="s">
        <v>161</v>
      </c>
      <c r="H672" t="s">
        <v>98</v>
      </c>
      <c r="I672">
        <v>10</v>
      </c>
      <c r="J672" t="s">
        <v>51</v>
      </c>
      <c r="K672">
        <v>3.8</v>
      </c>
      <c r="L672" t="s">
        <v>87</v>
      </c>
      <c r="M672">
        <v>0.98</v>
      </c>
      <c r="N672" t="s">
        <v>88</v>
      </c>
      <c r="O672" t="s">
        <v>42</v>
      </c>
      <c r="P672">
        <v>12</v>
      </c>
      <c r="Q672">
        <v>11</v>
      </c>
    </row>
    <row r="673" spans="1:17" x14ac:dyDescent="0.3">
      <c r="A673" t="s">
        <v>1446</v>
      </c>
      <c r="B673" t="s">
        <v>1447</v>
      </c>
      <c r="C673" t="s">
        <v>37</v>
      </c>
      <c r="D673" t="s">
        <v>118</v>
      </c>
      <c r="E673">
        <v>29</v>
      </c>
      <c r="F673" t="s">
        <v>133</v>
      </c>
      <c r="G673" t="s">
        <v>134</v>
      </c>
      <c r="H673" t="s">
        <v>21</v>
      </c>
      <c r="I673">
        <v>0</v>
      </c>
      <c r="J673" t="s">
        <v>192</v>
      </c>
      <c r="K673">
        <v>1.5</v>
      </c>
      <c r="L673" t="s">
        <v>74</v>
      </c>
      <c r="M673">
        <v>0.64</v>
      </c>
      <c r="N673" t="s">
        <v>88</v>
      </c>
      <c r="O673" t="s">
        <v>34</v>
      </c>
      <c r="P673">
        <v>5</v>
      </c>
      <c r="Q673">
        <v>4</v>
      </c>
    </row>
    <row r="674" spans="1:17" x14ac:dyDescent="0.3">
      <c r="A674" t="s">
        <v>1448</v>
      </c>
      <c r="B674" t="s">
        <v>1449</v>
      </c>
      <c r="C674" t="s">
        <v>118</v>
      </c>
      <c r="D674" t="s">
        <v>118</v>
      </c>
      <c r="E674">
        <v>30</v>
      </c>
      <c r="F674" t="s">
        <v>212</v>
      </c>
      <c r="G674" t="s">
        <v>92</v>
      </c>
      <c r="H674" t="s">
        <v>39</v>
      </c>
      <c r="I674">
        <v>4</v>
      </c>
      <c r="J674" t="s">
        <v>51</v>
      </c>
      <c r="K674">
        <v>2.8</v>
      </c>
      <c r="L674" t="s">
        <v>33</v>
      </c>
      <c r="M674">
        <v>0.71</v>
      </c>
      <c r="N674" t="s">
        <v>88</v>
      </c>
      <c r="O674" t="s">
        <v>34</v>
      </c>
      <c r="P674">
        <v>4</v>
      </c>
      <c r="Q674">
        <v>1</v>
      </c>
    </row>
    <row r="675" spans="1:17" x14ac:dyDescent="0.3">
      <c r="A675" t="s">
        <v>1450</v>
      </c>
      <c r="B675" t="s">
        <v>1451</v>
      </c>
      <c r="C675" t="s">
        <v>37</v>
      </c>
      <c r="D675" t="s">
        <v>118</v>
      </c>
      <c r="E675">
        <v>47</v>
      </c>
      <c r="F675" t="s">
        <v>160</v>
      </c>
      <c r="G675" t="s">
        <v>161</v>
      </c>
      <c r="H675" t="s">
        <v>57</v>
      </c>
      <c r="I675">
        <v>2</v>
      </c>
      <c r="J675" t="s">
        <v>40</v>
      </c>
      <c r="K675">
        <v>2.7</v>
      </c>
      <c r="L675" t="s">
        <v>181</v>
      </c>
      <c r="M675">
        <v>96</v>
      </c>
      <c r="N675" t="s">
        <v>60</v>
      </c>
      <c r="O675" t="s">
        <v>34</v>
      </c>
      <c r="P675">
        <v>4</v>
      </c>
      <c r="Q675">
        <v>1</v>
      </c>
    </row>
    <row r="676" spans="1:17" x14ac:dyDescent="0.3">
      <c r="A676" t="s">
        <v>1452</v>
      </c>
      <c r="B676" t="s">
        <v>1453</v>
      </c>
      <c r="C676" t="s">
        <v>78</v>
      </c>
      <c r="D676" t="s">
        <v>118</v>
      </c>
      <c r="E676">
        <v>34</v>
      </c>
      <c r="F676" t="s">
        <v>29</v>
      </c>
      <c r="G676" t="s">
        <v>30</v>
      </c>
      <c r="H676" t="s">
        <v>21</v>
      </c>
      <c r="I676">
        <v>10</v>
      </c>
      <c r="J676" t="s">
        <v>58</v>
      </c>
      <c r="K676">
        <v>3.9</v>
      </c>
      <c r="L676" t="s">
        <v>51</v>
      </c>
      <c r="N676" t="s">
        <v>24</v>
      </c>
      <c r="O676" t="s">
        <v>34</v>
      </c>
      <c r="P676">
        <v>12</v>
      </c>
      <c r="Q676">
        <v>13</v>
      </c>
    </row>
    <row r="677" spans="1:17" x14ac:dyDescent="0.3">
      <c r="A677" t="s">
        <v>1454</v>
      </c>
      <c r="B677" t="s">
        <v>1455</v>
      </c>
      <c r="C677" t="s">
        <v>113</v>
      </c>
      <c r="D677" t="s">
        <v>118</v>
      </c>
      <c r="E677">
        <v>45</v>
      </c>
      <c r="F677" t="s">
        <v>73</v>
      </c>
      <c r="G677" t="s">
        <v>30</v>
      </c>
      <c r="H677" t="s">
        <v>39</v>
      </c>
      <c r="I677">
        <v>16</v>
      </c>
      <c r="J677" t="s">
        <v>22</v>
      </c>
      <c r="K677">
        <v>4.5999999999999996</v>
      </c>
      <c r="L677" t="s">
        <v>41</v>
      </c>
      <c r="M677">
        <v>0.78</v>
      </c>
      <c r="N677" t="s">
        <v>24</v>
      </c>
      <c r="O677" t="s">
        <v>25</v>
      </c>
      <c r="P677">
        <v>15</v>
      </c>
      <c r="Q677">
        <v>7</v>
      </c>
    </row>
    <row r="678" spans="1:17" x14ac:dyDescent="0.3">
      <c r="A678" t="s">
        <v>1456</v>
      </c>
      <c r="B678" t="s">
        <v>1457</v>
      </c>
      <c r="C678" t="s">
        <v>45</v>
      </c>
      <c r="D678" t="s">
        <v>97</v>
      </c>
      <c r="E678">
        <v>56</v>
      </c>
      <c r="F678" t="s">
        <v>212</v>
      </c>
      <c r="G678" t="s">
        <v>92</v>
      </c>
      <c r="H678" t="s">
        <v>98</v>
      </c>
      <c r="I678">
        <v>27</v>
      </c>
      <c r="J678" t="s">
        <v>142</v>
      </c>
      <c r="K678">
        <v>2.2000000000000002</v>
      </c>
      <c r="L678" t="s">
        <v>59</v>
      </c>
      <c r="M678">
        <v>0.7</v>
      </c>
      <c r="N678" t="s">
        <v>60</v>
      </c>
      <c r="O678" t="s">
        <v>34</v>
      </c>
      <c r="P678">
        <v>19</v>
      </c>
      <c r="Q678">
        <v>3</v>
      </c>
    </row>
    <row r="679" spans="1:17" x14ac:dyDescent="0.3">
      <c r="A679" t="s">
        <v>1458</v>
      </c>
      <c r="B679" t="s">
        <v>1459</v>
      </c>
      <c r="C679" t="s">
        <v>50</v>
      </c>
      <c r="D679" t="s">
        <v>97</v>
      </c>
      <c r="E679">
        <v>49</v>
      </c>
      <c r="F679" t="s">
        <v>197</v>
      </c>
      <c r="G679" t="s">
        <v>198</v>
      </c>
      <c r="H679" t="s">
        <v>110</v>
      </c>
      <c r="I679">
        <v>20</v>
      </c>
      <c r="J679" t="s">
        <v>40</v>
      </c>
      <c r="K679">
        <v>2.5</v>
      </c>
      <c r="L679" t="s">
        <v>23</v>
      </c>
      <c r="M679">
        <v>0.82</v>
      </c>
      <c r="N679" t="s">
        <v>24</v>
      </c>
      <c r="O679" t="s">
        <v>75</v>
      </c>
      <c r="P679">
        <v>15</v>
      </c>
      <c r="Q679">
        <v>11</v>
      </c>
    </row>
    <row r="680" spans="1:17" x14ac:dyDescent="0.3">
      <c r="A680" t="s">
        <v>1460</v>
      </c>
      <c r="B680" t="s">
        <v>1461</v>
      </c>
      <c r="C680" t="s">
        <v>78</v>
      </c>
      <c r="D680" t="s">
        <v>118</v>
      </c>
      <c r="E680">
        <v>48</v>
      </c>
      <c r="F680" t="s">
        <v>156</v>
      </c>
      <c r="G680" t="s">
        <v>157</v>
      </c>
      <c r="H680" t="s">
        <v>57</v>
      </c>
      <c r="I680">
        <v>10</v>
      </c>
      <c r="J680" t="s">
        <v>51</v>
      </c>
      <c r="K680">
        <v>3.1</v>
      </c>
      <c r="L680" t="s">
        <v>59</v>
      </c>
      <c r="N680" t="s">
        <v>60</v>
      </c>
      <c r="O680" t="s">
        <v>42</v>
      </c>
      <c r="P680">
        <v>13</v>
      </c>
      <c r="Q680">
        <v>4</v>
      </c>
    </row>
    <row r="681" spans="1:17" x14ac:dyDescent="0.3">
      <c r="A681" t="s">
        <v>1462</v>
      </c>
      <c r="B681" t="s">
        <v>1463</v>
      </c>
      <c r="C681" t="s">
        <v>50</v>
      </c>
      <c r="D681" t="s">
        <v>97</v>
      </c>
      <c r="E681">
        <v>29</v>
      </c>
      <c r="F681" t="s">
        <v>133</v>
      </c>
      <c r="G681" t="s">
        <v>134</v>
      </c>
      <c r="H681" t="s">
        <v>39</v>
      </c>
      <c r="I681">
        <v>0</v>
      </c>
      <c r="J681" t="s">
        <v>142</v>
      </c>
      <c r="L681" t="s">
        <v>33</v>
      </c>
      <c r="M681">
        <v>0.99</v>
      </c>
      <c r="N681" t="s">
        <v>60</v>
      </c>
      <c r="O681" t="s">
        <v>25</v>
      </c>
      <c r="P681">
        <v>3</v>
      </c>
      <c r="Q681">
        <v>2</v>
      </c>
    </row>
    <row r="682" spans="1:17" x14ac:dyDescent="0.3">
      <c r="A682" t="s">
        <v>1464</v>
      </c>
      <c r="B682" t="s">
        <v>1465</v>
      </c>
      <c r="C682" t="s">
        <v>97</v>
      </c>
      <c r="D682" t="s">
        <v>97</v>
      </c>
      <c r="E682">
        <v>49</v>
      </c>
      <c r="F682" t="s">
        <v>55</v>
      </c>
      <c r="G682" t="s">
        <v>56</v>
      </c>
      <c r="H682" t="s">
        <v>46</v>
      </c>
      <c r="I682">
        <v>11</v>
      </c>
      <c r="J682" t="s">
        <v>103</v>
      </c>
      <c r="K682">
        <v>3.8</v>
      </c>
      <c r="L682" t="s">
        <v>94</v>
      </c>
      <c r="M682">
        <v>0.93</v>
      </c>
      <c r="N682" t="s">
        <v>60</v>
      </c>
      <c r="O682" t="s">
        <v>34</v>
      </c>
      <c r="P682">
        <v>13</v>
      </c>
      <c r="Q682">
        <v>5</v>
      </c>
    </row>
    <row r="683" spans="1:17" x14ac:dyDescent="0.3">
      <c r="A683" t="s">
        <v>1466</v>
      </c>
      <c r="B683" t="s">
        <v>1467</v>
      </c>
      <c r="C683" t="s">
        <v>28</v>
      </c>
      <c r="D683" t="s">
        <v>97</v>
      </c>
      <c r="E683">
        <v>22</v>
      </c>
      <c r="F683" t="s">
        <v>197</v>
      </c>
      <c r="G683" t="s">
        <v>198</v>
      </c>
      <c r="H683" t="s">
        <v>21</v>
      </c>
      <c r="I683">
        <v>1</v>
      </c>
      <c r="J683" t="s">
        <v>22</v>
      </c>
      <c r="K683">
        <v>4.8</v>
      </c>
      <c r="L683" t="s">
        <v>94</v>
      </c>
      <c r="M683">
        <v>0.75</v>
      </c>
      <c r="N683" t="s">
        <v>88</v>
      </c>
      <c r="O683" t="s">
        <v>25</v>
      </c>
      <c r="P683">
        <v>1</v>
      </c>
      <c r="Q683">
        <v>1</v>
      </c>
    </row>
    <row r="684" spans="1:17" x14ac:dyDescent="0.3">
      <c r="A684" t="s">
        <v>1468</v>
      </c>
      <c r="B684" t="s">
        <v>1469</v>
      </c>
      <c r="C684" t="s">
        <v>63</v>
      </c>
      <c r="D684" t="s">
        <v>118</v>
      </c>
      <c r="E684">
        <v>52</v>
      </c>
      <c r="F684" t="s">
        <v>201</v>
      </c>
      <c r="G684" t="s">
        <v>92</v>
      </c>
      <c r="H684" t="s">
        <v>39</v>
      </c>
      <c r="I684">
        <v>30</v>
      </c>
      <c r="J684" t="s">
        <v>32</v>
      </c>
      <c r="K684">
        <v>2.5</v>
      </c>
      <c r="L684" t="s">
        <v>51</v>
      </c>
      <c r="M684">
        <v>61</v>
      </c>
      <c r="N684" t="s">
        <v>24</v>
      </c>
      <c r="O684" t="s">
        <v>34</v>
      </c>
      <c r="P684">
        <v>19</v>
      </c>
      <c r="Q684">
        <v>14</v>
      </c>
    </row>
    <row r="685" spans="1:17" x14ac:dyDescent="0.3">
      <c r="A685" t="s">
        <v>1470</v>
      </c>
      <c r="B685" t="s">
        <v>1471</v>
      </c>
      <c r="C685" t="s">
        <v>78</v>
      </c>
      <c r="D685" t="s">
        <v>118</v>
      </c>
      <c r="E685">
        <v>60</v>
      </c>
      <c r="F685" t="s">
        <v>149</v>
      </c>
      <c r="G685" t="s">
        <v>30</v>
      </c>
      <c r="H685" t="s">
        <v>21</v>
      </c>
      <c r="I685">
        <v>7</v>
      </c>
      <c r="J685" t="s">
        <v>130</v>
      </c>
      <c r="K685">
        <v>0</v>
      </c>
      <c r="L685" t="s">
        <v>181</v>
      </c>
      <c r="M685">
        <v>0.97</v>
      </c>
      <c r="N685" t="s">
        <v>60</v>
      </c>
      <c r="O685" t="s">
        <v>75</v>
      </c>
      <c r="P685">
        <v>9</v>
      </c>
      <c r="Q685">
        <v>8</v>
      </c>
    </row>
    <row r="686" spans="1:17" x14ac:dyDescent="0.3">
      <c r="A686" t="s">
        <v>1472</v>
      </c>
      <c r="B686" t="s">
        <v>1473</v>
      </c>
      <c r="C686" t="s">
        <v>45</v>
      </c>
      <c r="D686" t="s">
        <v>97</v>
      </c>
      <c r="E686">
        <v>33</v>
      </c>
      <c r="F686" t="s">
        <v>106</v>
      </c>
      <c r="G686" t="s">
        <v>107</v>
      </c>
      <c r="H686" t="s">
        <v>93</v>
      </c>
      <c r="I686">
        <v>0</v>
      </c>
      <c r="J686" t="s">
        <v>251</v>
      </c>
      <c r="K686">
        <v>1.7</v>
      </c>
      <c r="L686" t="s">
        <v>33</v>
      </c>
      <c r="M686">
        <v>95</v>
      </c>
      <c r="N686" t="s">
        <v>24</v>
      </c>
      <c r="O686" t="s">
        <v>42</v>
      </c>
      <c r="P686">
        <v>4</v>
      </c>
      <c r="Q686">
        <v>5</v>
      </c>
    </row>
    <row r="687" spans="1:17" x14ac:dyDescent="0.3">
      <c r="A687" t="s">
        <v>1474</v>
      </c>
      <c r="B687" t="s">
        <v>1475</v>
      </c>
      <c r="C687" t="s">
        <v>113</v>
      </c>
      <c r="D687" t="s">
        <v>118</v>
      </c>
      <c r="E687">
        <v>52</v>
      </c>
      <c r="F687" t="s">
        <v>133</v>
      </c>
      <c r="G687" t="s">
        <v>134</v>
      </c>
      <c r="H687" t="s">
        <v>39</v>
      </c>
      <c r="I687">
        <v>21</v>
      </c>
      <c r="J687" t="s">
        <v>70</v>
      </c>
      <c r="K687">
        <v>4</v>
      </c>
      <c r="L687" t="s">
        <v>51</v>
      </c>
      <c r="M687">
        <v>0.69</v>
      </c>
      <c r="N687" t="s">
        <v>88</v>
      </c>
      <c r="O687" t="s">
        <v>34</v>
      </c>
      <c r="P687">
        <v>14</v>
      </c>
      <c r="Q687">
        <v>9</v>
      </c>
    </row>
    <row r="688" spans="1:17" x14ac:dyDescent="0.3">
      <c r="A688" t="s">
        <v>1476</v>
      </c>
      <c r="B688" t="s">
        <v>1477</v>
      </c>
      <c r="C688" t="s">
        <v>18</v>
      </c>
      <c r="D688" t="s">
        <v>97</v>
      </c>
      <c r="E688">
        <v>25</v>
      </c>
      <c r="F688" t="s">
        <v>38</v>
      </c>
      <c r="G688" t="s">
        <v>38</v>
      </c>
      <c r="H688" t="s">
        <v>110</v>
      </c>
      <c r="I688">
        <v>7</v>
      </c>
      <c r="J688" t="s">
        <v>32</v>
      </c>
      <c r="K688">
        <v>1.9</v>
      </c>
      <c r="L688" t="s">
        <v>59</v>
      </c>
      <c r="M688">
        <v>0.63</v>
      </c>
      <c r="N688" t="s">
        <v>60</v>
      </c>
      <c r="O688" t="s">
        <v>34</v>
      </c>
      <c r="P688">
        <v>11</v>
      </c>
      <c r="Q688">
        <v>5</v>
      </c>
    </row>
    <row r="689" spans="1:17" x14ac:dyDescent="0.3">
      <c r="A689" t="s">
        <v>1478</v>
      </c>
      <c r="B689" t="s">
        <v>1479</v>
      </c>
      <c r="C689" t="s">
        <v>113</v>
      </c>
      <c r="D689" t="s">
        <v>118</v>
      </c>
      <c r="E689">
        <v>33</v>
      </c>
      <c r="F689" t="s">
        <v>106</v>
      </c>
      <c r="G689" t="s">
        <v>107</v>
      </c>
      <c r="H689" t="s">
        <v>98</v>
      </c>
      <c r="J689" t="s">
        <v>130</v>
      </c>
      <c r="K689">
        <v>4.4000000000000004</v>
      </c>
      <c r="L689" t="s">
        <v>74</v>
      </c>
      <c r="M689">
        <v>0.65</v>
      </c>
      <c r="N689" t="s">
        <v>82</v>
      </c>
      <c r="O689" t="s">
        <v>34</v>
      </c>
      <c r="P689">
        <v>1</v>
      </c>
      <c r="Q689">
        <v>1</v>
      </c>
    </row>
    <row r="690" spans="1:17" x14ac:dyDescent="0.3">
      <c r="A690" t="s">
        <v>1480</v>
      </c>
      <c r="B690" t="s">
        <v>1481</v>
      </c>
      <c r="C690" t="s">
        <v>18</v>
      </c>
      <c r="D690" t="s">
        <v>97</v>
      </c>
      <c r="E690">
        <v>33</v>
      </c>
      <c r="F690" t="s">
        <v>197</v>
      </c>
      <c r="G690" t="s">
        <v>198</v>
      </c>
      <c r="H690" t="s">
        <v>31</v>
      </c>
      <c r="J690" t="s">
        <v>51</v>
      </c>
      <c r="K690">
        <v>4.2</v>
      </c>
      <c r="L690" t="s">
        <v>94</v>
      </c>
      <c r="M690">
        <v>0.9</v>
      </c>
      <c r="N690" t="s">
        <v>88</v>
      </c>
      <c r="O690" t="s">
        <v>34</v>
      </c>
      <c r="P690">
        <v>1</v>
      </c>
      <c r="Q690">
        <v>1</v>
      </c>
    </row>
    <row r="691" spans="1:17" x14ac:dyDescent="0.3">
      <c r="A691" t="s">
        <v>1482</v>
      </c>
      <c r="B691" t="s">
        <v>54</v>
      </c>
      <c r="C691" t="s">
        <v>97</v>
      </c>
      <c r="D691" t="s">
        <v>97</v>
      </c>
      <c r="E691">
        <v>52</v>
      </c>
      <c r="F691" t="s">
        <v>149</v>
      </c>
      <c r="G691" t="s">
        <v>30</v>
      </c>
      <c r="H691" t="s">
        <v>93</v>
      </c>
      <c r="I691">
        <v>25</v>
      </c>
      <c r="J691" t="s">
        <v>22</v>
      </c>
      <c r="K691">
        <v>4.8</v>
      </c>
      <c r="L691" t="s">
        <v>41</v>
      </c>
      <c r="N691" t="s">
        <v>82</v>
      </c>
      <c r="O691" t="s">
        <v>42</v>
      </c>
      <c r="P691">
        <v>10</v>
      </c>
      <c r="Q691">
        <v>8</v>
      </c>
    </row>
    <row r="692" spans="1:17" x14ac:dyDescent="0.3">
      <c r="A692" t="s">
        <v>1483</v>
      </c>
      <c r="B692" t="s">
        <v>1484</v>
      </c>
      <c r="C692" t="s">
        <v>18</v>
      </c>
      <c r="D692" t="s">
        <v>97</v>
      </c>
      <c r="E692">
        <v>20</v>
      </c>
      <c r="F692" t="s">
        <v>64</v>
      </c>
      <c r="G692" t="s">
        <v>65</v>
      </c>
      <c r="H692" t="s">
        <v>46</v>
      </c>
      <c r="I692">
        <v>1</v>
      </c>
      <c r="J692" t="s">
        <v>130</v>
      </c>
      <c r="K692">
        <v>2</v>
      </c>
      <c r="L692" t="s">
        <v>181</v>
      </c>
      <c r="M692">
        <v>0.89</v>
      </c>
      <c r="N692" t="s">
        <v>24</v>
      </c>
      <c r="O692" t="s">
        <v>42</v>
      </c>
      <c r="P692">
        <v>1</v>
      </c>
      <c r="Q692">
        <v>2</v>
      </c>
    </row>
    <row r="693" spans="1:17" x14ac:dyDescent="0.3">
      <c r="A693" t="s">
        <v>1485</v>
      </c>
      <c r="B693" t="s">
        <v>1486</v>
      </c>
      <c r="C693" t="s">
        <v>28</v>
      </c>
      <c r="D693" t="s">
        <v>97</v>
      </c>
      <c r="E693">
        <v>43</v>
      </c>
      <c r="F693" t="s">
        <v>145</v>
      </c>
      <c r="G693" t="s">
        <v>146</v>
      </c>
      <c r="H693" t="s">
        <v>66</v>
      </c>
      <c r="I693">
        <v>7</v>
      </c>
      <c r="J693" t="s">
        <v>119</v>
      </c>
      <c r="L693" t="s">
        <v>33</v>
      </c>
      <c r="M693">
        <v>0.8</v>
      </c>
      <c r="N693" t="s">
        <v>24</v>
      </c>
      <c r="O693" t="s">
        <v>75</v>
      </c>
      <c r="P693">
        <v>11</v>
      </c>
      <c r="Q693">
        <v>3</v>
      </c>
    </row>
    <row r="694" spans="1:17" x14ac:dyDescent="0.3">
      <c r="A694" t="s">
        <v>1487</v>
      </c>
      <c r="B694" t="s">
        <v>1443</v>
      </c>
      <c r="C694" t="s">
        <v>50</v>
      </c>
      <c r="D694" t="s">
        <v>97</v>
      </c>
      <c r="E694">
        <v>31</v>
      </c>
      <c r="F694" t="s">
        <v>156</v>
      </c>
      <c r="G694" t="s">
        <v>157</v>
      </c>
      <c r="H694" t="s">
        <v>31</v>
      </c>
      <c r="J694" t="s">
        <v>40</v>
      </c>
      <c r="K694">
        <v>1.4</v>
      </c>
      <c r="L694" t="s">
        <v>181</v>
      </c>
      <c r="M694">
        <v>0.8</v>
      </c>
      <c r="N694" t="s">
        <v>88</v>
      </c>
      <c r="O694" t="s">
        <v>42</v>
      </c>
      <c r="P694">
        <v>5</v>
      </c>
      <c r="Q694">
        <v>2</v>
      </c>
    </row>
    <row r="695" spans="1:17" x14ac:dyDescent="0.3">
      <c r="A695" t="s">
        <v>1488</v>
      </c>
      <c r="B695" t="s">
        <v>1489</v>
      </c>
      <c r="C695" t="s">
        <v>28</v>
      </c>
      <c r="D695" t="s">
        <v>97</v>
      </c>
      <c r="E695">
        <v>29</v>
      </c>
      <c r="F695" t="s">
        <v>38</v>
      </c>
      <c r="G695" t="s">
        <v>38</v>
      </c>
      <c r="H695" t="s">
        <v>66</v>
      </c>
      <c r="I695">
        <v>6</v>
      </c>
      <c r="J695" t="s">
        <v>22</v>
      </c>
      <c r="K695">
        <v>1.8</v>
      </c>
      <c r="L695" t="s">
        <v>41</v>
      </c>
      <c r="N695" t="s">
        <v>24</v>
      </c>
      <c r="O695" t="s">
        <v>34</v>
      </c>
      <c r="P695">
        <v>6</v>
      </c>
      <c r="Q695">
        <v>10</v>
      </c>
    </row>
    <row r="696" spans="1:17" x14ac:dyDescent="0.3">
      <c r="A696" t="s">
        <v>1490</v>
      </c>
      <c r="B696" t="s">
        <v>861</v>
      </c>
      <c r="C696" t="s">
        <v>28</v>
      </c>
      <c r="D696" t="s">
        <v>97</v>
      </c>
      <c r="E696">
        <v>53</v>
      </c>
      <c r="F696" t="s">
        <v>175</v>
      </c>
      <c r="G696" t="s">
        <v>176</v>
      </c>
      <c r="H696" t="s">
        <v>39</v>
      </c>
      <c r="I696">
        <v>35</v>
      </c>
      <c r="J696" t="s">
        <v>51</v>
      </c>
      <c r="K696">
        <v>0</v>
      </c>
      <c r="L696" t="s">
        <v>33</v>
      </c>
      <c r="M696">
        <v>0.67</v>
      </c>
      <c r="N696" t="s">
        <v>82</v>
      </c>
      <c r="O696" t="s">
        <v>75</v>
      </c>
      <c r="P696">
        <v>18</v>
      </c>
      <c r="Q696">
        <v>9</v>
      </c>
    </row>
    <row r="697" spans="1:17" x14ac:dyDescent="0.3">
      <c r="A697" t="s">
        <v>1491</v>
      </c>
      <c r="B697" t="s">
        <v>1492</v>
      </c>
      <c r="C697" t="s">
        <v>37</v>
      </c>
      <c r="D697" t="s">
        <v>118</v>
      </c>
      <c r="E697">
        <v>38</v>
      </c>
      <c r="F697" t="s">
        <v>114</v>
      </c>
      <c r="G697" t="s">
        <v>115</v>
      </c>
      <c r="H697" t="s">
        <v>31</v>
      </c>
      <c r="I697">
        <v>1</v>
      </c>
      <c r="J697" t="s">
        <v>70</v>
      </c>
      <c r="K697">
        <v>0</v>
      </c>
      <c r="L697" t="s">
        <v>23</v>
      </c>
      <c r="M697">
        <v>0.96</v>
      </c>
      <c r="N697" t="s">
        <v>60</v>
      </c>
      <c r="O697" t="s">
        <v>75</v>
      </c>
      <c r="P697">
        <v>2</v>
      </c>
      <c r="Q697">
        <v>2</v>
      </c>
    </row>
    <row r="698" spans="1:17" x14ac:dyDescent="0.3">
      <c r="A698" t="s">
        <v>1493</v>
      </c>
      <c r="B698" t="s">
        <v>1494</v>
      </c>
      <c r="C698" t="s">
        <v>118</v>
      </c>
      <c r="D698" t="s">
        <v>118</v>
      </c>
      <c r="E698">
        <v>29</v>
      </c>
      <c r="F698" t="s">
        <v>212</v>
      </c>
      <c r="G698" t="s">
        <v>92</v>
      </c>
      <c r="H698" t="s">
        <v>39</v>
      </c>
      <c r="J698" t="s">
        <v>162</v>
      </c>
      <c r="K698">
        <v>0</v>
      </c>
      <c r="L698" t="s">
        <v>23</v>
      </c>
      <c r="M698">
        <v>0.9</v>
      </c>
      <c r="N698" t="s">
        <v>60</v>
      </c>
      <c r="O698" t="s">
        <v>75</v>
      </c>
      <c r="P698">
        <v>3</v>
      </c>
      <c r="Q698">
        <v>3</v>
      </c>
    </row>
    <row r="699" spans="1:17" x14ac:dyDescent="0.3">
      <c r="A699" t="s">
        <v>1495</v>
      </c>
      <c r="B699" t="s">
        <v>1496</v>
      </c>
      <c r="C699" t="s">
        <v>113</v>
      </c>
      <c r="D699" t="s">
        <v>118</v>
      </c>
      <c r="E699">
        <v>42</v>
      </c>
      <c r="F699" t="s">
        <v>133</v>
      </c>
      <c r="G699" t="s">
        <v>134</v>
      </c>
      <c r="H699" t="s">
        <v>93</v>
      </c>
      <c r="I699">
        <v>0</v>
      </c>
      <c r="J699" t="s">
        <v>51</v>
      </c>
      <c r="K699">
        <v>3.9</v>
      </c>
      <c r="L699" t="s">
        <v>59</v>
      </c>
      <c r="M699">
        <v>0.62</v>
      </c>
      <c r="N699" t="s">
        <v>60</v>
      </c>
      <c r="O699" t="s">
        <v>34</v>
      </c>
      <c r="P699">
        <v>5</v>
      </c>
      <c r="Q699">
        <v>2</v>
      </c>
    </row>
    <row r="700" spans="1:17" x14ac:dyDescent="0.3">
      <c r="A700" t="s">
        <v>1497</v>
      </c>
      <c r="B700" t="s">
        <v>1498</v>
      </c>
      <c r="C700" t="s">
        <v>18</v>
      </c>
      <c r="D700" t="s">
        <v>97</v>
      </c>
      <c r="E700">
        <v>54</v>
      </c>
      <c r="F700" t="s">
        <v>73</v>
      </c>
      <c r="G700" t="s">
        <v>30</v>
      </c>
      <c r="H700" t="s">
        <v>135</v>
      </c>
      <c r="I700">
        <v>9</v>
      </c>
      <c r="J700" t="s">
        <v>22</v>
      </c>
      <c r="L700" t="s">
        <v>41</v>
      </c>
      <c r="M700">
        <v>0.72</v>
      </c>
      <c r="N700" t="s">
        <v>88</v>
      </c>
      <c r="O700" t="s">
        <v>25</v>
      </c>
      <c r="P700">
        <v>13</v>
      </c>
      <c r="Q700">
        <v>10</v>
      </c>
    </row>
    <row r="701" spans="1:17" x14ac:dyDescent="0.3">
      <c r="A701" t="s">
        <v>1499</v>
      </c>
      <c r="B701" t="s">
        <v>1500</v>
      </c>
      <c r="C701" t="s">
        <v>78</v>
      </c>
      <c r="D701" t="s">
        <v>118</v>
      </c>
      <c r="E701">
        <v>56</v>
      </c>
      <c r="F701" t="s">
        <v>197</v>
      </c>
      <c r="G701" t="s">
        <v>198</v>
      </c>
      <c r="H701" t="s">
        <v>93</v>
      </c>
      <c r="I701">
        <v>18</v>
      </c>
      <c r="J701" t="s">
        <v>119</v>
      </c>
      <c r="K701">
        <v>4.4000000000000004</v>
      </c>
      <c r="L701" t="s">
        <v>94</v>
      </c>
      <c r="M701">
        <v>0.83</v>
      </c>
      <c r="N701" t="s">
        <v>24</v>
      </c>
      <c r="O701" t="s">
        <v>34</v>
      </c>
      <c r="P701">
        <v>18</v>
      </c>
      <c r="Q701">
        <v>10</v>
      </c>
    </row>
    <row r="702" spans="1:17" x14ac:dyDescent="0.3">
      <c r="A702" t="s">
        <v>1501</v>
      </c>
      <c r="B702" t="s">
        <v>1502</v>
      </c>
      <c r="C702" t="s">
        <v>18</v>
      </c>
      <c r="D702" t="s">
        <v>97</v>
      </c>
      <c r="E702">
        <v>47</v>
      </c>
      <c r="F702" t="s">
        <v>79</v>
      </c>
      <c r="G702" t="s">
        <v>80</v>
      </c>
      <c r="H702" t="s">
        <v>39</v>
      </c>
      <c r="I702">
        <v>22</v>
      </c>
      <c r="J702" t="s">
        <v>22</v>
      </c>
      <c r="K702">
        <v>4.4000000000000004</v>
      </c>
      <c r="L702" t="s">
        <v>181</v>
      </c>
      <c r="M702">
        <v>0.7</v>
      </c>
      <c r="N702" t="s">
        <v>82</v>
      </c>
      <c r="O702" t="s">
        <v>42</v>
      </c>
      <c r="P702">
        <v>17</v>
      </c>
      <c r="Q702">
        <v>16</v>
      </c>
    </row>
    <row r="703" spans="1:17" x14ac:dyDescent="0.3">
      <c r="A703" t="s">
        <v>1503</v>
      </c>
      <c r="B703" t="s">
        <v>1504</v>
      </c>
      <c r="C703" t="s">
        <v>63</v>
      </c>
      <c r="D703" t="s">
        <v>118</v>
      </c>
      <c r="E703">
        <v>45</v>
      </c>
      <c r="F703" t="s">
        <v>145</v>
      </c>
      <c r="G703" t="s">
        <v>146</v>
      </c>
      <c r="H703" t="s">
        <v>21</v>
      </c>
      <c r="I703">
        <v>25</v>
      </c>
      <c r="J703" t="s">
        <v>40</v>
      </c>
      <c r="K703">
        <v>0</v>
      </c>
      <c r="L703" t="s">
        <v>181</v>
      </c>
      <c r="M703">
        <v>99</v>
      </c>
      <c r="N703" t="s">
        <v>24</v>
      </c>
      <c r="O703" t="s">
        <v>42</v>
      </c>
      <c r="P703">
        <v>17</v>
      </c>
      <c r="Q703">
        <v>3</v>
      </c>
    </row>
    <row r="704" spans="1:17" x14ac:dyDescent="0.3">
      <c r="A704" t="s">
        <v>1505</v>
      </c>
      <c r="B704" t="s">
        <v>1506</v>
      </c>
      <c r="C704" t="s">
        <v>113</v>
      </c>
      <c r="D704" t="s">
        <v>118</v>
      </c>
      <c r="E704">
        <v>45</v>
      </c>
      <c r="F704" t="s">
        <v>197</v>
      </c>
      <c r="G704" t="s">
        <v>198</v>
      </c>
      <c r="H704" t="s">
        <v>66</v>
      </c>
      <c r="I704">
        <v>6</v>
      </c>
      <c r="J704" t="s">
        <v>40</v>
      </c>
      <c r="K704">
        <v>1.4</v>
      </c>
      <c r="L704" t="s">
        <v>51</v>
      </c>
      <c r="M704">
        <v>97</v>
      </c>
      <c r="N704" t="s">
        <v>24</v>
      </c>
      <c r="O704" t="s">
        <v>34</v>
      </c>
      <c r="P704">
        <v>6</v>
      </c>
      <c r="Q704">
        <v>5</v>
      </c>
    </row>
    <row r="705" spans="1:17" x14ac:dyDescent="0.3">
      <c r="A705" t="s">
        <v>1507</v>
      </c>
      <c r="B705" t="s">
        <v>1508</v>
      </c>
      <c r="C705" t="s">
        <v>113</v>
      </c>
      <c r="D705" t="s">
        <v>118</v>
      </c>
      <c r="E705">
        <v>35</v>
      </c>
      <c r="F705" t="s">
        <v>149</v>
      </c>
      <c r="G705" t="s">
        <v>30</v>
      </c>
      <c r="H705" t="s">
        <v>135</v>
      </c>
      <c r="I705">
        <v>10</v>
      </c>
      <c r="J705" t="s">
        <v>162</v>
      </c>
      <c r="K705">
        <v>3.2</v>
      </c>
      <c r="L705" t="s">
        <v>74</v>
      </c>
      <c r="M705">
        <v>0.77</v>
      </c>
      <c r="N705" t="s">
        <v>24</v>
      </c>
      <c r="O705" t="s">
        <v>34</v>
      </c>
      <c r="P705">
        <v>6</v>
      </c>
      <c r="Q705">
        <v>10</v>
      </c>
    </row>
    <row r="706" spans="1:17" x14ac:dyDescent="0.3">
      <c r="A706" t="s">
        <v>1509</v>
      </c>
      <c r="B706" t="s">
        <v>1510</v>
      </c>
      <c r="C706" t="s">
        <v>37</v>
      </c>
      <c r="D706" t="s">
        <v>118</v>
      </c>
      <c r="E706">
        <v>51</v>
      </c>
      <c r="F706" t="s">
        <v>149</v>
      </c>
      <c r="G706" t="s">
        <v>30</v>
      </c>
      <c r="H706" t="s">
        <v>110</v>
      </c>
      <c r="I706">
        <v>4</v>
      </c>
      <c r="J706" t="s">
        <v>119</v>
      </c>
      <c r="K706">
        <v>2</v>
      </c>
      <c r="L706" t="s">
        <v>181</v>
      </c>
      <c r="M706">
        <v>0.92</v>
      </c>
      <c r="N706" t="s">
        <v>60</v>
      </c>
      <c r="O706" t="s">
        <v>75</v>
      </c>
      <c r="P706">
        <v>2</v>
      </c>
      <c r="Q706">
        <v>2</v>
      </c>
    </row>
    <row r="707" spans="1:17" x14ac:dyDescent="0.3">
      <c r="A707" t="s">
        <v>1511</v>
      </c>
      <c r="B707" t="s">
        <v>1512</v>
      </c>
      <c r="C707" t="s">
        <v>45</v>
      </c>
      <c r="D707" t="s">
        <v>97</v>
      </c>
      <c r="E707">
        <v>34</v>
      </c>
      <c r="F707" t="s">
        <v>212</v>
      </c>
      <c r="G707" t="s">
        <v>92</v>
      </c>
      <c r="H707" t="s">
        <v>31</v>
      </c>
      <c r="I707">
        <v>11</v>
      </c>
      <c r="J707" t="s">
        <v>40</v>
      </c>
      <c r="K707">
        <v>3.3</v>
      </c>
      <c r="L707" t="s">
        <v>87</v>
      </c>
      <c r="M707">
        <v>0.76</v>
      </c>
      <c r="N707" t="s">
        <v>82</v>
      </c>
      <c r="O707" t="s">
        <v>34</v>
      </c>
      <c r="P707">
        <v>9</v>
      </c>
      <c r="Q707">
        <v>4</v>
      </c>
    </row>
    <row r="708" spans="1:17" x14ac:dyDescent="0.3">
      <c r="A708" t="s">
        <v>1513</v>
      </c>
      <c r="B708" t="s">
        <v>1514</v>
      </c>
      <c r="C708" t="s">
        <v>28</v>
      </c>
      <c r="D708" t="s">
        <v>97</v>
      </c>
      <c r="E708">
        <v>51</v>
      </c>
      <c r="F708" t="s">
        <v>64</v>
      </c>
      <c r="G708" t="s">
        <v>65</v>
      </c>
      <c r="H708" t="s">
        <v>39</v>
      </c>
      <c r="I708">
        <v>1</v>
      </c>
      <c r="J708" t="s">
        <v>81</v>
      </c>
      <c r="K708">
        <v>0</v>
      </c>
      <c r="L708" t="s">
        <v>94</v>
      </c>
      <c r="M708">
        <v>0.97</v>
      </c>
      <c r="N708" t="s">
        <v>82</v>
      </c>
      <c r="O708" t="s">
        <v>75</v>
      </c>
      <c r="P708">
        <v>1</v>
      </c>
      <c r="Q708">
        <v>1</v>
      </c>
    </row>
    <row r="709" spans="1:17" x14ac:dyDescent="0.3">
      <c r="A709" t="s">
        <v>1515</v>
      </c>
      <c r="B709" t="s">
        <v>1516</v>
      </c>
      <c r="C709" t="s">
        <v>113</v>
      </c>
      <c r="D709" t="s">
        <v>118</v>
      </c>
      <c r="E709">
        <v>58</v>
      </c>
      <c r="F709" t="s">
        <v>160</v>
      </c>
      <c r="G709" t="s">
        <v>161</v>
      </c>
      <c r="H709" t="s">
        <v>39</v>
      </c>
      <c r="I709">
        <v>35</v>
      </c>
      <c r="J709" t="s">
        <v>32</v>
      </c>
      <c r="K709">
        <v>2.2999999999999998</v>
      </c>
      <c r="L709" t="s">
        <v>94</v>
      </c>
      <c r="N709" t="s">
        <v>24</v>
      </c>
      <c r="O709" t="s">
        <v>42</v>
      </c>
      <c r="P709">
        <v>16</v>
      </c>
      <c r="Q709">
        <v>5</v>
      </c>
    </row>
    <row r="710" spans="1:17" x14ac:dyDescent="0.3">
      <c r="A710" t="s">
        <v>1517</v>
      </c>
      <c r="B710" t="s">
        <v>1518</v>
      </c>
      <c r="C710" t="s">
        <v>18</v>
      </c>
      <c r="D710" t="s">
        <v>97</v>
      </c>
      <c r="E710">
        <v>36</v>
      </c>
      <c r="F710" t="s">
        <v>55</v>
      </c>
      <c r="G710" t="s">
        <v>56</v>
      </c>
      <c r="H710" t="s">
        <v>46</v>
      </c>
      <c r="I710">
        <v>17</v>
      </c>
      <c r="J710" t="s">
        <v>142</v>
      </c>
      <c r="K710">
        <v>0</v>
      </c>
      <c r="L710" t="s">
        <v>33</v>
      </c>
      <c r="M710">
        <v>99</v>
      </c>
      <c r="N710" t="s">
        <v>60</v>
      </c>
      <c r="O710" t="s">
        <v>75</v>
      </c>
      <c r="P710">
        <v>12</v>
      </c>
      <c r="Q710">
        <v>8</v>
      </c>
    </row>
    <row r="711" spans="1:17" x14ac:dyDescent="0.3">
      <c r="A711" t="s">
        <v>1519</v>
      </c>
      <c r="B711" t="s">
        <v>1520</v>
      </c>
      <c r="C711" t="s">
        <v>78</v>
      </c>
      <c r="D711" t="s">
        <v>118</v>
      </c>
      <c r="F711" t="s">
        <v>145</v>
      </c>
      <c r="G711" t="s">
        <v>146</v>
      </c>
      <c r="H711" t="s">
        <v>57</v>
      </c>
      <c r="I711">
        <v>12</v>
      </c>
      <c r="J711" t="s">
        <v>52</v>
      </c>
      <c r="K711">
        <v>2.6</v>
      </c>
      <c r="L711" t="s">
        <v>94</v>
      </c>
      <c r="N711" t="s">
        <v>60</v>
      </c>
      <c r="O711" t="s">
        <v>34</v>
      </c>
      <c r="P711">
        <v>6</v>
      </c>
      <c r="Q711">
        <v>10</v>
      </c>
    </row>
    <row r="712" spans="1:17" x14ac:dyDescent="0.3">
      <c r="A712" t="s">
        <v>1521</v>
      </c>
      <c r="B712" t="s">
        <v>1522</v>
      </c>
      <c r="C712" t="s">
        <v>113</v>
      </c>
      <c r="D712" t="s">
        <v>118</v>
      </c>
      <c r="E712">
        <v>56</v>
      </c>
      <c r="F712" t="s">
        <v>175</v>
      </c>
      <c r="G712" t="s">
        <v>176</v>
      </c>
      <c r="H712" t="s">
        <v>135</v>
      </c>
      <c r="I712">
        <v>30</v>
      </c>
      <c r="J712" t="s">
        <v>86</v>
      </c>
      <c r="K712">
        <v>3.3</v>
      </c>
      <c r="L712" t="s">
        <v>87</v>
      </c>
      <c r="M712">
        <v>0.82</v>
      </c>
      <c r="N712" t="s">
        <v>82</v>
      </c>
      <c r="O712" t="s">
        <v>42</v>
      </c>
      <c r="P712">
        <v>12</v>
      </c>
      <c r="Q712">
        <v>3</v>
      </c>
    </row>
    <row r="713" spans="1:17" x14ac:dyDescent="0.3">
      <c r="A713" t="s">
        <v>1523</v>
      </c>
      <c r="B713" t="s">
        <v>1524</v>
      </c>
      <c r="C713" t="s">
        <v>18</v>
      </c>
      <c r="D713" t="s">
        <v>97</v>
      </c>
      <c r="E713">
        <v>58</v>
      </c>
      <c r="F713" t="s">
        <v>149</v>
      </c>
      <c r="G713" t="s">
        <v>30</v>
      </c>
      <c r="H713" t="s">
        <v>98</v>
      </c>
      <c r="I713">
        <v>20</v>
      </c>
      <c r="J713" t="s">
        <v>103</v>
      </c>
      <c r="K713">
        <v>3.6</v>
      </c>
      <c r="L713" t="s">
        <v>87</v>
      </c>
      <c r="M713">
        <v>0.78</v>
      </c>
      <c r="N713" t="s">
        <v>60</v>
      </c>
      <c r="O713" t="s">
        <v>25</v>
      </c>
      <c r="P713">
        <v>11</v>
      </c>
      <c r="Q713">
        <v>13</v>
      </c>
    </row>
    <row r="714" spans="1:17" x14ac:dyDescent="0.3">
      <c r="A714" t="s">
        <v>1525</v>
      </c>
      <c r="B714" t="s">
        <v>1526</v>
      </c>
      <c r="C714" t="s">
        <v>18</v>
      </c>
      <c r="D714" t="s">
        <v>97</v>
      </c>
      <c r="E714">
        <v>58</v>
      </c>
      <c r="F714" t="s">
        <v>73</v>
      </c>
      <c r="G714" t="s">
        <v>30</v>
      </c>
      <c r="H714" t="s">
        <v>98</v>
      </c>
      <c r="I714">
        <v>22</v>
      </c>
      <c r="J714" t="s">
        <v>22</v>
      </c>
      <c r="K714">
        <v>3.7</v>
      </c>
      <c r="L714" t="s">
        <v>23</v>
      </c>
      <c r="N714" t="s">
        <v>60</v>
      </c>
      <c r="O714" t="s">
        <v>75</v>
      </c>
      <c r="P714">
        <v>13</v>
      </c>
      <c r="Q714">
        <v>8</v>
      </c>
    </row>
    <row r="715" spans="1:17" x14ac:dyDescent="0.3">
      <c r="A715" t="s">
        <v>1527</v>
      </c>
      <c r="B715" t="s">
        <v>1528</v>
      </c>
      <c r="C715" t="s">
        <v>45</v>
      </c>
      <c r="D715" t="s">
        <v>97</v>
      </c>
      <c r="E715">
        <v>54</v>
      </c>
      <c r="F715" t="s">
        <v>85</v>
      </c>
      <c r="G715" t="s">
        <v>30</v>
      </c>
      <c r="H715" t="s">
        <v>57</v>
      </c>
      <c r="I715">
        <v>32</v>
      </c>
      <c r="J715" t="s">
        <v>142</v>
      </c>
      <c r="K715">
        <v>3.4</v>
      </c>
      <c r="L715" t="s">
        <v>181</v>
      </c>
      <c r="N715" t="s">
        <v>60</v>
      </c>
      <c r="O715" t="s">
        <v>42</v>
      </c>
      <c r="P715">
        <v>11</v>
      </c>
      <c r="Q715">
        <v>15</v>
      </c>
    </row>
    <row r="716" spans="1:17" x14ac:dyDescent="0.3">
      <c r="A716" t="s">
        <v>1529</v>
      </c>
      <c r="B716" t="s">
        <v>1530</v>
      </c>
      <c r="C716" t="s">
        <v>37</v>
      </c>
      <c r="D716" t="s">
        <v>118</v>
      </c>
      <c r="E716">
        <v>53</v>
      </c>
      <c r="F716" t="s">
        <v>29</v>
      </c>
      <c r="G716" t="s">
        <v>30</v>
      </c>
      <c r="H716" t="s">
        <v>93</v>
      </c>
      <c r="I716">
        <v>9</v>
      </c>
      <c r="J716" t="s">
        <v>40</v>
      </c>
      <c r="K716">
        <v>4</v>
      </c>
      <c r="L716" t="s">
        <v>94</v>
      </c>
      <c r="M716">
        <v>0.72</v>
      </c>
      <c r="N716" t="s">
        <v>88</v>
      </c>
      <c r="O716" t="s">
        <v>75</v>
      </c>
      <c r="P716">
        <v>14</v>
      </c>
      <c r="Q716">
        <v>2</v>
      </c>
    </row>
    <row r="717" spans="1:17" x14ac:dyDescent="0.3">
      <c r="A717" t="s">
        <v>1531</v>
      </c>
      <c r="B717" t="s">
        <v>1532</v>
      </c>
      <c r="C717" t="s">
        <v>97</v>
      </c>
      <c r="D717" t="s">
        <v>97</v>
      </c>
      <c r="E717">
        <v>43</v>
      </c>
      <c r="F717" t="s">
        <v>29</v>
      </c>
      <c r="G717" t="s">
        <v>30</v>
      </c>
      <c r="H717" t="s">
        <v>46</v>
      </c>
      <c r="I717">
        <v>22</v>
      </c>
      <c r="J717" t="s">
        <v>86</v>
      </c>
      <c r="K717">
        <v>4.5</v>
      </c>
      <c r="L717" t="s">
        <v>51</v>
      </c>
      <c r="N717" t="s">
        <v>24</v>
      </c>
      <c r="O717" t="s">
        <v>42</v>
      </c>
      <c r="P717">
        <v>16</v>
      </c>
      <c r="Q717">
        <v>6</v>
      </c>
    </row>
    <row r="718" spans="1:17" x14ac:dyDescent="0.3">
      <c r="A718" t="s">
        <v>1533</v>
      </c>
      <c r="B718" t="s">
        <v>1534</v>
      </c>
      <c r="C718" t="s">
        <v>113</v>
      </c>
      <c r="D718" t="s">
        <v>118</v>
      </c>
      <c r="E718">
        <v>44</v>
      </c>
      <c r="F718" t="s">
        <v>133</v>
      </c>
      <c r="G718" t="s">
        <v>134</v>
      </c>
      <c r="H718" t="s">
        <v>135</v>
      </c>
      <c r="I718">
        <v>1</v>
      </c>
      <c r="J718" t="s">
        <v>103</v>
      </c>
      <c r="K718">
        <v>4.3</v>
      </c>
      <c r="L718" t="s">
        <v>33</v>
      </c>
      <c r="N718" t="s">
        <v>82</v>
      </c>
      <c r="O718" t="s">
        <v>42</v>
      </c>
      <c r="P718">
        <v>1</v>
      </c>
      <c r="Q718">
        <v>1</v>
      </c>
    </row>
    <row r="719" spans="1:17" x14ac:dyDescent="0.3">
      <c r="A719" t="s">
        <v>1535</v>
      </c>
      <c r="B719" t="s">
        <v>1536</v>
      </c>
      <c r="C719" t="s">
        <v>113</v>
      </c>
      <c r="D719" t="s">
        <v>118</v>
      </c>
      <c r="E719">
        <v>34</v>
      </c>
      <c r="F719" t="s">
        <v>149</v>
      </c>
      <c r="G719" t="s">
        <v>30</v>
      </c>
      <c r="H719" t="s">
        <v>98</v>
      </c>
      <c r="I719">
        <v>4</v>
      </c>
      <c r="J719" t="s">
        <v>103</v>
      </c>
      <c r="K719">
        <v>4</v>
      </c>
      <c r="L719" t="s">
        <v>33</v>
      </c>
      <c r="N719" t="s">
        <v>82</v>
      </c>
      <c r="O719" t="s">
        <v>75</v>
      </c>
      <c r="P719">
        <v>3</v>
      </c>
      <c r="Q719">
        <v>2</v>
      </c>
    </row>
    <row r="720" spans="1:17" x14ac:dyDescent="0.3">
      <c r="A720" t="s">
        <v>1537</v>
      </c>
      <c r="B720" t="s">
        <v>1538</v>
      </c>
      <c r="C720" t="s">
        <v>50</v>
      </c>
      <c r="D720" t="s">
        <v>97</v>
      </c>
      <c r="E720">
        <v>27</v>
      </c>
      <c r="F720" t="s">
        <v>128</v>
      </c>
      <c r="G720" t="s">
        <v>129</v>
      </c>
      <c r="H720" t="s">
        <v>31</v>
      </c>
      <c r="I720">
        <v>8</v>
      </c>
      <c r="J720" t="s">
        <v>81</v>
      </c>
      <c r="K720">
        <v>1.6</v>
      </c>
      <c r="L720" t="s">
        <v>87</v>
      </c>
      <c r="N720" t="s">
        <v>88</v>
      </c>
      <c r="O720" t="s">
        <v>25</v>
      </c>
      <c r="P720">
        <v>15</v>
      </c>
      <c r="Q720">
        <v>5</v>
      </c>
    </row>
    <row r="721" spans="1:17" x14ac:dyDescent="0.3">
      <c r="A721" t="s">
        <v>1539</v>
      </c>
      <c r="B721" t="s">
        <v>1540</v>
      </c>
      <c r="C721" t="s">
        <v>63</v>
      </c>
      <c r="D721" t="s">
        <v>118</v>
      </c>
      <c r="E721">
        <v>50</v>
      </c>
      <c r="F721" t="s">
        <v>106</v>
      </c>
      <c r="G721" t="s">
        <v>107</v>
      </c>
      <c r="H721" t="s">
        <v>66</v>
      </c>
      <c r="I721">
        <v>3</v>
      </c>
      <c r="J721" t="s">
        <v>22</v>
      </c>
      <c r="K721">
        <v>0</v>
      </c>
      <c r="L721" t="s">
        <v>94</v>
      </c>
      <c r="N721" t="s">
        <v>24</v>
      </c>
      <c r="O721" t="s">
        <v>42</v>
      </c>
      <c r="P721">
        <v>2</v>
      </c>
      <c r="Q721">
        <v>2</v>
      </c>
    </row>
    <row r="722" spans="1:17" x14ac:dyDescent="0.3">
      <c r="A722" t="s">
        <v>1541</v>
      </c>
      <c r="B722" t="s">
        <v>1542</v>
      </c>
      <c r="C722" t="s">
        <v>50</v>
      </c>
      <c r="D722" t="s">
        <v>97</v>
      </c>
      <c r="E722">
        <v>52</v>
      </c>
      <c r="F722" t="s">
        <v>133</v>
      </c>
      <c r="G722" t="s">
        <v>134</v>
      </c>
      <c r="H722" t="s">
        <v>93</v>
      </c>
      <c r="I722">
        <v>30</v>
      </c>
      <c r="J722" t="s">
        <v>103</v>
      </c>
      <c r="L722" t="s">
        <v>181</v>
      </c>
      <c r="M722">
        <v>0.94</v>
      </c>
      <c r="N722" t="s">
        <v>82</v>
      </c>
      <c r="O722" t="s">
        <v>42</v>
      </c>
      <c r="P722">
        <v>10</v>
      </c>
      <c r="Q722">
        <v>6</v>
      </c>
    </row>
    <row r="723" spans="1:17" x14ac:dyDescent="0.3">
      <c r="A723" t="s">
        <v>1543</v>
      </c>
      <c r="B723" t="s">
        <v>1544</v>
      </c>
      <c r="C723" t="s">
        <v>78</v>
      </c>
      <c r="D723" t="s">
        <v>118</v>
      </c>
      <c r="E723">
        <v>57</v>
      </c>
      <c r="F723" t="s">
        <v>212</v>
      </c>
      <c r="G723" t="s">
        <v>92</v>
      </c>
      <c r="H723" t="s">
        <v>21</v>
      </c>
      <c r="I723">
        <v>11</v>
      </c>
      <c r="J723" t="s">
        <v>336</v>
      </c>
      <c r="K723">
        <v>4.9000000000000004</v>
      </c>
      <c r="L723" t="s">
        <v>94</v>
      </c>
      <c r="N723" t="s">
        <v>60</v>
      </c>
      <c r="O723" t="s">
        <v>42</v>
      </c>
      <c r="P723">
        <v>11</v>
      </c>
      <c r="Q723">
        <v>4</v>
      </c>
    </row>
    <row r="724" spans="1:17" x14ac:dyDescent="0.3">
      <c r="A724" t="s">
        <v>1545</v>
      </c>
      <c r="B724" t="s">
        <v>1546</v>
      </c>
      <c r="C724" t="s">
        <v>50</v>
      </c>
      <c r="D724" t="s">
        <v>97</v>
      </c>
      <c r="E724">
        <v>53</v>
      </c>
      <c r="F724" t="s">
        <v>201</v>
      </c>
      <c r="G724" t="s">
        <v>92</v>
      </c>
      <c r="H724" t="s">
        <v>110</v>
      </c>
      <c r="I724">
        <v>8</v>
      </c>
      <c r="J724" t="s">
        <v>162</v>
      </c>
      <c r="K724">
        <v>2.8</v>
      </c>
      <c r="L724" t="s">
        <v>74</v>
      </c>
      <c r="N724" t="s">
        <v>82</v>
      </c>
      <c r="O724" t="s">
        <v>25</v>
      </c>
      <c r="P724">
        <v>9</v>
      </c>
      <c r="Q724">
        <v>2</v>
      </c>
    </row>
    <row r="725" spans="1:17" x14ac:dyDescent="0.3">
      <c r="A725" t="s">
        <v>1547</v>
      </c>
      <c r="B725" t="s">
        <v>1548</v>
      </c>
      <c r="C725" t="s">
        <v>63</v>
      </c>
      <c r="D725" t="s">
        <v>118</v>
      </c>
      <c r="E725">
        <v>51</v>
      </c>
      <c r="F725" t="s">
        <v>79</v>
      </c>
      <c r="G725" t="s">
        <v>80</v>
      </c>
      <c r="H725" t="s">
        <v>93</v>
      </c>
      <c r="I725">
        <v>11</v>
      </c>
      <c r="J725" t="s">
        <v>130</v>
      </c>
      <c r="K725">
        <v>3.6</v>
      </c>
      <c r="L725" t="s">
        <v>94</v>
      </c>
      <c r="M725">
        <v>0.77</v>
      </c>
      <c r="N725" t="s">
        <v>60</v>
      </c>
      <c r="O725" t="s">
        <v>25</v>
      </c>
      <c r="P725">
        <v>7</v>
      </c>
      <c r="Q725">
        <v>3</v>
      </c>
    </row>
    <row r="726" spans="1:17" x14ac:dyDescent="0.3">
      <c r="A726" t="s">
        <v>1549</v>
      </c>
      <c r="B726" t="s">
        <v>1550</v>
      </c>
      <c r="C726" t="s">
        <v>28</v>
      </c>
      <c r="D726" t="s">
        <v>97</v>
      </c>
      <c r="E726">
        <v>37</v>
      </c>
      <c r="F726" t="s">
        <v>149</v>
      </c>
      <c r="G726" t="s">
        <v>30</v>
      </c>
      <c r="H726" t="s">
        <v>98</v>
      </c>
      <c r="I726">
        <v>9</v>
      </c>
      <c r="J726" t="s">
        <v>81</v>
      </c>
      <c r="L726" t="s">
        <v>87</v>
      </c>
      <c r="M726">
        <v>84</v>
      </c>
      <c r="N726" t="s">
        <v>88</v>
      </c>
      <c r="O726" t="s">
        <v>34</v>
      </c>
      <c r="P726">
        <v>7</v>
      </c>
      <c r="Q726">
        <v>6</v>
      </c>
    </row>
    <row r="727" spans="1:17" x14ac:dyDescent="0.3">
      <c r="A727" t="s">
        <v>1551</v>
      </c>
      <c r="B727" t="s">
        <v>1552</v>
      </c>
      <c r="C727" t="s">
        <v>78</v>
      </c>
      <c r="D727" t="s">
        <v>118</v>
      </c>
      <c r="E727">
        <v>40</v>
      </c>
      <c r="F727" t="s">
        <v>212</v>
      </c>
      <c r="G727" t="s">
        <v>92</v>
      </c>
      <c r="H727" t="s">
        <v>46</v>
      </c>
      <c r="I727">
        <v>7</v>
      </c>
      <c r="J727" t="s">
        <v>86</v>
      </c>
      <c r="K727">
        <v>4.5</v>
      </c>
      <c r="L727" t="s">
        <v>51</v>
      </c>
      <c r="M727">
        <v>79</v>
      </c>
      <c r="N727" t="s">
        <v>60</v>
      </c>
      <c r="O727" t="s">
        <v>75</v>
      </c>
      <c r="P727">
        <v>15</v>
      </c>
      <c r="Q727">
        <v>6</v>
      </c>
    </row>
    <row r="728" spans="1:17" x14ac:dyDescent="0.3">
      <c r="A728" t="s">
        <v>1553</v>
      </c>
      <c r="B728" t="s">
        <v>1554</v>
      </c>
      <c r="C728" t="s">
        <v>63</v>
      </c>
      <c r="D728" t="s">
        <v>118</v>
      </c>
      <c r="E728">
        <v>60</v>
      </c>
      <c r="F728" t="s">
        <v>106</v>
      </c>
      <c r="G728" t="s">
        <v>107</v>
      </c>
      <c r="H728" t="s">
        <v>66</v>
      </c>
      <c r="I728">
        <v>24</v>
      </c>
      <c r="J728" t="s">
        <v>70</v>
      </c>
      <c r="K728">
        <v>3.1</v>
      </c>
      <c r="L728" t="s">
        <v>23</v>
      </c>
      <c r="M728">
        <v>0.69</v>
      </c>
      <c r="N728" t="s">
        <v>82</v>
      </c>
      <c r="O728" t="s">
        <v>25</v>
      </c>
      <c r="P728">
        <v>18</v>
      </c>
      <c r="Q728">
        <v>12</v>
      </c>
    </row>
    <row r="729" spans="1:17" x14ac:dyDescent="0.3">
      <c r="A729" t="s">
        <v>1555</v>
      </c>
      <c r="B729" t="s">
        <v>1556</v>
      </c>
      <c r="C729" t="s">
        <v>113</v>
      </c>
      <c r="D729" t="s">
        <v>118</v>
      </c>
      <c r="E729">
        <v>60</v>
      </c>
      <c r="F729" t="s">
        <v>156</v>
      </c>
      <c r="G729" t="s">
        <v>157</v>
      </c>
      <c r="H729" t="s">
        <v>93</v>
      </c>
      <c r="I729">
        <v>0</v>
      </c>
      <c r="J729" t="s">
        <v>86</v>
      </c>
      <c r="K729">
        <v>4.9000000000000004</v>
      </c>
      <c r="L729" t="s">
        <v>94</v>
      </c>
      <c r="M729">
        <v>0.68</v>
      </c>
      <c r="N729" t="s">
        <v>82</v>
      </c>
      <c r="O729" t="s">
        <v>75</v>
      </c>
      <c r="P729">
        <v>5</v>
      </c>
      <c r="Q729">
        <v>1</v>
      </c>
    </row>
    <row r="730" spans="1:17" x14ac:dyDescent="0.3">
      <c r="A730" t="s">
        <v>1557</v>
      </c>
      <c r="B730" t="s">
        <v>1558</v>
      </c>
      <c r="C730" t="s">
        <v>97</v>
      </c>
      <c r="D730" t="s">
        <v>97</v>
      </c>
      <c r="E730">
        <v>53</v>
      </c>
      <c r="F730" t="s">
        <v>133</v>
      </c>
      <c r="G730" t="s">
        <v>134</v>
      </c>
      <c r="H730" t="s">
        <v>93</v>
      </c>
      <c r="I730">
        <v>21</v>
      </c>
      <c r="J730" t="s">
        <v>58</v>
      </c>
      <c r="K730">
        <v>4.2</v>
      </c>
      <c r="L730" t="s">
        <v>33</v>
      </c>
      <c r="M730">
        <v>73</v>
      </c>
      <c r="N730" t="s">
        <v>82</v>
      </c>
      <c r="O730" t="s">
        <v>34</v>
      </c>
      <c r="P730">
        <v>10</v>
      </c>
      <c r="Q730">
        <v>9</v>
      </c>
    </row>
    <row r="731" spans="1:17" x14ac:dyDescent="0.3">
      <c r="A731" t="s">
        <v>1559</v>
      </c>
      <c r="B731" t="s">
        <v>1560</v>
      </c>
      <c r="C731" t="s">
        <v>97</v>
      </c>
      <c r="D731" t="s">
        <v>97</v>
      </c>
      <c r="E731">
        <v>20</v>
      </c>
      <c r="F731" t="s">
        <v>201</v>
      </c>
      <c r="G731" t="s">
        <v>92</v>
      </c>
      <c r="H731" t="s">
        <v>21</v>
      </c>
      <c r="I731">
        <v>0</v>
      </c>
      <c r="J731" t="s">
        <v>103</v>
      </c>
      <c r="K731">
        <v>3.2</v>
      </c>
      <c r="L731" t="s">
        <v>33</v>
      </c>
      <c r="M731">
        <v>0.74</v>
      </c>
      <c r="N731" t="s">
        <v>88</v>
      </c>
      <c r="O731" t="s">
        <v>75</v>
      </c>
      <c r="P731">
        <v>2</v>
      </c>
      <c r="Q731">
        <v>2</v>
      </c>
    </row>
    <row r="732" spans="1:17" x14ac:dyDescent="0.3">
      <c r="A732" t="s">
        <v>1561</v>
      </c>
      <c r="B732" t="s">
        <v>1562</v>
      </c>
      <c r="C732" t="s">
        <v>78</v>
      </c>
      <c r="D732" t="s">
        <v>118</v>
      </c>
      <c r="E732">
        <v>42</v>
      </c>
      <c r="F732" t="s">
        <v>145</v>
      </c>
      <c r="G732" t="s">
        <v>146</v>
      </c>
      <c r="H732" t="s">
        <v>46</v>
      </c>
      <c r="I732">
        <v>7</v>
      </c>
      <c r="J732" t="s">
        <v>336</v>
      </c>
      <c r="L732" t="s">
        <v>59</v>
      </c>
      <c r="M732">
        <v>1</v>
      </c>
      <c r="N732" t="s">
        <v>88</v>
      </c>
      <c r="O732" t="s">
        <v>25</v>
      </c>
      <c r="P732">
        <v>15</v>
      </c>
      <c r="Q732">
        <v>14</v>
      </c>
    </row>
    <row r="733" spans="1:17" x14ac:dyDescent="0.3">
      <c r="A733" t="s">
        <v>1563</v>
      </c>
      <c r="B733" t="s">
        <v>1564</v>
      </c>
      <c r="C733" t="s">
        <v>113</v>
      </c>
      <c r="D733" t="s">
        <v>118</v>
      </c>
      <c r="E733">
        <v>21</v>
      </c>
      <c r="F733" t="s">
        <v>85</v>
      </c>
      <c r="G733" t="s">
        <v>30</v>
      </c>
      <c r="H733" t="s">
        <v>31</v>
      </c>
      <c r="I733">
        <v>3</v>
      </c>
      <c r="J733" t="s">
        <v>86</v>
      </c>
      <c r="K733">
        <v>0</v>
      </c>
      <c r="L733" t="s">
        <v>23</v>
      </c>
      <c r="M733">
        <v>0.87</v>
      </c>
      <c r="N733" t="s">
        <v>24</v>
      </c>
      <c r="O733" t="s">
        <v>75</v>
      </c>
      <c r="P733">
        <v>1</v>
      </c>
      <c r="Q733">
        <v>1</v>
      </c>
    </row>
    <row r="734" spans="1:17" x14ac:dyDescent="0.3">
      <c r="A734" t="s">
        <v>1565</v>
      </c>
      <c r="B734" t="s">
        <v>1566</v>
      </c>
      <c r="C734" t="s">
        <v>63</v>
      </c>
      <c r="D734" t="s">
        <v>118</v>
      </c>
      <c r="E734">
        <v>39</v>
      </c>
      <c r="F734" t="s">
        <v>38</v>
      </c>
      <c r="G734" t="s">
        <v>38</v>
      </c>
      <c r="H734" t="s">
        <v>46</v>
      </c>
      <c r="I734">
        <v>21</v>
      </c>
      <c r="J734" t="s">
        <v>22</v>
      </c>
      <c r="K734">
        <v>2.2000000000000002</v>
      </c>
      <c r="L734" t="s">
        <v>23</v>
      </c>
      <c r="M734">
        <v>0.79</v>
      </c>
      <c r="N734" t="s">
        <v>82</v>
      </c>
      <c r="O734" t="s">
        <v>25</v>
      </c>
      <c r="P734">
        <v>12</v>
      </c>
      <c r="Q734">
        <v>13</v>
      </c>
    </row>
    <row r="735" spans="1:17" x14ac:dyDescent="0.3">
      <c r="A735" t="s">
        <v>1567</v>
      </c>
      <c r="B735" t="s">
        <v>1568</v>
      </c>
      <c r="C735" t="s">
        <v>63</v>
      </c>
      <c r="D735" t="s">
        <v>118</v>
      </c>
      <c r="E735">
        <v>32</v>
      </c>
      <c r="F735" t="s">
        <v>114</v>
      </c>
      <c r="G735" t="s">
        <v>115</v>
      </c>
      <c r="H735" t="s">
        <v>21</v>
      </c>
      <c r="J735" t="s">
        <v>52</v>
      </c>
      <c r="K735">
        <v>1.5</v>
      </c>
      <c r="L735" t="s">
        <v>23</v>
      </c>
      <c r="M735">
        <v>0.68</v>
      </c>
      <c r="N735" t="s">
        <v>60</v>
      </c>
      <c r="O735" t="s">
        <v>75</v>
      </c>
      <c r="P735">
        <v>4</v>
      </c>
      <c r="Q735">
        <v>1</v>
      </c>
    </row>
    <row r="736" spans="1:17" x14ac:dyDescent="0.3">
      <c r="A736" t="s">
        <v>1569</v>
      </c>
      <c r="B736" t="s">
        <v>1570</v>
      </c>
      <c r="C736" t="s">
        <v>113</v>
      </c>
      <c r="D736" t="s">
        <v>118</v>
      </c>
      <c r="E736">
        <v>35</v>
      </c>
      <c r="F736" t="s">
        <v>38</v>
      </c>
      <c r="G736" t="s">
        <v>38</v>
      </c>
      <c r="H736" t="s">
        <v>66</v>
      </c>
      <c r="J736" t="s">
        <v>32</v>
      </c>
      <c r="L736" t="s">
        <v>23</v>
      </c>
      <c r="M736">
        <v>0.84</v>
      </c>
      <c r="N736" t="s">
        <v>88</v>
      </c>
      <c r="O736" t="s">
        <v>25</v>
      </c>
      <c r="P736">
        <v>1</v>
      </c>
      <c r="Q736">
        <v>2</v>
      </c>
    </row>
    <row r="737" spans="1:17" x14ac:dyDescent="0.3">
      <c r="A737" t="s">
        <v>1571</v>
      </c>
      <c r="B737" t="s">
        <v>1572</v>
      </c>
      <c r="C737" t="s">
        <v>18</v>
      </c>
      <c r="D737" t="s">
        <v>97</v>
      </c>
      <c r="E737">
        <v>35</v>
      </c>
      <c r="F737" t="s">
        <v>156</v>
      </c>
      <c r="G737" t="s">
        <v>157</v>
      </c>
      <c r="H737" t="s">
        <v>93</v>
      </c>
      <c r="I737">
        <v>17</v>
      </c>
      <c r="J737" t="s">
        <v>40</v>
      </c>
      <c r="K737">
        <v>3.1</v>
      </c>
      <c r="L737" t="s">
        <v>23</v>
      </c>
      <c r="M737">
        <v>0.71</v>
      </c>
      <c r="N737" t="s">
        <v>82</v>
      </c>
      <c r="O737" t="s">
        <v>25</v>
      </c>
      <c r="P737">
        <v>10</v>
      </c>
      <c r="Q737">
        <v>2</v>
      </c>
    </row>
    <row r="738" spans="1:17" x14ac:dyDescent="0.3">
      <c r="A738" t="s">
        <v>1573</v>
      </c>
      <c r="B738" t="s">
        <v>1574</v>
      </c>
      <c r="C738" t="s">
        <v>28</v>
      </c>
      <c r="D738" t="s">
        <v>97</v>
      </c>
      <c r="E738">
        <v>23</v>
      </c>
      <c r="F738" t="s">
        <v>91</v>
      </c>
      <c r="G738" t="s">
        <v>92</v>
      </c>
      <c r="H738" t="s">
        <v>93</v>
      </c>
      <c r="I738">
        <v>0</v>
      </c>
      <c r="J738" t="s">
        <v>103</v>
      </c>
      <c r="K738">
        <v>0</v>
      </c>
      <c r="L738" t="s">
        <v>181</v>
      </c>
      <c r="M738">
        <v>0.92</v>
      </c>
      <c r="N738" t="s">
        <v>82</v>
      </c>
      <c r="O738" t="s">
        <v>75</v>
      </c>
      <c r="P738">
        <v>1</v>
      </c>
      <c r="Q738">
        <v>2</v>
      </c>
    </row>
    <row r="739" spans="1:17" x14ac:dyDescent="0.3">
      <c r="A739" t="s">
        <v>1575</v>
      </c>
      <c r="B739" t="s">
        <v>1576</v>
      </c>
      <c r="C739" t="s">
        <v>113</v>
      </c>
      <c r="D739" t="s">
        <v>118</v>
      </c>
      <c r="E739">
        <v>26</v>
      </c>
      <c r="F739" t="s">
        <v>55</v>
      </c>
      <c r="G739" t="s">
        <v>56</v>
      </c>
      <c r="H739" t="s">
        <v>57</v>
      </c>
      <c r="I739">
        <v>6</v>
      </c>
      <c r="J739" t="s">
        <v>32</v>
      </c>
      <c r="L739" t="s">
        <v>181</v>
      </c>
      <c r="M739">
        <v>0.69</v>
      </c>
      <c r="N739" t="s">
        <v>88</v>
      </c>
      <c r="O739" t="s">
        <v>34</v>
      </c>
      <c r="P739">
        <v>8</v>
      </c>
      <c r="Q739">
        <v>9</v>
      </c>
    </row>
    <row r="740" spans="1:17" x14ac:dyDescent="0.3">
      <c r="A740" t="s">
        <v>1577</v>
      </c>
      <c r="B740" t="s">
        <v>1578</v>
      </c>
      <c r="C740" t="s">
        <v>45</v>
      </c>
      <c r="D740" t="s">
        <v>97</v>
      </c>
      <c r="E740">
        <v>34</v>
      </c>
      <c r="F740" t="s">
        <v>149</v>
      </c>
      <c r="G740" t="s">
        <v>30</v>
      </c>
      <c r="H740" t="s">
        <v>135</v>
      </c>
      <c r="I740">
        <v>3</v>
      </c>
      <c r="J740" t="s">
        <v>51</v>
      </c>
      <c r="K740">
        <v>0</v>
      </c>
      <c r="L740" t="s">
        <v>33</v>
      </c>
      <c r="M740">
        <v>0.71</v>
      </c>
      <c r="N740" t="s">
        <v>24</v>
      </c>
      <c r="O740" t="s">
        <v>42</v>
      </c>
      <c r="P740">
        <v>2</v>
      </c>
      <c r="Q740">
        <v>1</v>
      </c>
    </row>
    <row r="741" spans="1:17" x14ac:dyDescent="0.3">
      <c r="A741" t="s">
        <v>1579</v>
      </c>
      <c r="B741" t="s">
        <v>1580</v>
      </c>
      <c r="C741" t="s">
        <v>97</v>
      </c>
      <c r="D741" t="s">
        <v>97</v>
      </c>
      <c r="E741">
        <v>34</v>
      </c>
      <c r="F741" t="s">
        <v>38</v>
      </c>
      <c r="G741" t="s">
        <v>38</v>
      </c>
      <c r="H741" t="s">
        <v>21</v>
      </c>
      <c r="I741">
        <v>3</v>
      </c>
      <c r="J741" t="s">
        <v>51</v>
      </c>
      <c r="L741" t="s">
        <v>59</v>
      </c>
      <c r="M741">
        <v>0.77</v>
      </c>
      <c r="N741" t="s">
        <v>88</v>
      </c>
      <c r="O741" t="s">
        <v>34</v>
      </c>
      <c r="P741">
        <v>2</v>
      </c>
      <c r="Q741">
        <v>1</v>
      </c>
    </row>
    <row r="742" spans="1:17" x14ac:dyDescent="0.3">
      <c r="A742" t="s">
        <v>1581</v>
      </c>
      <c r="B742" t="s">
        <v>1582</v>
      </c>
      <c r="C742" t="s">
        <v>63</v>
      </c>
      <c r="D742" t="s">
        <v>118</v>
      </c>
      <c r="E742">
        <v>57</v>
      </c>
      <c r="F742" t="s">
        <v>19</v>
      </c>
      <c r="G742" t="s">
        <v>20</v>
      </c>
      <c r="H742" t="s">
        <v>46</v>
      </c>
      <c r="I742">
        <v>31</v>
      </c>
      <c r="J742" t="s">
        <v>40</v>
      </c>
      <c r="K742">
        <v>3</v>
      </c>
      <c r="L742" t="s">
        <v>74</v>
      </c>
      <c r="M742">
        <v>0.87</v>
      </c>
      <c r="N742" t="s">
        <v>88</v>
      </c>
      <c r="O742" t="s">
        <v>75</v>
      </c>
      <c r="P742">
        <v>15</v>
      </c>
      <c r="Q742">
        <v>10</v>
      </c>
    </row>
    <row r="743" spans="1:17" x14ac:dyDescent="0.3">
      <c r="A743" t="s">
        <v>1583</v>
      </c>
      <c r="B743" t="s">
        <v>1584</v>
      </c>
      <c r="C743" t="s">
        <v>78</v>
      </c>
      <c r="D743" t="s">
        <v>118</v>
      </c>
      <c r="E743">
        <v>46</v>
      </c>
      <c r="F743" t="s">
        <v>149</v>
      </c>
      <c r="G743" t="s">
        <v>30</v>
      </c>
      <c r="H743" t="s">
        <v>46</v>
      </c>
      <c r="I743">
        <v>5</v>
      </c>
      <c r="J743" t="s">
        <v>58</v>
      </c>
      <c r="K743">
        <v>2.6</v>
      </c>
      <c r="L743" t="s">
        <v>181</v>
      </c>
      <c r="M743">
        <v>0.76</v>
      </c>
      <c r="N743" t="s">
        <v>60</v>
      </c>
      <c r="O743" t="s">
        <v>34</v>
      </c>
      <c r="P743">
        <v>2</v>
      </c>
      <c r="Q743">
        <v>3</v>
      </c>
    </row>
    <row r="744" spans="1:17" x14ac:dyDescent="0.3">
      <c r="A744" t="s">
        <v>1585</v>
      </c>
      <c r="B744" t="s">
        <v>1586</v>
      </c>
      <c r="C744" t="s">
        <v>37</v>
      </c>
      <c r="D744" t="s">
        <v>118</v>
      </c>
      <c r="E744">
        <v>55</v>
      </c>
      <c r="F744" t="s">
        <v>114</v>
      </c>
      <c r="G744" t="s">
        <v>115</v>
      </c>
      <c r="H744" t="s">
        <v>57</v>
      </c>
      <c r="I744">
        <v>37</v>
      </c>
      <c r="J744" t="s">
        <v>67</v>
      </c>
      <c r="K744">
        <v>4.0999999999999996</v>
      </c>
      <c r="L744" t="s">
        <v>181</v>
      </c>
      <c r="N744" t="s">
        <v>60</v>
      </c>
      <c r="O744" t="s">
        <v>25</v>
      </c>
      <c r="P744">
        <v>16</v>
      </c>
      <c r="Q744">
        <v>7</v>
      </c>
    </row>
    <row r="745" spans="1:17" x14ac:dyDescent="0.3">
      <c r="A745" t="s">
        <v>1587</v>
      </c>
      <c r="B745" t="s">
        <v>1588</v>
      </c>
      <c r="C745" t="s">
        <v>28</v>
      </c>
      <c r="D745" t="s">
        <v>97</v>
      </c>
      <c r="E745">
        <v>32</v>
      </c>
      <c r="F745" t="s">
        <v>29</v>
      </c>
      <c r="G745" t="s">
        <v>30</v>
      </c>
      <c r="H745" t="s">
        <v>110</v>
      </c>
      <c r="I745">
        <v>10</v>
      </c>
      <c r="J745" t="s">
        <v>119</v>
      </c>
      <c r="K745">
        <v>1.5</v>
      </c>
      <c r="L745" t="s">
        <v>59</v>
      </c>
      <c r="M745">
        <v>0.65</v>
      </c>
      <c r="N745" t="s">
        <v>24</v>
      </c>
      <c r="O745" t="s">
        <v>42</v>
      </c>
      <c r="P745">
        <v>15</v>
      </c>
      <c r="Q745">
        <v>6</v>
      </c>
    </row>
    <row r="746" spans="1:17" x14ac:dyDescent="0.3">
      <c r="A746" t="s">
        <v>1589</v>
      </c>
      <c r="B746" t="s">
        <v>1590</v>
      </c>
      <c r="C746" t="s">
        <v>113</v>
      </c>
      <c r="D746" t="s">
        <v>118</v>
      </c>
      <c r="E746">
        <v>53</v>
      </c>
      <c r="F746" t="s">
        <v>64</v>
      </c>
      <c r="G746" t="s">
        <v>65</v>
      </c>
      <c r="H746" t="s">
        <v>57</v>
      </c>
      <c r="I746">
        <v>28</v>
      </c>
      <c r="J746" t="s">
        <v>119</v>
      </c>
      <c r="K746">
        <v>2.9</v>
      </c>
      <c r="L746" t="s">
        <v>87</v>
      </c>
      <c r="M746">
        <v>0.82</v>
      </c>
      <c r="N746" t="s">
        <v>82</v>
      </c>
      <c r="O746" t="s">
        <v>75</v>
      </c>
      <c r="P746">
        <v>10</v>
      </c>
      <c r="Q746">
        <v>13</v>
      </c>
    </row>
    <row r="747" spans="1:17" x14ac:dyDescent="0.3">
      <c r="A747" t="s">
        <v>1591</v>
      </c>
      <c r="B747" t="s">
        <v>1592</v>
      </c>
      <c r="C747" t="s">
        <v>37</v>
      </c>
      <c r="D747" t="s">
        <v>118</v>
      </c>
      <c r="E747">
        <v>59</v>
      </c>
      <c r="F747" t="s">
        <v>201</v>
      </c>
      <c r="G747" t="s">
        <v>92</v>
      </c>
      <c r="H747" t="s">
        <v>57</v>
      </c>
      <c r="I747">
        <v>0</v>
      </c>
      <c r="J747" t="s">
        <v>22</v>
      </c>
      <c r="K747">
        <v>0</v>
      </c>
      <c r="L747" t="s">
        <v>94</v>
      </c>
      <c r="M747">
        <v>87</v>
      </c>
      <c r="N747" t="s">
        <v>88</v>
      </c>
      <c r="O747" t="s">
        <v>75</v>
      </c>
      <c r="P747">
        <v>4</v>
      </c>
      <c r="Q747">
        <v>4</v>
      </c>
    </row>
    <row r="748" spans="1:17" x14ac:dyDescent="0.3">
      <c r="A748" t="s">
        <v>1593</v>
      </c>
      <c r="B748" t="s">
        <v>1594</v>
      </c>
      <c r="C748" t="s">
        <v>45</v>
      </c>
      <c r="D748" t="s">
        <v>97</v>
      </c>
      <c r="E748">
        <v>44</v>
      </c>
      <c r="F748" t="s">
        <v>55</v>
      </c>
      <c r="G748" t="s">
        <v>56</v>
      </c>
      <c r="H748" t="s">
        <v>135</v>
      </c>
      <c r="I748">
        <v>19</v>
      </c>
      <c r="J748" t="s">
        <v>47</v>
      </c>
      <c r="K748">
        <v>4.9000000000000004</v>
      </c>
      <c r="L748" t="s">
        <v>41</v>
      </c>
      <c r="M748">
        <v>1</v>
      </c>
      <c r="N748" t="s">
        <v>24</v>
      </c>
      <c r="O748" t="s">
        <v>75</v>
      </c>
      <c r="P748">
        <v>17</v>
      </c>
      <c r="Q748">
        <v>14</v>
      </c>
    </row>
    <row r="749" spans="1:17" x14ac:dyDescent="0.3">
      <c r="A749" t="s">
        <v>1595</v>
      </c>
      <c r="B749" t="s">
        <v>1596</v>
      </c>
      <c r="C749" t="s">
        <v>118</v>
      </c>
      <c r="D749" t="s">
        <v>118</v>
      </c>
      <c r="E749">
        <v>35</v>
      </c>
      <c r="F749" t="s">
        <v>160</v>
      </c>
      <c r="G749" t="s">
        <v>161</v>
      </c>
      <c r="H749" t="s">
        <v>21</v>
      </c>
      <c r="I749">
        <v>9</v>
      </c>
      <c r="J749" t="s">
        <v>119</v>
      </c>
      <c r="K749">
        <v>3</v>
      </c>
      <c r="L749" t="s">
        <v>41</v>
      </c>
      <c r="M749">
        <v>71</v>
      </c>
      <c r="N749" t="s">
        <v>60</v>
      </c>
      <c r="O749" t="s">
        <v>42</v>
      </c>
      <c r="P749">
        <v>6</v>
      </c>
      <c r="Q749">
        <v>13</v>
      </c>
    </row>
    <row r="750" spans="1:17" x14ac:dyDescent="0.3">
      <c r="A750" t="s">
        <v>1597</v>
      </c>
      <c r="B750" t="s">
        <v>1598</v>
      </c>
      <c r="C750" t="s">
        <v>18</v>
      </c>
      <c r="D750" t="s">
        <v>97</v>
      </c>
      <c r="E750">
        <v>42</v>
      </c>
      <c r="F750" t="s">
        <v>197</v>
      </c>
      <c r="G750" t="s">
        <v>198</v>
      </c>
      <c r="H750" t="s">
        <v>135</v>
      </c>
      <c r="I750">
        <v>5</v>
      </c>
      <c r="J750" t="s">
        <v>52</v>
      </c>
      <c r="K750">
        <v>4.9000000000000004</v>
      </c>
      <c r="L750" t="s">
        <v>33</v>
      </c>
      <c r="M750">
        <v>87</v>
      </c>
      <c r="N750" t="s">
        <v>88</v>
      </c>
      <c r="O750" t="s">
        <v>25</v>
      </c>
      <c r="P750">
        <v>1</v>
      </c>
      <c r="Q750">
        <v>1</v>
      </c>
    </row>
    <row r="751" spans="1:17" x14ac:dyDescent="0.3">
      <c r="A751" t="s">
        <v>1599</v>
      </c>
      <c r="B751" t="s">
        <v>1600</v>
      </c>
      <c r="C751" t="s">
        <v>18</v>
      </c>
      <c r="D751" t="s">
        <v>97</v>
      </c>
      <c r="E751">
        <v>58</v>
      </c>
      <c r="F751" t="s">
        <v>133</v>
      </c>
      <c r="G751" t="s">
        <v>134</v>
      </c>
      <c r="H751" t="s">
        <v>21</v>
      </c>
      <c r="I751">
        <v>0</v>
      </c>
      <c r="J751" t="s">
        <v>130</v>
      </c>
      <c r="K751">
        <v>4.5999999999999996</v>
      </c>
      <c r="L751" t="s">
        <v>23</v>
      </c>
      <c r="M751">
        <v>70</v>
      </c>
      <c r="N751" t="s">
        <v>82</v>
      </c>
      <c r="O751" t="s">
        <v>75</v>
      </c>
      <c r="P751">
        <v>4</v>
      </c>
      <c r="Q751">
        <v>2</v>
      </c>
    </row>
    <row r="752" spans="1:17" x14ac:dyDescent="0.3">
      <c r="A752" t="s">
        <v>1601</v>
      </c>
      <c r="B752" t="s">
        <v>1602</v>
      </c>
      <c r="C752" t="s">
        <v>78</v>
      </c>
      <c r="D752" t="s">
        <v>118</v>
      </c>
      <c r="E752">
        <v>41</v>
      </c>
      <c r="F752" t="s">
        <v>55</v>
      </c>
      <c r="G752" t="s">
        <v>56</v>
      </c>
      <c r="H752" t="s">
        <v>57</v>
      </c>
      <c r="I752">
        <v>21</v>
      </c>
      <c r="J752" t="s">
        <v>32</v>
      </c>
      <c r="K752">
        <v>2.2000000000000002</v>
      </c>
      <c r="L752" t="s">
        <v>33</v>
      </c>
      <c r="M752">
        <v>0.83</v>
      </c>
      <c r="N752" t="s">
        <v>60</v>
      </c>
      <c r="O752" t="s">
        <v>34</v>
      </c>
      <c r="P752">
        <v>17</v>
      </c>
      <c r="Q752">
        <v>6</v>
      </c>
    </row>
    <row r="753" spans="1:17" x14ac:dyDescent="0.3">
      <c r="A753" t="s">
        <v>1603</v>
      </c>
      <c r="B753" t="s">
        <v>1604</v>
      </c>
      <c r="C753" t="s">
        <v>50</v>
      </c>
      <c r="D753" t="s">
        <v>97</v>
      </c>
      <c r="F753" t="s">
        <v>91</v>
      </c>
      <c r="G753" t="s">
        <v>92</v>
      </c>
      <c r="H753" t="s">
        <v>46</v>
      </c>
      <c r="I753">
        <v>0</v>
      </c>
      <c r="J753" t="s">
        <v>86</v>
      </c>
      <c r="L753" t="s">
        <v>94</v>
      </c>
      <c r="M753">
        <v>0.74</v>
      </c>
      <c r="N753" t="s">
        <v>60</v>
      </c>
      <c r="O753" t="s">
        <v>75</v>
      </c>
      <c r="P753">
        <v>1</v>
      </c>
      <c r="Q753">
        <v>2</v>
      </c>
    </row>
    <row r="754" spans="1:17" x14ac:dyDescent="0.3">
      <c r="A754" t="s">
        <v>1605</v>
      </c>
      <c r="B754" t="s">
        <v>1606</v>
      </c>
      <c r="C754" t="s">
        <v>28</v>
      </c>
      <c r="D754" t="s">
        <v>97</v>
      </c>
      <c r="E754">
        <v>23</v>
      </c>
      <c r="F754" t="s">
        <v>149</v>
      </c>
      <c r="G754" t="s">
        <v>30</v>
      </c>
      <c r="H754" t="s">
        <v>21</v>
      </c>
      <c r="I754">
        <v>0</v>
      </c>
      <c r="J754" t="s">
        <v>52</v>
      </c>
      <c r="K754">
        <v>1.1000000000000001</v>
      </c>
      <c r="L754" t="s">
        <v>87</v>
      </c>
      <c r="M754">
        <v>0.86</v>
      </c>
      <c r="N754" t="s">
        <v>60</v>
      </c>
      <c r="O754" t="s">
        <v>75</v>
      </c>
      <c r="P754">
        <v>4</v>
      </c>
      <c r="Q754">
        <v>2</v>
      </c>
    </row>
    <row r="755" spans="1:17" x14ac:dyDescent="0.3">
      <c r="A755" t="s">
        <v>1607</v>
      </c>
      <c r="B755" t="s">
        <v>1608</v>
      </c>
      <c r="C755" t="s">
        <v>113</v>
      </c>
      <c r="D755" t="s">
        <v>118</v>
      </c>
      <c r="E755">
        <v>51</v>
      </c>
      <c r="F755" t="s">
        <v>197</v>
      </c>
      <c r="G755" t="s">
        <v>198</v>
      </c>
      <c r="H755" t="s">
        <v>21</v>
      </c>
      <c r="I755">
        <v>17</v>
      </c>
      <c r="J755" t="s">
        <v>86</v>
      </c>
      <c r="K755">
        <v>4.5</v>
      </c>
      <c r="L755" t="s">
        <v>33</v>
      </c>
      <c r="M755">
        <v>0.72</v>
      </c>
      <c r="N755" t="s">
        <v>24</v>
      </c>
      <c r="O755" t="s">
        <v>75</v>
      </c>
      <c r="P755">
        <v>11</v>
      </c>
      <c r="Q755">
        <v>2</v>
      </c>
    </row>
    <row r="756" spans="1:17" x14ac:dyDescent="0.3">
      <c r="A756" t="s">
        <v>1609</v>
      </c>
      <c r="B756" t="s">
        <v>1610</v>
      </c>
      <c r="C756" t="s">
        <v>28</v>
      </c>
      <c r="D756" t="s">
        <v>97</v>
      </c>
      <c r="E756">
        <v>42</v>
      </c>
      <c r="F756" t="s">
        <v>156</v>
      </c>
      <c r="G756" t="s">
        <v>157</v>
      </c>
      <c r="H756" t="s">
        <v>57</v>
      </c>
      <c r="I756">
        <v>21</v>
      </c>
      <c r="J756" t="s">
        <v>51</v>
      </c>
      <c r="K756">
        <v>2.5</v>
      </c>
      <c r="L756" t="s">
        <v>74</v>
      </c>
      <c r="M756">
        <v>0.73</v>
      </c>
      <c r="N756" t="s">
        <v>82</v>
      </c>
      <c r="O756" t="s">
        <v>75</v>
      </c>
      <c r="P756">
        <v>10</v>
      </c>
      <c r="Q756">
        <v>7</v>
      </c>
    </row>
    <row r="757" spans="1:17" x14ac:dyDescent="0.3">
      <c r="A757" t="s">
        <v>1611</v>
      </c>
      <c r="B757" t="s">
        <v>1612</v>
      </c>
      <c r="C757" t="s">
        <v>78</v>
      </c>
      <c r="D757" t="s">
        <v>118</v>
      </c>
      <c r="E757">
        <v>26</v>
      </c>
      <c r="F757" t="s">
        <v>106</v>
      </c>
      <c r="G757" t="s">
        <v>107</v>
      </c>
      <c r="H757" t="s">
        <v>66</v>
      </c>
      <c r="I757">
        <v>7</v>
      </c>
      <c r="J757" t="s">
        <v>67</v>
      </c>
      <c r="K757">
        <v>2.9</v>
      </c>
      <c r="L757" t="s">
        <v>23</v>
      </c>
      <c r="M757">
        <v>0.78</v>
      </c>
      <c r="N757" t="s">
        <v>88</v>
      </c>
      <c r="O757" t="s">
        <v>25</v>
      </c>
      <c r="P757">
        <v>15</v>
      </c>
      <c r="Q757">
        <v>1</v>
      </c>
    </row>
    <row r="758" spans="1:17" x14ac:dyDescent="0.3">
      <c r="A758" t="s">
        <v>1613</v>
      </c>
      <c r="B758" t="s">
        <v>1614</v>
      </c>
      <c r="C758" t="s">
        <v>18</v>
      </c>
      <c r="D758" t="s">
        <v>97</v>
      </c>
      <c r="E758">
        <v>49</v>
      </c>
      <c r="F758" t="s">
        <v>64</v>
      </c>
      <c r="G758" t="s">
        <v>65</v>
      </c>
      <c r="H758" t="s">
        <v>57</v>
      </c>
      <c r="I758">
        <v>22</v>
      </c>
      <c r="J758" t="s">
        <v>103</v>
      </c>
      <c r="K758">
        <v>0</v>
      </c>
      <c r="L758" t="s">
        <v>74</v>
      </c>
      <c r="N758" t="s">
        <v>24</v>
      </c>
      <c r="O758" t="s">
        <v>34</v>
      </c>
      <c r="P758">
        <v>16</v>
      </c>
      <c r="Q758">
        <v>18</v>
      </c>
    </row>
    <row r="759" spans="1:17" x14ac:dyDescent="0.3">
      <c r="A759" t="s">
        <v>1615</v>
      </c>
      <c r="B759" t="s">
        <v>1616</v>
      </c>
      <c r="C759" t="s">
        <v>50</v>
      </c>
      <c r="D759" t="s">
        <v>97</v>
      </c>
      <c r="E759">
        <v>37</v>
      </c>
      <c r="F759" t="s">
        <v>19</v>
      </c>
      <c r="G759" t="s">
        <v>20</v>
      </c>
      <c r="H759" t="s">
        <v>110</v>
      </c>
      <c r="J759" t="s">
        <v>67</v>
      </c>
      <c r="K759">
        <v>3.5</v>
      </c>
      <c r="L759" t="s">
        <v>41</v>
      </c>
      <c r="M759">
        <v>0.75</v>
      </c>
      <c r="N759" t="s">
        <v>24</v>
      </c>
      <c r="O759" t="s">
        <v>25</v>
      </c>
      <c r="P759">
        <v>2</v>
      </c>
      <c r="Q759">
        <v>2</v>
      </c>
    </row>
    <row r="760" spans="1:17" x14ac:dyDescent="0.3">
      <c r="A760" t="s">
        <v>1617</v>
      </c>
      <c r="B760" t="s">
        <v>1618</v>
      </c>
      <c r="C760" t="s">
        <v>113</v>
      </c>
      <c r="D760" t="s">
        <v>118</v>
      </c>
      <c r="E760">
        <v>31</v>
      </c>
      <c r="F760" t="s">
        <v>29</v>
      </c>
      <c r="G760" t="s">
        <v>30</v>
      </c>
      <c r="H760" t="s">
        <v>57</v>
      </c>
      <c r="I760">
        <v>1</v>
      </c>
      <c r="J760" t="s">
        <v>86</v>
      </c>
      <c r="K760">
        <v>4.5</v>
      </c>
      <c r="L760" t="s">
        <v>23</v>
      </c>
      <c r="M760">
        <v>0.96</v>
      </c>
      <c r="N760" t="s">
        <v>24</v>
      </c>
      <c r="O760" t="s">
        <v>34</v>
      </c>
      <c r="P760">
        <v>1</v>
      </c>
      <c r="Q760">
        <v>3</v>
      </c>
    </row>
    <row r="761" spans="1:17" x14ac:dyDescent="0.3">
      <c r="A761" t="s">
        <v>1619</v>
      </c>
      <c r="B761" t="s">
        <v>1620</v>
      </c>
      <c r="C761" t="s">
        <v>78</v>
      </c>
      <c r="D761" t="s">
        <v>118</v>
      </c>
      <c r="E761">
        <v>51</v>
      </c>
      <c r="F761" t="s">
        <v>133</v>
      </c>
      <c r="G761" t="s">
        <v>134</v>
      </c>
      <c r="H761" t="s">
        <v>31</v>
      </c>
      <c r="I761">
        <v>5</v>
      </c>
      <c r="J761" t="s">
        <v>70</v>
      </c>
      <c r="K761">
        <v>1.7</v>
      </c>
      <c r="L761" t="s">
        <v>87</v>
      </c>
      <c r="M761">
        <v>0.61</v>
      </c>
      <c r="N761" t="s">
        <v>60</v>
      </c>
      <c r="O761" t="s">
        <v>75</v>
      </c>
      <c r="P761">
        <v>3</v>
      </c>
      <c r="Q761">
        <v>3</v>
      </c>
    </row>
    <row r="762" spans="1:17" x14ac:dyDescent="0.3">
      <c r="A762" t="s">
        <v>1621</v>
      </c>
      <c r="B762" t="s">
        <v>1622</v>
      </c>
      <c r="C762" t="s">
        <v>63</v>
      </c>
      <c r="D762" t="s">
        <v>118</v>
      </c>
      <c r="E762">
        <v>60</v>
      </c>
      <c r="F762" t="s">
        <v>197</v>
      </c>
      <c r="G762" t="s">
        <v>198</v>
      </c>
      <c r="H762" t="s">
        <v>110</v>
      </c>
      <c r="I762">
        <v>40</v>
      </c>
      <c r="J762" t="s">
        <v>40</v>
      </c>
      <c r="K762">
        <v>4.5999999999999996</v>
      </c>
      <c r="L762" t="s">
        <v>74</v>
      </c>
      <c r="M762">
        <v>1</v>
      </c>
      <c r="N762" t="s">
        <v>82</v>
      </c>
      <c r="O762" t="s">
        <v>42</v>
      </c>
      <c r="P762">
        <v>13</v>
      </c>
      <c r="Q762">
        <v>2</v>
      </c>
    </row>
    <row r="763" spans="1:17" x14ac:dyDescent="0.3">
      <c r="A763" t="s">
        <v>1623</v>
      </c>
      <c r="B763" t="s">
        <v>1624</v>
      </c>
      <c r="C763" t="s">
        <v>113</v>
      </c>
      <c r="D763" t="s">
        <v>118</v>
      </c>
      <c r="E763">
        <v>51</v>
      </c>
      <c r="F763" t="s">
        <v>149</v>
      </c>
      <c r="G763" t="s">
        <v>30</v>
      </c>
      <c r="H763" t="s">
        <v>21</v>
      </c>
      <c r="I763">
        <v>19</v>
      </c>
      <c r="J763" t="s">
        <v>40</v>
      </c>
      <c r="L763" t="s">
        <v>94</v>
      </c>
      <c r="M763">
        <v>0.82</v>
      </c>
      <c r="N763" t="s">
        <v>24</v>
      </c>
      <c r="O763" t="s">
        <v>25</v>
      </c>
      <c r="P763">
        <v>17</v>
      </c>
      <c r="Q763">
        <v>4</v>
      </c>
    </row>
    <row r="764" spans="1:17" x14ac:dyDescent="0.3">
      <c r="A764" t="s">
        <v>1625</v>
      </c>
      <c r="B764" t="s">
        <v>1626</v>
      </c>
      <c r="C764" t="s">
        <v>63</v>
      </c>
      <c r="D764" t="s">
        <v>118</v>
      </c>
      <c r="E764">
        <v>37</v>
      </c>
      <c r="F764" t="s">
        <v>38</v>
      </c>
      <c r="G764" t="s">
        <v>38</v>
      </c>
      <c r="H764" t="s">
        <v>39</v>
      </c>
      <c r="I764">
        <v>12</v>
      </c>
      <c r="J764" t="s">
        <v>51</v>
      </c>
      <c r="K764">
        <v>4.9000000000000004</v>
      </c>
      <c r="L764" t="s">
        <v>33</v>
      </c>
      <c r="M764">
        <v>0.8</v>
      </c>
      <c r="N764" t="s">
        <v>88</v>
      </c>
      <c r="O764" t="s">
        <v>42</v>
      </c>
      <c r="P764">
        <v>7</v>
      </c>
      <c r="Q764">
        <v>6</v>
      </c>
    </row>
    <row r="765" spans="1:17" x14ac:dyDescent="0.3">
      <c r="A765" t="s">
        <v>1627</v>
      </c>
      <c r="B765" t="s">
        <v>1628</v>
      </c>
      <c r="C765" t="s">
        <v>37</v>
      </c>
      <c r="D765" t="s">
        <v>118</v>
      </c>
      <c r="E765">
        <v>52</v>
      </c>
      <c r="F765" t="s">
        <v>114</v>
      </c>
      <c r="G765" t="s">
        <v>115</v>
      </c>
      <c r="H765" t="s">
        <v>21</v>
      </c>
      <c r="I765">
        <v>7</v>
      </c>
      <c r="J765" t="s">
        <v>86</v>
      </c>
      <c r="K765">
        <v>2.2000000000000002</v>
      </c>
      <c r="L765" t="s">
        <v>51</v>
      </c>
      <c r="M765">
        <v>0.96</v>
      </c>
      <c r="N765" t="s">
        <v>82</v>
      </c>
      <c r="O765" t="s">
        <v>25</v>
      </c>
      <c r="P765">
        <v>8</v>
      </c>
      <c r="Q765">
        <v>8</v>
      </c>
    </row>
    <row r="766" spans="1:17" x14ac:dyDescent="0.3">
      <c r="A766" t="s">
        <v>1629</v>
      </c>
      <c r="B766" t="s">
        <v>1630</v>
      </c>
      <c r="C766" t="s">
        <v>63</v>
      </c>
      <c r="D766" t="s">
        <v>118</v>
      </c>
      <c r="E766">
        <v>27</v>
      </c>
      <c r="F766" t="s">
        <v>64</v>
      </c>
      <c r="G766" t="s">
        <v>65</v>
      </c>
      <c r="H766" t="s">
        <v>21</v>
      </c>
      <c r="I766">
        <v>4</v>
      </c>
      <c r="J766" t="s">
        <v>162</v>
      </c>
      <c r="L766" t="s">
        <v>23</v>
      </c>
      <c r="M766">
        <v>0.63</v>
      </c>
      <c r="N766" t="s">
        <v>88</v>
      </c>
      <c r="O766" t="s">
        <v>75</v>
      </c>
      <c r="P766">
        <v>3</v>
      </c>
      <c r="Q766">
        <v>3</v>
      </c>
    </row>
    <row r="767" spans="1:17" x14ac:dyDescent="0.3">
      <c r="A767" t="s">
        <v>1631</v>
      </c>
      <c r="B767" t="s">
        <v>1632</v>
      </c>
      <c r="C767" t="s">
        <v>63</v>
      </c>
      <c r="D767" t="s">
        <v>118</v>
      </c>
      <c r="E767">
        <v>48</v>
      </c>
      <c r="F767" t="s">
        <v>29</v>
      </c>
      <c r="G767" t="s">
        <v>30</v>
      </c>
      <c r="H767" t="s">
        <v>39</v>
      </c>
      <c r="I767">
        <v>24</v>
      </c>
      <c r="J767" t="s">
        <v>47</v>
      </c>
      <c r="K767">
        <v>2.2000000000000002</v>
      </c>
      <c r="L767" t="s">
        <v>23</v>
      </c>
      <c r="M767">
        <v>0.67</v>
      </c>
      <c r="N767" t="s">
        <v>82</v>
      </c>
      <c r="O767" t="s">
        <v>25</v>
      </c>
      <c r="P767">
        <v>12</v>
      </c>
      <c r="Q767">
        <v>13</v>
      </c>
    </row>
    <row r="768" spans="1:17" x14ac:dyDescent="0.3">
      <c r="A768" t="s">
        <v>1633</v>
      </c>
      <c r="B768" t="s">
        <v>1634</v>
      </c>
      <c r="C768" t="s">
        <v>45</v>
      </c>
      <c r="D768" t="s">
        <v>97</v>
      </c>
      <c r="E768">
        <v>22</v>
      </c>
      <c r="F768" t="s">
        <v>106</v>
      </c>
      <c r="G768" t="s">
        <v>107</v>
      </c>
      <c r="H768" t="s">
        <v>66</v>
      </c>
      <c r="I768">
        <v>1</v>
      </c>
      <c r="J768" t="s">
        <v>130</v>
      </c>
      <c r="K768">
        <v>3.3</v>
      </c>
      <c r="L768" t="s">
        <v>33</v>
      </c>
      <c r="M768">
        <v>0.61</v>
      </c>
      <c r="N768" t="s">
        <v>88</v>
      </c>
      <c r="O768" t="s">
        <v>75</v>
      </c>
      <c r="P768">
        <v>3</v>
      </c>
      <c r="Q768">
        <v>5</v>
      </c>
    </row>
    <row r="769" spans="1:17" x14ac:dyDescent="0.3">
      <c r="A769" t="s">
        <v>1635</v>
      </c>
      <c r="B769" t="s">
        <v>1636</v>
      </c>
      <c r="C769" t="s">
        <v>28</v>
      </c>
      <c r="D769" t="s">
        <v>97</v>
      </c>
      <c r="E769">
        <v>48</v>
      </c>
      <c r="F769" t="s">
        <v>38</v>
      </c>
      <c r="G769" t="s">
        <v>38</v>
      </c>
      <c r="H769" t="s">
        <v>31</v>
      </c>
      <c r="I769">
        <v>28</v>
      </c>
      <c r="J769" t="s">
        <v>130</v>
      </c>
      <c r="K769">
        <v>4.9000000000000004</v>
      </c>
      <c r="L769" t="s">
        <v>23</v>
      </c>
      <c r="M769">
        <v>0.77</v>
      </c>
      <c r="N769" t="s">
        <v>60</v>
      </c>
      <c r="O769" t="s">
        <v>25</v>
      </c>
      <c r="P769">
        <v>19</v>
      </c>
      <c r="Q769">
        <v>8</v>
      </c>
    </row>
    <row r="770" spans="1:17" x14ac:dyDescent="0.3">
      <c r="A770" t="s">
        <v>1637</v>
      </c>
      <c r="B770" t="s">
        <v>1638</v>
      </c>
      <c r="C770" t="s">
        <v>45</v>
      </c>
      <c r="D770" t="s">
        <v>97</v>
      </c>
      <c r="E770">
        <v>54</v>
      </c>
      <c r="F770" t="s">
        <v>73</v>
      </c>
      <c r="G770" t="s">
        <v>30</v>
      </c>
      <c r="H770" t="s">
        <v>31</v>
      </c>
      <c r="I770">
        <v>19</v>
      </c>
      <c r="J770" t="s">
        <v>103</v>
      </c>
      <c r="K770">
        <v>0</v>
      </c>
      <c r="L770" t="s">
        <v>51</v>
      </c>
      <c r="N770" t="s">
        <v>24</v>
      </c>
      <c r="O770" t="s">
        <v>75</v>
      </c>
      <c r="P770">
        <v>14</v>
      </c>
      <c r="Q770">
        <v>9</v>
      </c>
    </row>
    <row r="771" spans="1:17" x14ac:dyDescent="0.3">
      <c r="A771" t="s">
        <v>1639</v>
      </c>
      <c r="B771" t="s">
        <v>1640</v>
      </c>
      <c r="C771" t="s">
        <v>97</v>
      </c>
      <c r="D771" t="s">
        <v>97</v>
      </c>
      <c r="E771">
        <v>52</v>
      </c>
      <c r="F771" t="s">
        <v>133</v>
      </c>
      <c r="G771" t="s">
        <v>134</v>
      </c>
      <c r="H771" t="s">
        <v>66</v>
      </c>
      <c r="I771">
        <v>4</v>
      </c>
      <c r="J771" t="s">
        <v>40</v>
      </c>
      <c r="L771" t="s">
        <v>41</v>
      </c>
      <c r="M771">
        <v>0.84</v>
      </c>
      <c r="N771" t="s">
        <v>88</v>
      </c>
      <c r="O771" t="s">
        <v>75</v>
      </c>
      <c r="P771">
        <v>5</v>
      </c>
      <c r="Q771">
        <v>1</v>
      </c>
    </row>
    <row r="772" spans="1:17" x14ac:dyDescent="0.3">
      <c r="A772" t="s">
        <v>1641</v>
      </c>
      <c r="B772" t="s">
        <v>1642</v>
      </c>
      <c r="C772" t="s">
        <v>50</v>
      </c>
      <c r="D772" t="s">
        <v>97</v>
      </c>
      <c r="E772">
        <v>39</v>
      </c>
      <c r="F772" t="s">
        <v>79</v>
      </c>
      <c r="G772" t="s">
        <v>80</v>
      </c>
      <c r="H772" t="s">
        <v>46</v>
      </c>
      <c r="I772">
        <v>20</v>
      </c>
      <c r="J772" t="s">
        <v>32</v>
      </c>
      <c r="L772" t="s">
        <v>94</v>
      </c>
      <c r="M772">
        <v>0.89</v>
      </c>
      <c r="N772" t="s">
        <v>82</v>
      </c>
      <c r="O772" t="s">
        <v>34</v>
      </c>
      <c r="P772">
        <v>13</v>
      </c>
      <c r="Q772">
        <v>2</v>
      </c>
    </row>
    <row r="773" spans="1:17" x14ac:dyDescent="0.3">
      <c r="A773" t="s">
        <v>1643</v>
      </c>
      <c r="B773" t="s">
        <v>1644</v>
      </c>
      <c r="C773" t="s">
        <v>18</v>
      </c>
      <c r="D773" t="s">
        <v>97</v>
      </c>
      <c r="E773">
        <v>54</v>
      </c>
      <c r="F773" t="s">
        <v>145</v>
      </c>
      <c r="G773" t="s">
        <v>146</v>
      </c>
      <c r="H773" t="s">
        <v>31</v>
      </c>
      <c r="I773">
        <v>19</v>
      </c>
      <c r="J773" t="s">
        <v>130</v>
      </c>
      <c r="K773">
        <v>4</v>
      </c>
      <c r="L773" t="s">
        <v>51</v>
      </c>
      <c r="M773">
        <v>0.9</v>
      </c>
      <c r="N773" t="s">
        <v>24</v>
      </c>
      <c r="O773" t="s">
        <v>75</v>
      </c>
      <c r="P773">
        <v>14</v>
      </c>
      <c r="Q773">
        <v>3</v>
      </c>
    </row>
    <row r="774" spans="1:17" x14ac:dyDescent="0.3">
      <c r="A774" t="s">
        <v>1645</v>
      </c>
      <c r="B774" t="s">
        <v>1646</v>
      </c>
      <c r="C774" t="s">
        <v>97</v>
      </c>
      <c r="D774" t="s">
        <v>97</v>
      </c>
      <c r="E774">
        <v>22</v>
      </c>
      <c r="F774" t="s">
        <v>73</v>
      </c>
      <c r="G774" t="s">
        <v>30</v>
      </c>
      <c r="H774" t="s">
        <v>98</v>
      </c>
      <c r="I774">
        <v>1</v>
      </c>
      <c r="J774" t="s">
        <v>162</v>
      </c>
      <c r="K774">
        <v>4.8</v>
      </c>
      <c r="L774" t="s">
        <v>59</v>
      </c>
      <c r="M774">
        <v>0.87</v>
      </c>
      <c r="N774" t="s">
        <v>24</v>
      </c>
      <c r="O774" t="s">
        <v>34</v>
      </c>
      <c r="P774">
        <v>3</v>
      </c>
      <c r="Q774">
        <v>4</v>
      </c>
    </row>
    <row r="775" spans="1:17" x14ac:dyDescent="0.3">
      <c r="A775" t="s">
        <v>1647</v>
      </c>
      <c r="B775" t="s">
        <v>1648</v>
      </c>
      <c r="C775" t="s">
        <v>28</v>
      </c>
      <c r="D775" t="s">
        <v>97</v>
      </c>
      <c r="E775">
        <v>29</v>
      </c>
      <c r="F775" t="s">
        <v>175</v>
      </c>
      <c r="G775" t="s">
        <v>176</v>
      </c>
      <c r="H775" t="s">
        <v>31</v>
      </c>
      <c r="I775">
        <v>8</v>
      </c>
      <c r="J775" t="s">
        <v>40</v>
      </c>
      <c r="K775">
        <v>0</v>
      </c>
      <c r="L775" t="s">
        <v>23</v>
      </c>
      <c r="M775">
        <v>0.77</v>
      </c>
      <c r="N775" t="s">
        <v>82</v>
      </c>
      <c r="O775" t="s">
        <v>75</v>
      </c>
      <c r="P775">
        <v>11</v>
      </c>
      <c r="Q775">
        <v>3</v>
      </c>
    </row>
    <row r="776" spans="1:17" x14ac:dyDescent="0.3">
      <c r="A776" t="s">
        <v>1649</v>
      </c>
      <c r="B776" t="s">
        <v>1650</v>
      </c>
      <c r="C776" t="s">
        <v>113</v>
      </c>
      <c r="D776" t="s">
        <v>118</v>
      </c>
      <c r="E776">
        <v>23</v>
      </c>
      <c r="F776" t="s">
        <v>212</v>
      </c>
      <c r="G776" t="s">
        <v>92</v>
      </c>
      <c r="H776" t="s">
        <v>110</v>
      </c>
      <c r="I776">
        <v>3</v>
      </c>
      <c r="J776" t="s">
        <v>130</v>
      </c>
      <c r="K776">
        <v>1.6</v>
      </c>
      <c r="L776" t="s">
        <v>94</v>
      </c>
      <c r="M776">
        <v>0.72</v>
      </c>
      <c r="N776" t="s">
        <v>88</v>
      </c>
      <c r="O776" t="s">
        <v>42</v>
      </c>
      <c r="P776">
        <v>1</v>
      </c>
      <c r="Q776">
        <v>1</v>
      </c>
    </row>
    <row r="777" spans="1:17" x14ac:dyDescent="0.3">
      <c r="A777" t="s">
        <v>1651</v>
      </c>
      <c r="B777" t="s">
        <v>1652</v>
      </c>
      <c r="C777" t="s">
        <v>45</v>
      </c>
      <c r="D777" t="s">
        <v>97</v>
      </c>
      <c r="E777">
        <v>58</v>
      </c>
      <c r="F777" t="s">
        <v>201</v>
      </c>
      <c r="G777" t="s">
        <v>92</v>
      </c>
      <c r="H777" t="s">
        <v>110</v>
      </c>
      <c r="I777">
        <v>30</v>
      </c>
      <c r="J777" t="s">
        <v>40</v>
      </c>
      <c r="K777">
        <v>1.3</v>
      </c>
      <c r="L777" t="s">
        <v>87</v>
      </c>
      <c r="M777">
        <v>0.87</v>
      </c>
      <c r="N777" t="s">
        <v>60</v>
      </c>
      <c r="O777" t="s">
        <v>75</v>
      </c>
      <c r="P777">
        <v>13</v>
      </c>
      <c r="Q777">
        <v>6</v>
      </c>
    </row>
    <row r="778" spans="1:17" x14ac:dyDescent="0.3">
      <c r="A778" t="s">
        <v>1653</v>
      </c>
      <c r="B778" t="s">
        <v>1654</v>
      </c>
      <c r="C778" t="s">
        <v>18</v>
      </c>
      <c r="D778" t="s">
        <v>97</v>
      </c>
      <c r="E778">
        <v>56</v>
      </c>
      <c r="F778" t="s">
        <v>197</v>
      </c>
      <c r="G778" t="s">
        <v>198</v>
      </c>
      <c r="H778" t="s">
        <v>21</v>
      </c>
      <c r="I778">
        <v>3</v>
      </c>
      <c r="J778" t="s">
        <v>86</v>
      </c>
      <c r="K778">
        <v>4.0999999999999996</v>
      </c>
      <c r="L778" t="s">
        <v>74</v>
      </c>
      <c r="M778">
        <v>0.89</v>
      </c>
      <c r="N778" t="s">
        <v>60</v>
      </c>
      <c r="O778" t="s">
        <v>42</v>
      </c>
      <c r="P778">
        <v>5</v>
      </c>
      <c r="Q778">
        <v>1</v>
      </c>
    </row>
    <row r="779" spans="1:17" x14ac:dyDescent="0.3">
      <c r="A779" t="s">
        <v>1655</v>
      </c>
      <c r="B779" t="s">
        <v>1656</v>
      </c>
      <c r="C779" t="s">
        <v>113</v>
      </c>
      <c r="D779" t="s">
        <v>118</v>
      </c>
      <c r="E779">
        <v>48</v>
      </c>
      <c r="F779" t="s">
        <v>79</v>
      </c>
      <c r="G779" t="s">
        <v>80</v>
      </c>
      <c r="H779" t="s">
        <v>46</v>
      </c>
      <c r="I779">
        <v>19</v>
      </c>
      <c r="J779" t="s">
        <v>86</v>
      </c>
      <c r="K779">
        <v>1.5</v>
      </c>
      <c r="L779" t="s">
        <v>23</v>
      </c>
      <c r="M779">
        <v>0.87</v>
      </c>
      <c r="N779" t="s">
        <v>88</v>
      </c>
      <c r="O779" t="s">
        <v>42</v>
      </c>
      <c r="P779">
        <v>14</v>
      </c>
      <c r="Q779">
        <v>11</v>
      </c>
    </row>
    <row r="780" spans="1:17" x14ac:dyDescent="0.3">
      <c r="A780" t="s">
        <v>1657</v>
      </c>
      <c r="B780" t="s">
        <v>1658</v>
      </c>
      <c r="C780" t="s">
        <v>97</v>
      </c>
      <c r="D780" t="s">
        <v>97</v>
      </c>
      <c r="E780">
        <v>31</v>
      </c>
      <c r="F780" t="s">
        <v>145</v>
      </c>
      <c r="G780" t="s">
        <v>146</v>
      </c>
      <c r="H780" t="s">
        <v>31</v>
      </c>
      <c r="I780">
        <v>11</v>
      </c>
      <c r="J780" t="s">
        <v>70</v>
      </c>
      <c r="K780">
        <v>4.3</v>
      </c>
      <c r="L780" t="s">
        <v>94</v>
      </c>
      <c r="M780">
        <v>0.76</v>
      </c>
      <c r="N780" t="s">
        <v>24</v>
      </c>
      <c r="O780" t="s">
        <v>75</v>
      </c>
      <c r="P780">
        <v>6</v>
      </c>
      <c r="Q780">
        <v>3</v>
      </c>
    </row>
    <row r="781" spans="1:17" x14ac:dyDescent="0.3">
      <c r="A781" t="s">
        <v>1659</v>
      </c>
      <c r="B781" t="s">
        <v>1660</v>
      </c>
      <c r="C781" t="s">
        <v>113</v>
      </c>
      <c r="D781" t="s">
        <v>118</v>
      </c>
      <c r="E781">
        <v>44</v>
      </c>
      <c r="F781" t="s">
        <v>29</v>
      </c>
      <c r="G781" t="s">
        <v>30</v>
      </c>
      <c r="H781" t="s">
        <v>135</v>
      </c>
      <c r="I781">
        <v>26</v>
      </c>
      <c r="J781" t="s">
        <v>40</v>
      </c>
      <c r="K781">
        <v>1.6</v>
      </c>
      <c r="L781" t="s">
        <v>51</v>
      </c>
      <c r="M781">
        <v>1</v>
      </c>
      <c r="N781" t="s">
        <v>24</v>
      </c>
      <c r="O781" t="s">
        <v>42</v>
      </c>
      <c r="P781">
        <v>20</v>
      </c>
      <c r="Q781">
        <v>8</v>
      </c>
    </row>
    <row r="782" spans="1:17" x14ac:dyDescent="0.3">
      <c r="A782" t="s">
        <v>1661</v>
      </c>
      <c r="B782" t="s">
        <v>1662</v>
      </c>
      <c r="C782" t="s">
        <v>45</v>
      </c>
      <c r="D782" t="s">
        <v>97</v>
      </c>
      <c r="E782">
        <v>42</v>
      </c>
      <c r="F782" t="s">
        <v>160</v>
      </c>
      <c r="G782" t="s">
        <v>161</v>
      </c>
      <c r="H782" t="s">
        <v>31</v>
      </c>
      <c r="I782">
        <v>10</v>
      </c>
      <c r="J782" t="s">
        <v>22</v>
      </c>
      <c r="K782">
        <v>3.7</v>
      </c>
      <c r="L782" t="s">
        <v>94</v>
      </c>
      <c r="M782">
        <v>0.94</v>
      </c>
      <c r="N782" t="s">
        <v>24</v>
      </c>
      <c r="O782" t="s">
        <v>34</v>
      </c>
      <c r="P782">
        <v>8</v>
      </c>
      <c r="Q782">
        <v>2</v>
      </c>
    </row>
    <row r="783" spans="1:17" x14ac:dyDescent="0.3">
      <c r="A783" t="s">
        <v>1663</v>
      </c>
      <c r="B783" t="s">
        <v>1664</v>
      </c>
      <c r="C783" t="s">
        <v>118</v>
      </c>
      <c r="D783" t="s">
        <v>118</v>
      </c>
      <c r="E783">
        <v>59</v>
      </c>
      <c r="F783" t="s">
        <v>73</v>
      </c>
      <c r="G783" t="s">
        <v>30</v>
      </c>
      <c r="H783" t="s">
        <v>98</v>
      </c>
      <c r="I783">
        <v>17</v>
      </c>
      <c r="J783" t="s">
        <v>40</v>
      </c>
      <c r="K783">
        <v>1.4</v>
      </c>
      <c r="L783" t="s">
        <v>87</v>
      </c>
      <c r="N783" t="s">
        <v>24</v>
      </c>
      <c r="O783" t="s">
        <v>25</v>
      </c>
      <c r="P783">
        <v>20</v>
      </c>
      <c r="Q783">
        <v>12</v>
      </c>
    </row>
    <row r="784" spans="1:17" x14ac:dyDescent="0.3">
      <c r="A784" t="s">
        <v>1665</v>
      </c>
      <c r="B784" t="s">
        <v>1666</v>
      </c>
      <c r="C784" t="s">
        <v>45</v>
      </c>
      <c r="D784" t="s">
        <v>97</v>
      </c>
      <c r="F784" t="s">
        <v>91</v>
      </c>
      <c r="G784" t="s">
        <v>92</v>
      </c>
      <c r="H784" t="s">
        <v>21</v>
      </c>
      <c r="I784">
        <v>9</v>
      </c>
      <c r="J784" t="s">
        <v>251</v>
      </c>
      <c r="K784">
        <v>4.5</v>
      </c>
      <c r="L784" t="s">
        <v>94</v>
      </c>
      <c r="M784">
        <v>83</v>
      </c>
      <c r="N784" t="s">
        <v>88</v>
      </c>
      <c r="O784" t="s">
        <v>75</v>
      </c>
      <c r="P784">
        <v>15</v>
      </c>
      <c r="Q784">
        <v>1</v>
      </c>
    </row>
    <row r="785" spans="1:17" x14ac:dyDescent="0.3">
      <c r="A785" t="s">
        <v>1667</v>
      </c>
      <c r="B785" t="s">
        <v>1668</v>
      </c>
      <c r="C785" t="s">
        <v>113</v>
      </c>
      <c r="D785" t="s">
        <v>118</v>
      </c>
      <c r="E785">
        <v>21</v>
      </c>
      <c r="F785" t="s">
        <v>197</v>
      </c>
      <c r="G785" t="s">
        <v>198</v>
      </c>
      <c r="H785" t="s">
        <v>66</v>
      </c>
      <c r="I785">
        <v>0</v>
      </c>
      <c r="J785" t="s">
        <v>70</v>
      </c>
      <c r="K785">
        <v>3.7</v>
      </c>
      <c r="L785" t="s">
        <v>23</v>
      </c>
      <c r="M785">
        <v>0.74</v>
      </c>
      <c r="N785" t="s">
        <v>24</v>
      </c>
      <c r="O785" t="s">
        <v>42</v>
      </c>
      <c r="P785">
        <v>1</v>
      </c>
      <c r="Q785">
        <v>1</v>
      </c>
    </row>
    <row r="786" spans="1:17" x14ac:dyDescent="0.3">
      <c r="A786" t="s">
        <v>1669</v>
      </c>
      <c r="B786" t="s">
        <v>1670</v>
      </c>
      <c r="C786" t="s">
        <v>118</v>
      </c>
      <c r="D786" t="s">
        <v>118</v>
      </c>
      <c r="E786">
        <v>53</v>
      </c>
      <c r="F786" t="s">
        <v>85</v>
      </c>
      <c r="G786" t="s">
        <v>30</v>
      </c>
      <c r="H786" t="s">
        <v>110</v>
      </c>
      <c r="I786">
        <v>5</v>
      </c>
      <c r="J786" t="s">
        <v>103</v>
      </c>
      <c r="K786">
        <v>1.1000000000000001</v>
      </c>
      <c r="L786" t="s">
        <v>23</v>
      </c>
      <c r="M786">
        <v>92</v>
      </c>
      <c r="N786" t="s">
        <v>82</v>
      </c>
      <c r="O786" t="s">
        <v>75</v>
      </c>
      <c r="P786">
        <v>1</v>
      </c>
      <c r="Q786">
        <v>1</v>
      </c>
    </row>
    <row r="787" spans="1:17" x14ac:dyDescent="0.3">
      <c r="A787" t="s">
        <v>1671</v>
      </c>
      <c r="B787" t="s">
        <v>1672</v>
      </c>
      <c r="C787" t="s">
        <v>113</v>
      </c>
      <c r="D787" t="s">
        <v>118</v>
      </c>
      <c r="E787">
        <v>35</v>
      </c>
      <c r="F787" t="s">
        <v>91</v>
      </c>
      <c r="G787" t="s">
        <v>92</v>
      </c>
      <c r="H787" t="s">
        <v>31</v>
      </c>
      <c r="I787">
        <v>15</v>
      </c>
      <c r="J787" t="s">
        <v>51</v>
      </c>
      <c r="K787">
        <v>3.7</v>
      </c>
      <c r="L787" t="s">
        <v>59</v>
      </c>
      <c r="M787">
        <v>0.66</v>
      </c>
      <c r="N787" t="s">
        <v>24</v>
      </c>
      <c r="O787" t="s">
        <v>34</v>
      </c>
      <c r="P787">
        <v>8</v>
      </c>
      <c r="Q787">
        <v>7</v>
      </c>
    </row>
    <row r="788" spans="1:17" x14ac:dyDescent="0.3">
      <c r="A788" t="s">
        <v>1673</v>
      </c>
      <c r="B788" t="s">
        <v>1674</v>
      </c>
      <c r="C788" t="s">
        <v>97</v>
      </c>
      <c r="D788" t="s">
        <v>97</v>
      </c>
      <c r="E788">
        <v>25</v>
      </c>
      <c r="F788" t="s">
        <v>128</v>
      </c>
      <c r="G788" t="s">
        <v>129</v>
      </c>
      <c r="H788" t="s">
        <v>135</v>
      </c>
      <c r="I788">
        <v>3</v>
      </c>
      <c r="J788" t="s">
        <v>81</v>
      </c>
      <c r="K788">
        <v>3.2</v>
      </c>
      <c r="L788" t="s">
        <v>74</v>
      </c>
      <c r="M788">
        <v>0.74</v>
      </c>
      <c r="N788" t="s">
        <v>60</v>
      </c>
      <c r="O788" t="s">
        <v>75</v>
      </c>
      <c r="P788">
        <v>2</v>
      </c>
      <c r="Q788">
        <v>2</v>
      </c>
    </row>
    <row r="789" spans="1:17" x14ac:dyDescent="0.3">
      <c r="A789" t="s">
        <v>1675</v>
      </c>
      <c r="B789" t="s">
        <v>1676</v>
      </c>
      <c r="C789" t="s">
        <v>50</v>
      </c>
      <c r="D789" t="s">
        <v>97</v>
      </c>
      <c r="E789">
        <v>23</v>
      </c>
      <c r="F789" t="s">
        <v>19</v>
      </c>
      <c r="G789" t="s">
        <v>20</v>
      </c>
      <c r="H789" t="s">
        <v>93</v>
      </c>
      <c r="I789">
        <v>1</v>
      </c>
      <c r="J789" t="s">
        <v>52</v>
      </c>
      <c r="K789">
        <v>5</v>
      </c>
      <c r="L789" t="s">
        <v>41</v>
      </c>
      <c r="M789">
        <v>0.97</v>
      </c>
      <c r="N789" t="s">
        <v>24</v>
      </c>
      <c r="O789" t="s">
        <v>75</v>
      </c>
      <c r="P789">
        <v>2</v>
      </c>
      <c r="Q789">
        <v>1</v>
      </c>
    </row>
    <row r="790" spans="1:17" x14ac:dyDescent="0.3">
      <c r="A790" t="s">
        <v>1677</v>
      </c>
      <c r="B790" t="s">
        <v>1678</v>
      </c>
      <c r="C790" t="s">
        <v>45</v>
      </c>
      <c r="D790" t="s">
        <v>97</v>
      </c>
      <c r="E790">
        <v>56</v>
      </c>
      <c r="F790" t="s">
        <v>160</v>
      </c>
      <c r="G790" t="s">
        <v>161</v>
      </c>
      <c r="H790" t="s">
        <v>39</v>
      </c>
      <c r="I790">
        <v>13</v>
      </c>
      <c r="J790" t="s">
        <v>52</v>
      </c>
      <c r="K790">
        <v>0</v>
      </c>
      <c r="L790" t="s">
        <v>51</v>
      </c>
      <c r="M790">
        <v>77</v>
      </c>
      <c r="N790" t="s">
        <v>88</v>
      </c>
      <c r="O790" t="s">
        <v>42</v>
      </c>
      <c r="P790">
        <v>6</v>
      </c>
      <c r="Q790">
        <v>7</v>
      </c>
    </row>
    <row r="791" spans="1:17" x14ac:dyDescent="0.3">
      <c r="A791" t="s">
        <v>1679</v>
      </c>
      <c r="B791" t="s">
        <v>1680</v>
      </c>
      <c r="C791" t="s">
        <v>50</v>
      </c>
      <c r="D791" t="s">
        <v>97</v>
      </c>
      <c r="E791">
        <v>31</v>
      </c>
      <c r="F791" t="s">
        <v>201</v>
      </c>
      <c r="G791" t="s">
        <v>92</v>
      </c>
      <c r="H791" t="s">
        <v>93</v>
      </c>
      <c r="I791">
        <v>6</v>
      </c>
      <c r="J791" t="s">
        <v>51</v>
      </c>
      <c r="K791">
        <v>3.5</v>
      </c>
      <c r="L791" t="s">
        <v>181</v>
      </c>
      <c r="M791">
        <v>0.86</v>
      </c>
      <c r="N791" t="s">
        <v>60</v>
      </c>
      <c r="O791" t="s">
        <v>34</v>
      </c>
      <c r="P791">
        <v>12</v>
      </c>
      <c r="Q791">
        <v>2</v>
      </c>
    </row>
    <row r="792" spans="1:17" x14ac:dyDescent="0.3">
      <c r="A792" t="s">
        <v>1681</v>
      </c>
      <c r="B792" t="s">
        <v>1682</v>
      </c>
      <c r="C792" t="s">
        <v>113</v>
      </c>
      <c r="D792" t="s">
        <v>118</v>
      </c>
      <c r="E792">
        <v>24</v>
      </c>
      <c r="F792" t="s">
        <v>73</v>
      </c>
      <c r="G792" t="s">
        <v>30</v>
      </c>
      <c r="H792" t="s">
        <v>98</v>
      </c>
      <c r="I792">
        <v>4</v>
      </c>
      <c r="J792" t="s">
        <v>40</v>
      </c>
      <c r="K792">
        <v>3.1</v>
      </c>
      <c r="L792" t="s">
        <v>59</v>
      </c>
      <c r="M792">
        <v>0.95</v>
      </c>
      <c r="N792" t="s">
        <v>88</v>
      </c>
      <c r="O792" t="s">
        <v>25</v>
      </c>
      <c r="P792">
        <v>5</v>
      </c>
      <c r="Q792">
        <v>2</v>
      </c>
    </row>
    <row r="793" spans="1:17" x14ac:dyDescent="0.3">
      <c r="A793" t="s">
        <v>1683</v>
      </c>
      <c r="B793" t="s">
        <v>1684</v>
      </c>
      <c r="C793" t="s">
        <v>28</v>
      </c>
      <c r="D793" t="s">
        <v>97</v>
      </c>
      <c r="E793">
        <v>35</v>
      </c>
      <c r="F793" t="s">
        <v>128</v>
      </c>
      <c r="G793" t="s">
        <v>129</v>
      </c>
      <c r="H793" t="s">
        <v>98</v>
      </c>
      <c r="I793">
        <v>7</v>
      </c>
      <c r="J793" t="s">
        <v>51</v>
      </c>
      <c r="K793">
        <v>3.9</v>
      </c>
      <c r="L793" t="s">
        <v>23</v>
      </c>
      <c r="M793">
        <v>0.72</v>
      </c>
      <c r="N793" t="s">
        <v>88</v>
      </c>
      <c r="O793" t="s">
        <v>25</v>
      </c>
      <c r="P793">
        <v>6</v>
      </c>
      <c r="Q793">
        <v>9</v>
      </c>
    </row>
    <row r="794" spans="1:17" x14ac:dyDescent="0.3">
      <c r="A794" t="s">
        <v>1685</v>
      </c>
      <c r="B794" t="s">
        <v>1686</v>
      </c>
      <c r="C794" t="s">
        <v>28</v>
      </c>
      <c r="D794" t="s">
        <v>97</v>
      </c>
      <c r="E794">
        <v>20</v>
      </c>
      <c r="F794" t="s">
        <v>212</v>
      </c>
      <c r="G794" t="s">
        <v>92</v>
      </c>
      <c r="H794" t="s">
        <v>57</v>
      </c>
      <c r="I794">
        <v>1</v>
      </c>
      <c r="J794" t="s">
        <v>51</v>
      </c>
      <c r="K794">
        <v>3.5</v>
      </c>
      <c r="L794" t="s">
        <v>23</v>
      </c>
      <c r="M794">
        <v>0.71</v>
      </c>
      <c r="N794" t="s">
        <v>60</v>
      </c>
      <c r="O794" t="s">
        <v>42</v>
      </c>
      <c r="P794">
        <v>3</v>
      </c>
      <c r="Q794">
        <v>1</v>
      </c>
    </row>
    <row r="795" spans="1:17" x14ac:dyDescent="0.3">
      <c r="A795" t="s">
        <v>1687</v>
      </c>
      <c r="B795" t="s">
        <v>1688</v>
      </c>
      <c r="C795" t="s">
        <v>118</v>
      </c>
      <c r="D795" t="s">
        <v>118</v>
      </c>
      <c r="E795">
        <v>26</v>
      </c>
      <c r="F795" t="s">
        <v>29</v>
      </c>
      <c r="G795" t="s">
        <v>30</v>
      </c>
      <c r="H795" t="s">
        <v>66</v>
      </c>
      <c r="I795">
        <v>5</v>
      </c>
      <c r="J795" t="s">
        <v>251</v>
      </c>
      <c r="K795">
        <v>2.5</v>
      </c>
      <c r="L795" t="s">
        <v>74</v>
      </c>
      <c r="M795">
        <v>0.93</v>
      </c>
      <c r="N795" t="s">
        <v>88</v>
      </c>
      <c r="O795" t="s">
        <v>75</v>
      </c>
      <c r="P795">
        <v>1</v>
      </c>
      <c r="Q795">
        <v>1</v>
      </c>
    </row>
    <row r="796" spans="1:17" x14ac:dyDescent="0.3">
      <c r="A796" t="s">
        <v>1689</v>
      </c>
      <c r="B796" t="s">
        <v>1690</v>
      </c>
      <c r="C796" t="s">
        <v>113</v>
      </c>
      <c r="D796" t="s">
        <v>118</v>
      </c>
      <c r="E796">
        <v>54</v>
      </c>
      <c r="F796" t="s">
        <v>85</v>
      </c>
      <c r="G796" t="s">
        <v>30</v>
      </c>
      <c r="H796" t="s">
        <v>110</v>
      </c>
      <c r="I796">
        <v>29</v>
      </c>
      <c r="J796" t="s">
        <v>70</v>
      </c>
      <c r="K796">
        <v>3.1</v>
      </c>
      <c r="L796" t="s">
        <v>33</v>
      </c>
      <c r="N796" t="s">
        <v>88</v>
      </c>
      <c r="O796" t="s">
        <v>42</v>
      </c>
      <c r="P796">
        <v>14</v>
      </c>
      <c r="Q796">
        <v>12</v>
      </c>
    </row>
    <row r="797" spans="1:17" x14ac:dyDescent="0.3">
      <c r="A797" t="s">
        <v>1691</v>
      </c>
      <c r="B797" t="s">
        <v>1692</v>
      </c>
      <c r="C797" t="s">
        <v>63</v>
      </c>
      <c r="D797" t="s">
        <v>118</v>
      </c>
      <c r="E797">
        <v>53</v>
      </c>
      <c r="F797" t="s">
        <v>145</v>
      </c>
      <c r="G797" t="s">
        <v>146</v>
      </c>
      <c r="H797" t="s">
        <v>98</v>
      </c>
      <c r="I797">
        <v>12</v>
      </c>
      <c r="J797" t="s">
        <v>22</v>
      </c>
      <c r="K797">
        <v>4.7</v>
      </c>
      <c r="L797" t="s">
        <v>33</v>
      </c>
      <c r="M797">
        <v>0.87</v>
      </c>
      <c r="N797" t="s">
        <v>24</v>
      </c>
      <c r="O797" t="s">
        <v>42</v>
      </c>
      <c r="P797">
        <v>10</v>
      </c>
      <c r="Q797">
        <v>11</v>
      </c>
    </row>
    <row r="798" spans="1:17" x14ac:dyDescent="0.3">
      <c r="A798" t="s">
        <v>1693</v>
      </c>
      <c r="B798" t="s">
        <v>1694</v>
      </c>
      <c r="C798" t="s">
        <v>97</v>
      </c>
      <c r="D798" t="s">
        <v>97</v>
      </c>
      <c r="E798">
        <v>33</v>
      </c>
      <c r="F798" t="s">
        <v>149</v>
      </c>
      <c r="G798" t="s">
        <v>30</v>
      </c>
      <c r="H798" t="s">
        <v>110</v>
      </c>
      <c r="I798">
        <v>4</v>
      </c>
      <c r="J798" t="s">
        <v>51</v>
      </c>
      <c r="K798">
        <v>1.9</v>
      </c>
      <c r="L798" t="s">
        <v>59</v>
      </c>
      <c r="M798">
        <v>73</v>
      </c>
      <c r="N798" t="s">
        <v>82</v>
      </c>
      <c r="O798" t="s">
        <v>42</v>
      </c>
      <c r="P798">
        <v>2</v>
      </c>
      <c r="Q798">
        <v>1</v>
      </c>
    </row>
    <row r="799" spans="1:17" x14ac:dyDescent="0.3">
      <c r="A799" t="s">
        <v>1695</v>
      </c>
      <c r="B799" t="s">
        <v>1696</v>
      </c>
      <c r="C799" t="s">
        <v>63</v>
      </c>
      <c r="D799" t="s">
        <v>118</v>
      </c>
      <c r="E799">
        <v>43</v>
      </c>
      <c r="F799" t="s">
        <v>55</v>
      </c>
      <c r="G799" t="s">
        <v>56</v>
      </c>
      <c r="H799" t="s">
        <v>46</v>
      </c>
      <c r="I799">
        <v>12</v>
      </c>
      <c r="J799" t="s">
        <v>51</v>
      </c>
      <c r="K799">
        <v>1.6</v>
      </c>
      <c r="L799" t="s">
        <v>33</v>
      </c>
      <c r="M799">
        <v>0.74</v>
      </c>
      <c r="N799" t="s">
        <v>88</v>
      </c>
      <c r="O799" t="s">
        <v>75</v>
      </c>
      <c r="P799">
        <v>6</v>
      </c>
      <c r="Q799">
        <v>2</v>
      </c>
    </row>
    <row r="800" spans="1:17" x14ac:dyDescent="0.3">
      <c r="A800" t="s">
        <v>1697</v>
      </c>
      <c r="B800" t="s">
        <v>1698</v>
      </c>
      <c r="C800" t="s">
        <v>113</v>
      </c>
      <c r="D800" t="s">
        <v>118</v>
      </c>
      <c r="E800">
        <v>37</v>
      </c>
      <c r="F800" t="s">
        <v>149</v>
      </c>
      <c r="G800" t="s">
        <v>30</v>
      </c>
      <c r="H800" t="s">
        <v>110</v>
      </c>
      <c r="I800">
        <v>3</v>
      </c>
      <c r="J800" t="s">
        <v>162</v>
      </c>
      <c r="K800">
        <v>2.5</v>
      </c>
      <c r="L800" t="s">
        <v>41</v>
      </c>
      <c r="M800">
        <v>0.62</v>
      </c>
      <c r="N800" t="s">
        <v>88</v>
      </c>
      <c r="O800" t="s">
        <v>34</v>
      </c>
      <c r="P800">
        <v>3</v>
      </c>
      <c r="Q800">
        <v>1</v>
      </c>
    </row>
    <row r="801" spans="1:17" x14ac:dyDescent="0.3">
      <c r="A801" t="s">
        <v>1699</v>
      </c>
      <c r="B801" t="s">
        <v>1700</v>
      </c>
      <c r="C801" t="s">
        <v>50</v>
      </c>
      <c r="D801" t="s">
        <v>97</v>
      </c>
      <c r="E801">
        <v>58</v>
      </c>
      <c r="F801" t="s">
        <v>156</v>
      </c>
      <c r="G801" t="s">
        <v>157</v>
      </c>
      <c r="H801" t="s">
        <v>66</v>
      </c>
      <c r="I801">
        <v>15</v>
      </c>
      <c r="J801" t="s">
        <v>162</v>
      </c>
      <c r="K801">
        <v>3.5</v>
      </c>
      <c r="L801" t="s">
        <v>51</v>
      </c>
      <c r="M801">
        <v>0.98</v>
      </c>
      <c r="N801" t="s">
        <v>88</v>
      </c>
      <c r="O801" t="s">
        <v>42</v>
      </c>
      <c r="P801">
        <v>9</v>
      </c>
      <c r="Q801">
        <v>12</v>
      </c>
    </row>
    <row r="802" spans="1:17" x14ac:dyDescent="0.3">
      <c r="A802" t="s">
        <v>1701</v>
      </c>
      <c r="B802" t="s">
        <v>1702</v>
      </c>
      <c r="C802" t="s">
        <v>28</v>
      </c>
      <c r="D802" t="s">
        <v>97</v>
      </c>
      <c r="E802">
        <v>39</v>
      </c>
      <c r="F802" t="s">
        <v>212</v>
      </c>
      <c r="G802" t="s">
        <v>92</v>
      </c>
      <c r="H802" t="s">
        <v>31</v>
      </c>
      <c r="I802">
        <v>15</v>
      </c>
      <c r="J802" t="s">
        <v>40</v>
      </c>
      <c r="L802" t="s">
        <v>23</v>
      </c>
      <c r="M802">
        <v>0.8</v>
      </c>
      <c r="N802" t="s">
        <v>24</v>
      </c>
      <c r="O802" t="s">
        <v>75</v>
      </c>
      <c r="P802">
        <v>15</v>
      </c>
      <c r="Q802">
        <v>2</v>
      </c>
    </row>
    <row r="803" spans="1:17" x14ac:dyDescent="0.3">
      <c r="A803" t="s">
        <v>1703</v>
      </c>
      <c r="B803" t="s">
        <v>1704</v>
      </c>
      <c r="C803" t="s">
        <v>37</v>
      </c>
      <c r="D803" t="s">
        <v>118</v>
      </c>
      <c r="E803">
        <v>43</v>
      </c>
      <c r="F803" t="s">
        <v>79</v>
      </c>
      <c r="G803" t="s">
        <v>80</v>
      </c>
      <c r="H803" t="s">
        <v>39</v>
      </c>
      <c r="I803">
        <v>13</v>
      </c>
      <c r="J803" t="s">
        <v>336</v>
      </c>
      <c r="K803">
        <v>1.2</v>
      </c>
      <c r="L803" t="s">
        <v>94</v>
      </c>
      <c r="M803">
        <v>69</v>
      </c>
      <c r="N803" t="s">
        <v>82</v>
      </c>
      <c r="O803" t="s">
        <v>34</v>
      </c>
      <c r="P803">
        <v>14</v>
      </c>
      <c r="Q803">
        <v>1</v>
      </c>
    </row>
    <row r="804" spans="1:17" x14ac:dyDescent="0.3">
      <c r="A804" t="s">
        <v>1705</v>
      </c>
      <c r="B804" t="s">
        <v>1706</v>
      </c>
      <c r="C804" t="s">
        <v>97</v>
      </c>
      <c r="D804" t="s">
        <v>97</v>
      </c>
      <c r="E804">
        <v>40</v>
      </c>
      <c r="F804" t="s">
        <v>212</v>
      </c>
      <c r="G804" t="s">
        <v>92</v>
      </c>
      <c r="H804" t="s">
        <v>21</v>
      </c>
      <c r="I804">
        <v>20</v>
      </c>
      <c r="J804" t="s">
        <v>130</v>
      </c>
      <c r="L804" t="s">
        <v>59</v>
      </c>
      <c r="M804">
        <v>90</v>
      </c>
      <c r="N804" t="s">
        <v>60</v>
      </c>
      <c r="O804" t="s">
        <v>42</v>
      </c>
      <c r="P804">
        <v>11</v>
      </c>
      <c r="Q804">
        <v>3</v>
      </c>
    </row>
    <row r="805" spans="1:17" x14ac:dyDescent="0.3">
      <c r="A805" t="s">
        <v>1707</v>
      </c>
      <c r="B805" t="s">
        <v>1708</v>
      </c>
      <c r="C805" t="s">
        <v>18</v>
      </c>
      <c r="D805" t="s">
        <v>97</v>
      </c>
      <c r="E805">
        <v>51</v>
      </c>
      <c r="F805" t="s">
        <v>85</v>
      </c>
      <c r="G805" t="s">
        <v>30</v>
      </c>
      <c r="H805" t="s">
        <v>135</v>
      </c>
      <c r="I805">
        <v>30</v>
      </c>
      <c r="J805" t="s">
        <v>103</v>
      </c>
      <c r="L805" t="s">
        <v>74</v>
      </c>
      <c r="M805">
        <v>0.74</v>
      </c>
      <c r="N805" t="s">
        <v>24</v>
      </c>
      <c r="O805" t="s">
        <v>25</v>
      </c>
      <c r="P805">
        <v>20</v>
      </c>
      <c r="Q805">
        <v>11</v>
      </c>
    </row>
    <row r="806" spans="1:17" x14ac:dyDescent="0.3">
      <c r="A806" t="s">
        <v>1709</v>
      </c>
      <c r="B806" t="s">
        <v>1710</v>
      </c>
      <c r="C806" t="s">
        <v>37</v>
      </c>
      <c r="D806" t="s">
        <v>118</v>
      </c>
      <c r="E806">
        <v>23</v>
      </c>
      <c r="F806" t="s">
        <v>38</v>
      </c>
      <c r="G806" t="s">
        <v>38</v>
      </c>
      <c r="H806" t="s">
        <v>57</v>
      </c>
      <c r="I806">
        <v>4</v>
      </c>
      <c r="J806" t="s">
        <v>40</v>
      </c>
      <c r="K806">
        <v>4.5</v>
      </c>
      <c r="L806" t="s">
        <v>41</v>
      </c>
      <c r="M806">
        <v>0.98</v>
      </c>
      <c r="N806" t="s">
        <v>24</v>
      </c>
      <c r="O806" t="s">
        <v>34</v>
      </c>
      <c r="P806">
        <v>1</v>
      </c>
      <c r="Q806">
        <v>3</v>
      </c>
    </row>
    <row r="807" spans="1:17" x14ac:dyDescent="0.3">
      <c r="A807" t="s">
        <v>1711</v>
      </c>
      <c r="B807" t="s">
        <v>1712</v>
      </c>
      <c r="C807" t="s">
        <v>18</v>
      </c>
      <c r="D807" t="s">
        <v>97</v>
      </c>
      <c r="E807">
        <v>31</v>
      </c>
      <c r="F807" t="s">
        <v>64</v>
      </c>
      <c r="G807" t="s">
        <v>65</v>
      </c>
      <c r="H807" t="s">
        <v>39</v>
      </c>
      <c r="J807" t="s">
        <v>336</v>
      </c>
      <c r="L807" t="s">
        <v>94</v>
      </c>
      <c r="M807">
        <v>0.84</v>
      </c>
      <c r="N807" t="s">
        <v>82</v>
      </c>
      <c r="O807" t="s">
        <v>42</v>
      </c>
      <c r="P807">
        <v>5</v>
      </c>
      <c r="Q807">
        <v>1</v>
      </c>
    </row>
    <row r="808" spans="1:17" x14ac:dyDescent="0.3">
      <c r="A808" t="s">
        <v>1713</v>
      </c>
      <c r="B808" t="s">
        <v>1714</v>
      </c>
      <c r="C808" t="s">
        <v>28</v>
      </c>
      <c r="D808" t="s">
        <v>97</v>
      </c>
      <c r="E808">
        <v>44</v>
      </c>
      <c r="F808" t="s">
        <v>145</v>
      </c>
      <c r="G808" t="s">
        <v>146</v>
      </c>
      <c r="H808" t="s">
        <v>46</v>
      </c>
      <c r="I808">
        <v>3</v>
      </c>
      <c r="J808" t="s">
        <v>142</v>
      </c>
      <c r="K808">
        <v>5</v>
      </c>
      <c r="L808" t="s">
        <v>87</v>
      </c>
      <c r="M808">
        <v>0.75</v>
      </c>
      <c r="N808" t="s">
        <v>82</v>
      </c>
      <c r="O808" t="s">
        <v>34</v>
      </c>
      <c r="P808">
        <v>4</v>
      </c>
      <c r="Q808">
        <v>2</v>
      </c>
    </row>
    <row r="809" spans="1:17" x14ac:dyDescent="0.3">
      <c r="A809" t="s">
        <v>1715</v>
      </c>
      <c r="B809" t="s">
        <v>1716</v>
      </c>
      <c r="C809" t="s">
        <v>118</v>
      </c>
      <c r="D809" t="s">
        <v>118</v>
      </c>
      <c r="E809">
        <v>56</v>
      </c>
      <c r="F809" t="s">
        <v>38</v>
      </c>
      <c r="G809" t="s">
        <v>38</v>
      </c>
      <c r="H809" t="s">
        <v>31</v>
      </c>
      <c r="I809">
        <v>23</v>
      </c>
      <c r="J809" t="s">
        <v>103</v>
      </c>
      <c r="K809">
        <v>3.9</v>
      </c>
      <c r="L809" t="s">
        <v>33</v>
      </c>
      <c r="N809" t="s">
        <v>24</v>
      </c>
      <c r="O809" t="s">
        <v>34</v>
      </c>
      <c r="P809">
        <v>14</v>
      </c>
      <c r="Q809">
        <v>7</v>
      </c>
    </row>
    <row r="810" spans="1:17" x14ac:dyDescent="0.3">
      <c r="A810" t="s">
        <v>1717</v>
      </c>
      <c r="B810" t="s">
        <v>1718</v>
      </c>
      <c r="C810" t="s">
        <v>28</v>
      </c>
      <c r="D810" t="s">
        <v>97</v>
      </c>
      <c r="E810">
        <v>48</v>
      </c>
      <c r="F810" t="s">
        <v>29</v>
      </c>
      <c r="G810" t="s">
        <v>30</v>
      </c>
      <c r="H810" t="s">
        <v>98</v>
      </c>
      <c r="I810">
        <v>5</v>
      </c>
      <c r="J810" t="s">
        <v>251</v>
      </c>
      <c r="K810">
        <v>1.8</v>
      </c>
      <c r="L810" t="s">
        <v>74</v>
      </c>
      <c r="M810">
        <v>0.97</v>
      </c>
      <c r="N810" t="s">
        <v>60</v>
      </c>
      <c r="O810" t="s">
        <v>34</v>
      </c>
      <c r="P810">
        <v>3</v>
      </c>
      <c r="Q810">
        <v>3</v>
      </c>
    </row>
    <row r="811" spans="1:17" x14ac:dyDescent="0.3">
      <c r="A811" t="s">
        <v>1719</v>
      </c>
      <c r="B811" t="s">
        <v>1720</v>
      </c>
      <c r="C811" t="s">
        <v>18</v>
      </c>
      <c r="D811" t="s">
        <v>97</v>
      </c>
      <c r="E811">
        <v>46</v>
      </c>
      <c r="F811" t="s">
        <v>145</v>
      </c>
      <c r="G811" t="s">
        <v>146</v>
      </c>
      <c r="H811" t="s">
        <v>46</v>
      </c>
      <c r="I811">
        <v>28</v>
      </c>
      <c r="J811" t="s">
        <v>52</v>
      </c>
      <c r="K811">
        <v>4.2</v>
      </c>
      <c r="L811" t="s">
        <v>74</v>
      </c>
      <c r="N811" t="s">
        <v>24</v>
      </c>
      <c r="O811" t="s">
        <v>34</v>
      </c>
      <c r="P811">
        <v>16</v>
      </c>
      <c r="Q811">
        <v>9</v>
      </c>
    </row>
    <row r="812" spans="1:17" x14ac:dyDescent="0.3">
      <c r="A812" t="s">
        <v>1721</v>
      </c>
      <c r="B812" t="s">
        <v>1722</v>
      </c>
      <c r="C812" t="s">
        <v>113</v>
      </c>
      <c r="D812" t="s">
        <v>118</v>
      </c>
      <c r="E812">
        <v>21</v>
      </c>
      <c r="F812" t="s">
        <v>160</v>
      </c>
      <c r="G812" t="s">
        <v>161</v>
      </c>
      <c r="H812" t="s">
        <v>57</v>
      </c>
      <c r="I812">
        <v>0</v>
      </c>
      <c r="J812" t="s">
        <v>162</v>
      </c>
      <c r="K812">
        <v>2.6</v>
      </c>
      <c r="L812" t="s">
        <v>181</v>
      </c>
      <c r="M812">
        <v>0.64</v>
      </c>
      <c r="N812" t="s">
        <v>82</v>
      </c>
      <c r="O812" t="s">
        <v>34</v>
      </c>
      <c r="P812">
        <v>3</v>
      </c>
      <c r="Q812">
        <v>2</v>
      </c>
    </row>
    <row r="813" spans="1:17" x14ac:dyDescent="0.3">
      <c r="A813" t="s">
        <v>1723</v>
      </c>
      <c r="B813" t="s">
        <v>1724</v>
      </c>
      <c r="C813" t="s">
        <v>63</v>
      </c>
      <c r="D813" t="s">
        <v>118</v>
      </c>
      <c r="E813">
        <v>52</v>
      </c>
      <c r="F813" t="s">
        <v>145</v>
      </c>
      <c r="G813" t="s">
        <v>146</v>
      </c>
      <c r="H813" t="s">
        <v>66</v>
      </c>
      <c r="I813">
        <v>30</v>
      </c>
      <c r="J813" t="s">
        <v>52</v>
      </c>
      <c r="K813">
        <v>2</v>
      </c>
      <c r="L813" t="s">
        <v>33</v>
      </c>
      <c r="M813">
        <v>0.68</v>
      </c>
      <c r="N813" t="s">
        <v>60</v>
      </c>
      <c r="O813" t="s">
        <v>34</v>
      </c>
      <c r="P813">
        <v>10</v>
      </c>
      <c r="Q813">
        <v>6</v>
      </c>
    </row>
    <row r="814" spans="1:17" x14ac:dyDescent="0.3">
      <c r="A814" t="s">
        <v>1725</v>
      </c>
      <c r="B814" t="s">
        <v>1726</v>
      </c>
      <c r="C814" t="s">
        <v>18</v>
      </c>
      <c r="D814" t="s">
        <v>97</v>
      </c>
      <c r="E814">
        <v>39</v>
      </c>
      <c r="F814" t="s">
        <v>145</v>
      </c>
      <c r="G814" t="s">
        <v>146</v>
      </c>
      <c r="H814" t="s">
        <v>39</v>
      </c>
      <c r="I814">
        <v>20</v>
      </c>
      <c r="J814" t="s">
        <v>192</v>
      </c>
      <c r="K814">
        <v>2.7</v>
      </c>
      <c r="L814" t="s">
        <v>33</v>
      </c>
      <c r="M814">
        <v>0.67</v>
      </c>
      <c r="N814" t="s">
        <v>82</v>
      </c>
      <c r="O814" t="s">
        <v>42</v>
      </c>
      <c r="P814">
        <v>12</v>
      </c>
      <c r="Q814">
        <v>2</v>
      </c>
    </row>
    <row r="815" spans="1:17" x14ac:dyDescent="0.3">
      <c r="A815" t="s">
        <v>1727</v>
      </c>
      <c r="B815" t="s">
        <v>1728</v>
      </c>
      <c r="C815" t="s">
        <v>18</v>
      </c>
      <c r="D815" t="s">
        <v>97</v>
      </c>
      <c r="E815">
        <v>31</v>
      </c>
      <c r="F815" t="s">
        <v>29</v>
      </c>
      <c r="G815" t="s">
        <v>30</v>
      </c>
      <c r="H815" t="s">
        <v>31</v>
      </c>
      <c r="I815">
        <v>0</v>
      </c>
      <c r="J815" t="s">
        <v>52</v>
      </c>
      <c r="K815">
        <v>2.2999999999999998</v>
      </c>
      <c r="L815" t="s">
        <v>181</v>
      </c>
      <c r="M815">
        <v>0.79</v>
      </c>
      <c r="N815" t="s">
        <v>60</v>
      </c>
      <c r="O815" t="s">
        <v>25</v>
      </c>
      <c r="P815">
        <v>2</v>
      </c>
      <c r="Q815">
        <v>1</v>
      </c>
    </row>
    <row r="816" spans="1:17" x14ac:dyDescent="0.3">
      <c r="A816" t="s">
        <v>1729</v>
      </c>
      <c r="B816" t="s">
        <v>1730</v>
      </c>
      <c r="C816" t="s">
        <v>63</v>
      </c>
      <c r="D816" t="s">
        <v>118</v>
      </c>
      <c r="E816">
        <v>22</v>
      </c>
      <c r="F816" t="s">
        <v>133</v>
      </c>
      <c r="G816" t="s">
        <v>134</v>
      </c>
      <c r="H816" t="s">
        <v>93</v>
      </c>
      <c r="I816">
        <v>4</v>
      </c>
      <c r="J816" t="s">
        <v>47</v>
      </c>
      <c r="K816">
        <v>3.8</v>
      </c>
      <c r="L816" t="s">
        <v>74</v>
      </c>
      <c r="M816">
        <v>1</v>
      </c>
      <c r="N816" t="s">
        <v>88</v>
      </c>
      <c r="O816" t="s">
        <v>75</v>
      </c>
      <c r="P816">
        <v>2</v>
      </c>
      <c r="Q816">
        <v>2</v>
      </c>
    </row>
    <row r="817" spans="1:17" x14ac:dyDescent="0.3">
      <c r="A817" t="s">
        <v>1731</v>
      </c>
      <c r="B817" t="s">
        <v>1732</v>
      </c>
      <c r="C817" t="s">
        <v>18</v>
      </c>
      <c r="D817" t="s">
        <v>97</v>
      </c>
      <c r="E817">
        <v>38</v>
      </c>
      <c r="F817" t="s">
        <v>85</v>
      </c>
      <c r="G817" t="s">
        <v>30</v>
      </c>
      <c r="H817" t="s">
        <v>93</v>
      </c>
      <c r="I817">
        <v>10</v>
      </c>
      <c r="J817" t="s">
        <v>86</v>
      </c>
      <c r="L817" t="s">
        <v>41</v>
      </c>
      <c r="M817">
        <v>0.66</v>
      </c>
      <c r="N817" t="s">
        <v>82</v>
      </c>
      <c r="O817" t="s">
        <v>34</v>
      </c>
      <c r="P817">
        <v>11</v>
      </c>
      <c r="Q817">
        <v>13</v>
      </c>
    </row>
    <row r="818" spans="1:17" x14ac:dyDescent="0.3">
      <c r="A818" t="s">
        <v>1733</v>
      </c>
      <c r="B818" t="s">
        <v>1734</v>
      </c>
      <c r="C818" t="s">
        <v>118</v>
      </c>
      <c r="D818" t="s">
        <v>118</v>
      </c>
      <c r="E818">
        <v>44</v>
      </c>
      <c r="F818" t="s">
        <v>91</v>
      </c>
      <c r="G818" t="s">
        <v>92</v>
      </c>
      <c r="H818" t="s">
        <v>39</v>
      </c>
      <c r="I818">
        <v>24</v>
      </c>
      <c r="J818" t="s">
        <v>67</v>
      </c>
      <c r="K818">
        <v>4.5999999999999996</v>
      </c>
      <c r="L818" t="s">
        <v>181</v>
      </c>
      <c r="M818">
        <v>0.97</v>
      </c>
      <c r="N818" t="s">
        <v>82</v>
      </c>
      <c r="O818" t="s">
        <v>75</v>
      </c>
      <c r="P818">
        <v>19</v>
      </c>
      <c r="Q818">
        <v>4</v>
      </c>
    </row>
    <row r="819" spans="1:17" x14ac:dyDescent="0.3">
      <c r="A819" t="s">
        <v>1735</v>
      </c>
      <c r="B819" t="s">
        <v>1736</v>
      </c>
      <c r="C819" t="s">
        <v>113</v>
      </c>
      <c r="D819" t="s">
        <v>118</v>
      </c>
      <c r="E819">
        <v>53</v>
      </c>
      <c r="F819" t="s">
        <v>64</v>
      </c>
      <c r="G819" t="s">
        <v>65</v>
      </c>
      <c r="H819" t="s">
        <v>135</v>
      </c>
      <c r="I819">
        <v>21</v>
      </c>
      <c r="J819" t="s">
        <v>22</v>
      </c>
      <c r="K819">
        <v>3.4</v>
      </c>
      <c r="L819" t="s">
        <v>23</v>
      </c>
      <c r="M819">
        <v>0.62</v>
      </c>
      <c r="N819" t="s">
        <v>24</v>
      </c>
      <c r="O819" t="s">
        <v>42</v>
      </c>
      <c r="P819">
        <v>17</v>
      </c>
      <c r="Q819">
        <v>3</v>
      </c>
    </row>
    <row r="820" spans="1:17" x14ac:dyDescent="0.3">
      <c r="A820" t="s">
        <v>1737</v>
      </c>
      <c r="B820" t="s">
        <v>1738</v>
      </c>
      <c r="C820" t="s">
        <v>118</v>
      </c>
      <c r="D820" t="s">
        <v>118</v>
      </c>
      <c r="E820">
        <v>22</v>
      </c>
      <c r="F820" t="s">
        <v>197</v>
      </c>
      <c r="G820" t="s">
        <v>198</v>
      </c>
      <c r="H820" t="s">
        <v>66</v>
      </c>
      <c r="I820">
        <v>2</v>
      </c>
      <c r="J820" t="s">
        <v>336</v>
      </c>
      <c r="L820" t="s">
        <v>181</v>
      </c>
      <c r="N820" t="s">
        <v>82</v>
      </c>
      <c r="O820" t="s">
        <v>34</v>
      </c>
      <c r="P820">
        <v>5</v>
      </c>
      <c r="Q820">
        <v>1</v>
      </c>
    </row>
    <row r="821" spans="1:17" x14ac:dyDescent="0.3">
      <c r="A821" t="s">
        <v>1739</v>
      </c>
      <c r="B821" t="s">
        <v>1740</v>
      </c>
      <c r="C821" t="s">
        <v>97</v>
      </c>
      <c r="D821" t="s">
        <v>97</v>
      </c>
      <c r="E821">
        <v>40</v>
      </c>
      <c r="F821" t="s">
        <v>114</v>
      </c>
      <c r="G821" t="s">
        <v>115</v>
      </c>
      <c r="H821" t="s">
        <v>21</v>
      </c>
      <c r="I821">
        <v>14</v>
      </c>
      <c r="J821" t="s">
        <v>103</v>
      </c>
      <c r="K821">
        <v>0</v>
      </c>
      <c r="L821" t="s">
        <v>33</v>
      </c>
      <c r="M821">
        <v>0.79</v>
      </c>
      <c r="N821" t="s">
        <v>82</v>
      </c>
      <c r="O821" t="s">
        <v>25</v>
      </c>
      <c r="P821">
        <v>14</v>
      </c>
      <c r="Q821">
        <v>1</v>
      </c>
    </row>
    <row r="822" spans="1:17" x14ac:dyDescent="0.3">
      <c r="A822" t="s">
        <v>1741</v>
      </c>
      <c r="B822" t="s">
        <v>1742</v>
      </c>
      <c r="C822" t="s">
        <v>50</v>
      </c>
      <c r="D822" t="s">
        <v>97</v>
      </c>
      <c r="E822">
        <v>49</v>
      </c>
      <c r="F822" t="s">
        <v>197</v>
      </c>
      <c r="G822" t="s">
        <v>198</v>
      </c>
      <c r="H822" t="s">
        <v>31</v>
      </c>
      <c r="I822">
        <v>15</v>
      </c>
      <c r="J822" t="s">
        <v>86</v>
      </c>
      <c r="K822">
        <v>3.9</v>
      </c>
      <c r="L822" t="s">
        <v>59</v>
      </c>
      <c r="M822">
        <v>0.86</v>
      </c>
      <c r="N822" t="s">
        <v>88</v>
      </c>
      <c r="O822" t="s">
        <v>75</v>
      </c>
      <c r="P822">
        <v>15</v>
      </c>
      <c r="Q822">
        <v>11</v>
      </c>
    </row>
    <row r="823" spans="1:17" x14ac:dyDescent="0.3">
      <c r="A823" t="s">
        <v>1743</v>
      </c>
      <c r="B823" t="s">
        <v>1744</v>
      </c>
      <c r="C823" t="s">
        <v>78</v>
      </c>
      <c r="D823" t="s">
        <v>118</v>
      </c>
      <c r="E823">
        <v>30</v>
      </c>
      <c r="F823" t="s">
        <v>29</v>
      </c>
      <c r="G823" t="s">
        <v>30</v>
      </c>
      <c r="H823" t="s">
        <v>93</v>
      </c>
      <c r="I823">
        <v>11</v>
      </c>
      <c r="J823" t="s">
        <v>58</v>
      </c>
      <c r="K823">
        <v>4.2</v>
      </c>
      <c r="L823" t="s">
        <v>23</v>
      </c>
      <c r="M823">
        <v>0.65</v>
      </c>
      <c r="N823" t="s">
        <v>82</v>
      </c>
      <c r="O823" t="s">
        <v>34</v>
      </c>
      <c r="P823">
        <v>13</v>
      </c>
      <c r="Q823">
        <v>5</v>
      </c>
    </row>
    <row r="824" spans="1:17" x14ac:dyDescent="0.3">
      <c r="A824" t="s">
        <v>1745</v>
      </c>
      <c r="B824" t="s">
        <v>1746</v>
      </c>
      <c r="C824" t="s">
        <v>50</v>
      </c>
      <c r="D824" t="s">
        <v>97</v>
      </c>
      <c r="E824">
        <v>37</v>
      </c>
      <c r="F824" t="s">
        <v>106</v>
      </c>
      <c r="G824" t="s">
        <v>107</v>
      </c>
      <c r="H824" t="s">
        <v>57</v>
      </c>
      <c r="I824">
        <v>6</v>
      </c>
      <c r="J824" t="s">
        <v>162</v>
      </c>
      <c r="L824" t="s">
        <v>51</v>
      </c>
      <c r="M824">
        <v>0.99</v>
      </c>
      <c r="N824" t="s">
        <v>88</v>
      </c>
      <c r="O824" t="s">
        <v>42</v>
      </c>
      <c r="P824">
        <v>14</v>
      </c>
      <c r="Q824">
        <v>6</v>
      </c>
    </row>
    <row r="825" spans="1:17" x14ac:dyDescent="0.3">
      <c r="A825" t="s">
        <v>1747</v>
      </c>
      <c r="B825" t="s">
        <v>1748</v>
      </c>
      <c r="C825" t="s">
        <v>37</v>
      </c>
      <c r="D825" t="s">
        <v>118</v>
      </c>
      <c r="E825">
        <v>21</v>
      </c>
      <c r="F825" t="s">
        <v>160</v>
      </c>
      <c r="G825" t="s">
        <v>161</v>
      </c>
      <c r="H825" t="s">
        <v>39</v>
      </c>
      <c r="I825">
        <v>2</v>
      </c>
      <c r="J825" t="s">
        <v>22</v>
      </c>
      <c r="K825">
        <v>3.6</v>
      </c>
      <c r="L825" t="s">
        <v>59</v>
      </c>
      <c r="M825">
        <v>85</v>
      </c>
      <c r="N825" t="s">
        <v>88</v>
      </c>
      <c r="O825" t="s">
        <v>25</v>
      </c>
      <c r="P825">
        <v>3</v>
      </c>
      <c r="Q825">
        <v>2</v>
      </c>
    </row>
    <row r="826" spans="1:17" x14ac:dyDescent="0.3">
      <c r="A826" t="s">
        <v>1749</v>
      </c>
      <c r="B826" t="s">
        <v>1750</v>
      </c>
      <c r="C826" t="s">
        <v>118</v>
      </c>
      <c r="D826" t="s">
        <v>118</v>
      </c>
      <c r="E826">
        <v>20</v>
      </c>
      <c r="F826" t="s">
        <v>133</v>
      </c>
      <c r="G826" t="s">
        <v>134</v>
      </c>
      <c r="H826" t="s">
        <v>57</v>
      </c>
      <c r="I826">
        <v>1</v>
      </c>
      <c r="J826" t="s">
        <v>119</v>
      </c>
      <c r="L826" t="s">
        <v>87</v>
      </c>
      <c r="M826">
        <v>0.81</v>
      </c>
      <c r="N826" t="s">
        <v>88</v>
      </c>
      <c r="O826" t="s">
        <v>75</v>
      </c>
      <c r="P826">
        <v>5</v>
      </c>
      <c r="Q826">
        <v>1</v>
      </c>
    </row>
    <row r="827" spans="1:17" x14ac:dyDescent="0.3">
      <c r="A827" t="s">
        <v>1751</v>
      </c>
      <c r="B827" t="s">
        <v>1752</v>
      </c>
      <c r="C827" t="s">
        <v>37</v>
      </c>
      <c r="D827" t="s">
        <v>118</v>
      </c>
      <c r="E827">
        <v>20</v>
      </c>
      <c r="F827" t="s">
        <v>197</v>
      </c>
      <c r="G827" t="s">
        <v>198</v>
      </c>
      <c r="H827" t="s">
        <v>66</v>
      </c>
      <c r="I827">
        <v>2</v>
      </c>
      <c r="J827" t="s">
        <v>47</v>
      </c>
      <c r="K827">
        <v>2.1</v>
      </c>
      <c r="L827" t="s">
        <v>41</v>
      </c>
      <c r="M827">
        <v>0.64</v>
      </c>
      <c r="N827" t="s">
        <v>88</v>
      </c>
      <c r="O827" t="s">
        <v>75</v>
      </c>
      <c r="P827">
        <v>1</v>
      </c>
      <c r="Q827">
        <v>1</v>
      </c>
    </row>
    <row r="828" spans="1:17" x14ac:dyDescent="0.3">
      <c r="A828" t="s">
        <v>1753</v>
      </c>
      <c r="B828" t="s">
        <v>1754</v>
      </c>
      <c r="C828" t="s">
        <v>78</v>
      </c>
      <c r="D828" t="s">
        <v>118</v>
      </c>
      <c r="E828">
        <v>20</v>
      </c>
      <c r="F828" t="s">
        <v>91</v>
      </c>
      <c r="G828" t="s">
        <v>92</v>
      </c>
      <c r="H828" t="s">
        <v>135</v>
      </c>
      <c r="I828">
        <v>2</v>
      </c>
      <c r="J828" t="s">
        <v>162</v>
      </c>
      <c r="K828">
        <v>3.9</v>
      </c>
      <c r="L828" t="s">
        <v>59</v>
      </c>
      <c r="M828">
        <v>0.84</v>
      </c>
      <c r="N828" t="s">
        <v>60</v>
      </c>
      <c r="O828" t="s">
        <v>34</v>
      </c>
      <c r="P828">
        <v>5</v>
      </c>
      <c r="Q828">
        <v>1</v>
      </c>
    </row>
    <row r="829" spans="1:17" x14ac:dyDescent="0.3">
      <c r="A829" t="s">
        <v>1755</v>
      </c>
      <c r="B829" t="s">
        <v>1756</v>
      </c>
      <c r="C829" t="s">
        <v>18</v>
      </c>
      <c r="D829" t="s">
        <v>97</v>
      </c>
      <c r="E829">
        <v>26</v>
      </c>
      <c r="F829" t="s">
        <v>145</v>
      </c>
      <c r="G829" t="s">
        <v>146</v>
      </c>
      <c r="H829" t="s">
        <v>135</v>
      </c>
      <c r="I829">
        <v>2</v>
      </c>
      <c r="J829" t="s">
        <v>86</v>
      </c>
      <c r="K829">
        <v>0</v>
      </c>
      <c r="L829" t="s">
        <v>51</v>
      </c>
      <c r="M829">
        <v>0.66</v>
      </c>
      <c r="N829" t="s">
        <v>24</v>
      </c>
      <c r="O829" t="s">
        <v>25</v>
      </c>
      <c r="P829">
        <v>4</v>
      </c>
      <c r="Q829">
        <v>3</v>
      </c>
    </row>
    <row r="830" spans="1:17" x14ac:dyDescent="0.3">
      <c r="A830" t="s">
        <v>1757</v>
      </c>
      <c r="B830" t="s">
        <v>1758</v>
      </c>
      <c r="C830" t="s">
        <v>50</v>
      </c>
      <c r="D830" t="s">
        <v>97</v>
      </c>
      <c r="E830">
        <v>50</v>
      </c>
      <c r="F830" t="s">
        <v>133</v>
      </c>
      <c r="G830" t="s">
        <v>134</v>
      </c>
      <c r="H830" t="s">
        <v>46</v>
      </c>
      <c r="I830">
        <v>12</v>
      </c>
      <c r="J830" t="s">
        <v>192</v>
      </c>
      <c r="K830">
        <v>0</v>
      </c>
      <c r="L830" t="s">
        <v>59</v>
      </c>
      <c r="M830">
        <v>75</v>
      </c>
      <c r="N830" t="s">
        <v>60</v>
      </c>
      <c r="O830" t="s">
        <v>25</v>
      </c>
      <c r="P830">
        <v>12</v>
      </c>
      <c r="Q830">
        <v>10</v>
      </c>
    </row>
    <row r="831" spans="1:17" x14ac:dyDescent="0.3">
      <c r="A831" t="s">
        <v>1759</v>
      </c>
      <c r="B831" t="s">
        <v>1760</v>
      </c>
      <c r="C831" t="s">
        <v>118</v>
      </c>
      <c r="D831" t="s">
        <v>118</v>
      </c>
      <c r="E831">
        <v>50</v>
      </c>
      <c r="F831" t="s">
        <v>212</v>
      </c>
      <c r="G831" t="s">
        <v>92</v>
      </c>
      <c r="H831" t="s">
        <v>57</v>
      </c>
      <c r="I831">
        <v>28</v>
      </c>
      <c r="J831" t="s">
        <v>52</v>
      </c>
      <c r="K831">
        <v>1.8</v>
      </c>
      <c r="L831" t="s">
        <v>51</v>
      </c>
      <c r="N831" t="s">
        <v>82</v>
      </c>
      <c r="O831" t="s">
        <v>25</v>
      </c>
      <c r="P831">
        <v>15</v>
      </c>
      <c r="Q831">
        <v>9</v>
      </c>
    </row>
    <row r="832" spans="1:17" x14ac:dyDescent="0.3">
      <c r="A832" t="s">
        <v>1761</v>
      </c>
      <c r="B832" t="s">
        <v>1762</v>
      </c>
      <c r="C832" t="s">
        <v>97</v>
      </c>
      <c r="D832" t="s">
        <v>97</v>
      </c>
      <c r="E832">
        <v>54</v>
      </c>
      <c r="F832" t="s">
        <v>64</v>
      </c>
      <c r="G832" t="s">
        <v>65</v>
      </c>
      <c r="H832" t="s">
        <v>57</v>
      </c>
      <c r="I832">
        <v>4</v>
      </c>
      <c r="J832" t="s">
        <v>162</v>
      </c>
      <c r="K832">
        <v>1.1000000000000001</v>
      </c>
      <c r="L832" t="s">
        <v>33</v>
      </c>
      <c r="M832">
        <v>0.63</v>
      </c>
      <c r="N832" t="s">
        <v>60</v>
      </c>
      <c r="O832" t="s">
        <v>25</v>
      </c>
      <c r="P832">
        <v>3</v>
      </c>
      <c r="Q832">
        <v>2</v>
      </c>
    </row>
    <row r="833" spans="1:17" x14ac:dyDescent="0.3">
      <c r="A833" t="s">
        <v>1763</v>
      </c>
      <c r="B833" t="s">
        <v>1764</v>
      </c>
      <c r="C833" t="s">
        <v>37</v>
      </c>
      <c r="D833" t="s">
        <v>118</v>
      </c>
      <c r="E833">
        <v>54</v>
      </c>
      <c r="F833" t="s">
        <v>212</v>
      </c>
      <c r="G833" t="s">
        <v>92</v>
      </c>
      <c r="H833" t="s">
        <v>21</v>
      </c>
      <c r="I833">
        <v>3</v>
      </c>
      <c r="J833" t="s">
        <v>162</v>
      </c>
      <c r="K833">
        <v>1.6</v>
      </c>
      <c r="L833" t="s">
        <v>94</v>
      </c>
      <c r="M833">
        <v>0.7</v>
      </c>
      <c r="N833" t="s">
        <v>60</v>
      </c>
      <c r="O833" t="s">
        <v>42</v>
      </c>
      <c r="P833">
        <v>1</v>
      </c>
      <c r="Q833">
        <v>2</v>
      </c>
    </row>
    <row r="834" spans="1:17" x14ac:dyDescent="0.3">
      <c r="A834" t="s">
        <v>1765</v>
      </c>
      <c r="B834" t="s">
        <v>1766</v>
      </c>
      <c r="C834" t="s">
        <v>97</v>
      </c>
      <c r="D834" t="s">
        <v>97</v>
      </c>
      <c r="E834">
        <v>34</v>
      </c>
      <c r="F834" t="s">
        <v>160</v>
      </c>
      <c r="G834" t="s">
        <v>161</v>
      </c>
      <c r="H834" t="s">
        <v>135</v>
      </c>
      <c r="I834">
        <v>4</v>
      </c>
      <c r="J834" t="s">
        <v>58</v>
      </c>
      <c r="K834">
        <v>3.1</v>
      </c>
      <c r="L834" t="s">
        <v>51</v>
      </c>
      <c r="M834">
        <v>0.9</v>
      </c>
      <c r="N834" t="s">
        <v>82</v>
      </c>
      <c r="O834" t="s">
        <v>25</v>
      </c>
      <c r="P834">
        <v>1</v>
      </c>
      <c r="Q834">
        <v>1</v>
      </c>
    </row>
    <row r="835" spans="1:17" x14ac:dyDescent="0.3">
      <c r="A835" t="s">
        <v>1767</v>
      </c>
      <c r="B835" t="s">
        <v>1768</v>
      </c>
      <c r="C835" t="s">
        <v>97</v>
      </c>
      <c r="D835" t="s">
        <v>97</v>
      </c>
      <c r="E835">
        <v>20</v>
      </c>
      <c r="F835" t="s">
        <v>19</v>
      </c>
      <c r="G835" t="s">
        <v>20</v>
      </c>
      <c r="H835" t="s">
        <v>110</v>
      </c>
      <c r="I835">
        <v>1</v>
      </c>
      <c r="J835" t="s">
        <v>40</v>
      </c>
      <c r="K835">
        <v>3.4</v>
      </c>
      <c r="L835" t="s">
        <v>33</v>
      </c>
      <c r="M835">
        <v>79</v>
      </c>
      <c r="N835" t="s">
        <v>82</v>
      </c>
      <c r="O835" t="s">
        <v>75</v>
      </c>
      <c r="P835">
        <v>2</v>
      </c>
      <c r="Q835">
        <v>2</v>
      </c>
    </row>
    <row r="836" spans="1:17" x14ac:dyDescent="0.3">
      <c r="A836" t="s">
        <v>1769</v>
      </c>
      <c r="B836" t="s">
        <v>1770</v>
      </c>
      <c r="C836" t="s">
        <v>37</v>
      </c>
      <c r="D836" t="s">
        <v>118</v>
      </c>
      <c r="E836">
        <v>29</v>
      </c>
      <c r="F836" t="s">
        <v>38</v>
      </c>
      <c r="G836" t="s">
        <v>38</v>
      </c>
      <c r="H836" t="s">
        <v>57</v>
      </c>
      <c r="I836">
        <v>8</v>
      </c>
      <c r="J836" t="s">
        <v>86</v>
      </c>
      <c r="K836">
        <v>3.1</v>
      </c>
      <c r="L836" t="s">
        <v>41</v>
      </c>
      <c r="M836">
        <v>0.6</v>
      </c>
      <c r="N836" t="s">
        <v>82</v>
      </c>
      <c r="O836" t="s">
        <v>75</v>
      </c>
      <c r="P836">
        <v>7</v>
      </c>
      <c r="Q836">
        <v>9</v>
      </c>
    </row>
    <row r="837" spans="1:17" x14ac:dyDescent="0.3">
      <c r="A837" t="s">
        <v>1771</v>
      </c>
      <c r="B837" t="s">
        <v>1772</v>
      </c>
      <c r="C837" t="s">
        <v>50</v>
      </c>
      <c r="D837" t="s">
        <v>97</v>
      </c>
      <c r="E837">
        <v>57</v>
      </c>
      <c r="F837" t="s">
        <v>85</v>
      </c>
      <c r="G837" t="s">
        <v>30</v>
      </c>
      <c r="H837" t="s">
        <v>110</v>
      </c>
      <c r="I837">
        <v>11</v>
      </c>
      <c r="J837" t="s">
        <v>67</v>
      </c>
      <c r="K837">
        <v>2.2999999999999998</v>
      </c>
      <c r="L837" t="s">
        <v>23</v>
      </c>
      <c r="N837" t="s">
        <v>60</v>
      </c>
      <c r="O837" t="s">
        <v>42</v>
      </c>
      <c r="P837">
        <v>8</v>
      </c>
      <c r="Q837">
        <v>4</v>
      </c>
    </row>
    <row r="838" spans="1:17" x14ac:dyDescent="0.3">
      <c r="A838" t="s">
        <v>1773</v>
      </c>
      <c r="B838" t="s">
        <v>1774</v>
      </c>
      <c r="C838" t="s">
        <v>45</v>
      </c>
      <c r="D838" t="s">
        <v>97</v>
      </c>
      <c r="E838">
        <v>36</v>
      </c>
      <c r="F838" t="s">
        <v>55</v>
      </c>
      <c r="G838" t="s">
        <v>56</v>
      </c>
      <c r="H838" t="s">
        <v>57</v>
      </c>
      <c r="I838">
        <v>8</v>
      </c>
      <c r="J838" t="s">
        <v>70</v>
      </c>
      <c r="L838" t="s">
        <v>41</v>
      </c>
      <c r="M838">
        <v>0.8</v>
      </c>
      <c r="N838" t="s">
        <v>60</v>
      </c>
      <c r="O838" t="s">
        <v>75</v>
      </c>
      <c r="P838">
        <v>7</v>
      </c>
      <c r="Q838">
        <v>8</v>
      </c>
    </row>
    <row r="839" spans="1:17" x14ac:dyDescent="0.3">
      <c r="A839" t="s">
        <v>1775</v>
      </c>
      <c r="B839" t="s">
        <v>1776</v>
      </c>
      <c r="C839" t="s">
        <v>118</v>
      </c>
      <c r="D839" t="s">
        <v>118</v>
      </c>
      <c r="E839">
        <v>51</v>
      </c>
      <c r="F839" t="s">
        <v>133</v>
      </c>
      <c r="G839" t="s">
        <v>134</v>
      </c>
      <c r="H839" t="s">
        <v>46</v>
      </c>
      <c r="I839">
        <v>32</v>
      </c>
      <c r="J839" t="s">
        <v>81</v>
      </c>
      <c r="K839">
        <v>3.2</v>
      </c>
      <c r="L839" t="s">
        <v>23</v>
      </c>
      <c r="M839">
        <v>88</v>
      </c>
      <c r="N839" t="s">
        <v>82</v>
      </c>
      <c r="O839" t="s">
        <v>75</v>
      </c>
      <c r="P839">
        <v>19</v>
      </c>
      <c r="Q839">
        <v>8</v>
      </c>
    </row>
    <row r="840" spans="1:17" x14ac:dyDescent="0.3">
      <c r="A840" t="s">
        <v>1777</v>
      </c>
      <c r="B840" t="s">
        <v>1778</v>
      </c>
      <c r="C840" t="s">
        <v>63</v>
      </c>
      <c r="D840" t="s">
        <v>118</v>
      </c>
      <c r="E840">
        <v>44</v>
      </c>
      <c r="F840" t="s">
        <v>114</v>
      </c>
      <c r="G840" t="s">
        <v>115</v>
      </c>
      <c r="H840" t="s">
        <v>93</v>
      </c>
      <c r="I840">
        <v>4</v>
      </c>
      <c r="J840" t="s">
        <v>130</v>
      </c>
      <c r="K840">
        <v>0</v>
      </c>
      <c r="L840" t="s">
        <v>41</v>
      </c>
      <c r="M840">
        <v>0.8</v>
      </c>
      <c r="N840" t="s">
        <v>24</v>
      </c>
      <c r="O840" t="s">
        <v>25</v>
      </c>
      <c r="P840">
        <v>4</v>
      </c>
      <c r="Q840">
        <v>1</v>
      </c>
    </row>
    <row r="841" spans="1:17" x14ac:dyDescent="0.3">
      <c r="A841" t="s">
        <v>1779</v>
      </c>
      <c r="B841" t="s">
        <v>1780</v>
      </c>
      <c r="C841" t="s">
        <v>118</v>
      </c>
      <c r="D841" t="s">
        <v>118</v>
      </c>
      <c r="E841">
        <v>58</v>
      </c>
      <c r="F841" t="s">
        <v>212</v>
      </c>
      <c r="G841" t="s">
        <v>92</v>
      </c>
      <c r="H841" t="s">
        <v>98</v>
      </c>
      <c r="I841">
        <v>33</v>
      </c>
      <c r="J841" t="s">
        <v>52</v>
      </c>
      <c r="K841">
        <v>3.3</v>
      </c>
      <c r="L841" t="s">
        <v>94</v>
      </c>
      <c r="M841">
        <v>0.71</v>
      </c>
      <c r="N841" t="s">
        <v>24</v>
      </c>
      <c r="O841" t="s">
        <v>75</v>
      </c>
      <c r="P841">
        <v>10</v>
      </c>
      <c r="Q841">
        <v>10</v>
      </c>
    </row>
    <row r="842" spans="1:17" x14ac:dyDescent="0.3">
      <c r="A842" t="s">
        <v>1781</v>
      </c>
      <c r="B842" t="s">
        <v>1782</v>
      </c>
      <c r="C842" t="s">
        <v>18</v>
      </c>
      <c r="D842" t="s">
        <v>97</v>
      </c>
      <c r="E842">
        <v>38</v>
      </c>
      <c r="F842" t="s">
        <v>175</v>
      </c>
      <c r="G842" t="s">
        <v>176</v>
      </c>
      <c r="H842" t="s">
        <v>31</v>
      </c>
      <c r="I842">
        <v>14</v>
      </c>
      <c r="J842" t="s">
        <v>51</v>
      </c>
      <c r="K842">
        <v>1.1000000000000001</v>
      </c>
      <c r="L842" t="s">
        <v>33</v>
      </c>
      <c r="M842">
        <v>0.76</v>
      </c>
      <c r="N842" t="s">
        <v>88</v>
      </c>
      <c r="O842" t="s">
        <v>42</v>
      </c>
      <c r="P842">
        <v>9</v>
      </c>
      <c r="Q842">
        <v>4</v>
      </c>
    </row>
    <row r="843" spans="1:17" x14ac:dyDescent="0.3">
      <c r="A843" t="s">
        <v>1783</v>
      </c>
      <c r="B843" t="s">
        <v>1784</v>
      </c>
      <c r="C843" t="s">
        <v>113</v>
      </c>
      <c r="D843" t="s">
        <v>118</v>
      </c>
      <c r="E843">
        <v>24</v>
      </c>
      <c r="F843" t="s">
        <v>73</v>
      </c>
      <c r="G843" t="s">
        <v>30</v>
      </c>
      <c r="H843" t="s">
        <v>93</v>
      </c>
      <c r="I843">
        <v>6</v>
      </c>
      <c r="J843" t="s">
        <v>130</v>
      </c>
      <c r="K843">
        <v>4.5999999999999996</v>
      </c>
      <c r="L843" t="s">
        <v>33</v>
      </c>
      <c r="M843">
        <v>0.93</v>
      </c>
      <c r="N843" t="s">
        <v>82</v>
      </c>
      <c r="O843" t="s">
        <v>25</v>
      </c>
      <c r="P843">
        <v>10</v>
      </c>
      <c r="Q843">
        <v>12</v>
      </c>
    </row>
    <row r="844" spans="1:17" x14ac:dyDescent="0.3">
      <c r="A844" t="s">
        <v>1785</v>
      </c>
      <c r="B844" t="s">
        <v>1786</v>
      </c>
      <c r="C844" t="s">
        <v>45</v>
      </c>
      <c r="D844" t="s">
        <v>97</v>
      </c>
      <c r="E844">
        <v>30</v>
      </c>
      <c r="F844" t="s">
        <v>79</v>
      </c>
      <c r="G844" t="s">
        <v>80</v>
      </c>
      <c r="H844" t="s">
        <v>21</v>
      </c>
      <c r="I844">
        <v>5</v>
      </c>
      <c r="J844" t="s">
        <v>130</v>
      </c>
      <c r="L844" t="s">
        <v>23</v>
      </c>
      <c r="N844" t="s">
        <v>88</v>
      </c>
      <c r="O844" t="s">
        <v>34</v>
      </c>
      <c r="P844">
        <v>3</v>
      </c>
      <c r="Q844">
        <v>1</v>
      </c>
    </row>
    <row r="845" spans="1:17" x14ac:dyDescent="0.3">
      <c r="A845" t="s">
        <v>1787</v>
      </c>
      <c r="B845" t="s">
        <v>1788</v>
      </c>
      <c r="C845" t="s">
        <v>78</v>
      </c>
      <c r="D845" t="s">
        <v>118</v>
      </c>
      <c r="E845">
        <v>25</v>
      </c>
      <c r="F845" t="s">
        <v>64</v>
      </c>
      <c r="G845" t="s">
        <v>65</v>
      </c>
      <c r="H845" t="s">
        <v>98</v>
      </c>
      <c r="I845">
        <v>3</v>
      </c>
      <c r="J845" t="s">
        <v>103</v>
      </c>
      <c r="L845" t="s">
        <v>23</v>
      </c>
      <c r="M845">
        <v>0.83</v>
      </c>
      <c r="N845" t="s">
        <v>24</v>
      </c>
      <c r="O845" t="s">
        <v>25</v>
      </c>
      <c r="P845">
        <v>5</v>
      </c>
      <c r="Q845">
        <v>1</v>
      </c>
    </row>
    <row r="846" spans="1:17" x14ac:dyDescent="0.3">
      <c r="A846" t="s">
        <v>1789</v>
      </c>
      <c r="B846" t="s">
        <v>1790</v>
      </c>
      <c r="C846" t="s">
        <v>113</v>
      </c>
      <c r="D846" t="s">
        <v>118</v>
      </c>
      <c r="E846">
        <v>54</v>
      </c>
      <c r="F846" t="s">
        <v>64</v>
      </c>
      <c r="G846" t="s">
        <v>65</v>
      </c>
      <c r="H846" t="s">
        <v>31</v>
      </c>
      <c r="I846">
        <v>17</v>
      </c>
      <c r="J846" t="s">
        <v>251</v>
      </c>
      <c r="K846">
        <v>0</v>
      </c>
      <c r="L846" t="s">
        <v>23</v>
      </c>
      <c r="M846">
        <v>0.71</v>
      </c>
      <c r="N846" t="s">
        <v>88</v>
      </c>
      <c r="O846" t="s">
        <v>42</v>
      </c>
      <c r="P846">
        <v>17</v>
      </c>
      <c r="Q846">
        <v>12</v>
      </c>
    </row>
    <row r="847" spans="1:17" x14ac:dyDescent="0.3">
      <c r="A847" t="s">
        <v>1791</v>
      </c>
      <c r="B847" t="s">
        <v>1792</v>
      </c>
      <c r="C847" t="s">
        <v>37</v>
      </c>
      <c r="D847" t="s">
        <v>118</v>
      </c>
      <c r="E847">
        <v>54</v>
      </c>
      <c r="F847" t="s">
        <v>19</v>
      </c>
      <c r="G847" t="s">
        <v>20</v>
      </c>
      <c r="H847" t="s">
        <v>98</v>
      </c>
      <c r="I847">
        <v>9</v>
      </c>
      <c r="J847" t="s">
        <v>336</v>
      </c>
      <c r="K847">
        <v>0</v>
      </c>
      <c r="L847" t="s">
        <v>87</v>
      </c>
      <c r="M847">
        <v>0.96</v>
      </c>
      <c r="N847" t="s">
        <v>82</v>
      </c>
      <c r="O847" t="s">
        <v>25</v>
      </c>
      <c r="P847">
        <v>7</v>
      </c>
      <c r="Q847">
        <v>8</v>
      </c>
    </row>
    <row r="848" spans="1:17" x14ac:dyDescent="0.3">
      <c r="A848" t="s">
        <v>1793</v>
      </c>
      <c r="B848" t="s">
        <v>1794</v>
      </c>
      <c r="C848" t="s">
        <v>45</v>
      </c>
      <c r="D848" t="s">
        <v>97</v>
      </c>
      <c r="E848">
        <v>53</v>
      </c>
      <c r="F848" t="s">
        <v>156</v>
      </c>
      <c r="G848" t="s">
        <v>157</v>
      </c>
      <c r="H848" t="s">
        <v>39</v>
      </c>
      <c r="I848">
        <v>16</v>
      </c>
      <c r="J848" t="s">
        <v>86</v>
      </c>
      <c r="K848">
        <v>0</v>
      </c>
      <c r="L848" t="s">
        <v>181</v>
      </c>
      <c r="N848" t="s">
        <v>82</v>
      </c>
      <c r="O848" t="s">
        <v>25</v>
      </c>
      <c r="P848">
        <v>10</v>
      </c>
      <c r="Q848">
        <v>13</v>
      </c>
    </row>
    <row r="849" spans="1:17" x14ac:dyDescent="0.3">
      <c r="A849" t="s">
        <v>1795</v>
      </c>
      <c r="B849" t="s">
        <v>1796</v>
      </c>
      <c r="C849" t="s">
        <v>37</v>
      </c>
      <c r="D849" t="s">
        <v>118</v>
      </c>
      <c r="E849">
        <v>22</v>
      </c>
      <c r="F849" t="s">
        <v>145</v>
      </c>
      <c r="G849" t="s">
        <v>146</v>
      </c>
      <c r="H849" t="s">
        <v>57</v>
      </c>
      <c r="I849">
        <v>3</v>
      </c>
      <c r="J849" t="s">
        <v>103</v>
      </c>
      <c r="K849">
        <v>3.4</v>
      </c>
      <c r="L849" t="s">
        <v>94</v>
      </c>
      <c r="M849">
        <v>0.65</v>
      </c>
      <c r="N849" t="s">
        <v>82</v>
      </c>
      <c r="O849" t="s">
        <v>42</v>
      </c>
      <c r="P849">
        <v>4</v>
      </c>
      <c r="Q849">
        <v>1</v>
      </c>
    </row>
    <row r="850" spans="1:17" x14ac:dyDescent="0.3">
      <c r="A850" t="s">
        <v>1797</v>
      </c>
      <c r="B850" t="s">
        <v>1798</v>
      </c>
      <c r="C850" t="s">
        <v>50</v>
      </c>
      <c r="D850" t="s">
        <v>97</v>
      </c>
      <c r="E850">
        <v>23</v>
      </c>
      <c r="F850" t="s">
        <v>201</v>
      </c>
      <c r="G850" t="s">
        <v>92</v>
      </c>
      <c r="H850" t="s">
        <v>66</v>
      </c>
      <c r="I850">
        <v>2</v>
      </c>
      <c r="J850" t="s">
        <v>336</v>
      </c>
      <c r="K850">
        <v>1.3</v>
      </c>
      <c r="L850" t="s">
        <v>41</v>
      </c>
      <c r="N850" t="s">
        <v>60</v>
      </c>
      <c r="O850" t="s">
        <v>25</v>
      </c>
      <c r="P850">
        <v>1</v>
      </c>
      <c r="Q850">
        <v>4</v>
      </c>
    </row>
    <row r="851" spans="1:17" x14ac:dyDescent="0.3">
      <c r="A851" t="s">
        <v>1799</v>
      </c>
      <c r="B851" t="s">
        <v>1800</v>
      </c>
      <c r="C851" t="s">
        <v>28</v>
      </c>
      <c r="D851" t="s">
        <v>97</v>
      </c>
      <c r="E851">
        <v>47</v>
      </c>
      <c r="F851" t="s">
        <v>156</v>
      </c>
      <c r="G851" t="s">
        <v>157</v>
      </c>
      <c r="H851" t="s">
        <v>98</v>
      </c>
      <c r="I851">
        <v>16</v>
      </c>
      <c r="J851" t="s">
        <v>40</v>
      </c>
      <c r="K851">
        <v>1.9</v>
      </c>
      <c r="L851" t="s">
        <v>23</v>
      </c>
      <c r="M851">
        <v>0.71</v>
      </c>
      <c r="N851" t="s">
        <v>88</v>
      </c>
      <c r="O851" t="s">
        <v>42</v>
      </c>
      <c r="P851">
        <v>18</v>
      </c>
      <c r="Q851">
        <v>4</v>
      </c>
    </row>
    <row r="852" spans="1:17" x14ac:dyDescent="0.3">
      <c r="A852" t="s">
        <v>1801</v>
      </c>
      <c r="B852" t="s">
        <v>1802</v>
      </c>
      <c r="C852" t="s">
        <v>118</v>
      </c>
      <c r="D852" t="s">
        <v>118</v>
      </c>
      <c r="E852">
        <v>24</v>
      </c>
      <c r="F852" t="s">
        <v>156</v>
      </c>
      <c r="G852" t="s">
        <v>157</v>
      </c>
      <c r="H852" t="s">
        <v>46</v>
      </c>
      <c r="I852">
        <v>6</v>
      </c>
      <c r="J852" t="s">
        <v>40</v>
      </c>
      <c r="K852">
        <v>1.4</v>
      </c>
      <c r="L852" t="s">
        <v>94</v>
      </c>
      <c r="M852">
        <v>63</v>
      </c>
      <c r="N852" t="s">
        <v>24</v>
      </c>
      <c r="O852" t="s">
        <v>42</v>
      </c>
      <c r="P852">
        <v>15</v>
      </c>
      <c r="Q852">
        <v>9</v>
      </c>
    </row>
    <row r="853" spans="1:17" x14ac:dyDescent="0.3">
      <c r="A853" t="s">
        <v>1803</v>
      </c>
      <c r="B853" t="s">
        <v>1804</v>
      </c>
      <c r="C853" t="s">
        <v>18</v>
      </c>
      <c r="D853" t="s">
        <v>97</v>
      </c>
      <c r="E853">
        <v>57</v>
      </c>
      <c r="F853" t="s">
        <v>114</v>
      </c>
      <c r="G853" t="s">
        <v>115</v>
      </c>
      <c r="H853" t="s">
        <v>93</v>
      </c>
      <c r="I853">
        <v>10</v>
      </c>
      <c r="J853" t="s">
        <v>251</v>
      </c>
      <c r="K853">
        <v>4.3</v>
      </c>
      <c r="L853" t="s">
        <v>59</v>
      </c>
      <c r="N853" t="s">
        <v>24</v>
      </c>
      <c r="O853" t="s">
        <v>34</v>
      </c>
      <c r="P853">
        <v>13</v>
      </c>
      <c r="Q853">
        <v>14</v>
      </c>
    </row>
    <row r="854" spans="1:17" x14ac:dyDescent="0.3">
      <c r="A854" t="s">
        <v>1805</v>
      </c>
      <c r="B854" t="s">
        <v>1806</v>
      </c>
      <c r="C854" t="s">
        <v>118</v>
      </c>
      <c r="D854" t="s">
        <v>118</v>
      </c>
      <c r="E854">
        <v>48</v>
      </c>
      <c r="F854" t="s">
        <v>212</v>
      </c>
      <c r="G854" t="s">
        <v>92</v>
      </c>
      <c r="H854" t="s">
        <v>39</v>
      </c>
      <c r="I854">
        <v>16</v>
      </c>
      <c r="J854" t="s">
        <v>58</v>
      </c>
      <c r="L854" t="s">
        <v>181</v>
      </c>
      <c r="M854">
        <v>0.97</v>
      </c>
      <c r="N854" t="s">
        <v>24</v>
      </c>
      <c r="O854" t="s">
        <v>75</v>
      </c>
      <c r="P854">
        <v>11</v>
      </c>
      <c r="Q854">
        <v>6</v>
      </c>
    </row>
    <row r="855" spans="1:17" x14ac:dyDescent="0.3">
      <c r="A855" t="s">
        <v>1807</v>
      </c>
      <c r="B855" t="s">
        <v>1808</v>
      </c>
      <c r="C855" t="s">
        <v>97</v>
      </c>
      <c r="D855" t="s">
        <v>97</v>
      </c>
      <c r="E855">
        <v>21</v>
      </c>
      <c r="F855" t="s">
        <v>79</v>
      </c>
      <c r="G855" t="s">
        <v>80</v>
      </c>
      <c r="H855" t="s">
        <v>93</v>
      </c>
      <c r="I855">
        <v>0</v>
      </c>
      <c r="J855" t="s">
        <v>251</v>
      </c>
      <c r="K855">
        <v>4.3</v>
      </c>
      <c r="L855" t="s">
        <v>23</v>
      </c>
      <c r="N855" t="s">
        <v>60</v>
      </c>
      <c r="O855" t="s">
        <v>75</v>
      </c>
      <c r="P855">
        <v>4</v>
      </c>
      <c r="Q855">
        <v>2</v>
      </c>
    </row>
    <row r="856" spans="1:17" x14ac:dyDescent="0.3">
      <c r="A856" t="s">
        <v>1809</v>
      </c>
      <c r="B856" t="s">
        <v>1810</v>
      </c>
      <c r="C856" t="s">
        <v>63</v>
      </c>
      <c r="D856" t="s">
        <v>118</v>
      </c>
      <c r="E856">
        <v>33</v>
      </c>
      <c r="F856" t="s">
        <v>106</v>
      </c>
      <c r="G856" t="s">
        <v>107</v>
      </c>
      <c r="H856" t="s">
        <v>57</v>
      </c>
      <c r="I856">
        <v>13</v>
      </c>
      <c r="J856" t="s">
        <v>67</v>
      </c>
      <c r="K856">
        <v>0</v>
      </c>
      <c r="L856" t="s">
        <v>74</v>
      </c>
      <c r="N856" t="s">
        <v>60</v>
      </c>
      <c r="O856" t="s">
        <v>25</v>
      </c>
      <c r="P856">
        <v>10</v>
      </c>
      <c r="Q856">
        <v>5</v>
      </c>
    </row>
    <row r="857" spans="1:17" x14ac:dyDescent="0.3">
      <c r="A857" t="s">
        <v>1811</v>
      </c>
      <c r="B857" t="s">
        <v>1812</v>
      </c>
      <c r="C857" t="s">
        <v>118</v>
      </c>
      <c r="D857" t="s">
        <v>118</v>
      </c>
      <c r="E857">
        <v>41</v>
      </c>
      <c r="F857" t="s">
        <v>79</v>
      </c>
      <c r="G857" t="s">
        <v>80</v>
      </c>
      <c r="H857" t="s">
        <v>110</v>
      </c>
      <c r="I857">
        <v>12</v>
      </c>
      <c r="J857" t="s">
        <v>51</v>
      </c>
      <c r="K857">
        <v>1.3</v>
      </c>
      <c r="L857" t="s">
        <v>23</v>
      </c>
      <c r="M857">
        <v>0.85</v>
      </c>
      <c r="N857" t="s">
        <v>82</v>
      </c>
      <c r="O857" t="s">
        <v>25</v>
      </c>
      <c r="P857">
        <v>7</v>
      </c>
      <c r="Q857">
        <v>2</v>
      </c>
    </row>
    <row r="858" spans="1:17" x14ac:dyDescent="0.3">
      <c r="A858" t="s">
        <v>1813</v>
      </c>
      <c r="B858" t="s">
        <v>1814</v>
      </c>
      <c r="C858" t="s">
        <v>78</v>
      </c>
      <c r="D858" t="s">
        <v>118</v>
      </c>
      <c r="E858">
        <v>40</v>
      </c>
      <c r="F858" t="s">
        <v>29</v>
      </c>
      <c r="G858" t="s">
        <v>30</v>
      </c>
      <c r="H858" t="s">
        <v>98</v>
      </c>
      <c r="I858">
        <v>13</v>
      </c>
      <c r="J858" t="s">
        <v>119</v>
      </c>
      <c r="K858">
        <v>2.9</v>
      </c>
      <c r="L858" t="s">
        <v>181</v>
      </c>
      <c r="M858">
        <v>0.82</v>
      </c>
      <c r="N858" t="s">
        <v>24</v>
      </c>
      <c r="O858" t="s">
        <v>34</v>
      </c>
      <c r="P858">
        <v>14</v>
      </c>
      <c r="Q858">
        <v>8</v>
      </c>
    </row>
    <row r="859" spans="1:17" x14ac:dyDescent="0.3">
      <c r="A859" t="s">
        <v>1815</v>
      </c>
      <c r="B859" t="s">
        <v>1816</v>
      </c>
      <c r="C859" t="s">
        <v>18</v>
      </c>
      <c r="D859" t="s">
        <v>97</v>
      </c>
      <c r="E859">
        <v>40</v>
      </c>
      <c r="F859" t="s">
        <v>201</v>
      </c>
      <c r="G859" t="s">
        <v>92</v>
      </c>
      <c r="H859" t="s">
        <v>39</v>
      </c>
      <c r="I859">
        <v>22</v>
      </c>
      <c r="J859" t="s">
        <v>70</v>
      </c>
      <c r="K859">
        <v>4.3</v>
      </c>
      <c r="L859" t="s">
        <v>23</v>
      </c>
      <c r="M859">
        <v>0.95</v>
      </c>
      <c r="N859" t="s">
        <v>60</v>
      </c>
      <c r="O859" t="s">
        <v>34</v>
      </c>
      <c r="P859">
        <v>14</v>
      </c>
      <c r="Q859">
        <v>12</v>
      </c>
    </row>
    <row r="860" spans="1:17" x14ac:dyDescent="0.3">
      <c r="A860" t="s">
        <v>1817</v>
      </c>
      <c r="B860" t="s">
        <v>1818</v>
      </c>
      <c r="C860" t="s">
        <v>97</v>
      </c>
      <c r="D860" t="s">
        <v>97</v>
      </c>
      <c r="E860">
        <v>20</v>
      </c>
      <c r="F860" t="s">
        <v>73</v>
      </c>
      <c r="G860" t="s">
        <v>30</v>
      </c>
      <c r="H860" t="s">
        <v>39</v>
      </c>
      <c r="I860">
        <v>1</v>
      </c>
      <c r="J860" t="s">
        <v>51</v>
      </c>
      <c r="K860">
        <v>2.7</v>
      </c>
      <c r="L860" t="s">
        <v>23</v>
      </c>
      <c r="M860">
        <v>94</v>
      </c>
      <c r="N860" t="s">
        <v>82</v>
      </c>
      <c r="O860" t="s">
        <v>34</v>
      </c>
      <c r="P860">
        <v>3</v>
      </c>
      <c r="Q860">
        <v>1</v>
      </c>
    </row>
    <row r="861" spans="1:17" x14ac:dyDescent="0.3">
      <c r="A861" t="s">
        <v>1819</v>
      </c>
      <c r="B861" t="s">
        <v>1820</v>
      </c>
      <c r="C861" t="s">
        <v>45</v>
      </c>
      <c r="D861" t="s">
        <v>97</v>
      </c>
      <c r="E861">
        <v>42</v>
      </c>
      <c r="F861" t="s">
        <v>201</v>
      </c>
      <c r="G861" t="s">
        <v>92</v>
      </c>
      <c r="H861" t="s">
        <v>46</v>
      </c>
      <c r="J861" t="s">
        <v>81</v>
      </c>
      <c r="K861">
        <v>4.2</v>
      </c>
      <c r="L861" t="s">
        <v>51</v>
      </c>
      <c r="M861">
        <v>0.96</v>
      </c>
      <c r="N861" t="s">
        <v>24</v>
      </c>
      <c r="O861" t="s">
        <v>42</v>
      </c>
      <c r="P861">
        <v>1</v>
      </c>
      <c r="Q861">
        <v>1</v>
      </c>
    </row>
    <row r="862" spans="1:17" x14ac:dyDescent="0.3">
      <c r="A862" t="s">
        <v>1821</v>
      </c>
      <c r="B862" t="s">
        <v>1822</v>
      </c>
      <c r="C862" t="s">
        <v>63</v>
      </c>
      <c r="D862" t="s">
        <v>118</v>
      </c>
      <c r="E862">
        <v>32</v>
      </c>
      <c r="F862" t="s">
        <v>149</v>
      </c>
      <c r="G862" t="s">
        <v>30</v>
      </c>
      <c r="H862" t="s">
        <v>21</v>
      </c>
      <c r="I862">
        <v>12</v>
      </c>
      <c r="J862" t="s">
        <v>86</v>
      </c>
      <c r="K862">
        <v>0</v>
      </c>
      <c r="L862" t="s">
        <v>87</v>
      </c>
      <c r="M862">
        <v>0.63</v>
      </c>
      <c r="N862" t="s">
        <v>88</v>
      </c>
      <c r="O862" t="s">
        <v>34</v>
      </c>
      <c r="P862">
        <v>15</v>
      </c>
      <c r="Q862">
        <v>9</v>
      </c>
    </row>
    <row r="863" spans="1:17" x14ac:dyDescent="0.3">
      <c r="A863" t="s">
        <v>1823</v>
      </c>
      <c r="B863" t="s">
        <v>1824</v>
      </c>
      <c r="C863" t="s">
        <v>118</v>
      </c>
      <c r="D863" t="s">
        <v>118</v>
      </c>
      <c r="E863">
        <v>60</v>
      </c>
      <c r="F863" t="s">
        <v>106</v>
      </c>
      <c r="G863" t="s">
        <v>107</v>
      </c>
      <c r="H863" t="s">
        <v>57</v>
      </c>
      <c r="J863" t="s">
        <v>162</v>
      </c>
      <c r="K863">
        <v>2.2000000000000002</v>
      </c>
      <c r="L863" t="s">
        <v>59</v>
      </c>
      <c r="M863">
        <v>0.6</v>
      </c>
      <c r="N863" t="s">
        <v>82</v>
      </c>
      <c r="O863" t="s">
        <v>34</v>
      </c>
      <c r="P863">
        <v>4</v>
      </c>
      <c r="Q863">
        <v>1</v>
      </c>
    </row>
    <row r="864" spans="1:17" x14ac:dyDescent="0.3">
      <c r="A864" t="s">
        <v>1825</v>
      </c>
      <c r="B864" t="s">
        <v>1826</v>
      </c>
      <c r="C864" t="s">
        <v>113</v>
      </c>
      <c r="D864" t="s">
        <v>118</v>
      </c>
      <c r="E864">
        <v>46</v>
      </c>
      <c r="F864" t="s">
        <v>160</v>
      </c>
      <c r="G864" t="s">
        <v>161</v>
      </c>
      <c r="H864" t="s">
        <v>135</v>
      </c>
      <c r="I864">
        <v>12</v>
      </c>
      <c r="J864" t="s">
        <v>40</v>
      </c>
      <c r="K864">
        <v>4.7</v>
      </c>
      <c r="L864" t="s">
        <v>87</v>
      </c>
      <c r="M864">
        <v>0.77</v>
      </c>
      <c r="N864" t="s">
        <v>60</v>
      </c>
      <c r="O864" t="s">
        <v>25</v>
      </c>
      <c r="P864">
        <v>9</v>
      </c>
      <c r="Q864">
        <v>7</v>
      </c>
    </row>
    <row r="865" spans="1:17" x14ac:dyDescent="0.3">
      <c r="A865" t="s">
        <v>1827</v>
      </c>
      <c r="B865" t="s">
        <v>1828</v>
      </c>
      <c r="C865" t="s">
        <v>37</v>
      </c>
      <c r="D865" t="s">
        <v>118</v>
      </c>
      <c r="E865">
        <v>29</v>
      </c>
      <c r="F865" t="s">
        <v>197</v>
      </c>
      <c r="G865" t="s">
        <v>198</v>
      </c>
      <c r="H865" t="s">
        <v>110</v>
      </c>
      <c r="I865">
        <v>0</v>
      </c>
      <c r="J865" t="s">
        <v>52</v>
      </c>
      <c r="K865">
        <v>0</v>
      </c>
      <c r="L865" t="s">
        <v>23</v>
      </c>
      <c r="M865">
        <v>0.63</v>
      </c>
      <c r="N865" t="s">
        <v>60</v>
      </c>
      <c r="O865" t="s">
        <v>34</v>
      </c>
      <c r="P865">
        <v>2</v>
      </c>
      <c r="Q865">
        <v>1</v>
      </c>
    </row>
    <row r="866" spans="1:17" x14ac:dyDescent="0.3">
      <c r="A866" t="s">
        <v>1829</v>
      </c>
      <c r="B866" t="s">
        <v>1830</v>
      </c>
      <c r="C866" t="s">
        <v>28</v>
      </c>
      <c r="D866" t="s">
        <v>97</v>
      </c>
      <c r="E866">
        <v>39</v>
      </c>
      <c r="F866" t="s">
        <v>128</v>
      </c>
      <c r="G866" t="s">
        <v>129</v>
      </c>
      <c r="H866" t="s">
        <v>31</v>
      </c>
      <c r="I866">
        <v>18</v>
      </c>
      <c r="J866" t="s">
        <v>162</v>
      </c>
      <c r="K866">
        <v>2.5</v>
      </c>
      <c r="L866" t="s">
        <v>87</v>
      </c>
      <c r="M866">
        <v>0.61</v>
      </c>
      <c r="N866" t="s">
        <v>82</v>
      </c>
      <c r="O866" t="s">
        <v>42</v>
      </c>
      <c r="P866">
        <v>16</v>
      </c>
      <c r="Q866">
        <v>10</v>
      </c>
    </row>
    <row r="867" spans="1:17" x14ac:dyDescent="0.3">
      <c r="A867" t="s">
        <v>1831</v>
      </c>
      <c r="B867" t="s">
        <v>1832</v>
      </c>
      <c r="C867" t="s">
        <v>78</v>
      </c>
      <c r="D867" t="s">
        <v>118</v>
      </c>
      <c r="E867">
        <v>55</v>
      </c>
      <c r="F867" t="s">
        <v>145</v>
      </c>
      <c r="G867" t="s">
        <v>146</v>
      </c>
      <c r="H867" t="s">
        <v>31</v>
      </c>
      <c r="I867">
        <v>2</v>
      </c>
      <c r="J867" t="s">
        <v>81</v>
      </c>
      <c r="K867">
        <v>3.9</v>
      </c>
      <c r="L867" t="s">
        <v>87</v>
      </c>
      <c r="M867">
        <v>0.88</v>
      </c>
      <c r="N867" t="s">
        <v>82</v>
      </c>
      <c r="O867" t="s">
        <v>42</v>
      </c>
      <c r="P867">
        <v>1</v>
      </c>
      <c r="Q867">
        <v>4</v>
      </c>
    </row>
    <row r="868" spans="1:17" x14ac:dyDescent="0.3">
      <c r="A868" t="s">
        <v>1833</v>
      </c>
      <c r="B868" t="s">
        <v>1834</v>
      </c>
      <c r="C868" t="s">
        <v>63</v>
      </c>
      <c r="D868" t="s">
        <v>118</v>
      </c>
      <c r="E868">
        <v>55</v>
      </c>
      <c r="F868" t="s">
        <v>79</v>
      </c>
      <c r="G868" t="s">
        <v>80</v>
      </c>
      <c r="H868" t="s">
        <v>98</v>
      </c>
      <c r="J868" t="s">
        <v>32</v>
      </c>
      <c r="K868">
        <v>1.2</v>
      </c>
      <c r="L868" t="s">
        <v>33</v>
      </c>
      <c r="M868">
        <v>0.69</v>
      </c>
      <c r="N868" t="s">
        <v>60</v>
      </c>
      <c r="O868" t="s">
        <v>25</v>
      </c>
      <c r="P868">
        <v>5</v>
      </c>
      <c r="Q868">
        <v>2</v>
      </c>
    </row>
    <row r="869" spans="1:17" x14ac:dyDescent="0.3">
      <c r="A869" t="s">
        <v>1835</v>
      </c>
      <c r="B869" t="s">
        <v>1836</v>
      </c>
      <c r="C869" t="s">
        <v>118</v>
      </c>
      <c r="D869" t="s">
        <v>118</v>
      </c>
      <c r="E869">
        <v>40</v>
      </c>
      <c r="F869" t="s">
        <v>64</v>
      </c>
      <c r="G869" t="s">
        <v>65</v>
      </c>
      <c r="H869" t="s">
        <v>66</v>
      </c>
      <c r="I869">
        <v>2</v>
      </c>
      <c r="J869" t="s">
        <v>103</v>
      </c>
      <c r="K869">
        <v>4.5</v>
      </c>
      <c r="L869" t="s">
        <v>87</v>
      </c>
      <c r="N869" t="s">
        <v>88</v>
      </c>
      <c r="O869" t="s">
        <v>34</v>
      </c>
      <c r="P869">
        <v>2</v>
      </c>
      <c r="Q869">
        <v>2</v>
      </c>
    </row>
    <row r="870" spans="1:17" x14ac:dyDescent="0.3">
      <c r="A870" t="s">
        <v>1837</v>
      </c>
      <c r="B870" t="s">
        <v>1838</v>
      </c>
      <c r="C870" t="s">
        <v>18</v>
      </c>
      <c r="D870" t="s">
        <v>97</v>
      </c>
      <c r="E870">
        <v>56</v>
      </c>
      <c r="F870" t="s">
        <v>197</v>
      </c>
      <c r="G870" t="s">
        <v>198</v>
      </c>
      <c r="H870" t="s">
        <v>93</v>
      </c>
      <c r="I870">
        <v>35</v>
      </c>
      <c r="J870" t="s">
        <v>47</v>
      </c>
      <c r="K870">
        <v>2.7</v>
      </c>
      <c r="L870" t="s">
        <v>74</v>
      </c>
      <c r="M870">
        <v>0.82</v>
      </c>
      <c r="N870" t="s">
        <v>24</v>
      </c>
      <c r="O870" t="s">
        <v>34</v>
      </c>
      <c r="P870">
        <v>15</v>
      </c>
      <c r="Q870">
        <v>6</v>
      </c>
    </row>
    <row r="871" spans="1:17" x14ac:dyDescent="0.3">
      <c r="A871" t="s">
        <v>1839</v>
      </c>
      <c r="B871" t="s">
        <v>1840</v>
      </c>
      <c r="C871" t="s">
        <v>78</v>
      </c>
      <c r="D871" t="s">
        <v>118</v>
      </c>
      <c r="E871">
        <v>57</v>
      </c>
      <c r="F871" t="s">
        <v>201</v>
      </c>
      <c r="G871" t="s">
        <v>92</v>
      </c>
      <c r="H871" t="s">
        <v>31</v>
      </c>
      <c r="I871">
        <v>21</v>
      </c>
      <c r="J871" t="s">
        <v>103</v>
      </c>
      <c r="K871">
        <v>2</v>
      </c>
      <c r="L871" t="s">
        <v>41</v>
      </c>
      <c r="M871">
        <v>0.96</v>
      </c>
      <c r="N871" t="s">
        <v>88</v>
      </c>
      <c r="O871" t="s">
        <v>42</v>
      </c>
      <c r="P871">
        <v>15</v>
      </c>
      <c r="Q871">
        <v>12</v>
      </c>
    </row>
    <row r="872" spans="1:17" x14ac:dyDescent="0.3">
      <c r="A872" t="s">
        <v>1841</v>
      </c>
      <c r="B872" t="s">
        <v>1842</v>
      </c>
      <c r="C872" t="s">
        <v>45</v>
      </c>
      <c r="D872" t="s">
        <v>97</v>
      </c>
      <c r="E872">
        <v>56</v>
      </c>
      <c r="F872" t="s">
        <v>145</v>
      </c>
      <c r="G872" t="s">
        <v>146</v>
      </c>
      <c r="H872" t="s">
        <v>110</v>
      </c>
      <c r="I872">
        <v>3</v>
      </c>
      <c r="J872" t="s">
        <v>47</v>
      </c>
      <c r="K872">
        <v>1.7</v>
      </c>
      <c r="L872" t="s">
        <v>41</v>
      </c>
      <c r="M872">
        <v>0.71</v>
      </c>
      <c r="N872" t="s">
        <v>82</v>
      </c>
      <c r="O872" t="s">
        <v>34</v>
      </c>
      <c r="P872">
        <v>4</v>
      </c>
      <c r="Q872">
        <v>4</v>
      </c>
    </row>
    <row r="873" spans="1:17" x14ac:dyDescent="0.3">
      <c r="A873" t="s">
        <v>1843</v>
      </c>
      <c r="B873" t="s">
        <v>1844</v>
      </c>
      <c r="C873" t="s">
        <v>18</v>
      </c>
      <c r="D873" t="s">
        <v>97</v>
      </c>
      <c r="E873">
        <v>49</v>
      </c>
      <c r="F873" t="s">
        <v>38</v>
      </c>
      <c r="G873" t="s">
        <v>38</v>
      </c>
      <c r="H873" t="s">
        <v>31</v>
      </c>
      <c r="I873">
        <v>24</v>
      </c>
      <c r="J873" t="s">
        <v>192</v>
      </c>
      <c r="K873">
        <v>3</v>
      </c>
      <c r="L873" t="s">
        <v>33</v>
      </c>
      <c r="M873">
        <v>0.77</v>
      </c>
      <c r="N873" t="s">
        <v>88</v>
      </c>
      <c r="O873" t="s">
        <v>34</v>
      </c>
      <c r="P873">
        <v>18</v>
      </c>
      <c r="Q873">
        <v>10</v>
      </c>
    </row>
    <row r="874" spans="1:17" x14ac:dyDescent="0.3">
      <c r="A874" t="s">
        <v>1845</v>
      </c>
      <c r="B874" t="s">
        <v>1846</v>
      </c>
      <c r="C874" t="s">
        <v>78</v>
      </c>
      <c r="D874" t="s">
        <v>118</v>
      </c>
      <c r="E874">
        <v>26</v>
      </c>
      <c r="F874" t="s">
        <v>212</v>
      </c>
      <c r="G874" t="s">
        <v>92</v>
      </c>
      <c r="H874" t="s">
        <v>21</v>
      </c>
      <c r="J874" t="s">
        <v>192</v>
      </c>
      <c r="K874">
        <v>2.1</v>
      </c>
      <c r="L874" t="s">
        <v>87</v>
      </c>
      <c r="N874" t="s">
        <v>60</v>
      </c>
      <c r="O874" t="s">
        <v>34</v>
      </c>
      <c r="P874">
        <v>1</v>
      </c>
      <c r="Q874">
        <v>1</v>
      </c>
    </row>
    <row r="875" spans="1:17" x14ac:dyDescent="0.3">
      <c r="A875" t="s">
        <v>1847</v>
      </c>
      <c r="B875" t="s">
        <v>1848</v>
      </c>
      <c r="C875" t="s">
        <v>97</v>
      </c>
      <c r="D875" t="s">
        <v>97</v>
      </c>
      <c r="E875">
        <v>36</v>
      </c>
      <c r="F875" t="s">
        <v>133</v>
      </c>
      <c r="G875" t="s">
        <v>134</v>
      </c>
      <c r="H875" t="s">
        <v>93</v>
      </c>
      <c r="I875">
        <v>0</v>
      </c>
      <c r="J875" t="s">
        <v>103</v>
      </c>
      <c r="K875">
        <v>1.5</v>
      </c>
      <c r="L875" t="s">
        <v>51</v>
      </c>
      <c r="M875">
        <v>0.73</v>
      </c>
      <c r="N875" t="s">
        <v>82</v>
      </c>
      <c r="O875" t="s">
        <v>75</v>
      </c>
      <c r="P875">
        <v>2</v>
      </c>
      <c r="Q875">
        <v>1</v>
      </c>
    </row>
    <row r="876" spans="1:17" x14ac:dyDescent="0.3">
      <c r="A876" t="s">
        <v>1849</v>
      </c>
      <c r="B876" t="s">
        <v>1850</v>
      </c>
      <c r="C876" t="s">
        <v>113</v>
      </c>
      <c r="D876" t="s">
        <v>118</v>
      </c>
      <c r="E876">
        <v>20</v>
      </c>
      <c r="F876" t="s">
        <v>145</v>
      </c>
      <c r="G876" t="s">
        <v>146</v>
      </c>
      <c r="H876" t="s">
        <v>46</v>
      </c>
      <c r="I876">
        <v>2</v>
      </c>
      <c r="J876" t="s">
        <v>130</v>
      </c>
      <c r="K876">
        <v>1.7</v>
      </c>
      <c r="L876" t="s">
        <v>74</v>
      </c>
      <c r="M876">
        <v>0.6</v>
      </c>
      <c r="N876" t="s">
        <v>24</v>
      </c>
      <c r="O876" t="s">
        <v>25</v>
      </c>
      <c r="P876">
        <v>4</v>
      </c>
      <c r="Q876">
        <v>2</v>
      </c>
    </row>
    <row r="877" spans="1:17" x14ac:dyDescent="0.3">
      <c r="A877" t="s">
        <v>1851</v>
      </c>
      <c r="B877" t="s">
        <v>1852</v>
      </c>
      <c r="C877" t="s">
        <v>18</v>
      </c>
      <c r="D877" t="s">
        <v>97</v>
      </c>
      <c r="E877">
        <v>40</v>
      </c>
      <c r="F877" t="s">
        <v>212</v>
      </c>
      <c r="G877" t="s">
        <v>92</v>
      </c>
      <c r="H877" t="s">
        <v>57</v>
      </c>
      <c r="J877" t="s">
        <v>51</v>
      </c>
      <c r="K877">
        <v>1.2</v>
      </c>
      <c r="L877" t="s">
        <v>33</v>
      </c>
      <c r="M877">
        <v>0.67</v>
      </c>
      <c r="N877" t="s">
        <v>60</v>
      </c>
      <c r="O877" t="s">
        <v>75</v>
      </c>
      <c r="P877">
        <v>3</v>
      </c>
      <c r="Q877">
        <v>1</v>
      </c>
    </row>
    <row r="878" spans="1:17" x14ac:dyDescent="0.3">
      <c r="A878" t="s">
        <v>1853</v>
      </c>
      <c r="B878" t="s">
        <v>1854</v>
      </c>
      <c r="C878" t="s">
        <v>50</v>
      </c>
      <c r="D878" t="s">
        <v>97</v>
      </c>
      <c r="E878">
        <v>30</v>
      </c>
      <c r="F878" t="s">
        <v>114</v>
      </c>
      <c r="G878" t="s">
        <v>115</v>
      </c>
      <c r="H878" t="s">
        <v>31</v>
      </c>
      <c r="I878">
        <v>6</v>
      </c>
      <c r="J878" t="s">
        <v>103</v>
      </c>
      <c r="K878">
        <v>0</v>
      </c>
      <c r="L878" t="s">
        <v>59</v>
      </c>
      <c r="M878">
        <v>0.8</v>
      </c>
      <c r="N878" t="s">
        <v>60</v>
      </c>
      <c r="O878" t="s">
        <v>25</v>
      </c>
      <c r="P878">
        <v>7</v>
      </c>
      <c r="Q878">
        <v>8</v>
      </c>
    </row>
    <row r="879" spans="1:17" x14ac:dyDescent="0.3">
      <c r="A879" t="s">
        <v>1855</v>
      </c>
      <c r="B879" t="s">
        <v>1856</v>
      </c>
      <c r="C879" t="s">
        <v>118</v>
      </c>
      <c r="D879" t="s">
        <v>118</v>
      </c>
      <c r="E879">
        <v>51</v>
      </c>
      <c r="F879" t="s">
        <v>29</v>
      </c>
      <c r="G879" t="s">
        <v>30</v>
      </c>
      <c r="H879" t="s">
        <v>39</v>
      </c>
      <c r="I879">
        <v>21</v>
      </c>
      <c r="J879" t="s">
        <v>162</v>
      </c>
      <c r="L879" t="s">
        <v>94</v>
      </c>
      <c r="N879" t="s">
        <v>24</v>
      </c>
      <c r="O879" t="s">
        <v>42</v>
      </c>
      <c r="P879">
        <v>14</v>
      </c>
      <c r="Q879">
        <v>7</v>
      </c>
    </row>
    <row r="880" spans="1:17" x14ac:dyDescent="0.3">
      <c r="A880" t="s">
        <v>1857</v>
      </c>
      <c r="B880" t="s">
        <v>1858</v>
      </c>
      <c r="C880" t="s">
        <v>118</v>
      </c>
      <c r="D880" t="s">
        <v>118</v>
      </c>
      <c r="E880">
        <v>46</v>
      </c>
      <c r="F880" t="s">
        <v>73</v>
      </c>
      <c r="G880" t="s">
        <v>30</v>
      </c>
      <c r="H880" t="s">
        <v>93</v>
      </c>
      <c r="I880">
        <v>24</v>
      </c>
      <c r="J880" t="s">
        <v>86</v>
      </c>
      <c r="K880">
        <v>3.3</v>
      </c>
      <c r="L880" t="s">
        <v>33</v>
      </c>
      <c r="M880">
        <v>0.87</v>
      </c>
      <c r="N880" t="s">
        <v>24</v>
      </c>
      <c r="O880" t="s">
        <v>34</v>
      </c>
      <c r="P880">
        <v>19</v>
      </c>
      <c r="Q880">
        <v>8</v>
      </c>
    </row>
    <row r="881" spans="1:17" x14ac:dyDescent="0.3">
      <c r="A881" t="s">
        <v>1859</v>
      </c>
      <c r="B881" t="s">
        <v>1860</v>
      </c>
      <c r="C881" t="s">
        <v>28</v>
      </c>
      <c r="D881" t="s">
        <v>97</v>
      </c>
      <c r="E881">
        <v>25</v>
      </c>
      <c r="F881" t="s">
        <v>133</v>
      </c>
      <c r="G881" t="s">
        <v>134</v>
      </c>
      <c r="H881" t="s">
        <v>57</v>
      </c>
      <c r="I881">
        <v>6</v>
      </c>
      <c r="J881" t="s">
        <v>162</v>
      </c>
      <c r="K881">
        <v>2.1</v>
      </c>
      <c r="L881" t="s">
        <v>181</v>
      </c>
      <c r="N881" t="s">
        <v>88</v>
      </c>
      <c r="O881" t="s">
        <v>25</v>
      </c>
      <c r="P881">
        <v>9</v>
      </c>
      <c r="Q881">
        <v>8</v>
      </c>
    </row>
    <row r="882" spans="1:17" x14ac:dyDescent="0.3">
      <c r="A882" t="s">
        <v>1861</v>
      </c>
      <c r="B882" t="s">
        <v>1862</v>
      </c>
      <c r="C882" t="s">
        <v>37</v>
      </c>
      <c r="D882" t="s">
        <v>118</v>
      </c>
      <c r="E882">
        <v>53</v>
      </c>
      <c r="F882" t="s">
        <v>55</v>
      </c>
      <c r="G882" t="s">
        <v>56</v>
      </c>
      <c r="H882" t="s">
        <v>46</v>
      </c>
      <c r="I882">
        <v>32</v>
      </c>
      <c r="J882" t="s">
        <v>40</v>
      </c>
      <c r="L882" t="s">
        <v>33</v>
      </c>
      <c r="N882" t="s">
        <v>82</v>
      </c>
      <c r="O882" t="s">
        <v>75</v>
      </c>
      <c r="P882">
        <v>14</v>
      </c>
      <c r="Q882">
        <v>4</v>
      </c>
    </row>
    <row r="883" spans="1:17" x14ac:dyDescent="0.3">
      <c r="A883" t="s">
        <v>1863</v>
      </c>
      <c r="B883" t="s">
        <v>1864</v>
      </c>
      <c r="C883" t="s">
        <v>28</v>
      </c>
      <c r="D883" t="s">
        <v>97</v>
      </c>
      <c r="E883">
        <v>50</v>
      </c>
      <c r="F883" t="s">
        <v>160</v>
      </c>
      <c r="G883" t="s">
        <v>161</v>
      </c>
      <c r="H883" t="s">
        <v>31</v>
      </c>
      <c r="I883">
        <v>31</v>
      </c>
      <c r="J883" t="s">
        <v>32</v>
      </c>
      <c r="K883">
        <v>2.9</v>
      </c>
      <c r="L883" t="s">
        <v>94</v>
      </c>
      <c r="M883">
        <v>0.89</v>
      </c>
      <c r="N883" t="s">
        <v>24</v>
      </c>
      <c r="O883" t="s">
        <v>34</v>
      </c>
      <c r="P883">
        <v>17</v>
      </c>
      <c r="Q883">
        <v>6</v>
      </c>
    </row>
    <row r="884" spans="1:17" x14ac:dyDescent="0.3">
      <c r="A884" t="s">
        <v>1865</v>
      </c>
      <c r="B884" t="s">
        <v>1866</v>
      </c>
      <c r="C884" t="s">
        <v>37</v>
      </c>
      <c r="D884" t="s">
        <v>118</v>
      </c>
      <c r="E884">
        <v>45</v>
      </c>
      <c r="F884" t="s">
        <v>133</v>
      </c>
      <c r="G884" t="s">
        <v>134</v>
      </c>
      <c r="H884" t="s">
        <v>57</v>
      </c>
      <c r="J884" t="s">
        <v>336</v>
      </c>
      <c r="K884">
        <v>3.3</v>
      </c>
      <c r="L884" t="s">
        <v>74</v>
      </c>
      <c r="M884">
        <v>0.93</v>
      </c>
      <c r="N884" t="s">
        <v>24</v>
      </c>
      <c r="O884" t="s">
        <v>42</v>
      </c>
      <c r="P884">
        <v>4</v>
      </c>
      <c r="Q884">
        <v>1</v>
      </c>
    </row>
    <row r="885" spans="1:17" x14ac:dyDescent="0.3">
      <c r="A885" t="s">
        <v>1867</v>
      </c>
      <c r="B885" t="s">
        <v>1868</v>
      </c>
      <c r="C885" t="s">
        <v>45</v>
      </c>
      <c r="D885" t="s">
        <v>97</v>
      </c>
      <c r="E885">
        <v>48</v>
      </c>
      <c r="F885" t="s">
        <v>149</v>
      </c>
      <c r="G885" t="s">
        <v>30</v>
      </c>
      <c r="H885" t="s">
        <v>98</v>
      </c>
      <c r="I885">
        <v>24</v>
      </c>
      <c r="J885" t="s">
        <v>22</v>
      </c>
      <c r="K885">
        <v>4.8</v>
      </c>
      <c r="L885" t="s">
        <v>33</v>
      </c>
      <c r="M885">
        <v>0.84</v>
      </c>
      <c r="N885" t="s">
        <v>82</v>
      </c>
      <c r="O885" t="s">
        <v>25</v>
      </c>
      <c r="P885">
        <v>12</v>
      </c>
      <c r="Q885">
        <v>13</v>
      </c>
    </row>
    <row r="886" spans="1:17" x14ac:dyDescent="0.3">
      <c r="A886" t="s">
        <v>1869</v>
      </c>
      <c r="B886" t="s">
        <v>1870</v>
      </c>
      <c r="C886" t="s">
        <v>78</v>
      </c>
      <c r="D886" t="s">
        <v>118</v>
      </c>
      <c r="E886">
        <v>30</v>
      </c>
      <c r="F886" t="s">
        <v>64</v>
      </c>
      <c r="G886" t="s">
        <v>65</v>
      </c>
      <c r="H886" t="s">
        <v>110</v>
      </c>
      <c r="J886" t="s">
        <v>251</v>
      </c>
      <c r="K886">
        <v>4.5</v>
      </c>
      <c r="L886" t="s">
        <v>51</v>
      </c>
      <c r="M886">
        <v>0.78</v>
      </c>
      <c r="N886" t="s">
        <v>24</v>
      </c>
      <c r="O886" t="s">
        <v>25</v>
      </c>
      <c r="P886">
        <v>5</v>
      </c>
      <c r="Q886">
        <v>1</v>
      </c>
    </row>
    <row r="887" spans="1:17" x14ac:dyDescent="0.3">
      <c r="A887" t="s">
        <v>1871</v>
      </c>
      <c r="B887" t="s">
        <v>589</v>
      </c>
      <c r="C887" t="s">
        <v>45</v>
      </c>
      <c r="D887" t="s">
        <v>97</v>
      </c>
      <c r="E887">
        <v>33</v>
      </c>
      <c r="F887" t="s">
        <v>55</v>
      </c>
      <c r="G887" t="s">
        <v>56</v>
      </c>
      <c r="H887" t="s">
        <v>93</v>
      </c>
      <c r="I887">
        <v>6</v>
      </c>
      <c r="J887" t="s">
        <v>81</v>
      </c>
      <c r="K887">
        <v>3.1</v>
      </c>
      <c r="L887" t="s">
        <v>181</v>
      </c>
      <c r="M887">
        <v>0.9</v>
      </c>
      <c r="N887" t="s">
        <v>24</v>
      </c>
      <c r="O887" t="s">
        <v>25</v>
      </c>
      <c r="P887">
        <v>8</v>
      </c>
      <c r="Q887">
        <v>8</v>
      </c>
    </row>
    <row r="888" spans="1:17" x14ac:dyDescent="0.3">
      <c r="A888" t="s">
        <v>1872</v>
      </c>
      <c r="B888" t="s">
        <v>1873</v>
      </c>
      <c r="C888" t="s">
        <v>45</v>
      </c>
      <c r="D888" t="s">
        <v>97</v>
      </c>
      <c r="E888">
        <v>50</v>
      </c>
      <c r="F888" t="s">
        <v>85</v>
      </c>
      <c r="G888" t="s">
        <v>30</v>
      </c>
      <c r="H888" t="s">
        <v>110</v>
      </c>
      <c r="I888">
        <v>11</v>
      </c>
      <c r="J888" t="s">
        <v>51</v>
      </c>
      <c r="K888">
        <v>4.9000000000000004</v>
      </c>
      <c r="L888" t="s">
        <v>33</v>
      </c>
      <c r="M888">
        <v>0.88</v>
      </c>
      <c r="N888" t="s">
        <v>88</v>
      </c>
      <c r="O888" t="s">
        <v>34</v>
      </c>
      <c r="P888">
        <v>6</v>
      </c>
      <c r="Q888">
        <v>13</v>
      </c>
    </row>
    <row r="889" spans="1:17" x14ac:dyDescent="0.3">
      <c r="A889" t="s">
        <v>1874</v>
      </c>
      <c r="B889" t="s">
        <v>1875</v>
      </c>
      <c r="C889" t="s">
        <v>97</v>
      </c>
      <c r="D889" t="s">
        <v>97</v>
      </c>
      <c r="E889">
        <v>24</v>
      </c>
      <c r="F889" t="s">
        <v>64</v>
      </c>
      <c r="G889" t="s">
        <v>65</v>
      </c>
      <c r="H889" t="s">
        <v>66</v>
      </c>
      <c r="J889" t="s">
        <v>142</v>
      </c>
      <c r="K889">
        <v>0</v>
      </c>
      <c r="L889" t="s">
        <v>23</v>
      </c>
      <c r="M889">
        <v>0.76</v>
      </c>
      <c r="N889" t="s">
        <v>60</v>
      </c>
      <c r="O889" t="s">
        <v>75</v>
      </c>
      <c r="P889">
        <v>3</v>
      </c>
      <c r="Q889">
        <v>1</v>
      </c>
    </row>
    <row r="890" spans="1:17" x14ac:dyDescent="0.3">
      <c r="A890" t="s">
        <v>1876</v>
      </c>
      <c r="B890" t="s">
        <v>1877</v>
      </c>
      <c r="C890" t="s">
        <v>37</v>
      </c>
      <c r="D890" t="s">
        <v>118</v>
      </c>
      <c r="E890">
        <v>38</v>
      </c>
      <c r="F890" t="s">
        <v>19</v>
      </c>
      <c r="G890" t="s">
        <v>20</v>
      </c>
      <c r="H890" t="s">
        <v>46</v>
      </c>
      <c r="I890">
        <v>14</v>
      </c>
      <c r="J890" t="s">
        <v>103</v>
      </c>
      <c r="K890">
        <v>1.5</v>
      </c>
      <c r="L890" t="s">
        <v>41</v>
      </c>
      <c r="M890">
        <v>0.62</v>
      </c>
      <c r="N890" t="s">
        <v>60</v>
      </c>
      <c r="O890" t="s">
        <v>75</v>
      </c>
      <c r="P890">
        <v>11</v>
      </c>
      <c r="Q890">
        <v>12</v>
      </c>
    </row>
    <row r="891" spans="1:17" x14ac:dyDescent="0.3">
      <c r="A891" t="s">
        <v>1878</v>
      </c>
      <c r="B891" t="s">
        <v>1879</v>
      </c>
      <c r="C891" t="s">
        <v>78</v>
      </c>
      <c r="D891" t="s">
        <v>118</v>
      </c>
      <c r="E891">
        <v>56</v>
      </c>
      <c r="F891" t="s">
        <v>106</v>
      </c>
      <c r="G891" t="s">
        <v>107</v>
      </c>
      <c r="H891" t="s">
        <v>110</v>
      </c>
      <c r="I891">
        <v>2</v>
      </c>
      <c r="J891" t="s">
        <v>192</v>
      </c>
      <c r="K891">
        <v>2.4</v>
      </c>
      <c r="L891" t="s">
        <v>41</v>
      </c>
      <c r="N891" t="s">
        <v>60</v>
      </c>
      <c r="O891" t="s">
        <v>25</v>
      </c>
      <c r="P891">
        <v>3</v>
      </c>
      <c r="Q891">
        <v>1</v>
      </c>
    </row>
    <row r="892" spans="1:17" x14ac:dyDescent="0.3">
      <c r="A892" t="s">
        <v>1880</v>
      </c>
      <c r="B892" t="s">
        <v>1881</v>
      </c>
      <c r="C892" t="s">
        <v>18</v>
      </c>
      <c r="D892" t="s">
        <v>97</v>
      </c>
      <c r="E892">
        <v>41</v>
      </c>
      <c r="F892" t="s">
        <v>145</v>
      </c>
      <c r="G892" t="s">
        <v>146</v>
      </c>
      <c r="H892" t="s">
        <v>110</v>
      </c>
      <c r="I892">
        <v>2</v>
      </c>
      <c r="J892" t="s">
        <v>32</v>
      </c>
      <c r="K892">
        <v>4.5</v>
      </c>
      <c r="L892" t="s">
        <v>41</v>
      </c>
      <c r="M892">
        <v>75</v>
      </c>
      <c r="N892" t="s">
        <v>60</v>
      </c>
      <c r="O892" t="s">
        <v>42</v>
      </c>
      <c r="P892">
        <v>2</v>
      </c>
      <c r="Q892">
        <v>1</v>
      </c>
    </row>
    <row r="893" spans="1:17" x14ac:dyDescent="0.3">
      <c r="A893" t="s">
        <v>1882</v>
      </c>
      <c r="B893" t="s">
        <v>1883</v>
      </c>
      <c r="C893" t="s">
        <v>118</v>
      </c>
      <c r="D893" t="s">
        <v>118</v>
      </c>
      <c r="F893" t="s">
        <v>19</v>
      </c>
      <c r="G893" t="s">
        <v>20</v>
      </c>
      <c r="H893" t="s">
        <v>93</v>
      </c>
      <c r="I893">
        <v>11</v>
      </c>
      <c r="J893" t="s">
        <v>32</v>
      </c>
      <c r="K893">
        <v>2.5</v>
      </c>
      <c r="L893" t="s">
        <v>87</v>
      </c>
      <c r="M893">
        <v>80</v>
      </c>
      <c r="N893" t="s">
        <v>24</v>
      </c>
      <c r="O893" t="s">
        <v>42</v>
      </c>
      <c r="P893">
        <v>13</v>
      </c>
      <c r="Q893">
        <v>6</v>
      </c>
    </row>
    <row r="894" spans="1:17" x14ac:dyDescent="0.3">
      <c r="A894" t="s">
        <v>1884</v>
      </c>
      <c r="B894" t="s">
        <v>1885</v>
      </c>
      <c r="C894" t="s">
        <v>18</v>
      </c>
      <c r="D894" t="s">
        <v>97</v>
      </c>
      <c r="E894">
        <v>42</v>
      </c>
      <c r="F894" t="s">
        <v>38</v>
      </c>
      <c r="G894" t="s">
        <v>38</v>
      </c>
      <c r="H894" t="s">
        <v>39</v>
      </c>
      <c r="I894">
        <v>13</v>
      </c>
      <c r="J894" t="s">
        <v>52</v>
      </c>
      <c r="K894">
        <v>3.3</v>
      </c>
      <c r="L894" t="s">
        <v>51</v>
      </c>
      <c r="M894">
        <v>0.63</v>
      </c>
      <c r="N894" t="s">
        <v>82</v>
      </c>
      <c r="O894" t="s">
        <v>75</v>
      </c>
      <c r="P894">
        <v>10</v>
      </c>
      <c r="Q894">
        <v>12</v>
      </c>
    </row>
    <row r="895" spans="1:17" x14ac:dyDescent="0.3">
      <c r="A895" t="s">
        <v>1886</v>
      </c>
      <c r="B895" t="s">
        <v>1887</v>
      </c>
      <c r="C895" t="s">
        <v>118</v>
      </c>
      <c r="D895" t="s">
        <v>118</v>
      </c>
      <c r="E895">
        <v>26</v>
      </c>
      <c r="F895" t="s">
        <v>114</v>
      </c>
      <c r="G895" t="s">
        <v>115</v>
      </c>
      <c r="H895" t="s">
        <v>21</v>
      </c>
      <c r="I895">
        <v>7</v>
      </c>
      <c r="J895" t="s">
        <v>103</v>
      </c>
      <c r="K895">
        <v>3</v>
      </c>
      <c r="L895" t="s">
        <v>51</v>
      </c>
      <c r="M895">
        <v>0.84</v>
      </c>
      <c r="N895" t="s">
        <v>82</v>
      </c>
      <c r="O895" t="s">
        <v>42</v>
      </c>
      <c r="P895">
        <v>11</v>
      </c>
      <c r="Q895">
        <v>5</v>
      </c>
    </row>
    <row r="896" spans="1:17" x14ac:dyDescent="0.3">
      <c r="A896" t="s">
        <v>1888</v>
      </c>
      <c r="B896" t="s">
        <v>1889</v>
      </c>
      <c r="C896" t="s">
        <v>18</v>
      </c>
      <c r="D896" t="s">
        <v>97</v>
      </c>
      <c r="E896">
        <v>44</v>
      </c>
      <c r="F896" t="s">
        <v>149</v>
      </c>
      <c r="G896" t="s">
        <v>30</v>
      </c>
      <c r="H896" t="s">
        <v>98</v>
      </c>
      <c r="I896">
        <v>25</v>
      </c>
      <c r="J896" t="s">
        <v>103</v>
      </c>
      <c r="K896">
        <v>2.7</v>
      </c>
      <c r="L896" t="s">
        <v>33</v>
      </c>
      <c r="M896">
        <v>78</v>
      </c>
      <c r="N896" t="s">
        <v>88</v>
      </c>
      <c r="O896" t="s">
        <v>75</v>
      </c>
      <c r="P896">
        <v>15</v>
      </c>
      <c r="Q896">
        <v>8</v>
      </c>
    </row>
    <row r="897" spans="1:17" x14ac:dyDescent="0.3">
      <c r="A897" t="s">
        <v>1890</v>
      </c>
      <c r="B897" t="s">
        <v>1891</v>
      </c>
      <c r="C897" t="s">
        <v>78</v>
      </c>
      <c r="D897" t="s">
        <v>118</v>
      </c>
      <c r="E897">
        <v>46</v>
      </c>
      <c r="F897" t="s">
        <v>149</v>
      </c>
      <c r="G897" t="s">
        <v>30</v>
      </c>
      <c r="H897" t="s">
        <v>39</v>
      </c>
      <c r="I897">
        <v>20</v>
      </c>
      <c r="J897" t="s">
        <v>142</v>
      </c>
      <c r="K897">
        <v>1.2</v>
      </c>
      <c r="L897" t="s">
        <v>59</v>
      </c>
      <c r="M897">
        <v>0.74</v>
      </c>
      <c r="N897" t="s">
        <v>88</v>
      </c>
      <c r="O897" t="s">
        <v>25</v>
      </c>
      <c r="P897">
        <v>12</v>
      </c>
      <c r="Q897">
        <v>15</v>
      </c>
    </row>
    <row r="898" spans="1:17" x14ac:dyDescent="0.3">
      <c r="A898" t="s">
        <v>1892</v>
      </c>
      <c r="B898" t="s">
        <v>1893</v>
      </c>
      <c r="C898" t="s">
        <v>50</v>
      </c>
      <c r="D898" t="s">
        <v>97</v>
      </c>
      <c r="E898">
        <v>36</v>
      </c>
      <c r="F898" t="s">
        <v>73</v>
      </c>
      <c r="G898" t="s">
        <v>30</v>
      </c>
      <c r="H898" t="s">
        <v>93</v>
      </c>
      <c r="I898">
        <v>8</v>
      </c>
      <c r="J898" t="s">
        <v>40</v>
      </c>
      <c r="K898">
        <v>4.3</v>
      </c>
      <c r="L898" t="s">
        <v>23</v>
      </c>
      <c r="M898">
        <v>0.9</v>
      </c>
      <c r="N898" t="s">
        <v>24</v>
      </c>
      <c r="O898" t="s">
        <v>75</v>
      </c>
      <c r="P898">
        <v>15</v>
      </c>
      <c r="Q898">
        <v>1</v>
      </c>
    </row>
    <row r="899" spans="1:17" x14ac:dyDescent="0.3">
      <c r="A899" t="s">
        <v>1894</v>
      </c>
      <c r="B899" t="s">
        <v>1895</v>
      </c>
      <c r="C899" t="s">
        <v>118</v>
      </c>
      <c r="D899" t="s">
        <v>118</v>
      </c>
      <c r="E899">
        <v>26</v>
      </c>
      <c r="F899" t="s">
        <v>55</v>
      </c>
      <c r="G899" t="s">
        <v>56</v>
      </c>
      <c r="H899" t="s">
        <v>57</v>
      </c>
      <c r="I899">
        <v>6</v>
      </c>
      <c r="J899" t="s">
        <v>47</v>
      </c>
      <c r="K899">
        <v>1.3</v>
      </c>
      <c r="L899" t="s">
        <v>23</v>
      </c>
      <c r="N899" t="s">
        <v>82</v>
      </c>
      <c r="O899" t="s">
        <v>75</v>
      </c>
      <c r="P899">
        <v>8</v>
      </c>
      <c r="Q899">
        <v>5</v>
      </c>
    </row>
    <row r="900" spans="1:17" x14ac:dyDescent="0.3">
      <c r="A900" t="s">
        <v>1896</v>
      </c>
      <c r="B900" t="s">
        <v>1897</v>
      </c>
      <c r="C900" t="s">
        <v>37</v>
      </c>
      <c r="D900" t="s">
        <v>118</v>
      </c>
      <c r="E900">
        <v>21</v>
      </c>
      <c r="F900" t="s">
        <v>38</v>
      </c>
      <c r="G900" t="s">
        <v>38</v>
      </c>
      <c r="H900" t="s">
        <v>93</v>
      </c>
      <c r="I900">
        <v>3</v>
      </c>
      <c r="J900" t="s">
        <v>40</v>
      </c>
      <c r="K900">
        <v>4.5999999999999996</v>
      </c>
      <c r="L900" t="s">
        <v>94</v>
      </c>
      <c r="N900" t="s">
        <v>82</v>
      </c>
      <c r="O900" t="s">
        <v>25</v>
      </c>
      <c r="P900">
        <v>5</v>
      </c>
      <c r="Q900">
        <v>3</v>
      </c>
    </row>
    <row r="901" spans="1:17" x14ac:dyDescent="0.3">
      <c r="A901" t="s">
        <v>1898</v>
      </c>
      <c r="B901" t="s">
        <v>1899</v>
      </c>
      <c r="C901" t="s">
        <v>18</v>
      </c>
      <c r="D901" t="s">
        <v>97</v>
      </c>
      <c r="E901">
        <v>39</v>
      </c>
      <c r="F901" t="s">
        <v>64</v>
      </c>
      <c r="G901" t="s">
        <v>65</v>
      </c>
      <c r="H901" t="s">
        <v>93</v>
      </c>
      <c r="I901">
        <v>18</v>
      </c>
      <c r="J901" t="s">
        <v>40</v>
      </c>
      <c r="K901">
        <v>2.1</v>
      </c>
      <c r="L901" t="s">
        <v>23</v>
      </c>
      <c r="M901">
        <v>75</v>
      </c>
      <c r="N901" t="s">
        <v>60</v>
      </c>
      <c r="O901" t="s">
        <v>42</v>
      </c>
      <c r="P901">
        <v>10</v>
      </c>
      <c r="Q901">
        <v>7</v>
      </c>
    </row>
    <row r="902" spans="1:17" x14ac:dyDescent="0.3">
      <c r="A902" t="s">
        <v>1900</v>
      </c>
      <c r="B902" t="s">
        <v>1901</v>
      </c>
      <c r="C902" t="s">
        <v>97</v>
      </c>
      <c r="D902" t="s">
        <v>97</v>
      </c>
      <c r="E902">
        <v>37</v>
      </c>
      <c r="F902" t="s">
        <v>73</v>
      </c>
      <c r="G902" t="s">
        <v>30</v>
      </c>
      <c r="H902" t="s">
        <v>21</v>
      </c>
      <c r="I902">
        <v>18</v>
      </c>
      <c r="J902" t="s">
        <v>86</v>
      </c>
      <c r="K902">
        <v>4.5</v>
      </c>
      <c r="L902" t="s">
        <v>181</v>
      </c>
      <c r="M902">
        <v>0.72</v>
      </c>
      <c r="N902" t="s">
        <v>24</v>
      </c>
      <c r="O902" t="s">
        <v>75</v>
      </c>
      <c r="P902">
        <v>14</v>
      </c>
      <c r="Q902">
        <v>8</v>
      </c>
    </row>
    <row r="903" spans="1:17" x14ac:dyDescent="0.3">
      <c r="A903" t="s">
        <v>1902</v>
      </c>
      <c r="B903" t="s">
        <v>1903</v>
      </c>
      <c r="C903" t="s">
        <v>97</v>
      </c>
      <c r="D903" t="s">
        <v>97</v>
      </c>
      <c r="E903">
        <v>47</v>
      </c>
      <c r="F903" t="s">
        <v>145</v>
      </c>
      <c r="G903" t="s">
        <v>146</v>
      </c>
      <c r="H903" t="s">
        <v>93</v>
      </c>
      <c r="I903">
        <v>3</v>
      </c>
      <c r="J903" t="s">
        <v>86</v>
      </c>
      <c r="K903">
        <v>4.4000000000000004</v>
      </c>
      <c r="L903" t="s">
        <v>87</v>
      </c>
      <c r="M903">
        <v>0.92</v>
      </c>
      <c r="N903" t="s">
        <v>24</v>
      </c>
      <c r="O903" t="s">
        <v>75</v>
      </c>
      <c r="P903">
        <v>5</v>
      </c>
      <c r="Q903">
        <v>2</v>
      </c>
    </row>
    <row r="904" spans="1:17" x14ac:dyDescent="0.3">
      <c r="A904" t="s">
        <v>1904</v>
      </c>
      <c r="B904" t="s">
        <v>1905</v>
      </c>
      <c r="C904" t="s">
        <v>28</v>
      </c>
      <c r="D904" t="s">
        <v>97</v>
      </c>
      <c r="E904">
        <v>53</v>
      </c>
      <c r="F904" t="s">
        <v>145</v>
      </c>
      <c r="G904" t="s">
        <v>146</v>
      </c>
      <c r="H904" t="s">
        <v>39</v>
      </c>
      <c r="I904">
        <v>32</v>
      </c>
      <c r="J904" t="s">
        <v>336</v>
      </c>
      <c r="K904">
        <v>0</v>
      </c>
      <c r="L904" t="s">
        <v>41</v>
      </c>
      <c r="N904" t="s">
        <v>60</v>
      </c>
      <c r="O904" t="s">
        <v>25</v>
      </c>
      <c r="P904">
        <v>17</v>
      </c>
      <c r="Q904">
        <v>8</v>
      </c>
    </row>
    <row r="905" spans="1:17" x14ac:dyDescent="0.3">
      <c r="A905" t="s">
        <v>1906</v>
      </c>
      <c r="B905" t="s">
        <v>1907</v>
      </c>
      <c r="C905" t="s">
        <v>50</v>
      </c>
      <c r="D905" t="s">
        <v>97</v>
      </c>
      <c r="E905">
        <v>53</v>
      </c>
      <c r="F905" t="s">
        <v>91</v>
      </c>
      <c r="G905" t="s">
        <v>92</v>
      </c>
      <c r="H905" t="s">
        <v>31</v>
      </c>
      <c r="I905">
        <v>19</v>
      </c>
      <c r="J905" t="s">
        <v>336</v>
      </c>
      <c r="K905">
        <v>1.3</v>
      </c>
      <c r="L905" t="s">
        <v>23</v>
      </c>
      <c r="N905" t="s">
        <v>24</v>
      </c>
      <c r="O905" t="s">
        <v>42</v>
      </c>
      <c r="P905">
        <v>11</v>
      </c>
      <c r="Q905">
        <v>5</v>
      </c>
    </row>
    <row r="906" spans="1:17" x14ac:dyDescent="0.3">
      <c r="A906" t="s">
        <v>1908</v>
      </c>
      <c r="B906" t="s">
        <v>1909</v>
      </c>
      <c r="C906" t="s">
        <v>37</v>
      </c>
      <c r="D906" t="s">
        <v>118</v>
      </c>
      <c r="E906">
        <v>21</v>
      </c>
      <c r="F906" t="s">
        <v>114</v>
      </c>
      <c r="G906" t="s">
        <v>115</v>
      </c>
      <c r="H906" t="s">
        <v>66</v>
      </c>
      <c r="I906">
        <v>2</v>
      </c>
      <c r="J906" t="s">
        <v>40</v>
      </c>
      <c r="K906">
        <v>2.6</v>
      </c>
      <c r="L906" t="s">
        <v>59</v>
      </c>
      <c r="M906">
        <v>0.86</v>
      </c>
      <c r="N906" t="s">
        <v>24</v>
      </c>
      <c r="O906" t="s">
        <v>75</v>
      </c>
      <c r="P906">
        <v>5</v>
      </c>
      <c r="Q906">
        <v>1</v>
      </c>
    </row>
    <row r="907" spans="1:17" x14ac:dyDescent="0.3">
      <c r="A907" t="s">
        <v>1910</v>
      </c>
      <c r="B907" t="s">
        <v>1911</v>
      </c>
      <c r="C907" t="s">
        <v>50</v>
      </c>
      <c r="D907" t="s">
        <v>97</v>
      </c>
      <c r="E907">
        <v>35</v>
      </c>
      <c r="F907" t="s">
        <v>85</v>
      </c>
      <c r="G907" t="s">
        <v>30</v>
      </c>
      <c r="H907" t="s">
        <v>21</v>
      </c>
      <c r="I907">
        <v>0</v>
      </c>
      <c r="J907" t="s">
        <v>51</v>
      </c>
      <c r="L907" t="s">
        <v>94</v>
      </c>
      <c r="M907">
        <v>85</v>
      </c>
      <c r="N907" t="s">
        <v>88</v>
      </c>
      <c r="O907" t="s">
        <v>25</v>
      </c>
      <c r="P907">
        <v>3</v>
      </c>
      <c r="Q907">
        <v>3</v>
      </c>
    </row>
    <row r="908" spans="1:17" x14ac:dyDescent="0.3">
      <c r="A908" t="s">
        <v>1912</v>
      </c>
      <c r="B908" t="s">
        <v>1913</v>
      </c>
      <c r="C908" t="s">
        <v>118</v>
      </c>
      <c r="D908" t="s">
        <v>118</v>
      </c>
      <c r="E908">
        <v>31</v>
      </c>
      <c r="F908" t="s">
        <v>91</v>
      </c>
      <c r="G908" t="s">
        <v>92</v>
      </c>
      <c r="H908" t="s">
        <v>135</v>
      </c>
      <c r="I908">
        <v>13</v>
      </c>
      <c r="J908" t="s">
        <v>47</v>
      </c>
      <c r="K908">
        <v>1.2</v>
      </c>
      <c r="L908" t="s">
        <v>59</v>
      </c>
      <c r="M908">
        <v>62</v>
      </c>
      <c r="N908" t="s">
        <v>82</v>
      </c>
      <c r="O908" t="s">
        <v>75</v>
      </c>
      <c r="P908">
        <v>7</v>
      </c>
      <c r="Q908">
        <v>7</v>
      </c>
    </row>
    <row r="909" spans="1:17" x14ac:dyDescent="0.3">
      <c r="A909" t="s">
        <v>1914</v>
      </c>
      <c r="B909" t="s">
        <v>1915</v>
      </c>
      <c r="C909" t="s">
        <v>97</v>
      </c>
      <c r="D909" t="s">
        <v>97</v>
      </c>
      <c r="E909">
        <v>55</v>
      </c>
      <c r="F909" t="s">
        <v>133</v>
      </c>
      <c r="G909" t="s">
        <v>134</v>
      </c>
      <c r="H909" t="s">
        <v>57</v>
      </c>
      <c r="I909">
        <v>2</v>
      </c>
      <c r="J909" t="s">
        <v>130</v>
      </c>
      <c r="K909">
        <v>3.1</v>
      </c>
      <c r="L909" t="s">
        <v>94</v>
      </c>
      <c r="M909">
        <v>0.91</v>
      </c>
      <c r="N909" t="s">
        <v>24</v>
      </c>
      <c r="O909" t="s">
        <v>34</v>
      </c>
      <c r="P909">
        <v>4</v>
      </c>
      <c r="Q909">
        <v>1</v>
      </c>
    </row>
    <row r="910" spans="1:17" x14ac:dyDescent="0.3">
      <c r="A910" t="s">
        <v>1916</v>
      </c>
      <c r="B910" t="s">
        <v>1917</v>
      </c>
      <c r="C910" t="s">
        <v>18</v>
      </c>
      <c r="D910" t="s">
        <v>97</v>
      </c>
      <c r="E910">
        <v>59</v>
      </c>
      <c r="F910" t="s">
        <v>79</v>
      </c>
      <c r="G910" t="s">
        <v>80</v>
      </c>
      <c r="H910" t="s">
        <v>46</v>
      </c>
      <c r="I910">
        <v>11</v>
      </c>
      <c r="J910" t="s">
        <v>192</v>
      </c>
      <c r="K910">
        <v>2.2999999999999998</v>
      </c>
      <c r="L910" t="s">
        <v>94</v>
      </c>
      <c r="M910">
        <v>0.8</v>
      </c>
      <c r="N910" t="s">
        <v>88</v>
      </c>
      <c r="O910" t="s">
        <v>25</v>
      </c>
      <c r="P910">
        <v>12</v>
      </c>
      <c r="Q910">
        <v>9</v>
      </c>
    </row>
    <row r="911" spans="1:17" x14ac:dyDescent="0.3">
      <c r="A911" t="s">
        <v>1918</v>
      </c>
      <c r="B911" t="s">
        <v>1919</v>
      </c>
      <c r="C911" t="s">
        <v>78</v>
      </c>
      <c r="D911" t="s">
        <v>118</v>
      </c>
      <c r="E911">
        <v>59</v>
      </c>
      <c r="F911" t="s">
        <v>156</v>
      </c>
      <c r="G911" t="s">
        <v>157</v>
      </c>
      <c r="H911" t="s">
        <v>98</v>
      </c>
      <c r="I911">
        <v>17</v>
      </c>
      <c r="J911" t="s">
        <v>22</v>
      </c>
      <c r="K911">
        <v>4</v>
      </c>
      <c r="L911" t="s">
        <v>181</v>
      </c>
      <c r="M911">
        <v>0.72</v>
      </c>
      <c r="N911" t="s">
        <v>82</v>
      </c>
      <c r="O911" t="s">
        <v>42</v>
      </c>
      <c r="P911">
        <v>13</v>
      </c>
      <c r="Q911">
        <v>9</v>
      </c>
    </row>
    <row r="912" spans="1:17" x14ac:dyDescent="0.3">
      <c r="A912" t="s">
        <v>1920</v>
      </c>
      <c r="B912" t="s">
        <v>1921</v>
      </c>
      <c r="C912" t="s">
        <v>113</v>
      </c>
      <c r="D912" t="s">
        <v>118</v>
      </c>
      <c r="E912">
        <v>47</v>
      </c>
      <c r="F912" t="s">
        <v>114</v>
      </c>
      <c r="G912" t="s">
        <v>115</v>
      </c>
      <c r="H912" t="s">
        <v>21</v>
      </c>
      <c r="I912">
        <v>10</v>
      </c>
      <c r="J912" t="s">
        <v>192</v>
      </c>
      <c r="K912">
        <v>1.9</v>
      </c>
      <c r="L912" t="s">
        <v>51</v>
      </c>
      <c r="N912" t="s">
        <v>60</v>
      </c>
      <c r="O912" t="s">
        <v>42</v>
      </c>
      <c r="P912">
        <v>8</v>
      </c>
      <c r="Q912">
        <v>4</v>
      </c>
    </row>
    <row r="913" spans="1:17" x14ac:dyDescent="0.3">
      <c r="A913" t="s">
        <v>1922</v>
      </c>
      <c r="B913" t="s">
        <v>1923</v>
      </c>
      <c r="C913" t="s">
        <v>50</v>
      </c>
      <c r="D913" t="s">
        <v>97</v>
      </c>
      <c r="E913">
        <v>53</v>
      </c>
      <c r="F913" t="s">
        <v>175</v>
      </c>
      <c r="G913" t="s">
        <v>176</v>
      </c>
      <c r="H913" t="s">
        <v>135</v>
      </c>
      <c r="I913">
        <v>26</v>
      </c>
      <c r="J913" t="s">
        <v>103</v>
      </c>
      <c r="K913">
        <v>2.4</v>
      </c>
      <c r="L913" t="s">
        <v>87</v>
      </c>
      <c r="N913" t="s">
        <v>88</v>
      </c>
      <c r="O913" t="s">
        <v>42</v>
      </c>
      <c r="P913">
        <v>14</v>
      </c>
      <c r="Q913">
        <v>12</v>
      </c>
    </row>
    <row r="914" spans="1:17" x14ac:dyDescent="0.3">
      <c r="A914" t="s">
        <v>1924</v>
      </c>
      <c r="B914" t="s">
        <v>541</v>
      </c>
      <c r="C914" t="s">
        <v>78</v>
      </c>
      <c r="D914" t="s">
        <v>118</v>
      </c>
      <c r="E914">
        <v>49</v>
      </c>
      <c r="F914" t="s">
        <v>175</v>
      </c>
      <c r="G914" t="s">
        <v>176</v>
      </c>
      <c r="H914" t="s">
        <v>66</v>
      </c>
      <c r="J914" t="s">
        <v>58</v>
      </c>
      <c r="L914" t="s">
        <v>87</v>
      </c>
      <c r="M914">
        <v>0.74</v>
      </c>
      <c r="N914" t="s">
        <v>88</v>
      </c>
      <c r="O914" t="s">
        <v>42</v>
      </c>
      <c r="P914">
        <v>4</v>
      </c>
      <c r="Q914">
        <v>1</v>
      </c>
    </row>
    <row r="915" spans="1:17" x14ac:dyDescent="0.3">
      <c r="A915" t="s">
        <v>1925</v>
      </c>
      <c r="B915" t="s">
        <v>1926</v>
      </c>
      <c r="C915" t="s">
        <v>18</v>
      </c>
      <c r="D915" t="s">
        <v>97</v>
      </c>
      <c r="E915">
        <v>50</v>
      </c>
      <c r="F915" t="s">
        <v>175</v>
      </c>
      <c r="G915" t="s">
        <v>176</v>
      </c>
      <c r="H915" t="s">
        <v>31</v>
      </c>
      <c r="I915">
        <v>8</v>
      </c>
      <c r="J915" t="s">
        <v>119</v>
      </c>
      <c r="K915">
        <v>3.7</v>
      </c>
      <c r="L915" t="s">
        <v>94</v>
      </c>
      <c r="M915">
        <v>0.82</v>
      </c>
      <c r="N915" t="s">
        <v>82</v>
      </c>
      <c r="O915" t="s">
        <v>75</v>
      </c>
      <c r="P915">
        <v>15</v>
      </c>
      <c r="Q915">
        <v>6</v>
      </c>
    </row>
    <row r="916" spans="1:17" x14ac:dyDescent="0.3">
      <c r="A916" t="s">
        <v>1927</v>
      </c>
      <c r="B916" t="s">
        <v>1928</v>
      </c>
      <c r="C916" t="s">
        <v>50</v>
      </c>
      <c r="D916" t="s">
        <v>97</v>
      </c>
      <c r="E916">
        <v>59</v>
      </c>
      <c r="F916" t="s">
        <v>133</v>
      </c>
      <c r="G916" t="s">
        <v>134</v>
      </c>
      <c r="H916" t="s">
        <v>135</v>
      </c>
      <c r="I916">
        <v>22</v>
      </c>
      <c r="J916" t="s">
        <v>32</v>
      </c>
      <c r="K916">
        <v>1.1000000000000001</v>
      </c>
      <c r="L916" t="s">
        <v>181</v>
      </c>
      <c r="M916">
        <v>0.85</v>
      </c>
      <c r="N916" t="s">
        <v>60</v>
      </c>
      <c r="O916" t="s">
        <v>75</v>
      </c>
      <c r="P916">
        <v>12</v>
      </c>
      <c r="Q916">
        <v>14</v>
      </c>
    </row>
    <row r="917" spans="1:17" x14ac:dyDescent="0.3">
      <c r="A917" t="s">
        <v>1929</v>
      </c>
      <c r="B917" t="s">
        <v>1930</v>
      </c>
      <c r="C917" t="s">
        <v>113</v>
      </c>
      <c r="D917" t="s">
        <v>118</v>
      </c>
      <c r="E917">
        <v>33</v>
      </c>
      <c r="F917" t="s">
        <v>79</v>
      </c>
      <c r="G917" t="s">
        <v>80</v>
      </c>
      <c r="H917" t="s">
        <v>66</v>
      </c>
      <c r="I917">
        <v>8</v>
      </c>
      <c r="J917" t="s">
        <v>67</v>
      </c>
      <c r="K917">
        <v>2.2999999999999998</v>
      </c>
      <c r="L917" t="s">
        <v>74</v>
      </c>
      <c r="M917">
        <v>0.68</v>
      </c>
      <c r="N917" t="s">
        <v>88</v>
      </c>
      <c r="O917" t="s">
        <v>42</v>
      </c>
      <c r="P917">
        <v>8</v>
      </c>
      <c r="Q917">
        <v>7</v>
      </c>
    </row>
    <row r="918" spans="1:17" x14ac:dyDescent="0.3">
      <c r="A918" t="s">
        <v>1931</v>
      </c>
      <c r="B918" t="s">
        <v>1932</v>
      </c>
      <c r="C918" t="s">
        <v>18</v>
      </c>
      <c r="D918" t="s">
        <v>97</v>
      </c>
      <c r="E918">
        <v>45</v>
      </c>
      <c r="F918" t="s">
        <v>149</v>
      </c>
      <c r="G918" t="s">
        <v>30</v>
      </c>
      <c r="H918" t="s">
        <v>46</v>
      </c>
      <c r="I918">
        <v>22</v>
      </c>
      <c r="J918" t="s">
        <v>86</v>
      </c>
      <c r="K918">
        <v>3.7</v>
      </c>
      <c r="L918" t="s">
        <v>94</v>
      </c>
      <c r="M918">
        <v>0.99</v>
      </c>
      <c r="N918" t="s">
        <v>24</v>
      </c>
      <c r="O918" t="s">
        <v>42</v>
      </c>
      <c r="P918">
        <v>20</v>
      </c>
      <c r="Q918">
        <v>16</v>
      </c>
    </row>
    <row r="919" spans="1:17" x14ac:dyDescent="0.3">
      <c r="A919" t="s">
        <v>1933</v>
      </c>
      <c r="B919" t="s">
        <v>1934</v>
      </c>
      <c r="C919" t="s">
        <v>50</v>
      </c>
      <c r="D919" t="s">
        <v>97</v>
      </c>
      <c r="E919">
        <v>36</v>
      </c>
      <c r="F919" t="s">
        <v>19</v>
      </c>
      <c r="G919" t="s">
        <v>20</v>
      </c>
      <c r="H919" t="s">
        <v>39</v>
      </c>
      <c r="I919">
        <v>14</v>
      </c>
      <c r="J919" t="s">
        <v>52</v>
      </c>
      <c r="K919">
        <v>1.9</v>
      </c>
      <c r="L919" t="s">
        <v>23</v>
      </c>
      <c r="M919">
        <v>0.62</v>
      </c>
      <c r="N919" t="s">
        <v>24</v>
      </c>
      <c r="O919" t="s">
        <v>42</v>
      </c>
      <c r="P919">
        <v>14</v>
      </c>
      <c r="Q919">
        <v>5</v>
      </c>
    </row>
    <row r="920" spans="1:17" x14ac:dyDescent="0.3">
      <c r="A920" t="s">
        <v>1935</v>
      </c>
      <c r="B920" t="s">
        <v>1936</v>
      </c>
      <c r="C920" t="s">
        <v>37</v>
      </c>
      <c r="D920" t="s">
        <v>118</v>
      </c>
      <c r="E920">
        <v>46</v>
      </c>
      <c r="F920" t="s">
        <v>175</v>
      </c>
      <c r="G920" t="s">
        <v>176</v>
      </c>
      <c r="H920" t="s">
        <v>93</v>
      </c>
      <c r="I920">
        <v>6</v>
      </c>
      <c r="J920" t="s">
        <v>52</v>
      </c>
      <c r="K920">
        <v>1.5</v>
      </c>
      <c r="L920" t="s">
        <v>41</v>
      </c>
      <c r="N920" t="s">
        <v>24</v>
      </c>
      <c r="O920" t="s">
        <v>75</v>
      </c>
      <c r="P920">
        <v>12</v>
      </c>
      <c r="Q920">
        <v>5</v>
      </c>
    </row>
    <row r="921" spans="1:17" x14ac:dyDescent="0.3">
      <c r="A921" t="s">
        <v>1937</v>
      </c>
      <c r="B921" t="s">
        <v>1938</v>
      </c>
      <c r="C921" t="s">
        <v>50</v>
      </c>
      <c r="D921" t="s">
        <v>97</v>
      </c>
      <c r="E921">
        <v>53</v>
      </c>
      <c r="F921" t="s">
        <v>79</v>
      </c>
      <c r="G921" t="s">
        <v>80</v>
      </c>
      <c r="H921" t="s">
        <v>39</v>
      </c>
      <c r="I921">
        <v>14</v>
      </c>
      <c r="J921" t="s">
        <v>52</v>
      </c>
      <c r="K921">
        <v>0</v>
      </c>
      <c r="L921" t="s">
        <v>59</v>
      </c>
      <c r="M921">
        <v>0.83</v>
      </c>
      <c r="N921" t="s">
        <v>60</v>
      </c>
      <c r="O921" t="s">
        <v>42</v>
      </c>
      <c r="P921">
        <v>15</v>
      </c>
      <c r="Q921">
        <v>5</v>
      </c>
    </row>
    <row r="922" spans="1:17" x14ac:dyDescent="0.3">
      <c r="A922" t="s">
        <v>1939</v>
      </c>
      <c r="B922" t="s">
        <v>1940</v>
      </c>
      <c r="C922" t="s">
        <v>18</v>
      </c>
      <c r="D922" t="s">
        <v>97</v>
      </c>
      <c r="E922">
        <v>24</v>
      </c>
      <c r="F922" t="s">
        <v>73</v>
      </c>
      <c r="G922" t="s">
        <v>30</v>
      </c>
      <c r="H922" t="s">
        <v>46</v>
      </c>
      <c r="I922">
        <v>2</v>
      </c>
      <c r="J922" t="s">
        <v>52</v>
      </c>
      <c r="K922">
        <v>3.6</v>
      </c>
      <c r="L922" t="s">
        <v>51</v>
      </c>
      <c r="M922">
        <v>0.92</v>
      </c>
      <c r="N922" t="s">
        <v>88</v>
      </c>
      <c r="O922" t="s">
        <v>42</v>
      </c>
      <c r="P922">
        <v>3</v>
      </c>
      <c r="Q922">
        <v>1</v>
      </c>
    </row>
    <row r="923" spans="1:17" x14ac:dyDescent="0.3">
      <c r="A923" t="s">
        <v>1941</v>
      </c>
      <c r="B923" t="s">
        <v>1942</v>
      </c>
      <c r="C923" t="s">
        <v>50</v>
      </c>
      <c r="D923" t="s">
        <v>97</v>
      </c>
      <c r="E923">
        <v>49</v>
      </c>
      <c r="F923" t="s">
        <v>212</v>
      </c>
      <c r="G923" t="s">
        <v>92</v>
      </c>
      <c r="H923" t="s">
        <v>110</v>
      </c>
      <c r="I923">
        <v>4</v>
      </c>
      <c r="J923" t="s">
        <v>192</v>
      </c>
      <c r="K923">
        <v>2.1</v>
      </c>
      <c r="L923" t="s">
        <v>51</v>
      </c>
      <c r="M923">
        <v>0.85</v>
      </c>
      <c r="N923" t="s">
        <v>24</v>
      </c>
      <c r="O923" t="s">
        <v>34</v>
      </c>
      <c r="P923">
        <v>5</v>
      </c>
      <c r="Q923">
        <v>2</v>
      </c>
    </row>
    <row r="924" spans="1:17" x14ac:dyDescent="0.3">
      <c r="A924" t="s">
        <v>1943</v>
      </c>
      <c r="B924" t="s">
        <v>1944</v>
      </c>
      <c r="C924" t="s">
        <v>45</v>
      </c>
      <c r="D924" t="s">
        <v>97</v>
      </c>
      <c r="E924">
        <v>49</v>
      </c>
      <c r="F924" t="s">
        <v>133</v>
      </c>
      <c r="G924" t="s">
        <v>134</v>
      </c>
      <c r="H924" t="s">
        <v>57</v>
      </c>
      <c r="I924">
        <v>4</v>
      </c>
      <c r="J924" t="s">
        <v>103</v>
      </c>
      <c r="K924">
        <v>2.9</v>
      </c>
      <c r="L924" t="s">
        <v>41</v>
      </c>
      <c r="N924" t="s">
        <v>60</v>
      </c>
      <c r="O924" t="s">
        <v>34</v>
      </c>
      <c r="P924">
        <v>1</v>
      </c>
      <c r="Q924">
        <v>1</v>
      </c>
    </row>
    <row r="925" spans="1:17" x14ac:dyDescent="0.3">
      <c r="A925" t="s">
        <v>1945</v>
      </c>
      <c r="B925" t="s">
        <v>1946</v>
      </c>
      <c r="C925" t="s">
        <v>28</v>
      </c>
      <c r="D925" t="s">
        <v>97</v>
      </c>
      <c r="E925">
        <v>49</v>
      </c>
      <c r="F925" t="s">
        <v>133</v>
      </c>
      <c r="G925" t="s">
        <v>134</v>
      </c>
      <c r="H925" t="s">
        <v>31</v>
      </c>
      <c r="I925">
        <v>24</v>
      </c>
      <c r="J925" t="s">
        <v>22</v>
      </c>
      <c r="K925">
        <v>3.6</v>
      </c>
      <c r="L925" t="s">
        <v>74</v>
      </c>
      <c r="N925" t="s">
        <v>24</v>
      </c>
      <c r="O925" t="s">
        <v>42</v>
      </c>
      <c r="P925">
        <v>11</v>
      </c>
      <c r="Q925">
        <v>1</v>
      </c>
    </row>
    <row r="926" spans="1:17" x14ac:dyDescent="0.3">
      <c r="A926" t="s">
        <v>1947</v>
      </c>
      <c r="B926" t="s">
        <v>1948</v>
      </c>
      <c r="C926" t="s">
        <v>97</v>
      </c>
      <c r="D926" t="s">
        <v>97</v>
      </c>
      <c r="E926">
        <v>58</v>
      </c>
      <c r="F926" t="s">
        <v>128</v>
      </c>
      <c r="G926" t="s">
        <v>129</v>
      </c>
      <c r="H926" t="s">
        <v>21</v>
      </c>
      <c r="I926">
        <v>29</v>
      </c>
      <c r="J926" t="s">
        <v>52</v>
      </c>
      <c r="K926">
        <v>3.3</v>
      </c>
      <c r="L926" t="s">
        <v>87</v>
      </c>
      <c r="M926">
        <v>0.89</v>
      </c>
      <c r="N926" t="s">
        <v>82</v>
      </c>
      <c r="O926" t="s">
        <v>25</v>
      </c>
      <c r="P926">
        <v>12</v>
      </c>
      <c r="Q926">
        <v>10</v>
      </c>
    </row>
    <row r="927" spans="1:17" x14ac:dyDescent="0.3">
      <c r="A927" t="s">
        <v>1949</v>
      </c>
      <c r="B927" t="s">
        <v>1950</v>
      </c>
      <c r="C927" t="s">
        <v>78</v>
      </c>
      <c r="D927" t="s">
        <v>118</v>
      </c>
      <c r="E927">
        <v>50</v>
      </c>
      <c r="F927" t="s">
        <v>175</v>
      </c>
      <c r="G927" t="s">
        <v>176</v>
      </c>
      <c r="H927" t="s">
        <v>93</v>
      </c>
      <c r="I927">
        <v>13</v>
      </c>
      <c r="J927" t="s">
        <v>51</v>
      </c>
      <c r="K927">
        <v>2.5</v>
      </c>
      <c r="L927" t="s">
        <v>94</v>
      </c>
      <c r="M927">
        <v>0.81</v>
      </c>
      <c r="N927" t="s">
        <v>88</v>
      </c>
      <c r="O927" t="s">
        <v>42</v>
      </c>
      <c r="P927">
        <v>6</v>
      </c>
      <c r="Q927">
        <v>3</v>
      </c>
    </row>
    <row r="928" spans="1:17" x14ac:dyDescent="0.3">
      <c r="A928" t="s">
        <v>1951</v>
      </c>
      <c r="B928" t="s">
        <v>1952</v>
      </c>
      <c r="C928" t="s">
        <v>113</v>
      </c>
      <c r="D928" t="s">
        <v>118</v>
      </c>
      <c r="E928">
        <v>27</v>
      </c>
      <c r="F928" t="s">
        <v>175</v>
      </c>
      <c r="G928" t="s">
        <v>176</v>
      </c>
      <c r="H928" t="s">
        <v>110</v>
      </c>
      <c r="I928">
        <v>1</v>
      </c>
      <c r="J928" t="s">
        <v>32</v>
      </c>
      <c r="K928">
        <v>3.7</v>
      </c>
      <c r="L928" t="s">
        <v>94</v>
      </c>
      <c r="M928">
        <v>61</v>
      </c>
      <c r="N928" t="s">
        <v>88</v>
      </c>
      <c r="O928" t="s">
        <v>34</v>
      </c>
      <c r="P928">
        <v>5</v>
      </c>
      <c r="Q928">
        <v>1</v>
      </c>
    </row>
    <row r="929" spans="1:17" x14ac:dyDescent="0.3">
      <c r="A929" t="s">
        <v>1953</v>
      </c>
      <c r="B929" t="s">
        <v>1954</v>
      </c>
      <c r="C929" t="s">
        <v>45</v>
      </c>
      <c r="D929" t="s">
        <v>97</v>
      </c>
      <c r="E929">
        <v>20</v>
      </c>
      <c r="F929" t="s">
        <v>133</v>
      </c>
      <c r="G929" t="s">
        <v>134</v>
      </c>
      <c r="H929" t="s">
        <v>135</v>
      </c>
      <c r="J929" t="s">
        <v>58</v>
      </c>
      <c r="K929">
        <v>4.5999999999999996</v>
      </c>
      <c r="L929" t="s">
        <v>33</v>
      </c>
      <c r="N929" t="s">
        <v>60</v>
      </c>
      <c r="O929" t="s">
        <v>25</v>
      </c>
      <c r="P929">
        <v>1</v>
      </c>
      <c r="Q929">
        <v>1</v>
      </c>
    </row>
    <row r="930" spans="1:17" x14ac:dyDescent="0.3">
      <c r="A930" t="s">
        <v>1955</v>
      </c>
      <c r="B930" t="s">
        <v>1956</v>
      </c>
      <c r="C930" t="s">
        <v>78</v>
      </c>
      <c r="D930" t="s">
        <v>118</v>
      </c>
      <c r="E930">
        <v>52</v>
      </c>
      <c r="F930" t="s">
        <v>145</v>
      </c>
      <c r="G930" t="s">
        <v>146</v>
      </c>
      <c r="H930" t="s">
        <v>21</v>
      </c>
      <c r="I930">
        <v>15</v>
      </c>
      <c r="J930" t="s">
        <v>47</v>
      </c>
      <c r="K930">
        <v>0</v>
      </c>
      <c r="L930" t="s">
        <v>33</v>
      </c>
      <c r="M930">
        <v>0.92</v>
      </c>
      <c r="N930" t="s">
        <v>60</v>
      </c>
      <c r="O930" t="s">
        <v>25</v>
      </c>
      <c r="P930">
        <v>9</v>
      </c>
      <c r="Q930">
        <v>9</v>
      </c>
    </row>
    <row r="931" spans="1:17" x14ac:dyDescent="0.3">
      <c r="A931" t="s">
        <v>1957</v>
      </c>
      <c r="B931" t="s">
        <v>1958</v>
      </c>
      <c r="C931" t="s">
        <v>97</v>
      </c>
      <c r="D931" t="s">
        <v>97</v>
      </c>
      <c r="E931">
        <v>22</v>
      </c>
      <c r="F931" t="s">
        <v>156</v>
      </c>
      <c r="G931" t="s">
        <v>157</v>
      </c>
      <c r="H931" t="s">
        <v>135</v>
      </c>
      <c r="I931">
        <v>2</v>
      </c>
      <c r="J931" t="s">
        <v>52</v>
      </c>
      <c r="K931">
        <v>2</v>
      </c>
      <c r="L931" t="s">
        <v>181</v>
      </c>
      <c r="M931">
        <v>0.96</v>
      </c>
      <c r="N931" t="s">
        <v>88</v>
      </c>
      <c r="O931" t="s">
        <v>42</v>
      </c>
      <c r="P931">
        <v>2</v>
      </c>
      <c r="Q931">
        <v>3</v>
      </c>
    </row>
    <row r="932" spans="1:17" x14ac:dyDescent="0.3">
      <c r="A932" t="s">
        <v>1959</v>
      </c>
      <c r="B932" t="s">
        <v>1960</v>
      </c>
      <c r="C932" t="s">
        <v>97</v>
      </c>
      <c r="D932" t="s">
        <v>97</v>
      </c>
      <c r="E932">
        <v>38</v>
      </c>
      <c r="F932" t="s">
        <v>79</v>
      </c>
      <c r="G932" t="s">
        <v>80</v>
      </c>
      <c r="H932" t="s">
        <v>46</v>
      </c>
      <c r="I932">
        <v>14</v>
      </c>
      <c r="J932" t="s">
        <v>22</v>
      </c>
      <c r="K932">
        <v>1.7</v>
      </c>
      <c r="L932" t="s">
        <v>59</v>
      </c>
      <c r="M932">
        <v>0.66</v>
      </c>
      <c r="N932" t="s">
        <v>24</v>
      </c>
      <c r="O932" t="s">
        <v>34</v>
      </c>
      <c r="P932">
        <v>7</v>
      </c>
      <c r="Q932">
        <v>1</v>
      </c>
    </row>
    <row r="933" spans="1:17" x14ac:dyDescent="0.3">
      <c r="A933" t="s">
        <v>1961</v>
      </c>
      <c r="B933" t="s">
        <v>1962</v>
      </c>
      <c r="C933" t="s">
        <v>37</v>
      </c>
      <c r="D933" t="s">
        <v>118</v>
      </c>
      <c r="E933">
        <v>21</v>
      </c>
      <c r="F933" t="s">
        <v>149</v>
      </c>
      <c r="G933" t="s">
        <v>30</v>
      </c>
      <c r="H933" t="s">
        <v>39</v>
      </c>
      <c r="I933">
        <v>0</v>
      </c>
      <c r="J933" t="s">
        <v>32</v>
      </c>
      <c r="K933">
        <v>3</v>
      </c>
      <c r="L933" t="s">
        <v>41</v>
      </c>
      <c r="M933">
        <v>0.64</v>
      </c>
      <c r="N933" t="s">
        <v>24</v>
      </c>
      <c r="O933" t="s">
        <v>34</v>
      </c>
      <c r="P933">
        <v>1</v>
      </c>
      <c r="Q933">
        <v>3</v>
      </c>
    </row>
    <row r="934" spans="1:17" x14ac:dyDescent="0.3">
      <c r="A934" t="s">
        <v>1963</v>
      </c>
      <c r="B934" t="s">
        <v>1964</v>
      </c>
      <c r="C934" t="s">
        <v>78</v>
      </c>
      <c r="D934" t="s">
        <v>118</v>
      </c>
      <c r="E934">
        <v>41</v>
      </c>
      <c r="F934" t="s">
        <v>29</v>
      </c>
      <c r="G934" t="s">
        <v>30</v>
      </c>
      <c r="H934" t="s">
        <v>57</v>
      </c>
      <c r="I934">
        <v>15</v>
      </c>
      <c r="J934" t="s">
        <v>86</v>
      </c>
      <c r="K934">
        <v>3.4</v>
      </c>
      <c r="L934" t="s">
        <v>59</v>
      </c>
      <c r="M934">
        <v>1</v>
      </c>
      <c r="N934" t="s">
        <v>82</v>
      </c>
      <c r="O934" t="s">
        <v>25</v>
      </c>
      <c r="P934">
        <v>8</v>
      </c>
      <c r="Q934">
        <v>6</v>
      </c>
    </row>
    <row r="935" spans="1:17" x14ac:dyDescent="0.3">
      <c r="A935" t="s">
        <v>1965</v>
      </c>
      <c r="B935" t="s">
        <v>1966</v>
      </c>
      <c r="C935" t="s">
        <v>50</v>
      </c>
      <c r="D935" t="s">
        <v>97</v>
      </c>
      <c r="E935">
        <v>33</v>
      </c>
      <c r="F935" t="s">
        <v>64</v>
      </c>
      <c r="G935" t="s">
        <v>65</v>
      </c>
      <c r="H935" t="s">
        <v>21</v>
      </c>
      <c r="I935">
        <v>6</v>
      </c>
      <c r="J935" t="s">
        <v>86</v>
      </c>
      <c r="K935">
        <v>3.2</v>
      </c>
      <c r="L935" t="s">
        <v>33</v>
      </c>
      <c r="M935">
        <v>0.95</v>
      </c>
      <c r="N935" t="s">
        <v>24</v>
      </c>
      <c r="O935" t="s">
        <v>42</v>
      </c>
      <c r="P935">
        <v>15</v>
      </c>
      <c r="Q935">
        <v>6</v>
      </c>
    </row>
    <row r="936" spans="1:17" x14ac:dyDescent="0.3">
      <c r="A936" t="s">
        <v>1967</v>
      </c>
      <c r="B936" t="s">
        <v>1968</v>
      </c>
      <c r="C936" t="s">
        <v>18</v>
      </c>
      <c r="D936" t="s">
        <v>97</v>
      </c>
      <c r="E936">
        <v>38</v>
      </c>
      <c r="F936" t="s">
        <v>201</v>
      </c>
      <c r="G936" t="s">
        <v>92</v>
      </c>
      <c r="H936" t="s">
        <v>31</v>
      </c>
      <c r="I936">
        <v>11</v>
      </c>
      <c r="J936" t="s">
        <v>51</v>
      </c>
      <c r="K936">
        <v>2.8</v>
      </c>
      <c r="L936" t="s">
        <v>51</v>
      </c>
      <c r="M936">
        <v>91</v>
      </c>
      <c r="N936" t="s">
        <v>60</v>
      </c>
      <c r="O936" t="s">
        <v>75</v>
      </c>
      <c r="P936">
        <v>9</v>
      </c>
      <c r="Q936">
        <v>5</v>
      </c>
    </row>
    <row r="937" spans="1:17" x14ac:dyDescent="0.3">
      <c r="A937" t="s">
        <v>1969</v>
      </c>
      <c r="B937" t="s">
        <v>1970</v>
      </c>
      <c r="C937" t="s">
        <v>45</v>
      </c>
      <c r="D937" t="s">
        <v>97</v>
      </c>
      <c r="E937">
        <v>26</v>
      </c>
      <c r="F937" t="s">
        <v>145</v>
      </c>
      <c r="G937" t="s">
        <v>146</v>
      </c>
      <c r="H937" t="s">
        <v>110</v>
      </c>
      <c r="I937">
        <v>8</v>
      </c>
      <c r="J937" t="s">
        <v>336</v>
      </c>
      <c r="K937">
        <v>4.0999999999999996</v>
      </c>
      <c r="L937" t="s">
        <v>87</v>
      </c>
      <c r="M937">
        <v>0.82</v>
      </c>
      <c r="N937" t="s">
        <v>60</v>
      </c>
      <c r="O937" t="s">
        <v>75</v>
      </c>
      <c r="P937">
        <v>12</v>
      </c>
      <c r="Q937">
        <v>1</v>
      </c>
    </row>
    <row r="938" spans="1:17" x14ac:dyDescent="0.3">
      <c r="A938" t="s">
        <v>1971</v>
      </c>
      <c r="B938" t="s">
        <v>1972</v>
      </c>
      <c r="C938" t="s">
        <v>18</v>
      </c>
      <c r="D938" t="s">
        <v>97</v>
      </c>
      <c r="E938">
        <v>43</v>
      </c>
      <c r="F938" t="s">
        <v>55</v>
      </c>
      <c r="G938" t="s">
        <v>56</v>
      </c>
      <c r="H938" t="s">
        <v>57</v>
      </c>
      <c r="I938">
        <v>3</v>
      </c>
      <c r="J938" t="s">
        <v>162</v>
      </c>
      <c r="K938">
        <v>0</v>
      </c>
      <c r="L938" t="s">
        <v>94</v>
      </c>
      <c r="M938">
        <v>0.95</v>
      </c>
      <c r="N938" t="s">
        <v>24</v>
      </c>
      <c r="O938" t="s">
        <v>34</v>
      </c>
      <c r="P938">
        <v>3</v>
      </c>
      <c r="Q938">
        <v>1</v>
      </c>
    </row>
    <row r="939" spans="1:17" x14ac:dyDescent="0.3">
      <c r="A939" t="s">
        <v>1973</v>
      </c>
      <c r="B939" t="s">
        <v>1974</v>
      </c>
      <c r="C939" t="s">
        <v>97</v>
      </c>
      <c r="D939" t="s">
        <v>97</v>
      </c>
      <c r="E939">
        <v>21</v>
      </c>
      <c r="F939" t="s">
        <v>19</v>
      </c>
      <c r="G939" t="s">
        <v>20</v>
      </c>
      <c r="H939" t="s">
        <v>98</v>
      </c>
      <c r="I939">
        <v>0</v>
      </c>
      <c r="J939" t="s">
        <v>51</v>
      </c>
      <c r="K939">
        <v>0</v>
      </c>
      <c r="L939" t="s">
        <v>33</v>
      </c>
      <c r="M939">
        <v>0.95</v>
      </c>
      <c r="N939" t="s">
        <v>60</v>
      </c>
      <c r="O939" t="s">
        <v>75</v>
      </c>
      <c r="P939">
        <v>5</v>
      </c>
      <c r="Q939">
        <v>3</v>
      </c>
    </row>
    <row r="940" spans="1:17" x14ac:dyDescent="0.3">
      <c r="A940" t="s">
        <v>1975</v>
      </c>
      <c r="B940" t="s">
        <v>1976</v>
      </c>
      <c r="C940" t="s">
        <v>78</v>
      </c>
      <c r="D940" t="s">
        <v>118</v>
      </c>
      <c r="E940">
        <v>47</v>
      </c>
      <c r="F940" t="s">
        <v>133</v>
      </c>
      <c r="G940" t="s">
        <v>134</v>
      </c>
      <c r="H940" t="s">
        <v>31</v>
      </c>
      <c r="I940">
        <v>7</v>
      </c>
      <c r="J940" t="s">
        <v>130</v>
      </c>
      <c r="L940" t="s">
        <v>51</v>
      </c>
      <c r="M940">
        <v>69</v>
      </c>
      <c r="N940" t="s">
        <v>88</v>
      </c>
      <c r="O940" t="s">
        <v>34</v>
      </c>
      <c r="P940">
        <v>7</v>
      </c>
      <c r="Q940">
        <v>3</v>
      </c>
    </row>
    <row r="941" spans="1:17" x14ac:dyDescent="0.3">
      <c r="A941" t="s">
        <v>1977</v>
      </c>
      <c r="B941" t="s">
        <v>1978</v>
      </c>
      <c r="C941" t="s">
        <v>78</v>
      </c>
      <c r="D941" t="s">
        <v>118</v>
      </c>
      <c r="E941">
        <v>35</v>
      </c>
      <c r="F941" t="s">
        <v>212</v>
      </c>
      <c r="G941" t="s">
        <v>92</v>
      </c>
      <c r="H941" t="s">
        <v>39</v>
      </c>
      <c r="I941">
        <v>6</v>
      </c>
      <c r="J941" t="s">
        <v>86</v>
      </c>
      <c r="L941" t="s">
        <v>87</v>
      </c>
      <c r="M941">
        <v>0.91</v>
      </c>
      <c r="N941" t="s">
        <v>88</v>
      </c>
      <c r="O941" t="s">
        <v>34</v>
      </c>
      <c r="P941">
        <v>10</v>
      </c>
      <c r="Q941">
        <v>10</v>
      </c>
    </row>
    <row r="942" spans="1:17" x14ac:dyDescent="0.3">
      <c r="A942" t="s">
        <v>1979</v>
      </c>
      <c r="B942" t="s">
        <v>1980</v>
      </c>
      <c r="C942" t="s">
        <v>97</v>
      </c>
      <c r="D942" t="s">
        <v>97</v>
      </c>
      <c r="E942">
        <v>37</v>
      </c>
      <c r="F942" t="s">
        <v>64</v>
      </c>
      <c r="G942" t="s">
        <v>65</v>
      </c>
      <c r="H942" t="s">
        <v>31</v>
      </c>
      <c r="I942">
        <v>9</v>
      </c>
      <c r="J942" t="s">
        <v>58</v>
      </c>
      <c r="K942">
        <v>2.7</v>
      </c>
      <c r="L942" t="s">
        <v>33</v>
      </c>
      <c r="N942" t="s">
        <v>24</v>
      </c>
      <c r="O942" t="s">
        <v>34</v>
      </c>
      <c r="P942">
        <v>8</v>
      </c>
      <c r="Q942">
        <v>10</v>
      </c>
    </row>
    <row r="943" spans="1:17" x14ac:dyDescent="0.3">
      <c r="A943" t="s">
        <v>1981</v>
      </c>
      <c r="B943" t="s">
        <v>1982</v>
      </c>
      <c r="C943" t="s">
        <v>28</v>
      </c>
      <c r="D943" t="s">
        <v>97</v>
      </c>
      <c r="E943">
        <v>38</v>
      </c>
      <c r="F943" t="s">
        <v>128</v>
      </c>
      <c r="G943" t="s">
        <v>129</v>
      </c>
      <c r="H943" t="s">
        <v>57</v>
      </c>
      <c r="I943">
        <v>15</v>
      </c>
      <c r="J943" t="s">
        <v>86</v>
      </c>
      <c r="K943">
        <v>4</v>
      </c>
      <c r="L943" t="s">
        <v>51</v>
      </c>
      <c r="M943">
        <v>0.62</v>
      </c>
      <c r="N943" t="s">
        <v>88</v>
      </c>
      <c r="O943" t="s">
        <v>75</v>
      </c>
      <c r="P943">
        <v>7</v>
      </c>
      <c r="Q943">
        <v>7</v>
      </c>
    </row>
    <row r="944" spans="1:17" x14ac:dyDescent="0.3">
      <c r="A944" t="s">
        <v>1983</v>
      </c>
      <c r="B944" t="s">
        <v>1984</v>
      </c>
      <c r="C944" t="s">
        <v>78</v>
      </c>
      <c r="D944" t="s">
        <v>118</v>
      </c>
      <c r="E944">
        <v>40</v>
      </c>
      <c r="F944" t="s">
        <v>149</v>
      </c>
      <c r="G944" t="s">
        <v>30</v>
      </c>
      <c r="H944" t="s">
        <v>66</v>
      </c>
      <c r="I944">
        <v>20</v>
      </c>
      <c r="J944" t="s">
        <v>162</v>
      </c>
      <c r="K944">
        <v>2.5</v>
      </c>
      <c r="L944" t="s">
        <v>23</v>
      </c>
      <c r="M944">
        <v>0.81</v>
      </c>
      <c r="N944" t="s">
        <v>88</v>
      </c>
      <c r="O944" t="s">
        <v>34</v>
      </c>
      <c r="P944">
        <v>10</v>
      </c>
      <c r="Q944">
        <v>9</v>
      </c>
    </row>
    <row r="945" spans="1:17" x14ac:dyDescent="0.3">
      <c r="A945" t="s">
        <v>1985</v>
      </c>
      <c r="B945" t="s">
        <v>1986</v>
      </c>
      <c r="C945" t="s">
        <v>18</v>
      </c>
      <c r="D945" t="s">
        <v>97</v>
      </c>
      <c r="E945">
        <v>46</v>
      </c>
      <c r="F945" t="s">
        <v>128</v>
      </c>
      <c r="G945" t="s">
        <v>129</v>
      </c>
      <c r="H945" t="s">
        <v>66</v>
      </c>
      <c r="I945">
        <v>16</v>
      </c>
      <c r="J945" t="s">
        <v>103</v>
      </c>
      <c r="K945">
        <v>0</v>
      </c>
      <c r="L945" t="s">
        <v>181</v>
      </c>
      <c r="M945">
        <v>0.94</v>
      </c>
      <c r="N945" t="s">
        <v>82</v>
      </c>
      <c r="O945" t="s">
        <v>25</v>
      </c>
      <c r="P945">
        <v>13</v>
      </c>
      <c r="Q945">
        <v>6</v>
      </c>
    </row>
    <row r="946" spans="1:17" x14ac:dyDescent="0.3">
      <c r="A946" t="s">
        <v>1987</v>
      </c>
      <c r="B946" t="s">
        <v>1988</v>
      </c>
      <c r="C946" t="s">
        <v>63</v>
      </c>
      <c r="D946" t="s">
        <v>118</v>
      </c>
      <c r="E946">
        <v>56</v>
      </c>
      <c r="F946" t="s">
        <v>160</v>
      </c>
      <c r="G946" t="s">
        <v>161</v>
      </c>
      <c r="H946" t="s">
        <v>110</v>
      </c>
      <c r="I946">
        <v>22</v>
      </c>
      <c r="J946" t="s">
        <v>130</v>
      </c>
      <c r="L946" t="s">
        <v>181</v>
      </c>
      <c r="M946">
        <v>0.95</v>
      </c>
      <c r="N946" t="s">
        <v>82</v>
      </c>
      <c r="O946" t="s">
        <v>42</v>
      </c>
      <c r="P946">
        <v>13</v>
      </c>
      <c r="Q946">
        <v>2</v>
      </c>
    </row>
    <row r="947" spans="1:17" x14ac:dyDescent="0.3">
      <c r="A947" t="s">
        <v>1989</v>
      </c>
      <c r="B947" t="s">
        <v>1990</v>
      </c>
      <c r="C947" t="s">
        <v>63</v>
      </c>
      <c r="D947" t="s">
        <v>118</v>
      </c>
      <c r="E947">
        <v>24</v>
      </c>
      <c r="F947" t="s">
        <v>79</v>
      </c>
      <c r="G947" t="s">
        <v>80</v>
      </c>
      <c r="H947" t="s">
        <v>39</v>
      </c>
      <c r="I947">
        <v>2</v>
      </c>
      <c r="J947" t="s">
        <v>51</v>
      </c>
      <c r="K947">
        <v>1.6</v>
      </c>
      <c r="L947" t="s">
        <v>181</v>
      </c>
      <c r="M947">
        <v>1</v>
      </c>
      <c r="N947" t="s">
        <v>88</v>
      </c>
      <c r="O947" t="s">
        <v>42</v>
      </c>
      <c r="P947">
        <v>2</v>
      </c>
      <c r="Q947">
        <v>1</v>
      </c>
    </row>
    <row r="948" spans="1:17" x14ac:dyDescent="0.3">
      <c r="A948" t="s">
        <v>1991</v>
      </c>
      <c r="B948" t="s">
        <v>1992</v>
      </c>
      <c r="C948" t="s">
        <v>113</v>
      </c>
      <c r="D948" t="s">
        <v>118</v>
      </c>
      <c r="F948" t="s">
        <v>201</v>
      </c>
      <c r="G948" t="s">
        <v>92</v>
      </c>
      <c r="H948" t="s">
        <v>57</v>
      </c>
      <c r="I948">
        <v>1</v>
      </c>
      <c r="J948" t="s">
        <v>103</v>
      </c>
      <c r="K948">
        <v>0</v>
      </c>
      <c r="L948" t="s">
        <v>74</v>
      </c>
      <c r="M948">
        <v>0.94</v>
      </c>
      <c r="N948" t="s">
        <v>24</v>
      </c>
      <c r="O948" t="s">
        <v>34</v>
      </c>
      <c r="P948">
        <v>5</v>
      </c>
      <c r="Q948">
        <v>3</v>
      </c>
    </row>
    <row r="949" spans="1:17" x14ac:dyDescent="0.3">
      <c r="A949" t="s">
        <v>1993</v>
      </c>
      <c r="B949" t="s">
        <v>1994</v>
      </c>
      <c r="C949" t="s">
        <v>45</v>
      </c>
      <c r="D949" t="s">
        <v>97</v>
      </c>
      <c r="E949">
        <v>38</v>
      </c>
      <c r="F949" t="s">
        <v>79</v>
      </c>
      <c r="G949" t="s">
        <v>80</v>
      </c>
      <c r="H949" t="s">
        <v>31</v>
      </c>
      <c r="I949">
        <v>8</v>
      </c>
      <c r="J949" t="s">
        <v>52</v>
      </c>
      <c r="K949">
        <v>4</v>
      </c>
      <c r="L949" t="s">
        <v>33</v>
      </c>
      <c r="M949">
        <v>0.92</v>
      </c>
      <c r="N949" t="s">
        <v>82</v>
      </c>
      <c r="O949" t="s">
        <v>42</v>
      </c>
      <c r="P949">
        <v>8</v>
      </c>
      <c r="Q949">
        <v>10</v>
      </c>
    </row>
    <row r="950" spans="1:17" x14ac:dyDescent="0.3">
      <c r="A950" t="s">
        <v>1995</v>
      </c>
      <c r="B950" t="s">
        <v>1996</v>
      </c>
      <c r="C950" t="s">
        <v>97</v>
      </c>
      <c r="D950" t="s">
        <v>97</v>
      </c>
      <c r="E950">
        <v>28</v>
      </c>
      <c r="F950" t="s">
        <v>156</v>
      </c>
      <c r="G950" t="s">
        <v>157</v>
      </c>
      <c r="H950" t="s">
        <v>110</v>
      </c>
      <c r="I950">
        <v>8</v>
      </c>
      <c r="J950" t="s">
        <v>119</v>
      </c>
      <c r="K950">
        <v>2.5</v>
      </c>
      <c r="L950" t="s">
        <v>74</v>
      </c>
      <c r="M950">
        <v>0.95</v>
      </c>
      <c r="N950" t="s">
        <v>60</v>
      </c>
      <c r="O950" t="s">
        <v>75</v>
      </c>
      <c r="P950">
        <v>9</v>
      </c>
      <c r="Q950">
        <v>6</v>
      </c>
    </row>
    <row r="951" spans="1:17" x14ac:dyDescent="0.3">
      <c r="A951" t="s">
        <v>1997</v>
      </c>
      <c r="B951" t="s">
        <v>1998</v>
      </c>
      <c r="C951" t="s">
        <v>63</v>
      </c>
      <c r="D951" t="s">
        <v>118</v>
      </c>
      <c r="E951">
        <v>25</v>
      </c>
      <c r="F951" t="s">
        <v>128</v>
      </c>
      <c r="G951" t="s">
        <v>129</v>
      </c>
      <c r="H951" t="s">
        <v>110</v>
      </c>
      <c r="I951">
        <v>7</v>
      </c>
      <c r="J951" t="s">
        <v>142</v>
      </c>
      <c r="K951">
        <v>3.8</v>
      </c>
      <c r="L951" t="s">
        <v>51</v>
      </c>
      <c r="M951">
        <v>0.97</v>
      </c>
      <c r="N951" t="s">
        <v>60</v>
      </c>
      <c r="O951" t="s">
        <v>75</v>
      </c>
      <c r="P951">
        <v>8</v>
      </c>
      <c r="Q951">
        <v>2</v>
      </c>
    </row>
    <row r="952" spans="1:17" x14ac:dyDescent="0.3">
      <c r="A952" t="s">
        <v>1999</v>
      </c>
      <c r="B952" t="s">
        <v>2000</v>
      </c>
      <c r="C952" t="s">
        <v>118</v>
      </c>
      <c r="D952" t="s">
        <v>118</v>
      </c>
      <c r="E952">
        <v>41</v>
      </c>
      <c r="F952" t="s">
        <v>85</v>
      </c>
      <c r="G952" t="s">
        <v>30</v>
      </c>
      <c r="H952" t="s">
        <v>110</v>
      </c>
      <c r="I952">
        <v>8</v>
      </c>
      <c r="J952" t="s">
        <v>40</v>
      </c>
      <c r="K952">
        <v>4.8</v>
      </c>
      <c r="L952" t="s">
        <v>41</v>
      </c>
      <c r="M952">
        <v>0.75</v>
      </c>
      <c r="N952" t="s">
        <v>60</v>
      </c>
      <c r="O952" t="s">
        <v>42</v>
      </c>
      <c r="P952">
        <v>14</v>
      </c>
      <c r="Q952">
        <v>6</v>
      </c>
    </row>
    <row r="953" spans="1:17" x14ac:dyDescent="0.3">
      <c r="A953" t="s">
        <v>2001</v>
      </c>
      <c r="B953" t="s">
        <v>2002</v>
      </c>
      <c r="C953" t="s">
        <v>18</v>
      </c>
      <c r="D953" t="s">
        <v>97</v>
      </c>
      <c r="E953">
        <v>45</v>
      </c>
      <c r="F953" t="s">
        <v>201</v>
      </c>
      <c r="G953" t="s">
        <v>92</v>
      </c>
      <c r="H953" t="s">
        <v>66</v>
      </c>
      <c r="I953">
        <v>6</v>
      </c>
      <c r="J953" t="s">
        <v>86</v>
      </c>
      <c r="K953">
        <v>2</v>
      </c>
      <c r="L953" t="s">
        <v>33</v>
      </c>
      <c r="M953">
        <v>0.78</v>
      </c>
      <c r="N953" t="s">
        <v>24</v>
      </c>
      <c r="O953" t="s">
        <v>75</v>
      </c>
      <c r="P953">
        <v>13</v>
      </c>
      <c r="Q953">
        <v>14</v>
      </c>
    </row>
    <row r="954" spans="1:17" x14ac:dyDescent="0.3">
      <c r="A954" t="s">
        <v>2003</v>
      </c>
      <c r="B954" t="s">
        <v>2004</v>
      </c>
      <c r="C954" t="s">
        <v>63</v>
      </c>
      <c r="D954" t="s">
        <v>118</v>
      </c>
      <c r="E954">
        <v>47</v>
      </c>
      <c r="F954" t="s">
        <v>79</v>
      </c>
      <c r="G954" t="s">
        <v>80</v>
      </c>
      <c r="H954" t="s">
        <v>110</v>
      </c>
      <c r="I954">
        <v>16</v>
      </c>
      <c r="J954" t="s">
        <v>251</v>
      </c>
      <c r="K954">
        <v>3.3</v>
      </c>
      <c r="L954" t="s">
        <v>23</v>
      </c>
      <c r="M954">
        <v>0.65</v>
      </c>
      <c r="N954" t="s">
        <v>88</v>
      </c>
      <c r="O954" t="s">
        <v>42</v>
      </c>
      <c r="P954">
        <v>10</v>
      </c>
      <c r="Q954">
        <v>17</v>
      </c>
    </row>
    <row r="955" spans="1:17" x14ac:dyDescent="0.3">
      <c r="A955" t="s">
        <v>2005</v>
      </c>
      <c r="B955" t="s">
        <v>2006</v>
      </c>
      <c r="C955" t="s">
        <v>45</v>
      </c>
      <c r="D955" t="s">
        <v>97</v>
      </c>
      <c r="E955">
        <v>59</v>
      </c>
      <c r="F955" t="s">
        <v>85</v>
      </c>
      <c r="G955" t="s">
        <v>30</v>
      </c>
      <c r="H955" t="s">
        <v>66</v>
      </c>
      <c r="I955">
        <v>40</v>
      </c>
      <c r="J955" t="s">
        <v>86</v>
      </c>
      <c r="K955">
        <v>2.5</v>
      </c>
      <c r="L955" t="s">
        <v>74</v>
      </c>
      <c r="M955">
        <v>70</v>
      </c>
      <c r="N955" t="s">
        <v>60</v>
      </c>
      <c r="O955" t="s">
        <v>42</v>
      </c>
      <c r="P955">
        <v>19</v>
      </c>
      <c r="Q955">
        <v>12</v>
      </c>
    </row>
    <row r="956" spans="1:17" x14ac:dyDescent="0.3">
      <c r="A956" t="s">
        <v>2007</v>
      </c>
      <c r="B956" t="s">
        <v>2008</v>
      </c>
      <c r="C956" t="s">
        <v>97</v>
      </c>
      <c r="D956" t="s">
        <v>97</v>
      </c>
      <c r="E956">
        <v>25</v>
      </c>
      <c r="F956" t="s">
        <v>149</v>
      </c>
      <c r="G956" t="s">
        <v>30</v>
      </c>
      <c r="H956" t="s">
        <v>21</v>
      </c>
      <c r="I956">
        <v>6</v>
      </c>
      <c r="J956" t="s">
        <v>251</v>
      </c>
      <c r="L956" t="s">
        <v>94</v>
      </c>
      <c r="M956">
        <v>78</v>
      </c>
      <c r="N956" t="s">
        <v>24</v>
      </c>
      <c r="O956" t="s">
        <v>42</v>
      </c>
      <c r="P956">
        <v>10</v>
      </c>
      <c r="Q956">
        <v>2</v>
      </c>
    </row>
    <row r="957" spans="1:17" x14ac:dyDescent="0.3">
      <c r="A957" t="s">
        <v>2009</v>
      </c>
      <c r="B957" t="s">
        <v>2010</v>
      </c>
      <c r="C957" t="s">
        <v>118</v>
      </c>
      <c r="D957" t="s">
        <v>118</v>
      </c>
      <c r="E957">
        <v>27</v>
      </c>
      <c r="F957" t="s">
        <v>29</v>
      </c>
      <c r="G957" t="s">
        <v>30</v>
      </c>
      <c r="H957" t="s">
        <v>46</v>
      </c>
      <c r="I957">
        <v>3</v>
      </c>
      <c r="J957" t="s">
        <v>119</v>
      </c>
      <c r="L957" t="s">
        <v>33</v>
      </c>
      <c r="M957">
        <v>0.96</v>
      </c>
      <c r="N957" t="s">
        <v>82</v>
      </c>
      <c r="O957" t="s">
        <v>34</v>
      </c>
      <c r="P957">
        <v>1</v>
      </c>
      <c r="Q957">
        <v>3</v>
      </c>
    </row>
    <row r="958" spans="1:17" x14ac:dyDescent="0.3">
      <c r="A958" t="s">
        <v>2011</v>
      </c>
      <c r="B958" t="s">
        <v>2012</v>
      </c>
      <c r="C958" t="s">
        <v>45</v>
      </c>
      <c r="D958" t="s">
        <v>97</v>
      </c>
      <c r="E958">
        <v>57</v>
      </c>
      <c r="F958" t="s">
        <v>29</v>
      </c>
      <c r="G958" t="s">
        <v>30</v>
      </c>
      <c r="H958" t="s">
        <v>57</v>
      </c>
      <c r="I958">
        <v>5</v>
      </c>
      <c r="J958" t="s">
        <v>32</v>
      </c>
      <c r="K958">
        <v>0</v>
      </c>
      <c r="L958" t="s">
        <v>33</v>
      </c>
      <c r="M958">
        <v>0.8</v>
      </c>
      <c r="N958" t="s">
        <v>88</v>
      </c>
      <c r="O958" t="s">
        <v>42</v>
      </c>
      <c r="P958">
        <v>4</v>
      </c>
      <c r="Q958">
        <v>2</v>
      </c>
    </row>
    <row r="959" spans="1:17" x14ac:dyDescent="0.3">
      <c r="A959" t="s">
        <v>2013</v>
      </c>
      <c r="B959" t="s">
        <v>2014</v>
      </c>
      <c r="C959" t="s">
        <v>45</v>
      </c>
      <c r="D959" t="s">
        <v>97</v>
      </c>
      <c r="E959">
        <v>34</v>
      </c>
      <c r="F959" t="s">
        <v>79</v>
      </c>
      <c r="G959" t="s">
        <v>80</v>
      </c>
      <c r="H959" t="s">
        <v>93</v>
      </c>
      <c r="I959">
        <v>12</v>
      </c>
      <c r="J959" t="s">
        <v>142</v>
      </c>
      <c r="K959">
        <v>1.6</v>
      </c>
      <c r="L959" t="s">
        <v>87</v>
      </c>
      <c r="M959">
        <v>0.64</v>
      </c>
      <c r="N959" t="s">
        <v>82</v>
      </c>
      <c r="O959" t="s">
        <v>34</v>
      </c>
      <c r="P959">
        <v>12</v>
      </c>
      <c r="Q959">
        <v>2</v>
      </c>
    </row>
    <row r="960" spans="1:17" x14ac:dyDescent="0.3">
      <c r="A960" t="s">
        <v>2015</v>
      </c>
      <c r="B960" t="s">
        <v>2016</v>
      </c>
      <c r="C960" t="s">
        <v>113</v>
      </c>
      <c r="D960" t="s">
        <v>118</v>
      </c>
      <c r="E960">
        <v>55</v>
      </c>
      <c r="F960" t="s">
        <v>156</v>
      </c>
      <c r="G960" t="s">
        <v>157</v>
      </c>
      <c r="H960" t="s">
        <v>93</v>
      </c>
      <c r="I960">
        <v>33</v>
      </c>
      <c r="J960" t="s">
        <v>40</v>
      </c>
      <c r="K960">
        <v>0</v>
      </c>
      <c r="L960" t="s">
        <v>59</v>
      </c>
      <c r="M960">
        <v>0.92</v>
      </c>
      <c r="N960" t="s">
        <v>24</v>
      </c>
      <c r="O960" t="s">
        <v>42</v>
      </c>
      <c r="P960">
        <v>19</v>
      </c>
      <c r="Q960">
        <v>5</v>
      </c>
    </row>
    <row r="961" spans="1:17" x14ac:dyDescent="0.3">
      <c r="A961" t="s">
        <v>2017</v>
      </c>
      <c r="B961" t="s">
        <v>2018</v>
      </c>
      <c r="C961" t="s">
        <v>37</v>
      </c>
      <c r="D961" t="s">
        <v>118</v>
      </c>
      <c r="E961">
        <v>21</v>
      </c>
      <c r="F961" t="s">
        <v>160</v>
      </c>
      <c r="G961" t="s">
        <v>161</v>
      </c>
      <c r="H961" t="s">
        <v>21</v>
      </c>
      <c r="I961">
        <v>1</v>
      </c>
      <c r="J961" t="s">
        <v>22</v>
      </c>
      <c r="K961">
        <v>0</v>
      </c>
      <c r="L961" t="s">
        <v>33</v>
      </c>
      <c r="N961" t="s">
        <v>60</v>
      </c>
      <c r="O961" t="s">
        <v>42</v>
      </c>
      <c r="P961">
        <v>3</v>
      </c>
      <c r="Q961">
        <v>2</v>
      </c>
    </row>
    <row r="962" spans="1:17" x14ac:dyDescent="0.3">
      <c r="A962" t="s">
        <v>2019</v>
      </c>
      <c r="B962" t="s">
        <v>2020</v>
      </c>
      <c r="C962" t="s">
        <v>78</v>
      </c>
      <c r="D962" t="s">
        <v>118</v>
      </c>
      <c r="E962">
        <v>53</v>
      </c>
      <c r="F962" t="s">
        <v>55</v>
      </c>
      <c r="G962" t="s">
        <v>56</v>
      </c>
      <c r="H962" t="s">
        <v>110</v>
      </c>
      <c r="I962">
        <v>27</v>
      </c>
      <c r="J962" t="s">
        <v>336</v>
      </c>
      <c r="K962">
        <v>4.7</v>
      </c>
      <c r="L962" t="s">
        <v>87</v>
      </c>
      <c r="M962">
        <v>71</v>
      </c>
      <c r="N962" t="s">
        <v>60</v>
      </c>
      <c r="O962" t="s">
        <v>42</v>
      </c>
      <c r="P962">
        <v>11</v>
      </c>
      <c r="Q962">
        <v>10</v>
      </c>
    </row>
    <row r="963" spans="1:17" x14ac:dyDescent="0.3">
      <c r="A963" t="s">
        <v>2021</v>
      </c>
      <c r="B963" t="s">
        <v>2022</v>
      </c>
      <c r="C963" t="s">
        <v>18</v>
      </c>
      <c r="D963" t="s">
        <v>97</v>
      </c>
      <c r="E963">
        <v>21</v>
      </c>
      <c r="F963" t="s">
        <v>38</v>
      </c>
      <c r="G963" t="s">
        <v>38</v>
      </c>
      <c r="H963" t="s">
        <v>93</v>
      </c>
      <c r="I963">
        <v>1</v>
      </c>
      <c r="J963" t="s">
        <v>251</v>
      </c>
      <c r="K963">
        <v>0</v>
      </c>
      <c r="L963" t="s">
        <v>87</v>
      </c>
      <c r="M963">
        <v>0.95</v>
      </c>
      <c r="N963" t="s">
        <v>24</v>
      </c>
      <c r="O963" t="s">
        <v>75</v>
      </c>
      <c r="P963">
        <v>5</v>
      </c>
      <c r="Q963">
        <v>5</v>
      </c>
    </row>
    <row r="964" spans="1:17" x14ac:dyDescent="0.3">
      <c r="A964" t="s">
        <v>2023</v>
      </c>
      <c r="B964" t="s">
        <v>2024</v>
      </c>
      <c r="C964" t="s">
        <v>28</v>
      </c>
      <c r="D964" t="s">
        <v>97</v>
      </c>
      <c r="E964">
        <v>36</v>
      </c>
      <c r="F964" t="s">
        <v>128</v>
      </c>
      <c r="G964" t="s">
        <v>129</v>
      </c>
      <c r="H964" t="s">
        <v>46</v>
      </c>
      <c r="J964" t="s">
        <v>162</v>
      </c>
      <c r="K964">
        <v>4.0999999999999996</v>
      </c>
      <c r="L964" t="s">
        <v>41</v>
      </c>
      <c r="M964">
        <v>0.86</v>
      </c>
      <c r="N964" t="s">
        <v>60</v>
      </c>
      <c r="O964" t="s">
        <v>34</v>
      </c>
      <c r="P964">
        <v>4</v>
      </c>
      <c r="Q964">
        <v>1</v>
      </c>
    </row>
    <row r="965" spans="1:17" x14ac:dyDescent="0.3">
      <c r="A965" t="s">
        <v>2025</v>
      </c>
      <c r="B965" t="s">
        <v>2026</v>
      </c>
      <c r="C965" t="s">
        <v>37</v>
      </c>
      <c r="D965" t="s">
        <v>118</v>
      </c>
      <c r="E965">
        <v>40</v>
      </c>
      <c r="F965" t="s">
        <v>38</v>
      </c>
      <c r="G965" t="s">
        <v>38</v>
      </c>
      <c r="H965" t="s">
        <v>57</v>
      </c>
      <c r="I965">
        <v>2</v>
      </c>
      <c r="J965" t="s">
        <v>58</v>
      </c>
      <c r="K965">
        <v>1.3</v>
      </c>
      <c r="L965" t="s">
        <v>33</v>
      </c>
      <c r="M965">
        <v>0.77</v>
      </c>
      <c r="N965" t="s">
        <v>88</v>
      </c>
      <c r="O965" t="s">
        <v>34</v>
      </c>
      <c r="P965">
        <v>4</v>
      </c>
      <c r="Q965">
        <v>3</v>
      </c>
    </row>
    <row r="966" spans="1:17" x14ac:dyDescent="0.3">
      <c r="A966" t="s">
        <v>2027</v>
      </c>
      <c r="B966" t="s">
        <v>2028</v>
      </c>
      <c r="C966" t="s">
        <v>97</v>
      </c>
      <c r="D966" t="s">
        <v>97</v>
      </c>
      <c r="E966">
        <v>59</v>
      </c>
      <c r="F966" t="s">
        <v>85</v>
      </c>
      <c r="G966" t="s">
        <v>30</v>
      </c>
      <c r="H966" t="s">
        <v>93</v>
      </c>
      <c r="I966">
        <v>40</v>
      </c>
      <c r="J966" t="s">
        <v>22</v>
      </c>
      <c r="K966">
        <v>2.6</v>
      </c>
      <c r="L966" t="s">
        <v>51</v>
      </c>
      <c r="N966" t="s">
        <v>24</v>
      </c>
      <c r="O966" t="s">
        <v>42</v>
      </c>
      <c r="P966">
        <v>16</v>
      </c>
      <c r="Q966">
        <v>5</v>
      </c>
    </row>
    <row r="967" spans="1:17" x14ac:dyDescent="0.3">
      <c r="A967" t="s">
        <v>2029</v>
      </c>
      <c r="B967" t="s">
        <v>2030</v>
      </c>
      <c r="C967" t="s">
        <v>63</v>
      </c>
      <c r="D967" t="s">
        <v>118</v>
      </c>
      <c r="E967">
        <v>45</v>
      </c>
      <c r="F967" t="s">
        <v>55</v>
      </c>
      <c r="G967" t="s">
        <v>56</v>
      </c>
      <c r="H967" t="s">
        <v>98</v>
      </c>
      <c r="I967">
        <v>4</v>
      </c>
      <c r="J967" t="s">
        <v>142</v>
      </c>
      <c r="K967">
        <v>2.7</v>
      </c>
      <c r="L967" t="s">
        <v>51</v>
      </c>
      <c r="M967">
        <v>0.72</v>
      </c>
      <c r="N967" t="s">
        <v>82</v>
      </c>
      <c r="O967" t="s">
        <v>42</v>
      </c>
      <c r="P967">
        <v>5</v>
      </c>
      <c r="Q967">
        <v>1</v>
      </c>
    </row>
    <row r="968" spans="1:17" x14ac:dyDescent="0.3">
      <c r="A968" t="s">
        <v>2031</v>
      </c>
      <c r="B968" t="s">
        <v>2032</v>
      </c>
      <c r="C968" t="s">
        <v>78</v>
      </c>
      <c r="D968" t="s">
        <v>118</v>
      </c>
      <c r="E968">
        <v>44</v>
      </c>
      <c r="F968" t="s">
        <v>133</v>
      </c>
      <c r="G968" t="s">
        <v>134</v>
      </c>
      <c r="H968" t="s">
        <v>135</v>
      </c>
      <c r="I968">
        <v>9</v>
      </c>
      <c r="J968" t="s">
        <v>86</v>
      </c>
      <c r="L968" t="s">
        <v>23</v>
      </c>
      <c r="M968">
        <v>0.7</v>
      </c>
      <c r="N968" t="s">
        <v>24</v>
      </c>
      <c r="O968" t="s">
        <v>75</v>
      </c>
      <c r="P968">
        <v>9</v>
      </c>
      <c r="Q968">
        <v>2</v>
      </c>
    </row>
    <row r="969" spans="1:17" x14ac:dyDescent="0.3">
      <c r="A969" t="s">
        <v>2033</v>
      </c>
      <c r="B969" t="s">
        <v>2034</v>
      </c>
      <c r="C969" t="s">
        <v>28</v>
      </c>
      <c r="D969" t="s">
        <v>97</v>
      </c>
      <c r="E969">
        <v>36</v>
      </c>
      <c r="F969" t="s">
        <v>85</v>
      </c>
      <c r="G969" t="s">
        <v>30</v>
      </c>
      <c r="H969" t="s">
        <v>98</v>
      </c>
      <c r="I969">
        <v>13</v>
      </c>
      <c r="J969" t="s">
        <v>52</v>
      </c>
      <c r="K969">
        <v>3.6</v>
      </c>
      <c r="L969" t="s">
        <v>23</v>
      </c>
      <c r="M969">
        <v>0.86</v>
      </c>
      <c r="N969" t="s">
        <v>88</v>
      </c>
      <c r="O969" t="s">
        <v>75</v>
      </c>
      <c r="P969">
        <v>8</v>
      </c>
      <c r="Q969">
        <v>3</v>
      </c>
    </row>
    <row r="970" spans="1:17" x14ac:dyDescent="0.3">
      <c r="A970" t="s">
        <v>2035</v>
      </c>
      <c r="B970" t="s">
        <v>2036</v>
      </c>
      <c r="C970" t="s">
        <v>97</v>
      </c>
      <c r="D970" t="s">
        <v>97</v>
      </c>
      <c r="E970">
        <v>26</v>
      </c>
      <c r="F970" t="s">
        <v>114</v>
      </c>
      <c r="G970" t="s">
        <v>115</v>
      </c>
      <c r="H970" t="s">
        <v>39</v>
      </c>
      <c r="I970">
        <v>1</v>
      </c>
      <c r="J970" t="s">
        <v>103</v>
      </c>
      <c r="K970">
        <v>3</v>
      </c>
      <c r="L970" t="s">
        <v>33</v>
      </c>
      <c r="N970" t="s">
        <v>88</v>
      </c>
      <c r="O970" t="s">
        <v>75</v>
      </c>
      <c r="P970">
        <v>4</v>
      </c>
      <c r="Q970">
        <v>3</v>
      </c>
    </row>
    <row r="971" spans="1:17" x14ac:dyDescent="0.3">
      <c r="A971" t="s">
        <v>2037</v>
      </c>
      <c r="B971" t="s">
        <v>2038</v>
      </c>
      <c r="C971" t="s">
        <v>63</v>
      </c>
      <c r="D971" t="s">
        <v>118</v>
      </c>
      <c r="E971">
        <v>49</v>
      </c>
      <c r="F971" t="s">
        <v>114</v>
      </c>
      <c r="G971" t="s">
        <v>115</v>
      </c>
      <c r="H971" t="s">
        <v>46</v>
      </c>
      <c r="I971">
        <v>1</v>
      </c>
      <c r="J971" t="s">
        <v>51</v>
      </c>
      <c r="K971">
        <v>0</v>
      </c>
      <c r="L971" t="s">
        <v>23</v>
      </c>
      <c r="M971">
        <v>0.82</v>
      </c>
      <c r="N971" t="s">
        <v>24</v>
      </c>
      <c r="O971" t="s">
        <v>34</v>
      </c>
      <c r="P971">
        <v>1</v>
      </c>
      <c r="Q971">
        <v>1</v>
      </c>
    </row>
    <row r="972" spans="1:17" x14ac:dyDescent="0.3">
      <c r="A972" t="s">
        <v>2039</v>
      </c>
      <c r="B972" t="s">
        <v>2040</v>
      </c>
      <c r="C972" t="s">
        <v>63</v>
      </c>
      <c r="D972" t="s">
        <v>118</v>
      </c>
      <c r="E972">
        <v>29</v>
      </c>
      <c r="F972" t="s">
        <v>156</v>
      </c>
      <c r="G972" t="s">
        <v>157</v>
      </c>
      <c r="H972" t="s">
        <v>31</v>
      </c>
      <c r="I972">
        <v>3</v>
      </c>
      <c r="J972" t="s">
        <v>70</v>
      </c>
      <c r="K972">
        <v>0</v>
      </c>
      <c r="L972" t="s">
        <v>74</v>
      </c>
      <c r="M972">
        <v>0.81</v>
      </c>
      <c r="N972" t="s">
        <v>24</v>
      </c>
      <c r="O972" t="s">
        <v>34</v>
      </c>
      <c r="P972">
        <v>5</v>
      </c>
      <c r="Q972">
        <v>1</v>
      </c>
    </row>
    <row r="973" spans="1:17" x14ac:dyDescent="0.3">
      <c r="A973" t="s">
        <v>2041</v>
      </c>
      <c r="B973" t="s">
        <v>2042</v>
      </c>
      <c r="C973" t="s">
        <v>63</v>
      </c>
      <c r="D973" t="s">
        <v>118</v>
      </c>
      <c r="E973">
        <v>32</v>
      </c>
      <c r="F973" t="s">
        <v>156</v>
      </c>
      <c r="G973" t="s">
        <v>157</v>
      </c>
      <c r="H973" t="s">
        <v>39</v>
      </c>
      <c r="I973">
        <v>1</v>
      </c>
      <c r="J973" t="s">
        <v>47</v>
      </c>
      <c r="K973">
        <v>3.1</v>
      </c>
      <c r="L973" t="s">
        <v>33</v>
      </c>
      <c r="M973">
        <v>0.76</v>
      </c>
      <c r="N973" t="s">
        <v>60</v>
      </c>
      <c r="O973" t="s">
        <v>34</v>
      </c>
      <c r="P973">
        <v>1</v>
      </c>
      <c r="Q973">
        <v>2</v>
      </c>
    </row>
    <row r="974" spans="1:17" x14ac:dyDescent="0.3">
      <c r="A974" t="s">
        <v>2043</v>
      </c>
      <c r="B974" t="s">
        <v>2044</v>
      </c>
      <c r="C974" t="s">
        <v>78</v>
      </c>
      <c r="D974" t="s">
        <v>118</v>
      </c>
      <c r="E974">
        <v>24</v>
      </c>
      <c r="F974" t="s">
        <v>64</v>
      </c>
      <c r="G974" t="s">
        <v>65</v>
      </c>
      <c r="H974" t="s">
        <v>21</v>
      </c>
      <c r="I974">
        <v>3</v>
      </c>
      <c r="J974" t="s">
        <v>130</v>
      </c>
      <c r="K974">
        <v>3.9</v>
      </c>
      <c r="L974" t="s">
        <v>41</v>
      </c>
      <c r="M974">
        <v>0.9</v>
      </c>
      <c r="N974" t="s">
        <v>88</v>
      </c>
      <c r="O974" t="s">
        <v>42</v>
      </c>
      <c r="P974">
        <v>5</v>
      </c>
      <c r="Q974">
        <v>1</v>
      </c>
    </row>
    <row r="975" spans="1:17" x14ac:dyDescent="0.3">
      <c r="A975" t="s">
        <v>2045</v>
      </c>
      <c r="B975" t="s">
        <v>2046</v>
      </c>
      <c r="C975" t="s">
        <v>78</v>
      </c>
      <c r="D975" t="s">
        <v>118</v>
      </c>
      <c r="E975">
        <v>35</v>
      </c>
      <c r="F975" t="s">
        <v>133</v>
      </c>
      <c r="G975" t="s">
        <v>134</v>
      </c>
      <c r="H975" t="s">
        <v>110</v>
      </c>
      <c r="I975">
        <v>14</v>
      </c>
      <c r="J975" t="s">
        <v>52</v>
      </c>
      <c r="K975">
        <v>1.6</v>
      </c>
      <c r="L975" t="s">
        <v>94</v>
      </c>
      <c r="M975">
        <v>0.67</v>
      </c>
      <c r="N975" t="s">
        <v>24</v>
      </c>
      <c r="O975" t="s">
        <v>34</v>
      </c>
      <c r="P975">
        <v>8</v>
      </c>
      <c r="Q975">
        <v>9</v>
      </c>
    </row>
    <row r="976" spans="1:17" x14ac:dyDescent="0.3">
      <c r="A976" t="s">
        <v>2047</v>
      </c>
      <c r="B976" t="s">
        <v>2048</v>
      </c>
      <c r="C976" t="s">
        <v>50</v>
      </c>
      <c r="D976" t="s">
        <v>97</v>
      </c>
      <c r="E976">
        <v>43</v>
      </c>
      <c r="F976" t="s">
        <v>212</v>
      </c>
      <c r="G976" t="s">
        <v>92</v>
      </c>
      <c r="H976" t="s">
        <v>21</v>
      </c>
      <c r="I976">
        <v>2</v>
      </c>
      <c r="J976" t="s">
        <v>51</v>
      </c>
      <c r="K976">
        <v>1.8</v>
      </c>
      <c r="L976" t="s">
        <v>181</v>
      </c>
      <c r="M976">
        <v>0.61</v>
      </c>
      <c r="N976" t="s">
        <v>24</v>
      </c>
      <c r="O976" t="s">
        <v>25</v>
      </c>
      <c r="P976">
        <v>5</v>
      </c>
      <c r="Q976">
        <v>3</v>
      </c>
    </row>
    <row r="977" spans="1:17" x14ac:dyDescent="0.3">
      <c r="A977" t="s">
        <v>2049</v>
      </c>
      <c r="B977" t="s">
        <v>2050</v>
      </c>
      <c r="C977" t="s">
        <v>37</v>
      </c>
      <c r="D977" t="s">
        <v>118</v>
      </c>
      <c r="E977">
        <v>53</v>
      </c>
      <c r="F977" t="s">
        <v>133</v>
      </c>
      <c r="G977" t="s">
        <v>134</v>
      </c>
      <c r="H977" t="s">
        <v>135</v>
      </c>
      <c r="I977">
        <v>27</v>
      </c>
      <c r="J977" t="s">
        <v>22</v>
      </c>
      <c r="K977">
        <v>3.7</v>
      </c>
      <c r="L977" t="s">
        <v>181</v>
      </c>
      <c r="M977">
        <v>0.73</v>
      </c>
      <c r="N977" t="s">
        <v>88</v>
      </c>
      <c r="O977" t="s">
        <v>25</v>
      </c>
      <c r="P977">
        <v>13</v>
      </c>
      <c r="Q977">
        <v>5</v>
      </c>
    </row>
    <row r="978" spans="1:17" x14ac:dyDescent="0.3">
      <c r="A978" t="s">
        <v>2051</v>
      </c>
      <c r="B978" t="s">
        <v>2052</v>
      </c>
      <c r="C978" t="s">
        <v>45</v>
      </c>
      <c r="D978" t="s">
        <v>97</v>
      </c>
      <c r="E978">
        <v>38</v>
      </c>
      <c r="F978" t="s">
        <v>145</v>
      </c>
      <c r="G978" t="s">
        <v>146</v>
      </c>
      <c r="H978" t="s">
        <v>110</v>
      </c>
      <c r="I978">
        <v>7</v>
      </c>
      <c r="J978" t="s">
        <v>103</v>
      </c>
      <c r="L978" t="s">
        <v>23</v>
      </c>
      <c r="N978" t="s">
        <v>24</v>
      </c>
      <c r="O978" t="s">
        <v>75</v>
      </c>
      <c r="P978">
        <v>6</v>
      </c>
      <c r="Q978">
        <v>4</v>
      </c>
    </row>
    <row r="979" spans="1:17" x14ac:dyDescent="0.3">
      <c r="A979" t="s">
        <v>2053</v>
      </c>
      <c r="B979" t="s">
        <v>2054</v>
      </c>
      <c r="C979" t="s">
        <v>118</v>
      </c>
      <c r="D979" t="s">
        <v>118</v>
      </c>
      <c r="E979">
        <v>57</v>
      </c>
      <c r="F979" t="s">
        <v>85</v>
      </c>
      <c r="G979" t="s">
        <v>30</v>
      </c>
      <c r="H979" t="s">
        <v>98</v>
      </c>
      <c r="I979">
        <v>29</v>
      </c>
      <c r="J979" t="s">
        <v>103</v>
      </c>
      <c r="K979">
        <v>4.0999999999999996</v>
      </c>
      <c r="L979" t="s">
        <v>41</v>
      </c>
      <c r="M979">
        <v>0.9</v>
      </c>
      <c r="N979" t="s">
        <v>60</v>
      </c>
      <c r="O979" t="s">
        <v>34</v>
      </c>
      <c r="P979">
        <v>10</v>
      </c>
      <c r="Q979">
        <v>14</v>
      </c>
    </row>
    <row r="980" spans="1:17" x14ac:dyDescent="0.3">
      <c r="A980" t="s">
        <v>2055</v>
      </c>
      <c r="B980" t="s">
        <v>2056</v>
      </c>
      <c r="C980" t="s">
        <v>78</v>
      </c>
      <c r="D980" t="s">
        <v>118</v>
      </c>
      <c r="E980">
        <v>27</v>
      </c>
      <c r="F980" t="s">
        <v>197</v>
      </c>
      <c r="G980" t="s">
        <v>198</v>
      </c>
      <c r="H980" t="s">
        <v>21</v>
      </c>
      <c r="I980">
        <v>5</v>
      </c>
      <c r="J980" t="s">
        <v>192</v>
      </c>
      <c r="K980">
        <v>1.4</v>
      </c>
      <c r="L980" t="s">
        <v>74</v>
      </c>
      <c r="M980">
        <v>0.64</v>
      </c>
      <c r="N980" t="s">
        <v>88</v>
      </c>
      <c r="O980" t="s">
        <v>25</v>
      </c>
      <c r="P980">
        <v>4</v>
      </c>
      <c r="Q980">
        <v>1</v>
      </c>
    </row>
    <row r="981" spans="1:17" x14ac:dyDescent="0.3">
      <c r="A981" t="s">
        <v>2057</v>
      </c>
      <c r="B981" t="s">
        <v>2058</v>
      </c>
      <c r="C981" t="s">
        <v>63</v>
      </c>
      <c r="D981" t="s">
        <v>118</v>
      </c>
      <c r="E981">
        <v>43</v>
      </c>
      <c r="F981" t="s">
        <v>91</v>
      </c>
      <c r="G981" t="s">
        <v>92</v>
      </c>
      <c r="H981" t="s">
        <v>46</v>
      </c>
      <c r="I981">
        <v>2</v>
      </c>
      <c r="J981" t="s">
        <v>22</v>
      </c>
      <c r="K981">
        <v>1.1000000000000001</v>
      </c>
      <c r="L981" t="s">
        <v>33</v>
      </c>
      <c r="M981">
        <v>0.63</v>
      </c>
      <c r="N981" t="s">
        <v>60</v>
      </c>
      <c r="O981" t="s">
        <v>75</v>
      </c>
      <c r="P981">
        <v>4</v>
      </c>
      <c r="Q981">
        <v>1</v>
      </c>
    </row>
    <row r="982" spans="1:17" x14ac:dyDescent="0.3">
      <c r="A982" t="s">
        <v>2059</v>
      </c>
      <c r="B982" t="s">
        <v>2060</v>
      </c>
      <c r="C982" t="s">
        <v>37</v>
      </c>
      <c r="D982" t="s">
        <v>118</v>
      </c>
      <c r="E982">
        <v>48</v>
      </c>
      <c r="F982" t="s">
        <v>149</v>
      </c>
      <c r="G982" t="s">
        <v>30</v>
      </c>
      <c r="H982" t="s">
        <v>66</v>
      </c>
      <c r="I982">
        <v>18</v>
      </c>
      <c r="J982" t="s">
        <v>47</v>
      </c>
      <c r="K982">
        <v>3.9</v>
      </c>
      <c r="L982" t="s">
        <v>51</v>
      </c>
      <c r="N982" t="s">
        <v>60</v>
      </c>
      <c r="O982" t="s">
        <v>34</v>
      </c>
      <c r="P982">
        <v>12</v>
      </c>
      <c r="Q982">
        <v>2</v>
      </c>
    </row>
    <row r="983" spans="1:17" x14ac:dyDescent="0.3">
      <c r="A983" t="s">
        <v>2061</v>
      </c>
      <c r="B983" t="s">
        <v>2062</v>
      </c>
      <c r="C983" t="s">
        <v>113</v>
      </c>
      <c r="D983" t="s">
        <v>118</v>
      </c>
      <c r="E983">
        <v>26</v>
      </c>
      <c r="F983" t="s">
        <v>128</v>
      </c>
      <c r="G983" t="s">
        <v>129</v>
      </c>
      <c r="H983" t="s">
        <v>98</v>
      </c>
      <c r="I983">
        <v>8</v>
      </c>
      <c r="J983" t="s">
        <v>162</v>
      </c>
      <c r="K983">
        <v>3.6</v>
      </c>
      <c r="L983" t="s">
        <v>23</v>
      </c>
      <c r="M983">
        <v>0.67</v>
      </c>
      <c r="N983" t="s">
        <v>60</v>
      </c>
      <c r="O983" t="s">
        <v>42</v>
      </c>
      <c r="P983">
        <v>14</v>
      </c>
      <c r="Q983">
        <v>7</v>
      </c>
    </row>
    <row r="984" spans="1:17" x14ac:dyDescent="0.3">
      <c r="A984" t="s">
        <v>2063</v>
      </c>
      <c r="B984" t="s">
        <v>2064</v>
      </c>
      <c r="C984" t="s">
        <v>97</v>
      </c>
      <c r="D984" t="s">
        <v>97</v>
      </c>
      <c r="F984" t="s">
        <v>175</v>
      </c>
      <c r="G984" t="s">
        <v>176</v>
      </c>
      <c r="H984" t="s">
        <v>39</v>
      </c>
      <c r="I984">
        <v>0</v>
      </c>
      <c r="J984" t="s">
        <v>47</v>
      </c>
      <c r="K984">
        <v>0</v>
      </c>
      <c r="L984" t="s">
        <v>181</v>
      </c>
      <c r="M984">
        <v>0.97</v>
      </c>
      <c r="N984" t="s">
        <v>60</v>
      </c>
      <c r="O984" t="s">
        <v>25</v>
      </c>
      <c r="P984">
        <v>4</v>
      </c>
      <c r="Q984">
        <v>3</v>
      </c>
    </row>
    <row r="985" spans="1:17" x14ac:dyDescent="0.3">
      <c r="A985" t="s">
        <v>2065</v>
      </c>
      <c r="B985" t="s">
        <v>2066</v>
      </c>
      <c r="C985" t="s">
        <v>50</v>
      </c>
      <c r="D985" t="s">
        <v>97</v>
      </c>
      <c r="E985">
        <v>50</v>
      </c>
      <c r="F985" t="s">
        <v>19</v>
      </c>
      <c r="G985" t="s">
        <v>20</v>
      </c>
      <c r="H985" t="s">
        <v>66</v>
      </c>
      <c r="I985">
        <v>16</v>
      </c>
      <c r="J985" t="s">
        <v>192</v>
      </c>
      <c r="K985">
        <v>4.5</v>
      </c>
      <c r="L985" t="s">
        <v>23</v>
      </c>
      <c r="M985">
        <v>69</v>
      </c>
      <c r="N985" t="s">
        <v>88</v>
      </c>
      <c r="O985" t="s">
        <v>42</v>
      </c>
      <c r="P985">
        <v>15</v>
      </c>
      <c r="Q985">
        <v>11</v>
      </c>
    </row>
    <row r="986" spans="1:17" x14ac:dyDescent="0.3">
      <c r="A986" t="s">
        <v>2067</v>
      </c>
      <c r="B986" t="s">
        <v>2068</v>
      </c>
      <c r="C986" t="s">
        <v>63</v>
      </c>
      <c r="D986" t="s">
        <v>118</v>
      </c>
      <c r="E986">
        <v>48</v>
      </c>
      <c r="F986" t="s">
        <v>175</v>
      </c>
      <c r="G986" t="s">
        <v>176</v>
      </c>
      <c r="H986" t="s">
        <v>46</v>
      </c>
      <c r="I986">
        <v>8</v>
      </c>
      <c r="J986" t="s">
        <v>40</v>
      </c>
      <c r="L986" t="s">
        <v>33</v>
      </c>
      <c r="M986">
        <v>0.73</v>
      </c>
      <c r="N986" t="s">
        <v>60</v>
      </c>
      <c r="O986" t="s">
        <v>34</v>
      </c>
      <c r="P986">
        <v>6</v>
      </c>
      <c r="Q986">
        <v>7</v>
      </c>
    </row>
    <row r="987" spans="1:17" x14ac:dyDescent="0.3">
      <c r="A987" t="s">
        <v>2069</v>
      </c>
      <c r="B987" t="s">
        <v>2070</v>
      </c>
      <c r="C987" t="s">
        <v>63</v>
      </c>
      <c r="D987" t="s">
        <v>118</v>
      </c>
      <c r="E987">
        <v>60</v>
      </c>
      <c r="F987" t="s">
        <v>212</v>
      </c>
      <c r="G987" t="s">
        <v>92</v>
      </c>
      <c r="H987" t="s">
        <v>21</v>
      </c>
      <c r="I987">
        <v>39</v>
      </c>
      <c r="J987" t="s">
        <v>162</v>
      </c>
      <c r="K987">
        <v>1.4</v>
      </c>
      <c r="L987" t="s">
        <v>74</v>
      </c>
      <c r="M987">
        <v>0.86</v>
      </c>
      <c r="N987" t="s">
        <v>60</v>
      </c>
      <c r="O987" t="s">
        <v>25</v>
      </c>
      <c r="P987">
        <v>20</v>
      </c>
      <c r="Q987">
        <v>12</v>
      </c>
    </row>
    <row r="988" spans="1:17" x14ac:dyDescent="0.3">
      <c r="A988" t="s">
        <v>2071</v>
      </c>
      <c r="B988" t="s">
        <v>2072</v>
      </c>
      <c r="C988" t="s">
        <v>118</v>
      </c>
      <c r="D988" t="s">
        <v>118</v>
      </c>
      <c r="E988">
        <v>26</v>
      </c>
      <c r="F988" t="s">
        <v>160</v>
      </c>
      <c r="G988" t="s">
        <v>161</v>
      </c>
      <c r="H988" t="s">
        <v>135</v>
      </c>
      <c r="J988" t="s">
        <v>40</v>
      </c>
      <c r="K988">
        <v>0</v>
      </c>
      <c r="L988" t="s">
        <v>87</v>
      </c>
      <c r="M988">
        <v>81</v>
      </c>
      <c r="N988" t="s">
        <v>24</v>
      </c>
      <c r="O988" t="s">
        <v>34</v>
      </c>
      <c r="P988">
        <v>4</v>
      </c>
      <c r="Q988">
        <v>1</v>
      </c>
    </row>
    <row r="989" spans="1:17" x14ac:dyDescent="0.3">
      <c r="A989" t="s">
        <v>2073</v>
      </c>
      <c r="B989" t="s">
        <v>2074</v>
      </c>
      <c r="C989" t="s">
        <v>28</v>
      </c>
      <c r="D989" t="s">
        <v>97</v>
      </c>
      <c r="E989">
        <v>35</v>
      </c>
      <c r="F989" t="s">
        <v>133</v>
      </c>
      <c r="G989" t="s">
        <v>134</v>
      </c>
      <c r="H989" t="s">
        <v>39</v>
      </c>
      <c r="I989">
        <v>16</v>
      </c>
      <c r="J989" t="s">
        <v>32</v>
      </c>
      <c r="K989">
        <v>4.3</v>
      </c>
      <c r="L989" t="s">
        <v>33</v>
      </c>
      <c r="M989">
        <v>0.74</v>
      </c>
      <c r="N989" t="s">
        <v>88</v>
      </c>
      <c r="O989" t="s">
        <v>42</v>
      </c>
      <c r="P989">
        <v>13</v>
      </c>
      <c r="Q989">
        <v>3</v>
      </c>
    </row>
    <row r="990" spans="1:17" x14ac:dyDescent="0.3">
      <c r="A990" t="s">
        <v>2075</v>
      </c>
      <c r="B990" t="s">
        <v>2076</v>
      </c>
      <c r="C990" t="s">
        <v>118</v>
      </c>
      <c r="D990" t="s">
        <v>118</v>
      </c>
      <c r="E990">
        <v>23</v>
      </c>
      <c r="F990" t="s">
        <v>73</v>
      </c>
      <c r="G990" t="s">
        <v>30</v>
      </c>
      <c r="H990" t="s">
        <v>21</v>
      </c>
      <c r="I990">
        <v>4</v>
      </c>
      <c r="J990" t="s">
        <v>251</v>
      </c>
      <c r="K990">
        <v>2.2000000000000002</v>
      </c>
      <c r="L990" t="s">
        <v>33</v>
      </c>
      <c r="M990">
        <v>64</v>
      </c>
      <c r="N990" t="s">
        <v>88</v>
      </c>
      <c r="O990" t="s">
        <v>25</v>
      </c>
      <c r="P990">
        <v>2</v>
      </c>
      <c r="Q990">
        <v>3</v>
      </c>
    </row>
    <row r="991" spans="1:17" x14ac:dyDescent="0.3">
      <c r="A991" t="s">
        <v>2077</v>
      </c>
      <c r="B991" t="s">
        <v>2078</v>
      </c>
      <c r="C991" t="s">
        <v>118</v>
      </c>
      <c r="D991" t="s">
        <v>118</v>
      </c>
      <c r="E991">
        <v>37</v>
      </c>
      <c r="F991" t="s">
        <v>29</v>
      </c>
      <c r="G991" t="s">
        <v>30</v>
      </c>
      <c r="H991" t="s">
        <v>39</v>
      </c>
      <c r="I991">
        <v>4</v>
      </c>
      <c r="J991" t="s">
        <v>103</v>
      </c>
      <c r="K991">
        <v>3.2</v>
      </c>
      <c r="L991" t="s">
        <v>59</v>
      </c>
      <c r="M991">
        <v>0.76</v>
      </c>
      <c r="N991" t="s">
        <v>82</v>
      </c>
      <c r="O991" t="s">
        <v>42</v>
      </c>
      <c r="P991">
        <v>5</v>
      </c>
      <c r="Q991">
        <v>1</v>
      </c>
    </row>
    <row r="992" spans="1:17" x14ac:dyDescent="0.3">
      <c r="A992" t="s">
        <v>2079</v>
      </c>
      <c r="B992" t="s">
        <v>2080</v>
      </c>
      <c r="C992" t="s">
        <v>28</v>
      </c>
      <c r="D992" t="s">
        <v>97</v>
      </c>
      <c r="E992">
        <v>21</v>
      </c>
      <c r="F992" t="s">
        <v>91</v>
      </c>
      <c r="G992" t="s">
        <v>92</v>
      </c>
      <c r="H992" t="s">
        <v>57</v>
      </c>
      <c r="I992">
        <v>2</v>
      </c>
      <c r="J992" t="s">
        <v>22</v>
      </c>
      <c r="K992">
        <v>3.7</v>
      </c>
      <c r="L992" t="s">
        <v>87</v>
      </c>
      <c r="M992">
        <v>73</v>
      </c>
      <c r="N992" t="s">
        <v>88</v>
      </c>
      <c r="O992" t="s">
        <v>34</v>
      </c>
      <c r="P992">
        <v>2</v>
      </c>
      <c r="Q992">
        <v>3</v>
      </c>
    </row>
    <row r="993" spans="1:17" x14ac:dyDescent="0.3">
      <c r="A993" t="s">
        <v>2081</v>
      </c>
      <c r="B993" t="s">
        <v>2082</v>
      </c>
      <c r="C993" t="s">
        <v>28</v>
      </c>
      <c r="D993" t="s">
        <v>97</v>
      </c>
      <c r="E993">
        <v>58</v>
      </c>
      <c r="F993" t="s">
        <v>38</v>
      </c>
      <c r="G993" t="s">
        <v>38</v>
      </c>
      <c r="H993" t="s">
        <v>93</v>
      </c>
      <c r="I993">
        <v>37</v>
      </c>
      <c r="J993" t="s">
        <v>119</v>
      </c>
      <c r="K993">
        <v>4.9000000000000004</v>
      </c>
      <c r="L993" t="s">
        <v>59</v>
      </c>
      <c r="M993">
        <v>0.69</v>
      </c>
      <c r="N993" t="s">
        <v>88</v>
      </c>
      <c r="O993" t="s">
        <v>34</v>
      </c>
      <c r="P993">
        <v>16</v>
      </c>
      <c r="Q993">
        <v>2</v>
      </c>
    </row>
    <row r="994" spans="1:17" x14ac:dyDescent="0.3">
      <c r="A994" t="s">
        <v>2083</v>
      </c>
      <c r="B994" t="s">
        <v>2084</v>
      </c>
      <c r="C994" t="s">
        <v>97</v>
      </c>
      <c r="D994" t="s">
        <v>97</v>
      </c>
      <c r="E994">
        <v>52</v>
      </c>
      <c r="F994" t="s">
        <v>64</v>
      </c>
      <c r="G994" t="s">
        <v>65</v>
      </c>
      <c r="H994" t="s">
        <v>31</v>
      </c>
      <c r="I994">
        <v>32</v>
      </c>
      <c r="J994" t="s">
        <v>192</v>
      </c>
      <c r="K994">
        <v>3.2</v>
      </c>
      <c r="L994" t="s">
        <v>23</v>
      </c>
      <c r="M994">
        <v>0.79</v>
      </c>
      <c r="N994" t="s">
        <v>82</v>
      </c>
      <c r="O994" t="s">
        <v>42</v>
      </c>
      <c r="P994">
        <v>20</v>
      </c>
      <c r="Q994">
        <v>7</v>
      </c>
    </row>
    <row r="995" spans="1:17" x14ac:dyDescent="0.3">
      <c r="A995" t="s">
        <v>2085</v>
      </c>
      <c r="B995" t="s">
        <v>2086</v>
      </c>
      <c r="C995" t="s">
        <v>37</v>
      </c>
      <c r="D995" t="s">
        <v>118</v>
      </c>
      <c r="E995">
        <v>46</v>
      </c>
      <c r="F995" t="s">
        <v>145</v>
      </c>
      <c r="G995" t="s">
        <v>146</v>
      </c>
      <c r="H995" t="s">
        <v>31</v>
      </c>
      <c r="I995">
        <v>8</v>
      </c>
      <c r="J995" t="s">
        <v>162</v>
      </c>
      <c r="K995">
        <v>2.2000000000000002</v>
      </c>
      <c r="L995" t="s">
        <v>51</v>
      </c>
      <c r="M995">
        <v>89</v>
      </c>
      <c r="N995" t="s">
        <v>88</v>
      </c>
      <c r="O995" t="s">
        <v>25</v>
      </c>
      <c r="P995">
        <v>7</v>
      </c>
      <c r="Q995">
        <v>13</v>
      </c>
    </row>
    <row r="996" spans="1:17" x14ac:dyDescent="0.3">
      <c r="A996" t="s">
        <v>2087</v>
      </c>
      <c r="B996" t="s">
        <v>2088</v>
      </c>
      <c r="C996" t="s">
        <v>97</v>
      </c>
      <c r="D996" t="s">
        <v>97</v>
      </c>
      <c r="E996">
        <v>34</v>
      </c>
      <c r="F996" t="s">
        <v>175</v>
      </c>
      <c r="G996" t="s">
        <v>176</v>
      </c>
      <c r="H996" t="s">
        <v>110</v>
      </c>
      <c r="I996">
        <v>8</v>
      </c>
      <c r="J996" t="s">
        <v>52</v>
      </c>
      <c r="K996">
        <v>3.9</v>
      </c>
      <c r="L996" t="s">
        <v>94</v>
      </c>
      <c r="M996">
        <v>0.95</v>
      </c>
      <c r="N996" t="s">
        <v>88</v>
      </c>
      <c r="O996" t="s">
        <v>42</v>
      </c>
      <c r="P996">
        <v>10</v>
      </c>
      <c r="Q996">
        <v>3</v>
      </c>
    </row>
    <row r="997" spans="1:17" x14ac:dyDescent="0.3">
      <c r="A997" t="s">
        <v>2089</v>
      </c>
      <c r="B997" t="s">
        <v>2090</v>
      </c>
      <c r="C997" t="s">
        <v>118</v>
      </c>
      <c r="D997" t="s">
        <v>118</v>
      </c>
      <c r="E997">
        <v>56</v>
      </c>
      <c r="F997" t="s">
        <v>79</v>
      </c>
      <c r="G997" t="s">
        <v>80</v>
      </c>
      <c r="H997" t="s">
        <v>110</v>
      </c>
      <c r="I997">
        <v>13</v>
      </c>
      <c r="J997" t="s">
        <v>22</v>
      </c>
      <c r="K997">
        <v>0</v>
      </c>
      <c r="L997" t="s">
        <v>181</v>
      </c>
      <c r="M997">
        <v>0.68</v>
      </c>
      <c r="N997" t="s">
        <v>88</v>
      </c>
      <c r="O997" t="s">
        <v>34</v>
      </c>
      <c r="P997">
        <v>8</v>
      </c>
      <c r="Q997">
        <v>3</v>
      </c>
    </row>
    <row r="998" spans="1:17" x14ac:dyDescent="0.3">
      <c r="A998" t="s">
        <v>2091</v>
      </c>
      <c r="B998" t="s">
        <v>2092</v>
      </c>
      <c r="C998" t="s">
        <v>18</v>
      </c>
      <c r="D998" t="s">
        <v>97</v>
      </c>
      <c r="E998">
        <v>26</v>
      </c>
      <c r="F998" t="s">
        <v>38</v>
      </c>
      <c r="G998" t="s">
        <v>38</v>
      </c>
      <c r="H998" t="s">
        <v>21</v>
      </c>
      <c r="I998">
        <v>6</v>
      </c>
      <c r="J998" t="s">
        <v>70</v>
      </c>
      <c r="K998">
        <v>2.8</v>
      </c>
      <c r="L998" t="s">
        <v>41</v>
      </c>
      <c r="M998">
        <v>82</v>
      </c>
      <c r="N998" t="s">
        <v>88</v>
      </c>
      <c r="O998" t="s">
        <v>42</v>
      </c>
      <c r="P998">
        <v>6</v>
      </c>
      <c r="Q998">
        <v>11</v>
      </c>
    </row>
    <row r="999" spans="1:17" x14ac:dyDescent="0.3">
      <c r="A999" t="s">
        <v>2093</v>
      </c>
      <c r="B999" t="s">
        <v>2094</v>
      </c>
      <c r="C999" t="s">
        <v>50</v>
      </c>
      <c r="D999" t="s">
        <v>97</v>
      </c>
      <c r="E999">
        <v>37</v>
      </c>
      <c r="F999" t="s">
        <v>106</v>
      </c>
      <c r="G999" t="s">
        <v>107</v>
      </c>
      <c r="H999" t="s">
        <v>66</v>
      </c>
      <c r="I999">
        <v>15</v>
      </c>
      <c r="J999" t="s">
        <v>103</v>
      </c>
      <c r="L999" t="s">
        <v>59</v>
      </c>
      <c r="M999">
        <v>0.94</v>
      </c>
      <c r="N999" t="s">
        <v>82</v>
      </c>
      <c r="O999" t="s">
        <v>34</v>
      </c>
      <c r="P999">
        <v>14</v>
      </c>
      <c r="Q999">
        <v>12</v>
      </c>
    </row>
    <row r="1000" spans="1:17" x14ac:dyDescent="0.3">
      <c r="A1000" t="s">
        <v>2095</v>
      </c>
      <c r="B1000" t="s">
        <v>2096</v>
      </c>
      <c r="C1000" t="s">
        <v>63</v>
      </c>
      <c r="D1000" t="s">
        <v>118</v>
      </c>
      <c r="E1000">
        <v>46</v>
      </c>
      <c r="F1000" t="s">
        <v>145</v>
      </c>
      <c r="G1000" t="s">
        <v>146</v>
      </c>
      <c r="H1000" t="s">
        <v>135</v>
      </c>
      <c r="I1000">
        <v>22</v>
      </c>
      <c r="J1000" t="s">
        <v>22</v>
      </c>
      <c r="K1000">
        <v>2.8</v>
      </c>
      <c r="L1000" t="s">
        <v>87</v>
      </c>
      <c r="M1000">
        <v>97</v>
      </c>
      <c r="N1000" t="s">
        <v>88</v>
      </c>
      <c r="O1000" t="s">
        <v>42</v>
      </c>
      <c r="P1000">
        <v>12</v>
      </c>
      <c r="Q1000">
        <v>6</v>
      </c>
    </row>
    <row r="1001" spans="1:17" x14ac:dyDescent="0.3">
      <c r="A1001" t="s">
        <v>2097</v>
      </c>
      <c r="B1001" t="s">
        <v>2098</v>
      </c>
      <c r="C1001" t="s">
        <v>97</v>
      </c>
      <c r="D1001" t="s">
        <v>97</v>
      </c>
      <c r="E1001">
        <v>36</v>
      </c>
      <c r="F1001" t="s">
        <v>201</v>
      </c>
      <c r="G1001" t="s">
        <v>92</v>
      </c>
      <c r="H1001" t="s">
        <v>93</v>
      </c>
      <c r="I1001">
        <v>18</v>
      </c>
      <c r="J1001" t="s">
        <v>142</v>
      </c>
      <c r="K1001">
        <v>1.7</v>
      </c>
      <c r="L1001" t="s">
        <v>33</v>
      </c>
      <c r="M1001">
        <v>72</v>
      </c>
      <c r="N1001" t="s">
        <v>88</v>
      </c>
      <c r="O1001" t="s">
        <v>25</v>
      </c>
      <c r="P1001">
        <v>15</v>
      </c>
      <c r="Q1001">
        <v>14</v>
      </c>
    </row>
    <row r="1002" spans="1:17" x14ac:dyDescent="0.3">
      <c r="A1002" t="s">
        <v>51</v>
      </c>
      <c r="B1002" t="s">
        <v>51</v>
      </c>
      <c r="C1002" t="s">
        <v>51</v>
      </c>
      <c r="F1002" t="s">
        <v>51</v>
      </c>
      <c r="G1002" t="s">
        <v>51</v>
      </c>
      <c r="H1002" t="s">
        <v>51</v>
      </c>
      <c r="J1002" t="s">
        <v>51</v>
      </c>
      <c r="L1002" t="s">
        <v>51</v>
      </c>
      <c r="N1002" t="s">
        <v>51</v>
      </c>
      <c r="O1002" t="s">
        <v>51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BFB17-23C1-41BF-AD40-BDA5FAA416E6}">
  <dimension ref="A1:R1001"/>
  <sheetViews>
    <sheetView topLeftCell="D1" zoomScaleNormal="100" workbookViewId="0">
      <selection activeCell="P3" sqref="P3"/>
    </sheetView>
  </sheetViews>
  <sheetFormatPr defaultRowHeight="14.4" x14ac:dyDescent="0.3"/>
  <cols>
    <col min="1" max="1" width="14.109375" bestFit="1" customWidth="1"/>
    <col min="2" max="2" width="22.77734375" bestFit="1" customWidth="1"/>
    <col min="3" max="3" width="9.33203125" bestFit="1" customWidth="1"/>
    <col min="4" max="4" width="8.77734375" style="2" bestFit="1" customWidth="1"/>
    <col min="5" max="5" width="10.88671875" bestFit="1" customWidth="1"/>
    <col min="6" max="6" width="11.33203125" bestFit="1" customWidth="1"/>
    <col min="7" max="7" width="21.44140625" style="2" bestFit="1" customWidth="1"/>
    <col min="8" max="8" width="18.5546875" style="2" bestFit="1" customWidth="1"/>
    <col min="9" max="9" width="16.33203125" style="2" bestFit="1" customWidth="1"/>
    <col min="10" max="11" width="13.5546875" style="2" bestFit="1" customWidth="1"/>
    <col min="12" max="12" width="17.5546875" style="2" bestFit="1" customWidth="1"/>
    <col min="13" max="13" width="9.109375" style="2" bestFit="1" customWidth="1"/>
    <col min="14" max="14" width="9.88671875" style="2" bestFit="1" customWidth="1"/>
    <col min="15" max="15" width="13.44140625" style="2" bestFit="1" customWidth="1"/>
    <col min="16" max="16" width="15.109375" style="2" bestFit="1" customWidth="1"/>
    <col min="17" max="17" width="15.44140625" style="2" bestFit="1" customWidth="1"/>
    <col min="18" max="18" width="8.88671875" style="2"/>
  </cols>
  <sheetData>
    <row r="1" spans="1:17" x14ac:dyDescent="0.3">
      <c r="A1" s="5" t="s">
        <v>2116</v>
      </c>
      <c r="B1" s="5" t="s">
        <v>2105</v>
      </c>
      <c r="C1" s="5" t="s">
        <v>2106</v>
      </c>
      <c r="D1" s="6" t="s">
        <v>2107</v>
      </c>
      <c r="E1" s="5" t="s">
        <v>2108</v>
      </c>
      <c r="F1" s="5" t="s">
        <v>2109</v>
      </c>
      <c r="G1" s="6" t="s">
        <v>2110</v>
      </c>
      <c r="H1" s="6" t="s">
        <v>2111</v>
      </c>
      <c r="I1" s="6" t="s">
        <v>2112</v>
      </c>
      <c r="J1" s="6" t="s">
        <v>2113</v>
      </c>
      <c r="K1" s="6" t="s">
        <v>2114</v>
      </c>
      <c r="L1" s="6" t="s">
        <v>2115</v>
      </c>
      <c r="M1" s="6" t="s">
        <v>12</v>
      </c>
      <c r="N1" s="6" t="s">
        <v>13</v>
      </c>
      <c r="O1" s="6" t="s">
        <v>2117</v>
      </c>
      <c r="P1" s="6" t="s">
        <v>2142</v>
      </c>
      <c r="Q1" s="6" t="s">
        <v>2118</v>
      </c>
    </row>
    <row r="2" spans="1:17" x14ac:dyDescent="0.3">
      <c r="A2" t="s">
        <v>16</v>
      </c>
      <c r="B2" t="s">
        <v>17</v>
      </c>
      <c r="C2" t="s">
        <v>97</v>
      </c>
      <c r="D2" s="2">
        <v>52</v>
      </c>
      <c r="E2" t="s">
        <v>19</v>
      </c>
      <c r="F2" t="s">
        <v>20</v>
      </c>
      <c r="G2" s="2" t="s">
        <v>21</v>
      </c>
      <c r="H2" s="2">
        <v>11</v>
      </c>
      <c r="I2" s="2" t="s">
        <v>22</v>
      </c>
      <c r="J2" s="2" t="s">
        <v>2120</v>
      </c>
      <c r="K2" s="2" t="s">
        <v>23</v>
      </c>
      <c r="L2" s="2" t="s">
        <v>2120</v>
      </c>
      <c r="M2" s="2" t="s">
        <v>24</v>
      </c>
      <c r="N2" s="2" t="s">
        <v>25</v>
      </c>
      <c r="O2" s="2">
        <v>13</v>
      </c>
      <c r="P2" s="2" t="str">
        <f>IF(global_freelancer_raw[[#This Row],[No of projects ]]&lt;=5,"Entry level","Well Experienced")</f>
        <v>Well Experienced</v>
      </c>
      <c r="Q2" s="2">
        <v>6</v>
      </c>
    </row>
    <row r="3" spans="1:17" x14ac:dyDescent="0.3">
      <c r="A3" t="s">
        <v>26</v>
      </c>
      <c r="B3" t="s">
        <v>27</v>
      </c>
      <c r="C3" t="s">
        <v>97</v>
      </c>
      <c r="D3" s="2">
        <v>52</v>
      </c>
      <c r="E3" t="s">
        <v>29</v>
      </c>
      <c r="F3" t="s">
        <v>30</v>
      </c>
      <c r="G3" s="2" t="s">
        <v>31</v>
      </c>
      <c r="H3" s="2">
        <v>34</v>
      </c>
      <c r="I3" s="2" t="s">
        <v>32</v>
      </c>
      <c r="J3" s="2">
        <v>3.3</v>
      </c>
      <c r="K3" s="2" t="s">
        <v>33</v>
      </c>
      <c r="L3" s="2">
        <v>0.84</v>
      </c>
      <c r="M3" s="2" t="s">
        <v>24</v>
      </c>
      <c r="N3" s="2" t="s">
        <v>34</v>
      </c>
      <c r="O3" s="2">
        <v>10</v>
      </c>
      <c r="P3" s="2" t="str">
        <f>IF(global_freelancer_raw[[#This Row],[No of projects ]]&lt;=5,"Entry level","Well Experienced")</f>
        <v>Well Experienced</v>
      </c>
      <c r="Q3" s="2">
        <v>7</v>
      </c>
    </row>
    <row r="4" spans="1:17" x14ac:dyDescent="0.3">
      <c r="A4" t="s">
        <v>35</v>
      </c>
      <c r="B4" t="s">
        <v>36</v>
      </c>
      <c r="C4" t="s">
        <v>118</v>
      </c>
      <c r="D4" s="2">
        <v>53</v>
      </c>
      <c r="E4" t="s">
        <v>38</v>
      </c>
      <c r="F4" t="s">
        <v>38</v>
      </c>
      <c r="G4" s="2" t="s">
        <v>39</v>
      </c>
      <c r="H4" s="2">
        <v>31</v>
      </c>
      <c r="I4" s="2" t="s">
        <v>40</v>
      </c>
      <c r="J4" s="2">
        <v>0</v>
      </c>
      <c r="K4" s="2" t="s">
        <v>41</v>
      </c>
      <c r="L4" s="2">
        <v>0.71</v>
      </c>
      <c r="M4" s="2" t="s">
        <v>24</v>
      </c>
      <c r="N4" s="2" t="s">
        <v>42</v>
      </c>
      <c r="O4" s="2">
        <v>16</v>
      </c>
      <c r="P4" s="2" t="str">
        <f>IF(global_freelancer_raw[[#This Row],[No of projects ]]&lt;=5,"Entry level","Well Experienced")</f>
        <v>Well Experienced</v>
      </c>
      <c r="Q4" s="2">
        <v>16</v>
      </c>
    </row>
    <row r="5" spans="1:17" x14ac:dyDescent="0.3">
      <c r="A5" t="s">
        <v>43</v>
      </c>
      <c r="B5" t="s">
        <v>44</v>
      </c>
      <c r="C5" t="s">
        <v>97</v>
      </c>
      <c r="D5" s="2">
        <v>38</v>
      </c>
      <c r="E5" t="s">
        <v>29</v>
      </c>
      <c r="F5" t="s">
        <v>30</v>
      </c>
      <c r="G5" s="2" t="s">
        <v>46</v>
      </c>
      <c r="H5" s="2">
        <v>4</v>
      </c>
      <c r="I5" s="2" t="s">
        <v>47</v>
      </c>
      <c r="J5" s="2">
        <v>1.5</v>
      </c>
      <c r="K5" s="2" t="s">
        <v>41</v>
      </c>
      <c r="L5" s="2">
        <v>0.9</v>
      </c>
      <c r="M5" s="2" t="s">
        <v>24</v>
      </c>
      <c r="N5" s="2" t="s">
        <v>34</v>
      </c>
      <c r="O5" s="2">
        <v>5</v>
      </c>
      <c r="P5" s="2" t="str">
        <f>IF(global_freelancer_raw[[#This Row],[No of projects ]]&lt;=5,"Entry level","Well Experienced")</f>
        <v>Entry level</v>
      </c>
      <c r="Q5" s="2">
        <v>1</v>
      </c>
    </row>
    <row r="6" spans="1:17" x14ac:dyDescent="0.3">
      <c r="A6" t="s">
        <v>48</v>
      </c>
      <c r="B6" t="s">
        <v>49</v>
      </c>
      <c r="C6" t="s">
        <v>97</v>
      </c>
      <c r="D6" s="2">
        <v>53</v>
      </c>
      <c r="E6" t="s">
        <v>38</v>
      </c>
      <c r="F6" t="s">
        <v>38</v>
      </c>
      <c r="G6" s="2" t="s">
        <v>2120</v>
      </c>
      <c r="H6" s="2">
        <v>27</v>
      </c>
      <c r="I6" s="2" t="s">
        <v>52</v>
      </c>
      <c r="J6" s="2">
        <v>4.8</v>
      </c>
      <c r="K6" s="2" t="s">
        <v>23</v>
      </c>
      <c r="L6" s="2">
        <v>0.83</v>
      </c>
      <c r="M6" s="2" t="s">
        <v>24</v>
      </c>
      <c r="N6" s="2" t="s">
        <v>25</v>
      </c>
      <c r="O6" s="2">
        <v>13</v>
      </c>
      <c r="P6" s="2" t="str">
        <f>IF(global_freelancer_raw[[#This Row],[No of projects ]]&lt;=5,"Entry level","Well Experienced")</f>
        <v>Well Experienced</v>
      </c>
      <c r="Q6" s="2">
        <v>3</v>
      </c>
    </row>
    <row r="7" spans="1:17" x14ac:dyDescent="0.3">
      <c r="A7" t="s">
        <v>53</v>
      </c>
      <c r="B7" t="s">
        <v>54</v>
      </c>
      <c r="C7" t="s">
        <v>97</v>
      </c>
      <c r="D7" s="2">
        <v>59</v>
      </c>
      <c r="E7" t="s">
        <v>55</v>
      </c>
      <c r="F7" t="s">
        <v>56</v>
      </c>
      <c r="G7" s="2" t="s">
        <v>57</v>
      </c>
      <c r="H7" s="2">
        <v>14</v>
      </c>
      <c r="I7" s="2" t="s">
        <v>58</v>
      </c>
      <c r="J7" s="2">
        <v>2.4</v>
      </c>
      <c r="K7" s="2" t="s">
        <v>59</v>
      </c>
      <c r="L7" s="2" t="s">
        <v>2120</v>
      </c>
      <c r="M7" s="2" t="s">
        <v>60</v>
      </c>
      <c r="N7" s="2" t="s">
        <v>42</v>
      </c>
      <c r="O7" s="2">
        <v>8</v>
      </c>
      <c r="P7" s="2" t="str">
        <f>IF(global_freelancer_raw[[#This Row],[No of projects ]]&lt;=5,"Entry level","Well Experienced")</f>
        <v>Well Experienced</v>
      </c>
      <c r="Q7" s="2">
        <v>3</v>
      </c>
    </row>
    <row r="8" spans="1:17" x14ac:dyDescent="0.3">
      <c r="A8" t="s">
        <v>61</v>
      </c>
      <c r="B8" t="s">
        <v>62</v>
      </c>
      <c r="C8" t="s">
        <v>118</v>
      </c>
      <c r="D8" s="2">
        <v>52</v>
      </c>
      <c r="E8" t="s">
        <v>64</v>
      </c>
      <c r="F8" t="s">
        <v>65</v>
      </c>
      <c r="G8" s="2" t="s">
        <v>66</v>
      </c>
      <c r="H8" s="2">
        <v>10</v>
      </c>
      <c r="I8" s="2" t="s">
        <v>67</v>
      </c>
      <c r="J8" s="2">
        <v>3.1</v>
      </c>
      <c r="K8" s="2" t="s">
        <v>23</v>
      </c>
      <c r="L8" s="2">
        <v>0.94</v>
      </c>
      <c r="M8" s="2" t="s">
        <v>24</v>
      </c>
      <c r="N8" s="2" t="s">
        <v>25</v>
      </c>
      <c r="O8" s="2">
        <v>10</v>
      </c>
      <c r="P8" s="2" t="str">
        <f>IF(global_freelancer_raw[[#This Row],[No of projects ]]&lt;=5,"Entry level","Well Experienced")</f>
        <v>Well Experienced</v>
      </c>
      <c r="Q8" s="2">
        <v>3</v>
      </c>
    </row>
    <row r="9" spans="1:17" x14ac:dyDescent="0.3">
      <c r="A9" t="s">
        <v>68</v>
      </c>
      <c r="B9" t="s">
        <v>69</v>
      </c>
      <c r="C9" t="s">
        <v>118</v>
      </c>
      <c r="D9" s="2">
        <v>43</v>
      </c>
      <c r="E9" t="s">
        <v>19</v>
      </c>
      <c r="F9" t="s">
        <v>20</v>
      </c>
      <c r="G9" s="2" t="s">
        <v>21</v>
      </c>
      <c r="H9" s="2">
        <v>14</v>
      </c>
      <c r="I9" s="2" t="s">
        <v>70</v>
      </c>
      <c r="J9" s="2">
        <v>4.5999999999999996</v>
      </c>
      <c r="K9" s="2" t="s">
        <v>59</v>
      </c>
      <c r="L9" s="2">
        <v>0.94</v>
      </c>
      <c r="M9" s="2" t="s">
        <v>60</v>
      </c>
      <c r="N9" s="2" t="s">
        <v>25</v>
      </c>
      <c r="O9" s="2">
        <v>7</v>
      </c>
      <c r="P9" s="2" t="str">
        <f>IF(global_freelancer_raw[[#This Row],[No of projects ]]&lt;=5,"Entry level","Well Experienced")</f>
        <v>Well Experienced</v>
      </c>
      <c r="Q9" s="2">
        <v>10</v>
      </c>
    </row>
    <row r="10" spans="1:17" x14ac:dyDescent="0.3">
      <c r="A10" t="s">
        <v>71</v>
      </c>
      <c r="B10" t="s">
        <v>72</v>
      </c>
      <c r="C10" t="s">
        <v>118</v>
      </c>
      <c r="D10" s="2">
        <v>26</v>
      </c>
      <c r="E10" t="s">
        <v>73</v>
      </c>
      <c r="F10" t="s">
        <v>30</v>
      </c>
      <c r="G10" s="2" t="s">
        <v>21</v>
      </c>
      <c r="H10" s="2">
        <v>4</v>
      </c>
      <c r="I10" s="2" t="s">
        <v>2119</v>
      </c>
      <c r="J10" s="2">
        <v>4</v>
      </c>
      <c r="K10" s="2" t="s">
        <v>74</v>
      </c>
      <c r="L10" s="2">
        <v>0.76</v>
      </c>
      <c r="M10" s="2" t="s">
        <v>24</v>
      </c>
      <c r="N10" s="2" t="s">
        <v>75</v>
      </c>
      <c r="O10" s="2">
        <v>2</v>
      </c>
      <c r="P10" s="2" t="str">
        <f>IF(global_freelancer_raw[[#This Row],[No of projects ]]&lt;=5,"Entry level","Well Experienced")</f>
        <v>Entry level</v>
      </c>
      <c r="Q10" s="2">
        <v>4</v>
      </c>
    </row>
    <row r="11" spans="1:17" x14ac:dyDescent="0.3">
      <c r="A11" t="s">
        <v>76</v>
      </c>
      <c r="B11" t="s">
        <v>77</v>
      </c>
      <c r="C11" t="s">
        <v>118</v>
      </c>
      <c r="D11" s="2">
        <v>52</v>
      </c>
      <c r="E11" t="s">
        <v>79</v>
      </c>
      <c r="F11" t="s">
        <v>80</v>
      </c>
      <c r="G11" s="2" t="s">
        <v>57</v>
      </c>
      <c r="H11" s="2">
        <v>22</v>
      </c>
      <c r="I11" s="2" t="s">
        <v>81</v>
      </c>
      <c r="J11" s="2" t="s">
        <v>2120</v>
      </c>
      <c r="K11" s="2" t="s">
        <v>33</v>
      </c>
      <c r="L11" s="2" t="s">
        <v>2120</v>
      </c>
      <c r="M11" s="2" t="s">
        <v>82</v>
      </c>
      <c r="N11" s="2" t="s">
        <v>42</v>
      </c>
      <c r="O11" s="2">
        <v>16</v>
      </c>
      <c r="P11" s="2" t="str">
        <f>IF(global_freelancer_raw[[#This Row],[No of projects ]]&lt;=5,"Entry level","Well Experienced")</f>
        <v>Well Experienced</v>
      </c>
      <c r="Q11" s="2">
        <v>5</v>
      </c>
    </row>
    <row r="12" spans="1:17" x14ac:dyDescent="0.3">
      <c r="A12" t="s">
        <v>83</v>
      </c>
      <c r="B12" t="s">
        <v>84</v>
      </c>
      <c r="C12" t="s">
        <v>118</v>
      </c>
      <c r="D12" s="2">
        <v>40</v>
      </c>
      <c r="E12" t="s">
        <v>85</v>
      </c>
      <c r="F12" t="s">
        <v>30</v>
      </c>
      <c r="G12" s="2" t="s">
        <v>66</v>
      </c>
      <c r="H12" s="2">
        <v>17</v>
      </c>
      <c r="I12" s="2" t="s">
        <v>86</v>
      </c>
      <c r="J12" s="2">
        <v>3.6</v>
      </c>
      <c r="K12" s="2" t="s">
        <v>87</v>
      </c>
      <c r="L12" s="2">
        <v>0.77</v>
      </c>
      <c r="M12" s="2" t="s">
        <v>88</v>
      </c>
      <c r="N12" s="2" t="s">
        <v>75</v>
      </c>
      <c r="O12" s="2">
        <v>20</v>
      </c>
      <c r="P12" s="2" t="str">
        <f>IF(global_freelancer_raw[[#This Row],[No of projects ]]&lt;=5,"Entry level","Well Experienced")</f>
        <v>Well Experienced</v>
      </c>
      <c r="Q12" s="2">
        <v>5</v>
      </c>
    </row>
    <row r="13" spans="1:17" x14ac:dyDescent="0.3">
      <c r="A13" t="s">
        <v>89</v>
      </c>
      <c r="B13" t="s">
        <v>90</v>
      </c>
      <c r="C13" t="s">
        <v>97</v>
      </c>
      <c r="D13" s="2">
        <v>55</v>
      </c>
      <c r="E13" t="s">
        <v>91</v>
      </c>
      <c r="F13" t="s">
        <v>92</v>
      </c>
      <c r="G13" s="2" t="s">
        <v>93</v>
      </c>
      <c r="H13" s="2">
        <v>15</v>
      </c>
      <c r="I13" s="2" t="s">
        <v>2119</v>
      </c>
      <c r="J13" s="2" t="s">
        <v>2120</v>
      </c>
      <c r="K13" s="2" t="s">
        <v>94</v>
      </c>
      <c r="L13" s="2">
        <v>0.86</v>
      </c>
      <c r="M13" s="2" t="s">
        <v>60</v>
      </c>
      <c r="N13" s="2" t="s">
        <v>42</v>
      </c>
      <c r="O13" s="2">
        <v>13</v>
      </c>
      <c r="P13" s="2" t="str">
        <f>IF(global_freelancer_raw[[#This Row],[No of projects ]]&lt;=5,"Entry level","Well Experienced")</f>
        <v>Well Experienced</v>
      </c>
      <c r="Q13" s="2">
        <v>4</v>
      </c>
    </row>
    <row r="14" spans="1:17" x14ac:dyDescent="0.3">
      <c r="A14" t="s">
        <v>95</v>
      </c>
      <c r="B14" t="s">
        <v>96</v>
      </c>
      <c r="C14" t="s">
        <v>97</v>
      </c>
      <c r="D14" s="2">
        <v>57</v>
      </c>
      <c r="E14" t="s">
        <v>85</v>
      </c>
      <c r="F14" t="s">
        <v>30</v>
      </c>
      <c r="G14" s="2" t="s">
        <v>98</v>
      </c>
      <c r="H14" s="2">
        <v>18</v>
      </c>
      <c r="I14" s="2" t="s">
        <v>2119</v>
      </c>
      <c r="J14" s="2">
        <v>2</v>
      </c>
      <c r="K14" s="2" t="s">
        <v>23</v>
      </c>
      <c r="L14" s="2">
        <v>0.86</v>
      </c>
      <c r="M14" s="2" t="s">
        <v>24</v>
      </c>
      <c r="N14" s="2" t="s">
        <v>25</v>
      </c>
      <c r="O14" s="2">
        <v>16</v>
      </c>
      <c r="P14" s="2" t="str">
        <f>IF(global_freelancer_raw[[#This Row],[No of projects ]]&lt;=5,"Entry level","Well Experienced")</f>
        <v>Well Experienced</v>
      </c>
      <c r="Q14" s="2">
        <v>15</v>
      </c>
    </row>
    <row r="15" spans="1:17" x14ac:dyDescent="0.3">
      <c r="A15" t="s">
        <v>99</v>
      </c>
      <c r="B15" t="s">
        <v>100</v>
      </c>
      <c r="C15" t="s">
        <v>118</v>
      </c>
      <c r="D15" s="2">
        <v>38</v>
      </c>
      <c r="E15" s="2" t="s">
        <v>2120</v>
      </c>
      <c r="F15" t="s">
        <v>92</v>
      </c>
      <c r="G15" s="2" t="s">
        <v>39</v>
      </c>
      <c r="H15" s="2">
        <v>20</v>
      </c>
      <c r="I15" s="2" t="s">
        <v>67</v>
      </c>
      <c r="J15" s="2">
        <v>2.9</v>
      </c>
      <c r="K15" s="2" t="s">
        <v>33</v>
      </c>
      <c r="L15" s="2">
        <v>0.93</v>
      </c>
      <c r="M15" s="2" t="s">
        <v>82</v>
      </c>
      <c r="N15" s="2" t="s">
        <v>25</v>
      </c>
      <c r="O15" s="2">
        <v>17</v>
      </c>
      <c r="P15" s="2" t="str">
        <f>IF(global_freelancer_raw[[#This Row],[No of projects ]]&lt;=5,"Entry level","Well Experienced")</f>
        <v>Well Experienced</v>
      </c>
      <c r="Q15" s="2">
        <v>12</v>
      </c>
    </row>
    <row r="16" spans="1:17" x14ac:dyDescent="0.3">
      <c r="A16" t="s">
        <v>101</v>
      </c>
      <c r="B16" t="s">
        <v>102</v>
      </c>
      <c r="C16" t="s">
        <v>118</v>
      </c>
      <c r="D16" s="2">
        <v>50</v>
      </c>
      <c r="E16" t="s">
        <v>38</v>
      </c>
      <c r="F16" t="s">
        <v>38</v>
      </c>
      <c r="G16" s="2" t="s">
        <v>66</v>
      </c>
      <c r="H16" s="2">
        <v>22</v>
      </c>
      <c r="I16" s="2" t="s">
        <v>103</v>
      </c>
      <c r="J16" s="2">
        <v>3.7</v>
      </c>
      <c r="K16" s="2" t="s">
        <v>33</v>
      </c>
      <c r="L16" s="2">
        <v>0.7</v>
      </c>
      <c r="M16" s="2" t="s">
        <v>88</v>
      </c>
      <c r="N16" s="2" t="s">
        <v>34</v>
      </c>
      <c r="O16" s="2">
        <v>14</v>
      </c>
      <c r="P16" s="2" t="str">
        <f>IF(global_freelancer_raw[[#This Row],[No of projects ]]&lt;=5,"Entry level","Well Experienced")</f>
        <v>Well Experienced</v>
      </c>
      <c r="Q16" s="2">
        <v>6</v>
      </c>
    </row>
    <row r="17" spans="1:17" x14ac:dyDescent="0.3">
      <c r="A17" t="s">
        <v>104</v>
      </c>
      <c r="B17" t="s">
        <v>105</v>
      </c>
      <c r="C17" t="s">
        <v>118</v>
      </c>
      <c r="D17" s="2">
        <v>42</v>
      </c>
      <c r="E17" t="s">
        <v>106</v>
      </c>
      <c r="F17" t="s">
        <v>107</v>
      </c>
      <c r="G17" s="2" t="s">
        <v>2120</v>
      </c>
      <c r="H17" s="2">
        <v>0</v>
      </c>
      <c r="I17" s="2" t="s">
        <v>58</v>
      </c>
      <c r="J17" s="2">
        <v>1.2</v>
      </c>
      <c r="K17" s="2" t="s">
        <v>23</v>
      </c>
      <c r="L17" s="2">
        <v>0.69</v>
      </c>
      <c r="M17" s="2" t="s">
        <v>60</v>
      </c>
      <c r="N17" s="2" t="s">
        <v>42</v>
      </c>
      <c r="O17" s="2">
        <v>5</v>
      </c>
      <c r="P17" s="2" t="str">
        <f>IF(global_freelancer_raw[[#This Row],[No of projects ]]&lt;=5,"Entry level","Well Experienced")</f>
        <v>Entry level</v>
      </c>
      <c r="Q17" s="2">
        <v>2</v>
      </c>
    </row>
    <row r="18" spans="1:17" x14ac:dyDescent="0.3">
      <c r="A18" t="s">
        <v>108</v>
      </c>
      <c r="B18" t="s">
        <v>109</v>
      </c>
      <c r="C18" t="s">
        <v>97</v>
      </c>
      <c r="D18" s="2">
        <v>39</v>
      </c>
      <c r="E18" t="s">
        <v>29</v>
      </c>
      <c r="F18" t="s">
        <v>30</v>
      </c>
      <c r="G18" s="2" t="s">
        <v>110</v>
      </c>
      <c r="H18" s="2">
        <v>13</v>
      </c>
      <c r="I18" s="2" t="s">
        <v>58</v>
      </c>
      <c r="J18" s="2">
        <v>2.5</v>
      </c>
      <c r="K18" s="2" t="s">
        <v>59</v>
      </c>
      <c r="L18" s="2">
        <v>0.6</v>
      </c>
      <c r="M18" s="2" t="s">
        <v>88</v>
      </c>
      <c r="N18" s="2" t="s">
        <v>75</v>
      </c>
      <c r="O18" s="2">
        <v>7</v>
      </c>
      <c r="P18" s="2" t="str">
        <f>IF(global_freelancer_raw[[#This Row],[No of projects ]]&lt;=5,"Entry level","Well Experienced")</f>
        <v>Well Experienced</v>
      </c>
      <c r="Q18" s="2">
        <v>1</v>
      </c>
    </row>
    <row r="19" spans="1:17" x14ac:dyDescent="0.3">
      <c r="A19" t="s">
        <v>111</v>
      </c>
      <c r="B19" t="s">
        <v>112</v>
      </c>
      <c r="C19" t="s">
        <v>118</v>
      </c>
      <c r="D19" s="2">
        <v>56</v>
      </c>
      <c r="E19" t="s">
        <v>114</v>
      </c>
      <c r="F19" t="s">
        <v>115</v>
      </c>
      <c r="G19" s="2" t="s">
        <v>21</v>
      </c>
      <c r="H19" s="2" t="s">
        <v>2120</v>
      </c>
      <c r="I19" s="2" t="s">
        <v>2119</v>
      </c>
      <c r="J19" s="2" t="s">
        <v>2120</v>
      </c>
      <c r="K19" s="2" t="s">
        <v>2120</v>
      </c>
      <c r="L19" s="2">
        <v>0.87</v>
      </c>
      <c r="M19" s="2" t="s">
        <v>82</v>
      </c>
      <c r="N19" s="2" t="s">
        <v>34</v>
      </c>
      <c r="O19" s="2">
        <v>1</v>
      </c>
      <c r="P19" s="2" t="str">
        <f>IF(global_freelancer_raw[[#This Row],[No of projects ]]&lt;=5,"Entry level","Well Experienced")</f>
        <v>Entry level</v>
      </c>
      <c r="Q19" s="2">
        <v>2</v>
      </c>
    </row>
    <row r="20" spans="1:17" x14ac:dyDescent="0.3">
      <c r="A20" t="s">
        <v>116</v>
      </c>
      <c r="B20" t="s">
        <v>117</v>
      </c>
      <c r="C20" t="s">
        <v>118</v>
      </c>
      <c r="D20" s="2">
        <v>56</v>
      </c>
      <c r="E20" t="s">
        <v>73</v>
      </c>
      <c r="F20" t="s">
        <v>30</v>
      </c>
      <c r="G20" s="2" t="s">
        <v>93</v>
      </c>
      <c r="H20" s="2">
        <v>31</v>
      </c>
      <c r="I20" s="2" t="s">
        <v>119</v>
      </c>
      <c r="J20" s="2">
        <v>1.1000000000000001</v>
      </c>
      <c r="K20" s="2" t="s">
        <v>41</v>
      </c>
      <c r="L20" s="2">
        <v>0.75</v>
      </c>
      <c r="M20" s="2" t="s">
        <v>60</v>
      </c>
      <c r="N20" s="2" t="s">
        <v>34</v>
      </c>
      <c r="O20" s="2">
        <v>13</v>
      </c>
      <c r="P20" s="2" t="str">
        <f>IF(global_freelancer_raw[[#This Row],[No of projects ]]&lt;=5,"Entry level","Well Experienced")</f>
        <v>Well Experienced</v>
      </c>
      <c r="Q20" s="2">
        <v>3</v>
      </c>
    </row>
    <row r="21" spans="1:17" x14ac:dyDescent="0.3">
      <c r="A21" t="s">
        <v>120</v>
      </c>
      <c r="B21" t="s">
        <v>121</v>
      </c>
      <c r="C21" t="s">
        <v>118</v>
      </c>
      <c r="D21" s="2">
        <v>57</v>
      </c>
      <c r="E21" t="s">
        <v>19</v>
      </c>
      <c r="F21" t="s">
        <v>20</v>
      </c>
      <c r="G21" s="2" t="s">
        <v>46</v>
      </c>
      <c r="H21" s="2">
        <v>3</v>
      </c>
      <c r="I21" s="2" t="s">
        <v>32</v>
      </c>
      <c r="J21" s="2">
        <v>1.8</v>
      </c>
      <c r="K21" s="2" t="s">
        <v>87</v>
      </c>
      <c r="L21" s="2">
        <v>0.68</v>
      </c>
      <c r="M21" s="2" t="s">
        <v>88</v>
      </c>
      <c r="N21" s="2" t="s">
        <v>34</v>
      </c>
      <c r="O21" s="2">
        <v>1</v>
      </c>
      <c r="P21" s="2" t="str">
        <f>IF(global_freelancer_raw[[#This Row],[No of projects ]]&lt;=5,"Entry level","Well Experienced")</f>
        <v>Entry level</v>
      </c>
      <c r="Q21" s="2">
        <v>1</v>
      </c>
    </row>
    <row r="22" spans="1:17" x14ac:dyDescent="0.3">
      <c r="A22" t="s">
        <v>122</v>
      </c>
      <c r="B22" t="s">
        <v>123</v>
      </c>
      <c r="C22" t="s">
        <v>118</v>
      </c>
      <c r="D22" s="2" t="s">
        <v>2119</v>
      </c>
      <c r="E22" t="s">
        <v>64</v>
      </c>
      <c r="F22" t="s">
        <v>65</v>
      </c>
      <c r="G22" s="2" t="s">
        <v>57</v>
      </c>
      <c r="H22" s="2">
        <v>9</v>
      </c>
      <c r="I22" s="2" t="s">
        <v>40</v>
      </c>
      <c r="J22" s="2">
        <v>1.8</v>
      </c>
      <c r="K22" s="2" t="s">
        <v>59</v>
      </c>
      <c r="L22" s="2">
        <v>0.65</v>
      </c>
      <c r="M22" s="2" t="s">
        <v>24</v>
      </c>
      <c r="N22" s="2" t="s">
        <v>75</v>
      </c>
      <c r="O22" s="2">
        <v>15</v>
      </c>
      <c r="P22" s="2" t="str">
        <f>IF(global_freelancer_raw[[#This Row],[No of projects ]]&lt;=5,"Entry level","Well Experienced")</f>
        <v>Well Experienced</v>
      </c>
      <c r="Q22" s="2">
        <v>6</v>
      </c>
    </row>
    <row r="23" spans="1:17" x14ac:dyDescent="0.3">
      <c r="A23" t="s">
        <v>124</v>
      </c>
      <c r="B23" t="s">
        <v>125</v>
      </c>
      <c r="C23" t="s">
        <v>118</v>
      </c>
      <c r="D23" s="2">
        <v>51</v>
      </c>
      <c r="E23" t="s">
        <v>106</v>
      </c>
      <c r="F23" t="s">
        <v>107</v>
      </c>
      <c r="G23" s="2" t="s">
        <v>110</v>
      </c>
      <c r="H23" s="2" t="s">
        <v>2120</v>
      </c>
      <c r="I23" s="2" t="s">
        <v>2119</v>
      </c>
      <c r="J23" s="2">
        <v>2.4</v>
      </c>
      <c r="K23" s="2" t="s">
        <v>41</v>
      </c>
      <c r="L23" s="2">
        <v>0.69</v>
      </c>
      <c r="M23" s="2" t="s">
        <v>60</v>
      </c>
      <c r="N23" s="2" t="s">
        <v>34</v>
      </c>
      <c r="O23" s="2">
        <v>3</v>
      </c>
      <c r="P23" s="2" t="str">
        <f>IF(global_freelancer_raw[[#This Row],[No of projects ]]&lt;=5,"Entry level","Well Experienced")</f>
        <v>Entry level</v>
      </c>
      <c r="Q23" s="2">
        <v>5</v>
      </c>
    </row>
    <row r="24" spans="1:17" x14ac:dyDescent="0.3">
      <c r="A24" t="s">
        <v>126</v>
      </c>
      <c r="B24" t="s">
        <v>127</v>
      </c>
      <c r="C24" t="s">
        <v>118</v>
      </c>
      <c r="D24" s="2">
        <v>51</v>
      </c>
      <c r="E24" t="s">
        <v>128</v>
      </c>
      <c r="F24" t="s">
        <v>129</v>
      </c>
      <c r="G24" s="2" t="s">
        <v>98</v>
      </c>
      <c r="H24" s="2">
        <v>21</v>
      </c>
      <c r="I24" s="2" t="s">
        <v>130</v>
      </c>
      <c r="J24" s="2">
        <v>4.7</v>
      </c>
      <c r="K24" s="2" t="s">
        <v>41</v>
      </c>
      <c r="L24" s="2" t="s">
        <v>2120</v>
      </c>
      <c r="M24" s="2" t="s">
        <v>88</v>
      </c>
      <c r="N24" s="2" t="s">
        <v>75</v>
      </c>
      <c r="O24" s="2">
        <v>14</v>
      </c>
      <c r="P24" s="2" t="str">
        <f>IF(global_freelancer_raw[[#This Row],[No of projects ]]&lt;=5,"Entry level","Well Experienced")</f>
        <v>Well Experienced</v>
      </c>
      <c r="Q24" s="2">
        <v>2</v>
      </c>
    </row>
    <row r="25" spans="1:17" x14ac:dyDescent="0.3">
      <c r="A25" t="s">
        <v>131</v>
      </c>
      <c r="B25" t="s">
        <v>132</v>
      </c>
      <c r="C25" t="s">
        <v>97</v>
      </c>
      <c r="D25" s="2">
        <v>51</v>
      </c>
      <c r="E25" t="s">
        <v>133</v>
      </c>
      <c r="F25" t="s">
        <v>134</v>
      </c>
      <c r="G25" s="2" t="s">
        <v>135</v>
      </c>
      <c r="H25" s="2">
        <v>15</v>
      </c>
      <c r="I25" s="2" t="s">
        <v>81</v>
      </c>
      <c r="J25" s="2">
        <v>1.3</v>
      </c>
      <c r="K25" s="2" t="s">
        <v>33</v>
      </c>
      <c r="L25" s="2">
        <v>1</v>
      </c>
      <c r="M25" s="2" t="s">
        <v>82</v>
      </c>
      <c r="N25" s="2" t="s">
        <v>34</v>
      </c>
      <c r="O25" s="2">
        <v>9</v>
      </c>
      <c r="P25" s="2" t="str">
        <f>IF(global_freelancer_raw[[#This Row],[No of projects ]]&lt;=5,"Entry level","Well Experienced")</f>
        <v>Well Experienced</v>
      </c>
      <c r="Q25" s="2">
        <v>3</v>
      </c>
    </row>
    <row r="26" spans="1:17" x14ac:dyDescent="0.3">
      <c r="A26" t="s">
        <v>136</v>
      </c>
      <c r="B26" t="s">
        <v>137</v>
      </c>
      <c r="C26" t="s">
        <v>97</v>
      </c>
      <c r="D26" s="2">
        <v>54</v>
      </c>
      <c r="E26" t="s">
        <v>64</v>
      </c>
      <c r="F26" t="s">
        <v>65</v>
      </c>
      <c r="G26" s="2" t="s">
        <v>135</v>
      </c>
      <c r="H26" s="2">
        <v>13</v>
      </c>
      <c r="I26" s="2" t="s">
        <v>103</v>
      </c>
      <c r="J26" s="2">
        <v>2.9</v>
      </c>
      <c r="K26" s="2" t="s">
        <v>2120</v>
      </c>
      <c r="L26" s="2">
        <v>92</v>
      </c>
      <c r="M26" s="2" t="s">
        <v>82</v>
      </c>
      <c r="N26" s="2" t="s">
        <v>75</v>
      </c>
      <c r="O26" s="2">
        <v>15</v>
      </c>
      <c r="P26" s="2" t="str">
        <f>IF(global_freelancer_raw[[#This Row],[No of projects ]]&lt;=5,"Entry level","Well Experienced")</f>
        <v>Well Experienced</v>
      </c>
      <c r="Q26" s="2">
        <v>3</v>
      </c>
    </row>
    <row r="27" spans="1:17" x14ac:dyDescent="0.3">
      <c r="A27" t="s">
        <v>138</v>
      </c>
      <c r="B27" t="s">
        <v>139</v>
      </c>
      <c r="C27" t="s">
        <v>97</v>
      </c>
      <c r="D27" s="2">
        <v>22</v>
      </c>
      <c r="E27" t="s">
        <v>133</v>
      </c>
      <c r="F27" t="s">
        <v>134</v>
      </c>
      <c r="G27" s="2" t="s">
        <v>110</v>
      </c>
      <c r="H27" s="2">
        <v>0</v>
      </c>
      <c r="I27" s="2" t="s">
        <v>130</v>
      </c>
      <c r="J27" s="2">
        <v>1.2</v>
      </c>
      <c r="K27" s="2" t="s">
        <v>33</v>
      </c>
      <c r="L27" s="2">
        <v>0.7</v>
      </c>
      <c r="M27" s="2" t="s">
        <v>60</v>
      </c>
      <c r="N27" s="2" t="s">
        <v>25</v>
      </c>
      <c r="O27" s="2">
        <v>5</v>
      </c>
      <c r="P27" s="2" t="str">
        <f>IF(global_freelancer_raw[[#This Row],[No of projects ]]&lt;=5,"Entry level","Well Experienced")</f>
        <v>Entry level</v>
      </c>
      <c r="Q27" s="2">
        <v>2</v>
      </c>
    </row>
    <row r="28" spans="1:17" x14ac:dyDescent="0.3">
      <c r="A28" t="s">
        <v>140</v>
      </c>
      <c r="B28" t="s">
        <v>141</v>
      </c>
      <c r="C28" t="s">
        <v>97</v>
      </c>
      <c r="D28" s="2">
        <v>34</v>
      </c>
      <c r="E28" t="s">
        <v>106</v>
      </c>
      <c r="F28" t="s">
        <v>107</v>
      </c>
      <c r="G28" s="2" t="s">
        <v>21</v>
      </c>
      <c r="H28" s="2">
        <v>8</v>
      </c>
      <c r="I28" s="2" t="s">
        <v>142</v>
      </c>
      <c r="J28" s="2">
        <v>0</v>
      </c>
      <c r="K28" s="2" t="s">
        <v>74</v>
      </c>
      <c r="L28" s="2">
        <v>0.89</v>
      </c>
      <c r="M28" s="2" t="s">
        <v>88</v>
      </c>
      <c r="N28" s="2" t="s">
        <v>25</v>
      </c>
      <c r="O28" s="2">
        <v>6</v>
      </c>
      <c r="P28" s="2" t="str">
        <f>IF(global_freelancer_raw[[#This Row],[No of projects ]]&lt;=5,"Entry level","Well Experienced")</f>
        <v>Well Experienced</v>
      </c>
      <c r="Q28" s="2">
        <v>1</v>
      </c>
    </row>
    <row r="29" spans="1:17" x14ac:dyDescent="0.3">
      <c r="A29" t="s">
        <v>143</v>
      </c>
      <c r="B29" t="s">
        <v>144</v>
      </c>
      <c r="C29" t="s">
        <v>97</v>
      </c>
      <c r="D29" s="2">
        <v>36</v>
      </c>
      <c r="E29" t="s">
        <v>145</v>
      </c>
      <c r="F29" t="s">
        <v>146</v>
      </c>
      <c r="G29" s="2" t="s">
        <v>39</v>
      </c>
      <c r="H29" s="2">
        <v>11</v>
      </c>
      <c r="I29" s="2" t="s">
        <v>2119</v>
      </c>
      <c r="J29" s="2">
        <v>1.8</v>
      </c>
      <c r="K29" s="2" t="s">
        <v>94</v>
      </c>
      <c r="L29" s="2">
        <v>0.86</v>
      </c>
      <c r="M29" s="2" t="s">
        <v>60</v>
      </c>
      <c r="N29" s="2" t="s">
        <v>25</v>
      </c>
      <c r="O29" s="2">
        <v>12</v>
      </c>
      <c r="P29" s="2" t="str">
        <f>IF(global_freelancer_raw[[#This Row],[No of projects ]]&lt;=5,"Entry level","Well Experienced")</f>
        <v>Well Experienced</v>
      </c>
      <c r="Q29" s="2">
        <v>4</v>
      </c>
    </row>
    <row r="30" spans="1:17" x14ac:dyDescent="0.3">
      <c r="A30" t="s">
        <v>147</v>
      </c>
      <c r="B30" t="s">
        <v>148</v>
      </c>
      <c r="C30" t="s">
        <v>97</v>
      </c>
      <c r="D30" s="2">
        <v>47</v>
      </c>
      <c r="E30" t="s">
        <v>149</v>
      </c>
      <c r="F30" t="s">
        <v>30</v>
      </c>
      <c r="G30" s="2" t="s">
        <v>57</v>
      </c>
      <c r="H30" s="2">
        <v>22</v>
      </c>
      <c r="I30" s="2" t="s">
        <v>52</v>
      </c>
      <c r="J30" s="2">
        <v>1.3</v>
      </c>
      <c r="K30" s="2" t="s">
        <v>23</v>
      </c>
      <c r="L30" s="2">
        <v>0.62</v>
      </c>
      <c r="M30" s="2" t="s">
        <v>60</v>
      </c>
      <c r="N30" s="2" t="s">
        <v>25</v>
      </c>
      <c r="O30" s="2">
        <v>14</v>
      </c>
      <c r="P30" s="2" t="str">
        <f>IF(global_freelancer_raw[[#This Row],[No of projects ]]&lt;=5,"Entry level","Well Experienced")</f>
        <v>Well Experienced</v>
      </c>
      <c r="Q30" s="2">
        <v>2</v>
      </c>
    </row>
    <row r="31" spans="1:17" x14ac:dyDescent="0.3">
      <c r="A31" t="s">
        <v>150</v>
      </c>
      <c r="B31" t="s">
        <v>151</v>
      </c>
      <c r="C31" t="s">
        <v>97</v>
      </c>
      <c r="D31" s="2">
        <v>41</v>
      </c>
      <c r="E31" t="s">
        <v>55</v>
      </c>
      <c r="F31" t="s">
        <v>56</v>
      </c>
      <c r="G31" s="2" t="s">
        <v>66</v>
      </c>
      <c r="H31" s="2">
        <v>14</v>
      </c>
      <c r="I31" s="2" t="s">
        <v>67</v>
      </c>
      <c r="J31" s="2">
        <v>1.2</v>
      </c>
      <c r="K31" s="2" t="s">
        <v>23</v>
      </c>
      <c r="L31" s="2" t="s">
        <v>2120</v>
      </c>
      <c r="M31" s="2" t="s">
        <v>88</v>
      </c>
      <c r="N31" s="2" t="s">
        <v>25</v>
      </c>
      <c r="O31" s="2">
        <v>6</v>
      </c>
      <c r="P31" s="2" t="str">
        <f>IF(global_freelancer_raw[[#This Row],[No of projects ]]&lt;=5,"Entry level","Well Experienced")</f>
        <v>Well Experienced</v>
      </c>
      <c r="Q31" s="2">
        <v>5</v>
      </c>
    </row>
    <row r="32" spans="1:17" x14ac:dyDescent="0.3">
      <c r="A32" t="s">
        <v>152</v>
      </c>
      <c r="B32" t="s">
        <v>153</v>
      </c>
      <c r="C32" t="s">
        <v>118</v>
      </c>
      <c r="D32" s="2">
        <v>22</v>
      </c>
      <c r="E32" t="s">
        <v>55</v>
      </c>
      <c r="F32" t="s">
        <v>56</v>
      </c>
      <c r="G32" s="2" t="s">
        <v>110</v>
      </c>
      <c r="H32" s="2">
        <v>4</v>
      </c>
      <c r="I32" s="2" t="s">
        <v>2119</v>
      </c>
      <c r="J32" s="2">
        <v>1</v>
      </c>
      <c r="K32" s="2" t="s">
        <v>87</v>
      </c>
      <c r="L32" s="2" t="s">
        <v>2120</v>
      </c>
      <c r="M32" s="2" t="s">
        <v>88</v>
      </c>
      <c r="N32" s="2" t="s">
        <v>34</v>
      </c>
      <c r="O32" s="2">
        <v>3</v>
      </c>
      <c r="P32" s="2" t="str">
        <f>IF(global_freelancer_raw[[#This Row],[No of projects ]]&lt;=5,"Entry level","Well Experienced")</f>
        <v>Entry level</v>
      </c>
      <c r="Q32" s="2">
        <v>1</v>
      </c>
    </row>
    <row r="33" spans="1:17" x14ac:dyDescent="0.3">
      <c r="A33" t="s">
        <v>154</v>
      </c>
      <c r="B33" t="s">
        <v>155</v>
      </c>
      <c r="C33" t="s">
        <v>118</v>
      </c>
      <c r="D33" s="2">
        <v>38</v>
      </c>
      <c r="E33" t="s">
        <v>156</v>
      </c>
      <c r="F33" t="s">
        <v>157</v>
      </c>
      <c r="G33" s="2" t="s">
        <v>135</v>
      </c>
      <c r="H33" s="2">
        <v>19</v>
      </c>
      <c r="I33" s="2" t="s">
        <v>32</v>
      </c>
      <c r="J33" s="2">
        <v>4.2</v>
      </c>
      <c r="K33" s="2" t="s">
        <v>41</v>
      </c>
      <c r="L33" s="2">
        <v>0.68</v>
      </c>
      <c r="M33" s="2" t="s">
        <v>24</v>
      </c>
      <c r="N33" s="2" t="s">
        <v>34</v>
      </c>
      <c r="O33" s="2">
        <v>10</v>
      </c>
      <c r="P33" s="2" t="str">
        <f>IF(global_freelancer_raw[[#This Row],[No of projects ]]&lt;=5,"Entry level","Well Experienced")</f>
        <v>Well Experienced</v>
      </c>
      <c r="Q33" s="2">
        <v>10</v>
      </c>
    </row>
    <row r="34" spans="1:17" x14ac:dyDescent="0.3">
      <c r="A34" t="s">
        <v>158</v>
      </c>
      <c r="B34" t="s">
        <v>159</v>
      </c>
      <c r="C34" t="s">
        <v>118</v>
      </c>
      <c r="D34" s="2">
        <v>46</v>
      </c>
      <c r="E34" t="s">
        <v>160</v>
      </c>
      <c r="F34" t="s">
        <v>161</v>
      </c>
      <c r="G34" s="2" t="s">
        <v>57</v>
      </c>
      <c r="H34" s="2">
        <v>9</v>
      </c>
      <c r="I34" s="2" t="s">
        <v>162</v>
      </c>
      <c r="J34" s="2">
        <v>1.4</v>
      </c>
      <c r="K34" s="2" t="s">
        <v>74</v>
      </c>
      <c r="L34" s="2">
        <v>0.76</v>
      </c>
      <c r="M34" s="2" t="s">
        <v>88</v>
      </c>
      <c r="N34" s="2" t="s">
        <v>34</v>
      </c>
      <c r="O34" s="2">
        <v>13</v>
      </c>
      <c r="P34" s="2" t="str">
        <f>IF(global_freelancer_raw[[#This Row],[No of projects ]]&lt;=5,"Entry level","Well Experienced")</f>
        <v>Well Experienced</v>
      </c>
      <c r="Q34" s="2">
        <v>6</v>
      </c>
    </row>
    <row r="35" spans="1:17" x14ac:dyDescent="0.3">
      <c r="A35" t="s">
        <v>163</v>
      </c>
      <c r="B35" t="s">
        <v>164</v>
      </c>
      <c r="C35" t="s">
        <v>118</v>
      </c>
      <c r="D35" s="2" t="s">
        <v>2119</v>
      </c>
      <c r="E35" t="s">
        <v>133</v>
      </c>
      <c r="F35" t="s">
        <v>134</v>
      </c>
      <c r="G35" s="2" t="s">
        <v>57</v>
      </c>
      <c r="H35" s="2">
        <v>9</v>
      </c>
      <c r="I35" s="2" t="s">
        <v>86</v>
      </c>
      <c r="J35" s="2">
        <v>2.4</v>
      </c>
      <c r="K35" s="2" t="s">
        <v>87</v>
      </c>
      <c r="L35" s="2">
        <v>82</v>
      </c>
      <c r="M35" s="2" t="s">
        <v>82</v>
      </c>
      <c r="N35" s="2" t="s">
        <v>75</v>
      </c>
      <c r="O35" s="2">
        <v>15</v>
      </c>
      <c r="P35" s="2" t="str">
        <f>IF(global_freelancer_raw[[#This Row],[No of projects ]]&lt;=5,"Entry level","Well Experienced")</f>
        <v>Well Experienced</v>
      </c>
      <c r="Q35" s="2">
        <v>3</v>
      </c>
    </row>
    <row r="36" spans="1:17" x14ac:dyDescent="0.3">
      <c r="A36" t="s">
        <v>165</v>
      </c>
      <c r="B36" t="s">
        <v>166</v>
      </c>
      <c r="C36" t="s">
        <v>97</v>
      </c>
      <c r="D36" s="2">
        <v>54</v>
      </c>
      <c r="E36" t="s">
        <v>73</v>
      </c>
      <c r="F36" t="s">
        <v>30</v>
      </c>
      <c r="G36" s="2" t="s">
        <v>46</v>
      </c>
      <c r="H36" s="2">
        <v>32</v>
      </c>
      <c r="I36" s="2" t="s">
        <v>103</v>
      </c>
      <c r="J36" s="2">
        <v>1</v>
      </c>
      <c r="K36" s="2" t="s">
        <v>87</v>
      </c>
      <c r="L36" s="2">
        <v>0.81</v>
      </c>
      <c r="M36" s="2" t="s">
        <v>60</v>
      </c>
      <c r="N36" s="2" t="s">
        <v>75</v>
      </c>
      <c r="O36" s="2">
        <v>18</v>
      </c>
      <c r="P36" s="2" t="str">
        <f>IF(global_freelancer_raw[[#This Row],[No of projects ]]&lt;=5,"Entry level","Well Experienced")</f>
        <v>Well Experienced</v>
      </c>
      <c r="Q36" s="2">
        <v>10</v>
      </c>
    </row>
    <row r="37" spans="1:17" x14ac:dyDescent="0.3">
      <c r="A37" t="s">
        <v>167</v>
      </c>
      <c r="B37" t="s">
        <v>168</v>
      </c>
      <c r="C37" t="s">
        <v>97</v>
      </c>
      <c r="D37" s="2">
        <v>52</v>
      </c>
      <c r="E37" t="s">
        <v>133</v>
      </c>
      <c r="F37" t="s">
        <v>134</v>
      </c>
      <c r="G37" s="2" t="s">
        <v>2120</v>
      </c>
      <c r="H37" s="2">
        <v>28</v>
      </c>
      <c r="I37" s="2" t="s">
        <v>142</v>
      </c>
      <c r="J37" s="2" t="s">
        <v>2120</v>
      </c>
      <c r="K37" s="2" t="s">
        <v>23</v>
      </c>
      <c r="L37" s="2" t="s">
        <v>2120</v>
      </c>
      <c r="M37" s="2" t="s">
        <v>60</v>
      </c>
      <c r="N37" s="2" t="s">
        <v>75</v>
      </c>
      <c r="O37" s="2">
        <v>18</v>
      </c>
      <c r="P37" s="2" t="str">
        <f>IF(global_freelancer_raw[[#This Row],[No of projects ]]&lt;=5,"Entry level","Well Experienced")</f>
        <v>Well Experienced</v>
      </c>
      <c r="Q37" s="2">
        <v>2</v>
      </c>
    </row>
    <row r="38" spans="1:17" x14ac:dyDescent="0.3">
      <c r="A38" t="s">
        <v>169</v>
      </c>
      <c r="B38" t="s">
        <v>170</v>
      </c>
      <c r="C38" t="s">
        <v>97</v>
      </c>
      <c r="D38" s="2">
        <v>42</v>
      </c>
      <c r="E38" t="s">
        <v>106</v>
      </c>
      <c r="F38" t="s">
        <v>107</v>
      </c>
      <c r="G38" s="2" t="s">
        <v>31</v>
      </c>
      <c r="H38" s="2">
        <v>6</v>
      </c>
      <c r="I38" s="2" t="s">
        <v>86</v>
      </c>
      <c r="J38" s="2" t="s">
        <v>2120</v>
      </c>
      <c r="K38" s="2" t="s">
        <v>23</v>
      </c>
      <c r="L38" s="2">
        <v>0.63</v>
      </c>
      <c r="M38" s="2" t="s">
        <v>82</v>
      </c>
      <c r="N38" s="2" t="s">
        <v>75</v>
      </c>
      <c r="O38" s="2">
        <v>15</v>
      </c>
      <c r="P38" s="2" t="str">
        <f>IF(global_freelancer_raw[[#This Row],[No of projects ]]&lt;=5,"Entry level","Well Experienced")</f>
        <v>Well Experienced</v>
      </c>
      <c r="Q38" s="2">
        <v>6</v>
      </c>
    </row>
    <row r="39" spans="1:17" x14ac:dyDescent="0.3">
      <c r="A39" t="s">
        <v>171</v>
      </c>
      <c r="B39" t="s">
        <v>172</v>
      </c>
      <c r="C39" t="s">
        <v>97</v>
      </c>
      <c r="D39" s="2">
        <v>29</v>
      </c>
      <c r="E39" t="s">
        <v>55</v>
      </c>
      <c r="F39" t="s">
        <v>56</v>
      </c>
      <c r="G39" s="2" t="s">
        <v>39</v>
      </c>
      <c r="H39" s="2">
        <v>10</v>
      </c>
      <c r="I39" s="2" t="s">
        <v>86</v>
      </c>
      <c r="J39" s="2">
        <v>2.2000000000000002</v>
      </c>
      <c r="K39" s="2" t="s">
        <v>41</v>
      </c>
      <c r="L39" s="2">
        <v>0.67</v>
      </c>
      <c r="M39" s="2" t="s">
        <v>88</v>
      </c>
      <c r="N39" s="2" t="s">
        <v>25</v>
      </c>
      <c r="O39" s="2">
        <v>10</v>
      </c>
      <c r="P39" s="2" t="str">
        <f>IF(global_freelancer_raw[[#This Row],[No of projects ]]&lt;=5,"Entry level","Well Experienced")</f>
        <v>Well Experienced</v>
      </c>
      <c r="Q39" s="2">
        <v>9</v>
      </c>
    </row>
    <row r="40" spans="1:17" x14ac:dyDescent="0.3">
      <c r="A40" t="s">
        <v>173</v>
      </c>
      <c r="B40" t="s">
        <v>174</v>
      </c>
      <c r="C40" t="s">
        <v>97</v>
      </c>
      <c r="D40" s="2">
        <v>42</v>
      </c>
      <c r="E40" t="s">
        <v>175</v>
      </c>
      <c r="F40" t="s">
        <v>176</v>
      </c>
      <c r="G40" s="2" t="s">
        <v>31</v>
      </c>
      <c r="H40" s="2">
        <v>23</v>
      </c>
      <c r="I40" s="2" t="s">
        <v>40</v>
      </c>
      <c r="J40" s="2">
        <v>3.2</v>
      </c>
      <c r="K40" s="2" t="s">
        <v>87</v>
      </c>
      <c r="L40" s="2" t="s">
        <v>2120</v>
      </c>
      <c r="M40" s="2" t="s">
        <v>82</v>
      </c>
      <c r="N40" s="2" t="s">
        <v>25</v>
      </c>
      <c r="O40" s="2">
        <v>13</v>
      </c>
      <c r="P40" s="2" t="str">
        <f>IF(global_freelancer_raw[[#This Row],[No of projects ]]&lt;=5,"Entry level","Well Experienced")</f>
        <v>Well Experienced</v>
      </c>
      <c r="Q40" s="2">
        <v>3</v>
      </c>
    </row>
    <row r="41" spans="1:17" x14ac:dyDescent="0.3">
      <c r="A41" t="s">
        <v>177</v>
      </c>
      <c r="B41" t="s">
        <v>178</v>
      </c>
      <c r="C41" t="s">
        <v>118</v>
      </c>
      <c r="D41" s="2">
        <v>60</v>
      </c>
      <c r="E41" t="s">
        <v>106</v>
      </c>
      <c r="F41" t="s">
        <v>107</v>
      </c>
      <c r="G41" s="2" t="s">
        <v>46</v>
      </c>
      <c r="H41" s="2">
        <v>13</v>
      </c>
      <c r="I41" s="2" t="s">
        <v>142</v>
      </c>
      <c r="J41" s="2">
        <v>3.6</v>
      </c>
      <c r="K41" s="2" t="s">
        <v>23</v>
      </c>
      <c r="L41" s="2">
        <v>0.8</v>
      </c>
      <c r="M41" s="2" t="s">
        <v>82</v>
      </c>
      <c r="N41" s="2" t="s">
        <v>25</v>
      </c>
      <c r="O41" s="2">
        <v>9</v>
      </c>
      <c r="P41" s="2" t="str">
        <f>IF(global_freelancer_raw[[#This Row],[No of projects ]]&lt;=5,"Entry level","Well Experienced")</f>
        <v>Well Experienced</v>
      </c>
      <c r="Q41" s="2">
        <v>3</v>
      </c>
    </row>
    <row r="42" spans="1:17" x14ac:dyDescent="0.3">
      <c r="A42" t="s">
        <v>179</v>
      </c>
      <c r="B42" t="s">
        <v>180</v>
      </c>
      <c r="C42" t="s">
        <v>97</v>
      </c>
      <c r="D42" s="2">
        <v>59</v>
      </c>
      <c r="E42" t="s">
        <v>85</v>
      </c>
      <c r="F42" t="s">
        <v>30</v>
      </c>
      <c r="G42" s="2" t="s">
        <v>57</v>
      </c>
      <c r="H42" s="2">
        <v>3</v>
      </c>
      <c r="I42" s="2" t="s">
        <v>119</v>
      </c>
      <c r="J42" s="2">
        <v>0</v>
      </c>
      <c r="K42" s="2" t="s">
        <v>181</v>
      </c>
      <c r="L42" s="2" t="s">
        <v>2120</v>
      </c>
      <c r="M42" s="2" t="s">
        <v>24</v>
      </c>
      <c r="N42" s="2" t="s">
        <v>42</v>
      </c>
      <c r="O42" s="2">
        <v>3</v>
      </c>
      <c r="P42" s="2" t="str">
        <f>IF(global_freelancer_raw[[#This Row],[No of projects ]]&lt;=5,"Entry level","Well Experienced")</f>
        <v>Entry level</v>
      </c>
      <c r="Q42" s="2">
        <v>1</v>
      </c>
    </row>
    <row r="43" spans="1:17" x14ac:dyDescent="0.3">
      <c r="A43" t="s">
        <v>182</v>
      </c>
      <c r="B43" t="s">
        <v>183</v>
      </c>
      <c r="C43" t="s">
        <v>97</v>
      </c>
      <c r="D43" s="2">
        <v>21</v>
      </c>
      <c r="E43" t="s">
        <v>149</v>
      </c>
      <c r="F43" t="s">
        <v>30</v>
      </c>
      <c r="G43" s="2" t="s">
        <v>46</v>
      </c>
      <c r="H43" s="2">
        <v>0</v>
      </c>
      <c r="I43" s="2" t="s">
        <v>52</v>
      </c>
      <c r="J43" s="2">
        <v>2.7</v>
      </c>
      <c r="K43" s="2" t="s">
        <v>33</v>
      </c>
      <c r="L43" s="2">
        <v>0.84</v>
      </c>
      <c r="M43" s="2" t="s">
        <v>82</v>
      </c>
      <c r="N43" s="2" t="s">
        <v>34</v>
      </c>
      <c r="O43" s="2">
        <v>5</v>
      </c>
      <c r="P43" s="2" t="str">
        <f>IF(global_freelancer_raw[[#This Row],[No of projects ]]&lt;=5,"Entry level","Well Experienced")</f>
        <v>Entry level</v>
      </c>
      <c r="Q43" s="2">
        <v>1</v>
      </c>
    </row>
    <row r="44" spans="1:17" x14ac:dyDescent="0.3">
      <c r="A44" t="s">
        <v>184</v>
      </c>
      <c r="B44" t="s">
        <v>185</v>
      </c>
      <c r="C44" t="s">
        <v>97</v>
      </c>
      <c r="D44" s="2">
        <v>35</v>
      </c>
      <c r="E44" t="s">
        <v>38</v>
      </c>
      <c r="F44" t="s">
        <v>38</v>
      </c>
      <c r="G44" s="2" t="s">
        <v>110</v>
      </c>
      <c r="H44" s="2">
        <v>10</v>
      </c>
      <c r="I44" s="2" t="s">
        <v>81</v>
      </c>
      <c r="J44" s="2">
        <v>0</v>
      </c>
      <c r="K44" s="2" t="s">
        <v>181</v>
      </c>
      <c r="L44" s="2" t="s">
        <v>2120</v>
      </c>
      <c r="M44" s="2" t="s">
        <v>60</v>
      </c>
      <c r="N44" s="2" t="s">
        <v>75</v>
      </c>
      <c r="O44" s="2">
        <v>7</v>
      </c>
      <c r="P44" s="2" t="str">
        <f>IF(global_freelancer_raw[[#This Row],[No of projects ]]&lt;=5,"Entry level","Well Experienced")</f>
        <v>Well Experienced</v>
      </c>
      <c r="Q44" s="2">
        <v>6</v>
      </c>
    </row>
    <row r="45" spans="1:17" x14ac:dyDescent="0.3">
      <c r="A45" t="s">
        <v>186</v>
      </c>
      <c r="B45" t="s">
        <v>187</v>
      </c>
      <c r="C45" t="s">
        <v>118</v>
      </c>
      <c r="D45" s="2">
        <v>41</v>
      </c>
      <c r="E45" t="s">
        <v>85</v>
      </c>
      <c r="F45" t="s">
        <v>30</v>
      </c>
      <c r="G45" s="2" t="s">
        <v>66</v>
      </c>
      <c r="H45" s="2" t="s">
        <v>2120</v>
      </c>
      <c r="I45" s="2" t="s">
        <v>162</v>
      </c>
      <c r="J45" s="2">
        <v>2.8</v>
      </c>
      <c r="K45" s="2" t="s">
        <v>74</v>
      </c>
      <c r="L45" s="2">
        <v>0.63</v>
      </c>
      <c r="M45" s="2" t="s">
        <v>82</v>
      </c>
      <c r="N45" s="2" t="s">
        <v>75</v>
      </c>
      <c r="O45" s="2">
        <v>1</v>
      </c>
      <c r="P45" s="2" t="str">
        <f>IF(global_freelancer_raw[[#This Row],[No of projects ]]&lt;=5,"Entry level","Well Experienced")</f>
        <v>Entry level</v>
      </c>
      <c r="Q45" s="2">
        <v>1</v>
      </c>
    </row>
    <row r="46" spans="1:17" x14ac:dyDescent="0.3">
      <c r="A46" t="s">
        <v>188</v>
      </c>
      <c r="B46" t="s">
        <v>189</v>
      </c>
      <c r="C46" t="s">
        <v>97</v>
      </c>
      <c r="D46" s="2">
        <v>51</v>
      </c>
      <c r="E46" t="s">
        <v>55</v>
      </c>
      <c r="F46" t="s">
        <v>56</v>
      </c>
      <c r="G46" s="2" t="s">
        <v>135</v>
      </c>
      <c r="H46" s="2">
        <v>23</v>
      </c>
      <c r="I46" s="2" t="s">
        <v>162</v>
      </c>
      <c r="J46" s="2">
        <v>2.5</v>
      </c>
      <c r="K46" s="2" t="s">
        <v>59</v>
      </c>
      <c r="L46" s="2">
        <v>0.8</v>
      </c>
      <c r="M46" s="2" t="s">
        <v>60</v>
      </c>
      <c r="N46" s="2" t="s">
        <v>25</v>
      </c>
      <c r="O46" s="2">
        <v>17</v>
      </c>
      <c r="P46" s="2" t="str">
        <f>IF(global_freelancer_raw[[#This Row],[No of projects ]]&lt;=5,"Entry level","Well Experienced")</f>
        <v>Well Experienced</v>
      </c>
      <c r="Q46" s="2">
        <v>15</v>
      </c>
    </row>
    <row r="47" spans="1:17" x14ac:dyDescent="0.3">
      <c r="A47" t="s">
        <v>190</v>
      </c>
      <c r="B47" t="s">
        <v>191</v>
      </c>
      <c r="C47" t="s">
        <v>118</v>
      </c>
      <c r="D47" s="2">
        <v>41</v>
      </c>
      <c r="E47" t="s">
        <v>175</v>
      </c>
      <c r="F47" t="s">
        <v>176</v>
      </c>
      <c r="G47" s="2" t="s">
        <v>46</v>
      </c>
      <c r="H47" s="2">
        <v>9</v>
      </c>
      <c r="I47" s="2" t="s">
        <v>192</v>
      </c>
      <c r="J47" s="2">
        <v>4.9000000000000004</v>
      </c>
      <c r="K47" s="2" t="s">
        <v>33</v>
      </c>
      <c r="L47" s="2">
        <v>0.74</v>
      </c>
      <c r="M47" s="2" t="s">
        <v>60</v>
      </c>
      <c r="N47" s="2" t="s">
        <v>75</v>
      </c>
      <c r="O47" s="2">
        <v>13</v>
      </c>
      <c r="P47" s="2" t="str">
        <f>IF(global_freelancer_raw[[#This Row],[No of projects ]]&lt;=5,"Entry level","Well Experienced")</f>
        <v>Well Experienced</v>
      </c>
      <c r="Q47" s="2">
        <v>8</v>
      </c>
    </row>
    <row r="48" spans="1:17" x14ac:dyDescent="0.3">
      <c r="A48" t="s">
        <v>193</v>
      </c>
      <c r="B48" t="s">
        <v>194</v>
      </c>
      <c r="C48" t="s">
        <v>97</v>
      </c>
      <c r="D48" s="2">
        <v>47</v>
      </c>
      <c r="E48" t="s">
        <v>160</v>
      </c>
      <c r="F48" t="s">
        <v>161</v>
      </c>
      <c r="G48" s="2" t="s">
        <v>110</v>
      </c>
      <c r="H48" s="2">
        <v>15</v>
      </c>
      <c r="I48" s="2" t="s">
        <v>130</v>
      </c>
      <c r="J48" s="2">
        <v>4.5</v>
      </c>
      <c r="K48" s="2" t="s">
        <v>33</v>
      </c>
      <c r="L48" s="2">
        <v>0.85</v>
      </c>
      <c r="M48" s="2" t="s">
        <v>60</v>
      </c>
      <c r="N48" s="2" t="s">
        <v>75</v>
      </c>
      <c r="O48" s="2">
        <v>12</v>
      </c>
      <c r="P48" s="2" t="str">
        <f>IF(global_freelancer_raw[[#This Row],[No of projects ]]&lt;=5,"Entry level","Well Experienced")</f>
        <v>Well Experienced</v>
      </c>
      <c r="Q48" s="2">
        <v>4</v>
      </c>
    </row>
    <row r="49" spans="1:17" x14ac:dyDescent="0.3">
      <c r="A49" t="s">
        <v>195</v>
      </c>
      <c r="B49" t="s">
        <v>196</v>
      </c>
      <c r="C49" t="s">
        <v>118</v>
      </c>
      <c r="D49" s="2">
        <v>25</v>
      </c>
      <c r="E49" t="s">
        <v>197</v>
      </c>
      <c r="F49" t="s">
        <v>198</v>
      </c>
      <c r="G49" s="2" t="s">
        <v>39</v>
      </c>
      <c r="H49" s="2">
        <v>4</v>
      </c>
      <c r="I49" s="2" t="s">
        <v>40</v>
      </c>
      <c r="J49" s="2">
        <v>2.7</v>
      </c>
      <c r="K49" s="2" t="s">
        <v>41</v>
      </c>
      <c r="L49" s="2">
        <v>0.77</v>
      </c>
      <c r="M49" s="2" t="s">
        <v>88</v>
      </c>
      <c r="N49" s="2" t="s">
        <v>34</v>
      </c>
      <c r="O49" s="2">
        <v>4</v>
      </c>
      <c r="P49" s="2" t="str">
        <f>IF(global_freelancer_raw[[#This Row],[No of projects ]]&lt;=5,"Entry level","Well Experienced")</f>
        <v>Entry level</v>
      </c>
      <c r="Q49" s="2">
        <v>3</v>
      </c>
    </row>
    <row r="50" spans="1:17" x14ac:dyDescent="0.3">
      <c r="A50" t="s">
        <v>199</v>
      </c>
      <c r="B50" t="s">
        <v>200</v>
      </c>
      <c r="C50" t="s">
        <v>97</v>
      </c>
      <c r="D50" s="2">
        <v>25</v>
      </c>
      <c r="E50" t="s">
        <v>201</v>
      </c>
      <c r="F50" t="s">
        <v>92</v>
      </c>
      <c r="G50" s="2" t="s">
        <v>31</v>
      </c>
      <c r="H50" s="2">
        <v>7</v>
      </c>
      <c r="I50" s="2" t="s">
        <v>162</v>
      </c>
      <c r="J50" s="2">
        <v>1.9</v>
      </c>
      <c r="K50" s="2" t="s">
        <v>23</v>
      </c>
      <c r="L50" s="2" t="s">
        <v>2120</v>
      </c>
      <c r="M50" s="2" t="s">
        <v>24</v>
      </c>
      <c r="N50" s="2" t="s">
        <v>25</v>
      </c>
      <c r="O50" s="2">
        <v>12</v>
      </c>
      <c r="P50" s="2" t="str">
        <f>IF(global_freelancer_raw[[#This Row],[No of projects ]]&lt;=5,"Entry level","Well Experienced")</f>
        <v>Well Experienced</v>
      </c>
      <c r="Q50" s="2">
        <v>10</v>
      </c>
    </row>
    <row r="51" spans="1:17" x14ac:dyDescent="0.3">
      <c r="A51" t="s">
        <v>202</v>
      </c>
      <c r="B51" t="s">
        <v>203</v>
      </c>
      <c r="C51" t="s">
        <v>118</v>
      </c>
      <c r="D51" s="2">
        <v>29</v>
      </c>
      <c r="E51" s="2" t="s">
        <v>2120</v>
      </c>
      <c r="F51" t="s">
        <v>56</v>
      </c>
      <c r="G51" s="2" t="s">
        <v>93</v>
      </c>
      <c r="H51" s="2">
        <v>1</v>
      </c>
      <c r="I51" s="2" t="s">
        <v>162</v>
      </c>
      <c r="J51" s="2">
        <v>1.4</v>
      </c>
      <c r="K51" s="2" t="s">
        <v>33</v>
      </c>
      <c r="L51" s="2">
        <v>0.63</v>
      </c>
      <c r="M51" s="2" t="s">
        <v>60</v>
      </c>
      <c r="N51" s="2" t="s">
        <v>34</v>
      </c>
      <c r="O51" s="2">
        <v>2</v>
      </c>
      <c r="P51" s="2" t="str">
        <f>IF(global_freelancer_raw[[#This Row],[No of projects ]]&lt;=5,"Entry level","Well Experienced")</f>
        <v>Entry level</v>
      </c>
      <c r="Q51" s="2">
        <v>1</v>
      </c>
    </row>
    <row r="52" spans="1:17" x14ac:dyDescent="0.3">
      <c r="A52" t="s">
        <v>204</v>
      </c>
      <c r="B52" t="s">
        <v>205</v>
      </c>
      <c r="C52" t="s">
        <v>97</v>
      </c>
      <c r="D52" s="2">
        <v>23</v>
      </c>
      <c r="E52" t="s">
        <v>91</v>
      </c>
      <c r="F52" t="s">
        <v>92</v>
      </c>
      <c r="G52" s="2" t="s">
        <v>98</v>
      </c>
      <c r="H52" s="2">
        <v>0</v>
      </c>
      <c r="I52" s="2" t="s">
        <v>103</v>
      </c>
      <c r="J52" s="2">
        <v>1.9</v>
      </c>
      <c r="K52" s="2" t="s">
        <v>74</v>
      </c>
      <c r="L52" s="2">
        <v>0.79</v>
      </c>
      <c r="M52" s="2" t="s">
        <v>60</v>
      </c>
      <c r="N52" s="2" t="s">
        <v>42</v>
      </c>
      <c r="O52" s="2">
        <v>2</v>
      </c>
      <c r="P52" s="2" t="str">
        <f>IF(global_freelancer_raw[[#This Row],[No of projects ]]&lt;=5,"Entry level","Well Experienced")</f>
        <v>Entry level</v>
      </c>
      <c r="Q52" s="2">
        <v>5</v>
      </c>
    </row>
    <row r="53" spans="1:17" x14ac:dyDescent="0.3">
      <c r="A53" t="s">
        <v>206</v>
      </c>
      <c r="B53" t="s">
        <v>207</v>
      </c>
      <c r="C53" t="s">
        <v>118</v>
      </c>
      <c r="D53" s="2">
        <v>31</v>
      </c>
      <c r="E53" t="s">
        <v>156</v>
      </c>
      <c r="F53" t="s">
        <v>157</v>
      </c>
      <c r="G53" s="2" t="s">
        <v>66</v>
      </c>
      <c r="H53" s="2">
        <v>8</v>
      </c>
      <c r="I53" s="2" t="s">
        <v>40</v>
      </c>
      <c r="J53" s="2">
        <v>3.4</v>
      </c>
      <c r="K53" s="2" t="s">
        <v>23</v>
      </c>
      <c r="L53" s="2" t="s">
        <v>2120</v>
      </c>
      <c r="M53" s="2" t="s">
        <v>88</v>
      </c>
      <c r="N53" s="2" t="s">
        <v>42</v>
      </c>
      <c r="O53" s="2">
        <v>11</v>
      </c>
      <c r="P53" s="2" t="str">
        <f>IF(global_freelancer_raw[[#This Row],[No of projects ]]&lt;=5,"Entry level","Well Experienced")</f>
        <v>Well Experienced</v>
      </c>
      <c r="Q53" s="2">
        <v>3</v>
      </c>
    </row>
    <row r="54" spans="1:17" x14ac:dyDescent="0.3">
      <c r="A54" t="s">
        <v>208</v>
      </c>
      <c r="B54" t="s">
        <v>209</v>
      </c>
      <c r="C54" t="s">
        <v>118</v>
      </c>
      <c r="D54" s="2">
        <v>51</v>
      </c>
      <c r="E54" t="s">
        <v>38</v>
      </c>
      <c r="F54" t="s">
        <v>38</v>
      </c>
      <c r="G54" s="2" t="s">
        <v>135</v>
      </c>
      <c r="H54" s="2">
        <v>33</v>
      </c>
      <c r="I54" s="2" t="s">
        <v>103</v>
      </c>
      <c r="J54" s="2">
        <v>3.3</v>
      </c>
      <c r="K54" s="2" t="s">
        <v>2120</v>
      </c>
      <c r="L54" s="2">
        <v>0.68</v>
      </c>
      <c r="M54" s="2" t="s">
        <v>60</v>
      </c>
      <c r="N54" s="2" t="s">
        <v>42</v>
      </c>
      <c r="O54" s="2">
        <v>17</v>
      </c>
      <c r="P54" s="2" t="str">
        <f>IF(global_freelancer_raw[[#This Row],[No of projects ]]&lt;=5,"Entry level","Well Experienced")</f>
        <v>Well Experienced</v>
      </c>
      <c r="Q54" s="2">
        <v>8</v>
      </c>
    </row>
    <row r="55" spans="1:17" x14ac:dyDescent="0.3">
      <c r="A55" t="s">
        <v>210</v>
      </c>
      <c r="B55" t="s">
        <v>211</v>
      </c>
      <c r="C55" t="s">
        <v>118</v>
      </c>
      <c r="D55" s="2" t="s">
        <v>2119</v>
      </c>
      <c r="E55" t="s">
        <v>212</v>
      </c>
      <c r="F55" t="s">
        <v>92</v>
      </c>
      <c r="G55" s="2" t="s">
        <v>93</v>
      </c>
      <c r="H55" s="2">
        <v>1</v>
      </c>
      <c r="I55" s="2" t="s">
        <v>52</v>
      </c>
      <c r="J55" s="2">
        <v>0</v>
      </c>
      <c r="K55" s="2" t="s">
        <v>23</v>
      </c>
      <c r="L55" s="2">
        <v>0.68</v>
      </c>
      <c r="M55" s="2" t="s">
        <v>82</v>
      </c>
      <c r="N55" s="2" t="s">
        <v>25</v>
      </c>
      <c r="O55" s="2">
        <v>1</v>
      </c>
      <c r="P55" s="2" t="str">
        <f>IF(global_freelancer_raw[[#This Row],[No of projects ]]&lt;=5,"Entry level","Well Experienced")</f>
        <v>Entry level</v>
      </c>
      <c r="Q55" s="2">
        <v>2</v>
      </c>
    </row>
    <row r="56" spans="1:17" x14ac:dyDescent="0.3">
      <c r="A56" t="s">
        <v>213</v>
      </c>
      <c r="B56" t="s">
        <v>214</v>
      </c>
      <c r="C56" t="s">
        <v>97</v>
      </c>
      <c r="D56" s="2">
        <v>29</v>
      </c>
      <c r="E56" t="s">
        <v>79</v>
      </c>
      <c r="F56" t="s">
        <v>80</v>
      </c>
      <c r="G56" s="2" t="s">
        <v>98</v>
      </c>
      <c r="H56" s="2">
        <v>11</v>
      </c>
      <c r="I56" s="2" t="s">
        <v>22</v>
      </c>
      <c r="J56" s="2">
        <v>2.2999999999999998</v>
      </c>
      <c r="K56" s="2" t="s">
        <v>74</v>
      </c>
      <c r="L56" s="2">
        <v>0.72</v>
      </c>
      <c r="M56" s="2" t="s">
        <v>82</v>
      </c>
      <c r="N56" s="2" t="s">
        <v>75</v>
      </c>
      <c r="O56" s="2">
        <v>7</v>
      </c>
      <c r="P56" s="2" t="str">
        <f>IF(global_freelancer_raw[[#This Row],[No of projects ]]&lt;=5,"Entry level","Well Experienced")</f>
        <v>Well Experienced</v>
      </c>
      <c r="Q56" s="2">
        <v>7</v>
      </c>
    </row>
    <row r="57" spans="1:17" x14ac:dyDescent="0.3">
      <c r="A57" t="s">
        <v>215</v>
      </c>
      <c r="B57" t="s">
        <v>216</v>
      </c>
      <c r="C57" t="s">
        <v>118</v>
      </c>
      <c r="D57" s="2">
        <v>50</v>
      </c>
      <c r="E57" t="s">
        <v>85</v>
      </c>
      <c r="F57" t="s">
        <v>30</v>
      </c>
      <c r="G57" s="2" t="s">
        <v>57</v>
      </c>
      <c r="H57" s="2">
        <v>15</v>
      </c>
      <c r="I57" s="2" t="s">
        <v>2119</v>
      </c>
      <c r="J57" s="2">
        <v>2</v>
      </c>
      <c r="K57" s="2" t="s">
        <v>87</v>
      </c>
      <c r="L57" s="2">
        <v>0.65</v>
      </c>
      <c r="M57" s="2" t="s">
        <v>24</v>
      </c>
      <c r="N57" s="2" t="s">
        <v>25</v>
      </c>
      <c r="O57" s="2">
        <v>7</v>
      </c>
      <c r="P57" s="2" t="str">
        <f>IF(global_freelancer_raw[[#This Row],[No of projects ]]&lt;=5,"Entry level","Well Experienced")</f>
        <v>Well Experienced</v>
      </c>
      <c r="Q57" s="2">
        <v>7</v>
      </c>
    </row>
    <row r="58" spans="1:17" x14ac:dyDescent="0.3">
      <c r="A58" t="s">
        <v>217</v>
      </c>
      <c r="B58" t="s">
        <v>218</v>
      </c>
      <c r="C58" t="s">
        <v>97</v>
      </c>
      <c r="D58" s="2">
        <v>26</v>
      </c>
      <c r="E58" t="s">
        <v>85</v>
      </c>
      <c r="F58" t="s">
        <v>30</v>
      </c>
      <c r="G58" s="2" t="s">
        <v>110</v>
      </c>
      <c r="H58" s="2">
        <v>8</v>
      </c>
      <c r="I58" s="2" t="s">
        <v>40</v>
      </c>
      <c r="J58" s="2">
        <v>1.3</v>
      </c>
      <c r="K58" s="2" t="s">
        <v>59</v>
      </c>
      <c r="L58" s="2">
        <v>0.76</v>
      </c>
      <c r="M58" s="2" t="s">
        <v>60</v>
      </c>
      <c r="N58" s="2" t="s">
        <v>25</v>
      </c>
      <c r="O58" s="2">
        <v>7</v>
      </c>
      <c r="P58" s="2" t="str">
        <f>IF(global_freelancer_raw[[#This Row],[No of projects ]]&lt;=5,"Entry level","Well Experienced")</f>
        <v>Well Experienced</v>
      </c>
      <c r="Q58" s="2">
        <v>5</v>
      </c>
    </row>
    <row r="59" spans="1:17" x14ac:dyDescent="0.3">
      <c r="A59" t="s">
        <v>219</v>
      </c>
      <c r="B59" t="s">
        <v>220</v>
      </c>
      <c r="C59" t="s">
        <v>118</v>
      </c>
      <c r="D59" s="2">
        <v>38</v>
      </c>
      <c r="E59" t="s">
        <v>149</v>
      </c>
      <c r="F59" t="s">
        <v>30</v>
      </c>
      <c r="G59" s="2" t="s">
        <v>57</v>
      </c>
      <c r="H59" s="2">
        <v>17</v>
      </c>
      <c r="I59" s="2" t="s">
        <v>70</v>
      </c>
      <c r="J59" s="2">
        <v>4</v>
      </c>
      <c r="K59" s="2" t="s">
        <v>74</v>
      </c>
      <c r="L59" s="2">
        <v>0.9</v>
      </c>
      <c r="M59" s="2" t="s">
        <v>88</v>
      </c>
      <c r="N59" s="2" t="s">
        <v>75</v>
      </c>
      <c r="O59" s="2">
        <v>16</v>
      </c>
      <c r="P59" s="2" t="str">
        <f>IF(global_freelancer_raw[[#This Row],[No of projects ]]&lt;=5,"Entry level","Well Experienced")</f>
        <v>Well Experienced</v>
      </c>
      <c r="Q59" s="2">
        <v>11</v>
      </c>
    </row>
    <row r="60" spans="1:17" x14ac:dyDescent="0.3">
      <c r="A60" t="s">
        <v>221</v>
      </c>
      <c r="B60" t="s">
        <v>222</v>
      </c>
      <c r="C60" t="s">
        <v>97</v>
      </c>
      <c r="D60" s="2">
        <v>23</v>
      </c>
      <c r="E60" t="s">
        <v>114</v>
      </c>
      <c r="F60" t="s">
        <v>115</v>
      </c>
      <c r="G60" s="2" t="s">
        <v>31</v>
      </c>
      <c r="H60" s="2" t="s">
        <v>2120</v>
      </c>
      <c r="I60" s="2" t="s">
        <v>103</v>
      </c>
      <c r="J60" s="2">
        <v>3.6</v>
      </c>
      <c r="K60" s="2" t="s">
        <v>33</v>
      </c>
      <c r="L60" s="2">
        <v>0.65</v>
      </c>
      <c r="M60" s="2" t="s">
        <v>82</v>
      </c>
      <c r="N60" s="2" t="s">
        <v>34</v>
      </c>
      <c r="O60" s="2">
        <v>2</v>
      </c>
      <c r="P60" s="2" t="str">
        <f>IF(global_freelancer_raw[[#This Row],[No of projects ]]&lt;=5,"Entry level","Well Experienced")</f>
        <v>Entry level</v>
      </c>
      <c r="Q60" s="2">
        <v>4</v>
      </c>
    </row>
    <row r="61" spans="1:17" x14ac:dyDescent="0.3">
      <c r="A61" t="s">
        <v>223</v>
      </c>
      <c r="B61" t="s">
        <v>224</v>
      </c>
      <c r="C61" t="s">
        <v>97</v>
      </c>
      <c r="D61" s="2">
        <v>51</v>
      </c>
      <c r="E61" t="s">
        <v>175</v>
      </c>
      <c r="F61" t="s">
        <v>176</v>
      </c>
      <c r="G61" s="2" t="s">
        <v>110</v>
      </c>
      <c r="H61" s="2">
        <v>28</v>
      </c>
      <c r="I61" s="2" t="s">
        <v>86</v>
      </c>
      <c r="J61" s="2">
        <v>3.9</v>
      </c>
      <c r="K61" s="2" t="s">
        <v>23</v>
      </c>
      <c r="L61" s="2">
        <v>0.63</v>
      </c>
      <c r="M61" s="2" t="s">
        <v>88</v>
      </c>
      <c r="N61" s="2" t="s">
        <v>42</v>
      </c>
      <c r="O61" s="2">
        <v>13</v>
      </c>
      <c r="P61" s="2" t="str">
        <f>IF(global_freelancer_raw[[#This Row],[No of projects ]]&lt;=5,"Entry level","Well Experienced")</f>
        <v>Well Experienced</v>
      </c>
      <c r="Q61" s="2">
        <v>6</v>
      </c>
    </row>
    <row r="62" spans="1:17" x14ac:dyDescent="0.3">
      <c r="A62" t="s">
        <v>225</v>
      </c>
      <c r="B62" t="s">
        <v>226</v>
      </c>
      <c r="C62" t="s">
        <v>97</v>
      </c>
      <c r="D62" s="2">
        <v>51</v>
      </c>
      <c r="E62" t="s">
        <v>64</v>
      </c>
      <c r="F62" t="s">
        <v>65</v>
      </c>
      <c r="G62" s="2" t="s">
        <v>57</v>
      </c>
      <c r="H62" s="2">
        <v>33</v>
      </c>
      <c r="I62" s="2" t="s">
        <v>192</v>
      </c>
      <c r="J62" s="2">
        <v>0</v>
      </c>
      <c r="K62" s="2" t="s">
        <v>74</v>
      </c>
      <c r="L62" s="2" t="s">
        <v>2120</v>
      </c>
      <c r="M62" s="2" t="s">
        <v>88</v>
      </c>
      <c r="N62" s="2" t="s">
        <v>34</v>
      </c>
      <c r="O62" s="2">
        <v>14</v>
      </c>
      <c r="P62" s="2" t="str">
        <f>IF(global_freelancer_raw[[#This Row],[No of projects ]]&lt;=5,"Entry level","Well Experienced")</f>
        <v>Well Experienced</v>
      </c>
      <c r="Q62" s="2">
        <v>8</v>
      </c>
    </row>
    <row r="63" spans="1:17" x14ac:dyDescent="0.3">
      <c r="A63" t="s">
        <v>227</v>
      </c>
      <c r="B63" t="s">
        <v>228</v>
      </c>
      <c r="C63" t="s">
        <v>118</v>
      </c>
      <c r="D63" s="2">
        <v>47</v>
      </c>
      <c r="E63" t="s">
        <v>38</v>
      </c>
      <c r="F63" t="s">
        <v>38</v>
      </c>
      <c r="G63" s="2" t="s">
        <v>57</v>
      </c>
      <c r="H63" s="2">
        <v>18</v>
      </c>
      <c r="I63" s="2" t="s">
        <v>103</v>
      </c>
      <c r="J63" s="2">
        <v>0</v>
      </c>
      <c r="K63" s="2" t="s">
        <v>23</v>
      </c>
      <c r="L63" s="2" t="s">
        <v>2120</v>
      </c>
      <c r="M63" s="2" t="s">
        <v>82</v>
      </c>
      <c r="N63" s="2" t="s">
        <v>42</v>
      </c>
      <c r="O63" s="2">
        <v>11</v>
      </c>
      <c r="P63" s="2" t="str">
        <f>IF(global_freelancer_raw[[#This Row],[No of projects ]]&lt;=5,"Entry level","Well Experienced")</f>
        <v>Well Experienced</v>
      </c>
      <c r="Q63" s="2">
        <v>8</v>
      </c>
    </row>
    <row r="64" spans="1:17" x14ac:dyDescent="0.3">
      <c r="A64" t="s">
        <v>229</v>
      </c>
      <c r="B64" t="s">
        <v>230</v>
      </c>
      <c r="C64" t="s">
        <v>97</v>
      </c>
      <c r="D64" s="2">
        <v>34</v>
      </c>
      <c r="E64" t="s">
        <v>145</v>
      </c>
      <c r="F64" t="s">
        <v>146</v>
      </c>
      <c r="G64" s="2" t="s">
        <v>93</v>
      </c>
      <c r="H64" s="2">
        <v>16</v>
      </c>
      <c r="I64" s="2" t="s">
        <v>142</v>
      </c>
      <c r="J64" s="2">
        <v>2.2999999999999998</v>
      </c>
      <c r="K64" s="2" t="s">
        <v>87</v>
      </c>
      <c r="L64" s="2">
        <v>0.93</v>
      </c>
      <c r="M64" s="2" t="s">
        <v>88</v>
      </c>
      <c r="N64" s="2" t="s">
        <v>25</v>
      </c>
      <c r="O64" s="2">
        <v>15</v>
      </c>
      <c r="P64" s="2" t="str">
        <f>IF(global_freelancer_raw[[#This Row],[No of projects ]]&lt;=5,"Entry level","Well Experienced")</f>
        <v>Well Experienced</v>
      </c>
      <c r="Q64" s="2">
        <v>5</v>
      </c>
    </row>
    <row r="65" spans="1:17" x14ac:dyDescent="0.3">
      <c r="A65" t="s">
        <v>231</v>
      </c>
      <c r="B65" t="s">
        <v>232</v>
      </c>
      <c r="C65" t="s">
        <v>97</v>
      </c>
      <c r="D65" s="2">
        <v>58</v>
      </c>
      <c r="E65" t="s">
        <v>64</v>
      </c>
      <c r="F65" t="s">
        <v>65</v>
      </c>
      <c r="G65" s="2" t="s">
        <v>66</v>
      </c>
      <c r="H65" s="2">
        <v>35</v>
      </c>
      <c r="I65" s="2" t="s">
        <v>119</v>
      </c>
      <c r="J65" s="2">
        <v>4.7</v>
      </c>
      <c r="K65" s="2" t="s">
        <v>181</v>
      </c>
      <c r="L65" s="2">
        <v>0.7</v>
      </c>
      <c r="M65" s="2" t="s">
        <v>82</v>
      </c>
      <c r="N65" s="2" t="s">
        <v>42</v>
      </c>
      <c r="O65" s="2">
        <v>17</v>
      </c>
      <c r="P65" s="2" t="str">
        <f>IF(global_freelancer_raw[[#This Row],[No of projects ]]&lt;=5,"Entry level","Well Experienced")</f>
        <v>Well Experienced</v>
      </c>
      <c r="Q65" s="2">
        <v>13</v>
      </c>
    </row>
    <row r="66" spans="1:17" x14ac:dyDescent="0.3">
      <c r="A66" t="s">
        <v>233</v>
      </c>
      <c r="B66" t="s">
        <v>234</v>
      </c>
      <c r="C66" t="s">
        <v>97</v>
      </c>
      <c r="D66" s="2">
        <v>50</v>
      </c>
      <c r="E66" t="s">
        <v>145</v>
      </c>
      <c r="F66" t="s">
        <v>146</v>
      </c>
      <c r="G66" s="2" t="s">
        <v>57</v>
      </c>
      <c r="H66" s="2">
        <v>14</v>
      </c>
      <c r="I66" s="2" t="s">
        <v>2119</v>
      </c>
      <c r="J66" s="2">
        <v>3.5</v>
      </c>
      <c r="K66" s="2" t="s">
        <v>94</v>
      </c>
      <c r="L66" s="2">
        <v>0.83</v>
      </c>
      <c r="M66" s="2" t="s">
        <v>88</v>
      </c>
      <c r="N66" s="2" t="s">
        <v>25</v>
      </c>
      <c r="O66" s="2">
        <v>13</v>
      </c>
      <c r="P66" s="2" t="str">
        <f>IF(global_freelancer_raw[[#This Row],[No of projects ]]&lt;=5,"Entry level","Well Experienced")</f>
        <v>Well Experienced</v>
      </c>
      <c r="Q66" s="2">
        <v>8</v>
      </c>
    </row>
    <row r="67" spans="1:17" x14ac:dyDescent="0.3">
      <c r="A67" t="s">
        <v>235</v>
      </c>
      <c r="B67" t="s">
        <v>236</v>
      </c>
      <c r="C67" t="s">
        <v>97</v>
      </c>
      <c r="D67" s="2">
        <v>34</v>
      </c>
      <c r="E67" t="s">
        <v>212</v>
      </c>
      <c r="F67" t="s">
        <v>92</v>
      </c>
      <c r="G67" s="2" t="s">
        <v>46</v>
      </c>
      <c r="H67" s="2">
        <v>12</v>
      </c>
      <c r="I67" s="2" t="s">
        <v>86</v>
      </c>
      <c r="J67" s="2">
        <v>2.4</v>
      </c>
      <c r="K67" s="2" t="s">
        <v>33</v>
      </c>
      <c r="L67" s="2">
        <v>64</v>
      </c>
      <c r="M67" s="2" t="s">
        <v>82</v>
      </c>
      <c r="N67" s="2" t="s">
        <v>34</v>
      </c>
      <c r="O67" s="2">
        <v>14</v>
      </c>
      <c r="P67" s="2" t="str">
        <f>IF(global_freelancer_raw[[#This Row],[No of projects ]]&lt;=5,"Entry level","Well Experienced")</f>
        <v>Well Experienced</v>
      </c>
      <c r="Q67" s="2">
        <v>12</v>
      </c>
    </row>
    <row r="68" spans="1:17" x14ac:dyDescent="0.3">
      <c r="A68" t="s">
        <v>237</v>
      </c>
      <c r="B68" t="s">
        <v>238</v>
      </c>
      <c r="C68" t="s">
        <v>97</v>
      </c>
      <c r="D68" s="2">
        <v>45</v>
      </c>
      <c r="E68" t="s">
        <v>128</v>
      </c>
      <c r="F68" t="s">
        <v>129</v>
      </c>
      <c r="G68" s="2" t="s">
        <v>57</v>
      </c>
      <c r="H68" s="2">
        <v>11</v>
      </c>
      <c r="I68" s="2" t="s">
        <v>67</v>
      </c>
      <c r="J68" s="2">
        <v>4</v>
      </c>
      <c r="K68" s="2" t="s">
        <v>41</v>
      </c>
      <c r="L68" s="2">
        <v>1</v>
      </c>
      <c r="M68" s="2" t="s">
        <v>60</v>
      </c>
      <c r="N68" s="2" t="s">
        <v>25</v>
      </c>
      <c r="O68" s="2">
        <v>9</v>
      </c>
      <c r="P68" s="2" t="str">
        <f>IF(global_freelancer_raw[[#This Row],[No of projects ]]&lt;=5,"Entry level","Well Experienced")</f>
        <v>Well Experienced</v>
      </c>
      <c r="Q68" s="2">
        <v>2</v>
      </c>
    </row>
    <row r="69" spans="1:17" x14ac:dyDescent="0.3">
      <c r="A69" t="s">
        <v>239</v>
      </c>
      <c r="B69" t="s">
        <v>240</v>
      </c>
      <c r="C69" t="s">
        <v>97</v>
      </c>
      <c r="D69" s="2">
        <v>55</v>
      </c>
      <c r="E69" t="s">
        <v>128</v>
      </c>
      <c r="F69" t="s">
        <v>129</v>
      </c>
      <c r="G69" s="2" t="s">
        <v>46</v>
      </c>
      <c r="H69" s="2">
        <v>0</v>
      </c>
      <c r="I69" s="2" t="s">
        <v>47</v>
      </c>
      <c r="J69" s="2">
        <v>0</v>
      </c>
      <c r="K69" s="2" t="s">
        <v>74</v>
      </c>
      <c r="L69" s="2" t="s">
        <v>2120</v>
      </c>
      <c r="M69" s="2" t="s">
        <v>24</v>
      </c>
      <c r="N69" s="2" t="s">
        <v>34</v>
      </c>
      <c r="O69" s="2">
        <v>5</v>
      </c>
      <c r="P69" s="2" t="str">
        <f>IF(global_freelancer_raw[[#This Row],[No of projects ]]&lt;=5,"Entry level","Well Experienced")</f>
        <v>Entry level</v>
      </c>
      <c r="Q69" s="2">
        <v>5</v>
      </c>
    </row>
    <row r="70" spans="1:17" x14ac:dyDescent="0.3">
      <c r="A70" t="s">
        <v>241</v>
      </c>
      <c r="B70" t="s">
        <v>242</v>
      </c>
      <c r="C70" t="s">
        <v>118</v>
      </c>
      <c r="D70" s="2" t="s">
        <v>2119</v>
      </c>
      <c r="E70" t="s">
        <v>91</v>
      </c>
      <c r="F70" t="s">
        <v>92</v>
      </c>
      <c r="G70" s="2" t="s">
        <v>93</v>
      </c>
      <c r="H70" s="2">
        <v>6</v>
      </c>
      <c r="I70" s="2" t="s">
        <v>22</v>
      </c>
      <c r="J70" s="2">
        <v>1.5</v>
      </c>
      <c r="K70" s="2" t="s">
        <v>59</v>
      </c>
      <c r="L70" s="2" t="s">
        <v>2120</v>
      </c>
      <c r="M70" s="2" t="s">
        <v>82</v>
      </c>
      <c r="N70" s="2" t="s">
        <v>75</v>
      </c>
      <c r="O70" s="2">
        <v>8</v>
      </c>
      <c r="P70" s="2" t="str">
        <f>IF(global_freelancer_raw[[#This Row],[No of projects ]]&lt;=5,"Entry level","Well Experienced")</f>
        <v>Well Experienced</v>
      </c>
      <c r="Q70" s="2">
        <v>2</v>
      </c>
    </row>
    <row r="71" spans="1:17" x14ac:dyDescent="0.3">
      <c r="A71" t="s">
        <v>243</v>
      </c>
      <c r="B71" t="s">
        <v>244</v>
      </c>
      <c r="C71" t="s">
        <v>97</v>
      </c>
      <c r="D71" s="2">
        <v>60</v>
      </c>
      <c r="E71" t="s">
        <v>197</v>
      </c>
      <c r="F71" t="s">
        <v>198</v>
      </c>
      <c r="G71" s="2" t="s">
        <v>93</v>
      </c>
      <c r="H71" s="2">
        <v>38</v>
      </c>
      <c r="I71" s="2" t="s">
        <v>142</v>
      </c>
      <c r="J71" s="2">
        <v>2</v>
      </c>
      <c r="K71" s="2" t="s">
        <v>181</v>
      </c>
      <c r="L71" s="2">
        <v>0.71</v>
      </c>
      <c r="M71" s="2" t="s">
        <v>82</v>
      </c>
      <c r="N71" s="2" t="s">
        <v>75</v>
      </c>
      <c r="O71" s="2">
        <v>19</v>
      </c>
      <c r="P71" s="2" t="str">
        <f>IF(global_freelancer_raw[[#This Row],[No of projects ]]&lt;=5,"Entry level","Well Experienced")</f>
        <v>Well Experienced</v>
      </c>
      <c r="Q71" s="2">
        <v>7</v>
      </c>
    </row>
    <row r="72" spans="1:17" x14ac:dyDescent="0.3">
      <c r="A72" t="s">
        <v>245</v>
      </c>
      <c r="B72" t="s">
        <v>246</v>
      </c>
      <c r="C72" t="s">
        <v>97</v>
      </c>
      <c r="D72" s="2">
        <v>33</v>
      </c>
      <c r="E72" t="s">
        <v>175</v>
      </c>
      <c r="F72" t="s">
        <v>176</v>
      </c>
      <c r="G72" s="2" t="s">
        <v>31</v>
      </c>
      <c r="H72" s="2">
        <v>11</v>
      </c>
      <c r="I72" s="2" t="s">
        <v>2119</v>
      </c>
      <c r="J72" s="2" t="s">
        <v>2120</v>
      </c>
      <c r="K72" s="2" t="s">
        <v>87</v>
      </c>
      <c r="L72" s="2">
        <v>0.84</v>
      </c>
      <c r="M72" s="2" t="s">
        <v>24</v>
      </c>
      <c r="N72" s="2" t="s">
        <v>75</v>
      </c>
      <c r="O72" s="2">
        <v>6</v>
      </c>
      <c r="P72" s="2" t="str">
        <f>IF(global_freelancer_raw[[#This Row],[No of projects ]]&lt;=5,"Entry level","Well Experienced")</f>
        <v>Well Experienced</v>
      </c>
      <c r="Q72" s="2">
        <v>3</v>
      </c>
    </row>
    <row r="73" spans="1:17" x14ac:dyDescent="0.3">
      <c r="A73" t="s">
        <v>247</v>
      </c>
      <c r="B73" t="s">
        <v>248</v>
      </c>
      <c r="C73" t="s">
        <v>118</v>
      </c>
      <c r="D73" s="2">
        <v>60</v>
      </c>
      <c r="E73" t="s">
        <v>19</v>
      </c>
      <c r="F73" t="s">
        <v>20</v>
      </c>
      <c r="G73" s="2" t="s">
        <v>110</v>
      </c>
      <c r="H73" s="2">
        <v>13</v>
      </c>
      <c r="I73" s="2" t="s">
        <v>119</v>
      </c>
      <c r="J73" s="2">
        <v>1</v>
      </c>
      <c r="K73" s="2" t="s">
        <v>59</v>
      </c>
      <c r="L73" s="2" t="s">
        <v>2120</v>
      </c>
      <c r="M73" s="2" t="s">
        <v>82</v>
      </c>
      <c r="N73" s="2" t="s">
        <v>25</v>
      </c>
      <c r="O73" s="2">
        <v>15</v>
      </c>
      <c r="P73" s="2" t="str">
        <f>IF(global_freelancer_raw[[#This Row],[No of projects ]]&lt;=5,"Entry level","Well Experienced")</f>
        <v>Well Experienced</v>
      </c>
      <c r="Q73" s="2">
        <v>1</v>
      </c>
    </row>
    <row r="74" spans="1:17" x14ac:dyDescent="0.3">
      <c r="A74" t="s">
        <v>249</v>
      </c>
      <c r="B74" t="s">
        <v>250</v>
      </c>
      <c r="C74" t="s">
        <v>118</v>
      </c>
      <c r="D74" s="2">
        <v>40</v>
      </c>
      <c r="E74" t="s">
        <v>73</v>
      </c>
      <c r="F74" t="s">
        <v>30</v>
      </c>
      <c r="G74" s="2" t="s">
        <v>46</v>
      </c>
      <c r="H74" s="2">
        <v>9</v>
      </c>
      <c r="I74" s="2" t="s">
        <v>251</v>
      </c>
      <c r="J74" s="2">
        <v>4.5</v>
      </c>
      <c r="K74" s="2" t="s">
        <v>87</v>
      </c>
      <c r="L74" s="2">
        <v>0.69</v>
      </c>
      <c r="M74" s="2" t="s">
        <v>82</v>
      </c>
      <c r="N74" s="2" t="s">
        <v>75</v>
      </c>
      <c r="O74" s="2">
        <v>11</v>
      </c>
      <c r="P74" s="2" t="str">
        <f>IF(global_freelancer_raw[[#This Row],[No of projects ]]&lt;=5,"Entry level","Well Experienced")</f>
        <v>Well Experienced</v>
      </c>
      <c r="Q74" s="2">
        <v>10</v>
      </c>
    </row>
    <row r="75" spans="1:17" x14ac:dyDescent="0.3">
      <c r="A75" t="s">
        <v>252</v>
      </c>
      <c r="B75" t="s">
        <v>253</v>
      </c>
      <c r="C75" t="s">
        <v>118</v>
      </c>
      <c r="D75" s="2">
        <v>59</v>
      </c>
      <c r="E75" t="s">
        <v>29</v>
      </c>
      <c r="F75" t="s">
        <v>30</v>
      </c>
      <c r="G75" s="2" t="s">
        <v>21</v>
      </c>
      <c r="H75" s="2">
        <v>4</v>
      </c>
      <c r="I75" s="2" t="s">
        <v>2119</v>
      </c>
      <c r="J75" s="2">
        <v>1.9</v>
      </c>
      <c r="K75" s="2" t="s">
        <v>59</v>
      </c>
      <c r="L75" s="2">
        <v>88</v>
      </c>
      <c r="M75" s="2" t="s">
        <v>88</v>
      </c>
      <c r="N75" s="2" t="s">
        <v>42</v>
      </c>
      <c r="O75" s="2">
        <v>5</v>
      </c>
      <c r="P75" s="2" t="str">
        <f>IF(global_freelancer_raw[[#This Row],[No of projects ]]&lt;=5,"Entry level","Well Experienced")</f>
        <v>Entry level</v>
      </c>
      <c r="Q75" s="2">
        <v>1</v>
      </c>
    </row>
    <row r="76" spans="1:17" x14ac:dyDescent="0.3">
      <c r="A76" t="s">
        <v>254</v>
      </c>
      <c r="B76" t="s">
        <v>255</v>
      </c>
      <c r="C76" t="s">
        <v>118</v>
      </c>
      <c r="D76" s="2">
        <v>36</v>
      </c>
      <c r="E76" s="2" t="s">
        <v>2120</v>
      </c>
      <c r="F76" t="s">
        <v>20</v>
      </c>
      <c r="G76" s="2" t="s">
        <v>135</v>
      </c>
      <c r="H76" s="2">
        <v>14</v>
      </c>
      <c r="I76" s="2" t="s">
        <v>251</v>
      </c>
      <c r="J76" s="2">
        <v>3.7</v>
      </c>
      <c r="K76" s="2" t="s">
        <v>23</v>
      </c>
      <c r="L76" s="2" t="s">
        <v>2120</v>
      </c>
      <c r="M76" s="2" t="s">
        <v>24</v>
      </c>
      <c r="N76" s="2" t="s">
        <v>34</v>
      </c>
      <c r="O76" s="2">
        <v>9</v>
      </c>
      <c r="P76" s="2" t="str">
        <f>IF(global_freelancer_raw[[#This Row],[No of projects ]]&lt;=5,"Entry level","Well Experienced")</f>
        <v>Well Experienced</v>
      </c>
      <c r="Q76" s="2">
        <v>5</v>
      </c>
    </row>
    <row r="77" spans="1:17" x14ac:dyDescent="0.3">
      <c r="A77" t="s">
        <v>256</v>
      </c>
      <c r="B77" t="s">
        <v>257</v>
      </c>
      <c r="C77" t="s">
        <v>118</v>
      </c>
      <c r="D77" s="2">
        <v>32</v>
      </c>
      <c r="E77" t="s">
        <v>114</v>
      </c>
      <c r="F77" t="s">
        <v>115</v>
      </c>
      <c r="G77" s="2" t="s">
        <v>66</v>
      </c>
      <c r="H77" s="2" t="s">
        <v>2120</v>
      </c>
      <c r="I77" s="2" t="s">
        <v>52</v>
      </c>
      <c r="J77" s="2">
        <v>1.9</v>
      </c>
      <c r="K77" s="2" t="s">
        <v>74</v>
      </c>
      <c r="L77" s="2">
        <v>0.96</v>
      </c>
      <c r="M77" s="2" t="s">
        <v>60</v>
      </c>
      <c r="N77" s="2" t="s">
        <v>34</v>
      </c>
      <c r="O77" s="2">
        <v>2</v>
      </c>
      <c r="P77" s="2" t="str">
        <f>IF(global_freelancer_raw[[#This Row],[No of projects ]]&lt;=5,"Entry level","Well Experienced")</f>
        <v>Entry level</v>
      </c>
      <c r="Q77" s="2">
        <v>2</v>
      </c>
    </row>
    <row r="78" spans="1:17" x14ac:dyDescent="0.3">
      <c r="A78" t="s">
        <v>258</v>
      </c>
      <c r="B78" t="s">
        <v>259</v>
      </c>
      <c r="C78" t="s">
        <v>118</v>
      </c>
      <c r="D78" s="2">
        <v>59</v>
      </c>
      <c r="E78" t="s">
        <v>29</v>
      </c>
      <c r="F78" t="s">
        <v>30</v>
      </c>
      <c r="G78" s="2" t="s">
        <v>57</v>
      </c>
      <c r="H78" s="2">
        <v>9</v>
      </c>
      <c r="I78" s="2" t="s">
        <v>67</v>
      </c>
      <c r="J78" s="2">
        <v>4</v>
      </c>
      <c r="K78" s="2" t="s">
        <v>33</v>
      </c>
      <c r="L78" s="2">
        <v>96</v>
      </c>
      <c r="M78" s="2" t="s">
        <v>82</v>
      </c>
      <c r="N78" s="2" t="s">
        <v>42</v>
      </c>
      <c r="O78" s="2">
        <v>14</v>
      </c>
      <c r="P78" s="2" t="str">
        <f>IF(global_freelancer_raw[[#This Row],[No of projects ]]&lt;=5,"Entry level","Well Experienced")</f>
        <v>Well Experienced</v>
      </c>
      <c r="Q78" s="2">
        <v>5</v>
      </c>
    </row>
    <row r="79" spans="1:17" x14ac:dyDescent="0.3">
      <c r="A79" t="s">
        <v>260</v>
      </c>
      <c r="B79" t="s">
        <v>261</v>
      </c>
      <c r="C79" t="s">
        <v>97</v>
      </c>
      <c r="D79" s="2">
        <v>54</v>
      </c>
      <c r="E79" t="s">
        <v>212</v>
      </c>
      <c r="F79" t="s">
        <v>92</v>
      </c>
      <c r="G79" s="2" t="s">
        <v>110</v>
      </c>
      <c r="H79" s="2">
        <v>32</v>
      </c>
      <c r="I79" s="2" t="s">
        <v>70</v>
      </c>
      <c r="J79" s="2">
        <v>1.8</v>
      </c>
      <c r="K79" s="2" t="s">
        <v>41</v>
      </c>
      <c r="L79" s="2" t="s">
        <v>2120</v>
      </c>
      <c r="M79" s="2" t="s">
        <v>24</v>
      </c>
      <c r="N79" s="2" t="s">
        <v>25</v>
      </c>
      <c r="O79" s="2">
        <v>10</v>
      </c>
      <c r="P79" s="2" t="str">
        <f>IF(global_freelancer_raw[[#This Row],[No of projects ]]&lt;=5,"Entry level","Well Experienced")</f>
        <v>Well Experienced</v>
      </c>
      <c r="Q79" s="2">
        <v>7</v>
      </c>
    </row>
    <row r="80" spans="1:17" x14ac:dyDescent="0.3">
      <c r="A80" t="s">
        <v>262</v>
      </c>
      <c r="B80" t="s">
        <v>263</v>
      </c>
      <c r="C80" t="s">
        <v>97</v>
      </c>
      <c r="D80" s="2">
        <v>37</v>
      </c>
      <c r="E80" t="s">
        <v>149</v>
      </c>
      <c r="F80" t="s">
        <v>30</v>
      </c>
      <c r="G80" s="2" t="s">
        <v>39</v>
      </c>
      <c r="H80" s="2">
        <v>9</v>
      </c>
      <c r="I80" s="2" t="s">
        <v>2119</v>
      </c>
      <c r="J80" s="2">
        <v>0</v>
      </c>
      <c r="K80" s="2" t="s">
        <v>33</v>
      </c>
      <c r="L80" s="2">
        <v>0.89</v>
      </c>
      <c r="M80" s="2" t="s">
        <v>88</v>
      </c>
      <c r="N80" s="2" t="s">
        <v>25</v>
      </c>
      <c r="O80" s="2">
        <v>14</v>
      </c>
      <c r="P80" s="2" t="str">
        <f>IF(global_freelancer_raw[[#This Row],[No of projects ]]&lt;=5,"Entry level","Well Experienced")</f>
        <v>Well Experienced</v>
      </c>
      <c r="Q80" s="2">
        <v>6</v>
      </c>
    </row>
    <row r="81" spans="1:17" x14ac:dyDescent="0.3">
      <c r="A81" t="s">
        <v>264</v>
      </c>
      <c r="B81" t="s">
        <v>265</v>
      </c>
      <c r="C81" t="s">
        <v>118</v>
      </c>
      <c r="D81" s="2">
        <v>54</v>
      </c>
      <c r="E81" t="s">
        <v>114</v>
      </c>
      <c r="F81" t="s">
        <v>115</v>
      </c>
      <c r="G81" s="2" t="s">
        <v>135</v>
      </c>
      <c r="H81" s="2">
        <v>21</v>
      </c>
      <c r="I81" s="2" t="s">
        <v>251</v>
      </c>
      <c r="J81" s="2">
        <v>4.5999999999999996</v>
      </c>
      <c r="K81" s="2" t="s">
        <v>59</v>
      </c>
      <c r="L81" s="2" t="s">
        <v>2120</v>
      </c>
      <c r="M81" s="2" t="s">
        <v>60</v>
      </c>
      <c r="N81" s="2" t="s">
        <v>34</v>
      </c>
      <c r="O81" s="2">
        <v>20</v>
      </c>
      <c r="P81" s="2" t="str">
        <f>IF(global_freelancer_raw[[#This Row],[No of projects ]]&lt;=5,"Entry level","Well Experienced")</f>
        <v>Well Experienced</v>
      </c>
      <c r="Q81" s="2">
        <v>3</v>
      </c>
    </row>
    <row r="82" spans="1:17" x14ac:dyDescent="0.3">
      <c r="A82" t="s">
        <v>266</v>
      </c>
      <c r="B82" t="s">
        <v>267</v>
      </c>
      <c r="C82" t="s">
        <v>97</v>
      </c>
      <c r="D82" s="2">
        <v>33</v>
      </c>
      <c r="E82" t="s">
        <v>91</v>
      </c>
      <c r="F82" t="s">
        <v>92</v>
      </c>
      <c r="G82" s="2" t="s">
        <v>93</v>
      </c>
      <c r="H82" s="2">
        <v>12</v>
      </c>
      <c r="I82" s="2" t="s">
        <v>22</v>
      </c>
      <c r="J82" s="2">
        <v>3.6</v>
      </c>
      <c r="K82" s="2" t="s">
        <v>23</v>
      </c>
      <c r="L82" s="2">
        <v>0.63</v>
      </c>
      <c r="M82" s="2" t="s">
        <v>24</v>
      </c>
      <c r="N82" s="2" t="s">
        <v>75</v>
      </c>
      <c r="O82" s="2">
        <v>10</v>
      </c>
      <c r="P82" s="2" t="str">
        <f>IF(global_freelancer_raw[[#This Row],[No of projects ]]&lt;=5,"Entry level","Well Experienced")</f>
        <v>Well Experienced</v>
      </c>
      <c r="Q82" s="2">
        <v>2</v>
      </c>
    </row>
    <row r="83" spans="1:17" x14ac:dyDescent="0.3">
      <c r="A83" t="s">
        <v>268</v>
      </c>
      <c r="B83" t="s">
        <v>269</v>
      </c>
      <c r="C83" t="s">
        <v>97</v>
      </c>
      <c r="D83" s="2">
        <v>25</v>
      </c>
      <c r="E83" t="s">
        <v>160</v>
      </c>
      <c r="F83" t="s">
        <v>161</v>
      </c>
      <c r="G83" s="2" t="s">
        <v>46</v>
      </c>
      <c r="H83" s="2">
        <v>7</v>
      </c>
      <c r="I83" s="2" t="s">
        <v>70</v>
      </c>
      <c r="J83" s="2">
        <v>4.4000000000000004</v>
      </c>
      <c r="K83" s="2" t="s">
        <v>2120</v>
      </c>
      <c r="L83" s="2">
        <v>81</v>
      </c>
      <c r="M83" s="2" t="s">
        <v>60</v>
      </c>
      <c r="N83" s="2" t="s">
        <v>25</v>
      </c>
      <c r="O83" s="2">
        <v>11</v>
      </c>
      <c r="P83" s="2" t="str">
        <f>IF(global_freelancer_raw[[#This Row],[No of projects ]]&lt;=5,"Entry level","Well Experienced")</f>
        <v>Well Experienced</v>
      </c>
      <c r="Q83" s="2">
        <v>8</v>
      </c>
    </row>
    <row r="84" spans="1:17" x14ac:dyDescent="0.3">
      <c r="A84" t="s">
        <v>270</v>
      </c>
      <c r="B84" t="s">
        <v>271</v>
      </c>
      <c r="C84" t="s">
        <v>118</v>
      </c>
      <c r="D84" s="2" t="s">
        <v>2119</v>
      </c>
      <c r="E84" t="s">
        <v>197</v>
      </c>
      <c r="F84" t="s">
        <v>198</v>
      </c>
      <c r="G84" s="2" t="s">
        <v>110</v>
      </c>
      <c r="H84" s="2">
        <v>3</v>
      </c>
      <c r="I84" s="2" t="s">
        <v>86</v>
      </c>
      <c r="J84" s="2">
        <v>4.5999999999999996</v>
      </c>
      <c r="K84" s="2" t="s">
        <v>41</v>
      </c>
      <c r="L84" s="2">
        <v>0.74</v>
      </c>
      <c r="M84" s="2" t="s">
        <v>60</v>
      </c>
      <c r="N84" s="2" t="s">
        <v>25</v>
      </c>
      <c r="O84" s="2">
        <v>1</v>
      </c>
      <c r="P84" s="2" t="str">
        <f>IF(global_freelancer_raw[[#This Row],[No of projects ]]&lt;=5,"Entry level","Well Experienced")</f>
        <v>Entry level</v>
      </c>
      <c r="Q84" s="2">
        <v>1</v>
      </c>
    </row>
    <row r="85" spans="1:17" x14ac:dyDescent="0.3">
      <c r="A85" t="s">
        <v>272</v>
      </c>
      <c r="B85" t="s">
        <v>273</v>
      </c>
      <c r="C85" t="s">
        <v>118</v>
      </c>
      <c r="D85" s="2">
        <v>35</v>
      </c>
      <c r="E85" t="s">
        <v>133</v>
      </c>
      <c r="F85" t="s">
        <v>134</v>
      </c>
      <c r="G85" s="2" t="s">
        <v>46</v>
      </c>
      <c r="H85" s="2">
        <v>5</v>
      </c>
      <c r="I85" s="2" t="s">
        <v>192</v>
      </c>
      <c r="J85" s="2">
        <v>3.2</v>
      </c>
      <c r="K85" s="2" t="s">
        <v>59</v>
      </c>
      <c r="L85" s="2">
        <v>0.72</v>
      </c>
      <c r="M85" s="2" t="s">
        <v>60</v>
      </c>
      <c r="N85" s="2" t="s">
        <v>42</v>
      </c>
      <c r="O85" s="2">
        <v>2</v>
      </c>
      <c r="P85" s="2" t="str">
        <f>IF(global_freelancer_raw[[#This Row],[No of projects ]]&lt;=5,"Entry level","Well Experienced")</f>
        <v>Entry level</v>
      </c>
      <c r="Q85" s="2">
        <v>1</v>
      </c>
    </row>
    <row r="86" spans="1:17" x14ac:dyDescent="0.3">
      <c r="A86" t="s">
        <v>274</v>
      </c>
      <c r="B86" t="s">
        <v>275</v>
      </c>
      <c r="C86" t="s">
        <v>118</v>
      </c>
      <c r="D86" s="2">
        <v>59</v>
      </c>
      <c r="E86" t="s">
        <v>133</v>
      </c>
      <c r="F86" t="s">
        <v>134</v>
      </c>
      <c r="G86" s="2" t="s">
        <v>57</v>
      </c>
      <c r="H86" s="2">
        <v>30</v>
      </c>
      <c r="I86" s="2" t="s">
        <v>47</v>
      </c>
      <c r="J86" s="2">
        <v>0</v>
      </c>
      <c r="K86" s="2" t="s">
        <v>74</v>
      </c>
      <c r="L86" s="2" t="s">
        <v>2120</v>
      </c>
      <c r="M86" s="2" t="s">
        <v>82</v>
      </c>
      <c r="N86" s="2" t="s">
        <v>42</v>
      </c>
      <c r="O86" s="2">
        <v>13</v>
      </c>
      <c r="P86" s="2" t="str">
        <f>IF(global_freelancer_raw[[#This Row],[No of projects ]]&lt;=5,"Entry level","Well Experienced")</f>
        <v>Well Experienced</v>
      </c>
      <c r="Q86" s="2">
        <v>13</v>
      </c>
    </row>
    <row r="87" spans="1:17" x14ac:dyDescent="0.3">
      <c r="A87" t="s">
        <v>276</v>
      </c>
      <c r="B87" t="s">
        <v>277</v>
      </c>
      <c r="C87" t="s">
        <v>97</v>
      </c>
      <c r="D87" s="2">
        <v>21</v>
      </c>
      <c r="E87" t="s">
        <v>197</v>
      </c>
      <c r="F87" t="s">
        <v>198</v>
      </c>
      <c r="G87" s="2" t="s">
        <v>110</v>
      </c>
      <c r="H87" s="2">
        <v>2</v>
      </c>
      <c r="I87" s="2" t="s">
        <v>22</v>
      </c>
      <c r="J87" s="2">
        <v>2.6</v>
      </c>
      <c r="K87" s="2" t="s">
        <v>94</v>
      </c>
      <c r="L87" s="2">
        <v>0.85</v>
      </c>
      <c r="M87" s="2" t="s">
        <v>82</v>
      </c>
      <c r="N87" s="2" t="s">
        <v>75</v>
      </c>
      <c r="O87" s="2">
        <v>5</v>
      </c>
      <c r="P87" s="2" t="str">
        <f>IF(global_freelancer_raw[[#This Row],[No of projects ]]&lt;=5,"Entry level","Well Experienced")</f>
        <v>Entry level</v>
      </c>
      <c r="Q87" s="2">
        <v>3</v>
      </c>
    </row>
    <row r="88" spans="1:17" x14ac:dyDescent="0.3">
      <c r="A88" t="s">
        <v>278</v>
      </c>
      <c r="B88" t="s">
        <v>279</v>
      </c>
      <c r="C88" t="s">
        <v>118</v>
      </c>
      <c r="D88" s="2">
        <v>25</v>
      </c>
      <c r="E88" t="s">
        <v>73</v>
      </c>
      <c r="F88" t="s">
        <v>30</v>
      </c>
      <c r="G88" s="2" t="s">
        <v>31</v>
      </c>
      <c r="H88" s="2">
        <v>2</v>
      </c>
      <c r="I88" s="2" t="s">
        <v>192</v>
      </c>
      <c r="J88" s="2">
        <v>3.7</v>
      </c>
      <c r="K88" s="2" t="s">
        <v>41</v>
      </c>
      <c r="L88" s="2" t="s">
        <v>2120</v>
      </c>
      <c r="M88" s="2" t="s">
        <v>88</v>
      </c>
      <c r="N88" s="2" t="s">
        <v>25</v>
      </c>
      <c r="O88" s="2">
        <v>1</v>
      </c>
      <c r="P88" s="2" t="str">
        <f>IF(global_freelancer_raw[[#This Row],[No of projects ]]&lt;=5,"Entry level","Well Experienced")</f>
        <v>Entry level</v>
      </c>
      <c r="Q88" s="2">
        <v>1</v>
      </c>
    </row>
    <row r="89" spans="1:17" x14ac:dyDescent="0.3">
      <c r="A89" t="s">
        <v>280</v>
      </c>
      <c r="B89" t="s">
        <v>281</v>
      </c>
      <c r="C89" t="s">
        <v>97</v>
      </c>
      <c r="D89" s="2">
        <v>38</v>
      </c>
      <c r="E89" t="s">
        <v>201</v>
      </c>
      <c r="F89" t="s">
        <v>92</v>
      </c>
      <c r="G89" s="2" t="s">
        <v>46</v>
      </c>
      <c r="H89" s="2">
        <v>19</v>
      </c>
      <c r="I89" s="2" t="s">
        <v>103</v>
      </c>
      <c r="J89" s="2">
        <v>2.2999999999999998</v>
      </c>
      <c r="K89" s="2" t="s">
        <v>59</v>
      </c>
      <c r="L89" s="2">
        <v>0.61</v>
      </c>
      <c r="M89" s="2" t="s">
        <v>88</v>
      </c>
      <c r="N89" s="2" t="s">
        <v>25</v>
      </c>
      <c r="O89" s="2">
        <v>20</v>
      </c>
      <c r="P89" s="2" t="str">
        <f>IF(global_freelancer_raw[[#This Row],[No of projects ]]&lt;=5,"Entry level","Well Experienced")</f>
        <v>Well Experienced</v>
      </c>
      <c r="Q89" s="2">
        <v>9</v>
      </c>
    </row>
    <row r="90" spans="1:17" x14ac:dyDescent="0.3">
      <c r="A90" t="s">
        <v>282</v>
      </c>
      <c r="B90" t="s">
        <v>283</v>
      </c>
      <c r="C90" t="s">
        <v>118</v>
      </c>
      <c r="D90" s="2">
        <v>57</v>
      </c>
      <c r="E90" t="s">
        <v>145</v>
      </c>
      <c r="F90" t="s">
        <v>146</v>
      </c>
      <c r="G90" s="2" t="s">
        <v>57</v>
      </c>
      <c r="H90" s="2">
        <v>16</v>
      </c>
      <c r="I90" s="2" t="s">
        <v>22</v>
      </c>
      <c r="J90" s="2">
        <v>3.1</v>
      </c>
      <c r="K90" s="2" t="s">
        <v>59</v>
      </c>
      <c r="L90" s="2" t="s">
        <v>2120</v>
      </c>
      <c r="M90" s="2" t="s">
        <v>24</v>
      </c>
      <c r="N90" s="2" t="s">
        <v>42</v>
      </c>
      <c r="O90" s="2">
        <v>18</v>
      </c>
      <c r="P90" s="2" t="str">
        <f>IF(global_freelancer_raw[[#This Row],[No of projects ]]&lt;=5,"Entry level","Well Experienced")</f>
        <v>Well Experienced</v>
      </c>
      <c r="Q90" s="2">
        <v>4</v>
      </c>
    </row>
    <row r="91" spans="1:17" x14ac:dyDescent="0.3">
      <c r="A91" t="s">
        <v>284</v>
      </c>
      <c r="B91" t="s">
        <v>285</v>
      </c>
      <c r="C91" t="s">
        <v>118</v>
      </c>
      <c r="D91" s="2">
        <v>32</v>
      </c>
      <c r="E91" t="s">
        <v>114</v>
      </c>
      <c r="F91" t="s">
        <v>115</v>
      </c>
      <c r="G91" s="2" t="s">
        <v>31</v>
      </c>
      <c r="H91" s="2">
        <v>10</v>
      </c>
      <c r="I91" s="2" t="s">
        <v>142</v>
      </c>
      <c r="J91" s="2">
        <v>2.4</v>
      </c>
      <c r="K91" s="2" t="s">
        <v>23</v>
      </c>
      <c r="L91" s="2">
        <v>0.86</v>
      </c>
      <c r="M91" s="2" t="s">
        <v>88</v>
      </c>
      <c r="N91" s="2" t="s">
        <v>25</v>
      </c>
      <c r="O91" s="2">
        <v>9</v>
      </c>
      <c r="P91" s="2" t="str">
        <f>IF(global_freelancer_raw[[#This Row],[No of projects ]]&lt;=5,"Entry level","Well Experienced")</f>
        <v>Well Experienced</v>
      </c>
      <c r="Q91" s="2">
        <v>3</v>
      </c>
    </row>
    <row r="92" spans="1:17" x14ac:dyDescent="0.3">
      <c r="A92" t="s">
        <v>286</v>
      </c>
      <c r="B92" t="s">
        <v>287</v>
      </c>
      <c r="C92" t="s">
        <v>118</v>
      </c>
      <c r="D92" s="2">
        <v>21</v>
      </c>
      <c r="E92" t="s">
        <v>19</v>
      </c>
      <c r="F92" t="s">
        <v>20</v>
      </c>
      <c r="G92" s="2" t="s">
        <v>110</v>
      </c>
      <c r="H92" s="2">
        <v>2</v>
      </c>
      <c r="I92" s="2" t="s">
        <v>32</v>
      </c>
      <c r="J92" s="2">
        <v>1.6</v>
      </c>
      <c r="K92" s="2" t="s">
        <v>87</v>
      </c>
      <c r="L92" s="2">
        <v>0.97</v>
      </c>
      <c r="M92" s="2" t="s">
        <v>60</v>
      </c>
      <c r="N92" s="2" t="s">
        <v>34</v>
      </c>
      <c r="O92" s="2">
        <v>4</v>
      </c>
      <c r="P92" s="2" t="str">
        <f>IF(global_freelancer_raw[[#This Row],[No of projects ]]&lt;=5,"Entry level","Well Experienced")</f>
        <v>Entry level</v>
      </c>
      <c r="Q92" s="2">
        <v>2</v>
      </c>
    </row>
    <row r="93" spans="1:17" x14ac:dyDescent="0.3">
      <c r="A93" t="s">
        <v>288</v>
      </c>
      <c r="B93" t="s">
        <v>289</v>
      </c>
      <c r="C93" t="s">
        <v>97</v>
      </c>
      <c r="D93" s="2">
        <v>57</v>
      </c>
      <c r="E93" t="s">
        <v>149</v>
      </c>
      <c r="F93" t="s">
        <v>30</v>
      </c>
      <c r="G93" s="2" t="s">
        <v>98</v>
      </c>
      <c r="H93" s="2">
        <v>18</v>
      </c>
      <c r="I93" s="2" t="s">
        <v>40</v>
      </c>
      <c r="J93" s="2">
        <v>2.4</v>
      </c>
      <c r="K93" s="2" t="s">
        <v>33</v>
      </c>
      <c r="L93" s="2">
        <v>0.63</v>
      </c>
      <c r="M93" s="2" t="s">
        <v>60</v>
      </c>
      <c r="N93" s="2" t="s">
        <v>42</v>
      </c>
      <c r="O93" s="2">
        <v>11</v>
      </c>
      <c r="P93" s="2" t="str">
        <f>IF(global_freelancer_raw[[#This Row],[No of projects ]]&lt;=5,"Entry level","Well Experienced")</f>
        <v>Well Experienced</v>
      </c>
      <c r="Q93" s="2">
        <v>9</v>
      </c>
    </row>
    <row r="94" spans="1:17" x14ac:dyDescent="0.3">
      <c r="A94" t="s">
        <v>290</v>
      </c>
      <c r="B94" t="s">
        <v>291</v>
      </c>
      <c r="C94" t="s">
        <v>118</v>
      </c>
      <c r="D94" s="2">
        <v>53</v>
      </c>
      <c r="E94" t="s">
        <v>197</v>
      </c>
      <c r="F94" t="s">
        <v>198</v>
      </c>
      <c r="G94" s="2" t="s">
        <v>93</v>
      </c>
      <c r="H94" s="2">
        <v>21</v>
      </c>
      <c r="I94" s="2" t="s">
        <v>32</v>
      </c>
      <c r="J94" s="2" t="s">
        <v>2120</v>
      </c>
      <c r="K94" s="2" t="s">
        <v>94</v>
      </c>
      <c r="L94" s="2">
        <v>0.97</v>
      </c>
      <c r="M94" s="2" t="s">
        <v>82</v>
      </c>
      <c r="N94" s="2" t="s">
        <v>75</v>
      </c>
      <c r="O94" s="2">
        <v>20</v>
      </c>
      <c r="P94" s="2" t="str">
        <f>IF(global_freelancer_raw[[#This Row],[No of projects ]]&lt;=5,"Entry level","Well Experienced")</f>
        <v>Well Experienced</v>
      </c>
      <c r="Q94" s="2">
        <v>10</v>
      </c>
    </row>
    <row r="95" spans="1:17" x14ac:dyDescent="0.3">
      <c r="A95" t="s">
        <v>292</v>
      </c>
      <c r="B95" t="s">
        <v>293</v>
      </c>
      <c r="C95" t="s">
        <v>118</v>
      </c>
      <c r="D95" s="2">
        <v>35</v>
      </c>
      <c r="E95" t="s">
        <v>145</v>
      </c>
      <c r="F95" t="s">
        <v>146</v>
      </c>
      <c r="G95" s="2" t="s">
        <v>21</v>
      </c>
      <c r="H95" s="2">
        <v>3</v>
      </c>
      <c r="I95" s="2" t="s">
        <v>130</v>
      </c>
      <c r="J95" s="2">
        <v>3.8</v>
      </c>
      <c r="K95" s="2" t="s">
        <v>87</v>
      </c>
      <c r="L95" s="2">
        <v>0.81</v>
      </c>
      <c r="M95" s="2" t="s">
        <v>60</v>
      </c>
      <c r="N95" s="2" t="s">
        <v>42</v>
      </c>
      <c r="O95" s="2">
        <v>3</v>
      </c>
      <c r="P95" s="2" t="str">
        <f>IF(global_freelancer_raw[[#This Row],[No of projects ]]&lt;=5,"Entry level","Well Experienced")</f>
        <v>Entry level</v>
      </c>
      <c r="Q95" s="2">
        <v>2</v>
      </c>
    </row>
    <row r="96" spans="1:17" x14ac:dyDescent="0.3">
      <c r="A96" t="s">
        <v>294</v>
      </c>
      <c r="B96" t="s">
        <v>295</v>
      </c>
      <c r="C96" t="s">
        <v>97</v>
      </c>
      <c r="D96" s="2">
        <v>54</v>
      </c>
      <c r="E96" t="s">
        <v>197</v>
      </c>
      <c r="F96" t="s">
        <v>198</v>
      </c>
      <c r="G96" s="2" t="s">
        <v>135</v>
      </c>
      <c r="H96" s="2">
        <v>17</v>
      </c>
      <c r="I96" s="2" t="s">
        <v>162</v>
      </c>
      <c r="J96" s="2">
        <v>1.7</v>
      </c>
      <c r="K96" s="2" t="s">
        <v>23</v>
      </c>
      <c r="L96" s="2">
        <v>0.69</v>
      </c>
      <c r="M96" s="2" t="s">
        <v>24</v>
      </c>
      <c r="N96" s="2" t="s">
        <v>25</v>
      </c>
      <c r="O96" s="2">
        <v>17</v>
      </c>
      <c r="P96" s="2" t="str">
        <f>IF(global_freelancer_raw[[#This Row],[No of projects ]]&lt;=5,"Entry level","Well Experienced")</f>
        <v>Well Experienced</v>
      </c>
      <c r="Q96" s="2">
        <v>15</v>
      </c>
    </row>
    <row r="97" spans="1:17" x14ac:dyDescent="0.3">
      <c r="A97" t="s">
        <v>296</v>
      </c>
      <c r="B97" t="s">
        <v>297</v>
      </c>
      <c r="C97" t="s">
        <v>97</v>
      </c>
      <c r="D97" s="2">
        <v>36</v>
      </c>
      <c r="E97" t="s">
        <v>19</v>
      </c>
      <c r="F97" t="s">
        <v>20</v>
      </c>
      <c r="G97" s="2" t="s">
        <v>93</v>
      </c>
      <c r="H97" s="2">
        <v>0</v>
      </c>
      <c r="I97" s="2" t="s">
        <v>162</v>
      </c>
      <c r="J97" s="2">
        <v>1.3</v>
      </c>
      <c r="K97" s="2" t="s">
        <v>94</v>
      </c>
      <c r="L97" s="2">
        <v>0.64</v>
      </c>
      <c r="M97" s="2" t="s">
        <v>60</v>
      </c>
      <c r="N97" s="2" t="s">
        <v>75</v>
      </c>
      <c r="O97" s="2">
        <v>2</v>
      </c>
      <c r="P97" s="2" t="str">
        <f>IF(global_freelancer_raw[[#This Row],[No of projects ]]&lt;=5,"Entry level","Well Experienced")</f>
        <v>Entry level</v>
      </c>
      <c r="Q97" s="2">
        <v>2</v>
      </c>
    </row>
    <row r="98" spans="1:17" x14ac:dyDescent="0.3">
      <c r="A98" t="s">
        <v>298</v>
      </c>
      <c r="B98" t="s">
        <v>299</v>
      </c>
      <c r="C98" t="s">
        <v>97</v>
      </c>
      <c r="D98" s="2">
        <v>49</v>
      </c>
      <c r="E98" t="s">
        <v>212</v>
      </c>
      <c r="F98" t="s">
        <v>92</v>
      </c>
      <c r="G98" s="2" t="s">
        <v>98</v>
      </c>
      <c r="H98" s="2">
        <v>25</v>
      </c>
      <c r="I98" s="2" t="s">
        <v>40</v>
      </c>
      <c r="J98" s="2">
        <v>5</v>
      </c>
      <c r="K98" s="2" t="s">
        <v>41</v>
      </c>
      <c r="L98" s="2">
        <v>0.77</v>
      </c>
      <c r="M98" s="2" t="s">
        <v>60</v>
      </c>
      <c r="N98" s="2" t="s">
        <v>42</v>
      </c>
      <c r="O98" s="2">
        <v>14</v>
      </c>
      <c r="P98" s="2" t="str">
        <f>IF(global_freelancer_raw[[#This Row],[No of projects ]]&lt;=5,"Entry level","Well Experienced")</f>
        <v>Well Experienced</v>
      </c>
      <c r="Q98" s="2">
        <v>8</v>
      </c>
    </row>
    <row r="99" spans="1:17" x14ac:dyDescent="0.3">
      <c r="A99" t="s">
        <v>300</v>
      </c>
      <c r="B99" t="s">
        <v>301</v>
      </c>
      <c r="C99" t="s">
        <v>118</v>
      </c>
      <c r="D99" s="2">
        <v>37</v>
      </c>
      <c r="E99" t="s">
        <v>73</v>
      </c>
      <c r="F99" t="s">
        <v>30</v>
      </c>
      <c r="G99" s="2" t="s">
        <v>21</v>
      </c>
      <c r="H99" s="2">
        <v>17</v>
      </c>
      <c r="I99" s="2" t="s">
        <v>162</v>
      </c>
      <c r="J99" s="2">
        <v>3.3</v>
      </c>
      <c r="K99" s="2" t="s">
        <v>23</v>
      </c>
      <c r="L99" s="2">
        <v>96</v>
      </c>
      <c r="M99" s="2" t="s">
        <v>24</v>
      </c>
      <c r="N99" s="2" t="s">
        <v>34</v>
      </c>
      <c r="O99" s="2">
        <v>20</v>
      </c>
      <c r="P99" s="2" t="str">
        <f>IF(global_freelancer_raw[[#This Row],[No of projects ]]&lt;=5,"Entry level","Well Experienced")</f>
        <v>Well Experienced</v>
      </c>
      <c r="Q99" s="2">
        <v>11</v>
      </c>
    </row>
    <row r="100" spans="1:17" x14ac:dyDescent="0.3">
      <c r="A100" t="s">
        <v>302</v>
      </c>
      <c r="B100" t="s">
        <v>303</v>
      </c>
      <c r="C100" t="s">
        <v>118</v>
      </c>
      <c r="D100" s="2" t="s">
        <v>2119</v>
      </c>
      <c r="E100" t="s">
        <v>73</v>
      </c>
      <c r="F100" t="s">
        <v>30</v>
      </c>
      <c r="G100" s="2" t="s">
        <v>93</v>
      </c>
      <c r="H100" s="2">
        <v>5</v>
      </c>
      <c r="I100" s="2" t="s">
        <v>142</v>
      </c>
      <c r="J100" s="2">
        <v>1.1000000000000001</v>
      </c>
      <c r="K100" s="2" t="s">
        <v>181</v>
      </c>
      <c r="L100" s="2">
        <v>0.74</v>
      </c>
      <c r="M100" s="2" t="s">
        <v>88</v>
      </c>
      <c r="N100" s="2" t="s">
        <v>34</v>
      </c>
      <c r="O100" s="2">
        <v>2</v>
      </c>
      <c r="P100" s="2" t="str">
        <f>IF(global_freelancer_raw[[#This Row],[No of projects ]]&lt;=5,"Entry level","Well Experienced")</f>
        <v>Entry level</v>
      </c>
      <c r="Q100" s="2">
        <v>1</v>
      </c>
    </row>
    <row r="101" spans="1:17" x14ac:dyDescent="0.3">
      <c r="A101" t="s">
        <v>304</v>
      </c>
      <c r="B101" t="s">
        <v>305</v>
      </c>
      <c r="C101" t="s">
        <v>118</v>
      </c>
      <c r="D101" s="2">
        <v>32</v>
      </c>
      <c r="E101" t="s">
        <v>160</v>
      </c>
      <c r="F101" t="s">
        <v>161</v>
      </c>
      <c r="G101" s="2" t="s">
        <v>93</v>
      </c>
      <c r="H101" s="2">
        <v>10</v>
      </c>
      <c r="I101" s="2" t="s">
        <v>40</v>
      </c>
      <c r="J101" s="2">
        <v>1.2</v>
      </c>
      <c r="K101" s="2" t="s">
        <v>59</v>
      </c>
      <c r="L101" s="2">
        <v>0.89</v>
      </c>
      <c r="M101" s="2" t="s">
        <v>88</v>
      </c>
      <c r="N101" s="2" t="s">
        <v>42</v>
      </c>
      <c r="O101" s="2">
        <v>8</v>
      </c>
      <c r="P101" s="2" t="str">
        <f>IF(global_freelancer_raw[[#This Row],[No of projects ]]&lt;=5,"Entry level","Well Experienced")</f>
        <v>Well Experienced</v>
      </c>
      <c r="Q101" s="2">
        <v>12</v>
      </c>
    </row>
    <row r="102" spans="1:17" x14ac:dyDescent="0.3">
      <c r="A102" t="s">
        <v>306</v>
      </c>
      <c r="B102" t="s">
        <v>307</v>
      </c>
      <c r="C102" t="s">
        <v>118</v>
      </c>
      <c r="D102" s="2">
        <v>35</v>
      </c>
      <c r="E102" t="s">
        <v>114</v>
      </c>
      <c r="F102" t="s">
        <v>115</v>
      </c>
      <c r="G102" s="2" t="s">
        <v>31</v>
      </c>
      <c r="H102" s="2">
        <v>0</v>
      </c>
      <c r="I102" s="2" t="s">
        <v>2119</v>
      </c>
      <c r="J102" s="2">
        <v>2</v>
      </c>
      <c r="K102" s="2" t="s">
        <v>33</v>
      </c>
      <c r="L102" s="2">
        <v>0.64</v>
      </c>
      <c r="M102" s="2" t="s">
        <v>24</v>
      </c>
      <c r="N102" s="2" t="s">
        <v>34</v>
      </c>
      <c r="O102" s="2">
        <v>4</v>
      </c>
      <c r="P102" s="2" t="str">
        <f>IF(global_freelancer_raw[[#This Row],[No of projects ]]&lt;=5,"Entry level","Well Experienced")</f>
        <v>Entry level</v>
      </c>
      <c r="Q102" s="2">
        <v>1</v>
      </c>
    </row>
    <row r="103" spans="1:17" x14ac:dyDescent="0.3">
      <c r="A103" t="s">
        <v>308</v>
      </c>
      <c r="B103" t="s">
        <v>309</v>
      </c>
      <c r="C103" t="s">
        <v>97</v>
      </c>
      <c r="D103" s="2">
        <v>51</v>
      </c>
      <c r="E103" t="s">
        <v>145</v>
      </c>
      <c r="F103" t="s">
        <v>146</v>
      </c>
      <c r="G103" s="2" t="s">
        <v>39</v>
      </c>
      <c r="H103" s="2">
        <v>2</v>
      </c>
      <c r="I103" s="2" t="s">
        <v>58</v>
      </c>
      <c r="J103" s="2">
        <v>4.5</v>
      </c>
      <c r="K103" s="2" t="s">
        <v>23</v>
      </c>
      <c r="L103" s="2">
        <v>64</v>
      </c>
      <c r="M103" s="2" t="s">
        <v>82</v>
      </c>
      <c r="N103" s="2" t="s">
        <v>34</v>
      </c>
      <c r="O103" s="2">
        <v>5</v>
      </c>
      <c r="P103" s="2" t="str">
        <f>IF(global_freelancer_raw[[#This Row],[No of projects ]]&lt;=5,"Entry level","Well Experienced")</f>
        <v>Entry level</v>
      </c>
      <c r="Q103" s="2">
        <v>1</v>
      </c>
    </row>
    <row r="104" spans="1:17" x14ac:dyDescent="0.3">
      <c r="A104" t="s">
        <v>310</v>
      </c>
      <c r="B104" t="s">
        <v>311</v>
      </c>
      <c r="C104" t="s">
        <v>97</v>
      </c>
      <c r="D104" s="2">
        <v>50</v>
      </c>
      <c r="E104" t="s">
        <v>145</v>
      </c>
      <c r="F104" t="s">
        <v>146</v>
      </c>
      <c r="G104" s="2" t="s">
        <v>110</v>
      </c>
      <c r="H104" s="2">
        <v>30</v>
      </c>
      <c r="I104" s="2" t="s">
        <v>22</v>
      </c>
      <c r="J104" s="2">
        <v>3</v>
      </c>
      <c r="K104" s="2" t="s">
        <v>33</v>
      </c>
      <c r="L104" s="2">
        <v>0.73</v>
      </c>
      <c r="M104" s="2" t="s">
        <v>60</v>
      </c>
      <c r="N104" s="2" t="s">
        <v>34</v>
      </c>
      <c r="O104" s="2">
        <v>13</v>
      </c>
      <c r="P104" s="2" t="str">
        <f>IF(global_freelancer_raw[[#This Row],[No of projects ]]&lt;=5,"Entry level","Well Experienced")</f>
        <v>Well Experienced</v>
      </c>
      <c r="Q104" s="2">
        <v>6</v>
      </c>
    </row>
    <row r="105" spans="1:17" x14ac:dyDescent="0.3">
      <c r="A105" t="s">
        <v>312</v>
      </c>
      <c r="B105" t="s">
        <v>313</v>
      </c>
      <c r="C105" t="s">
        <v>97</v>
      </c>
      <c r="D105" s="2">
        <v>21</v>
      </c>
      <c r="E105" t="s">
        <v>79</v>
      </c>
      <c r="F105" t="s">
        <v>80</v>
      </c>
      <c r="G105" s="2" t="s">
        <v>21</v>
      </c>
      <c r="H105" s="2">
        <v>2</v>
      </c>
      <c r="I105" s="2" t="s">
        <v>81</v>
      </c>
      <c r="J105" s="2">
        <v>4.9000000000000004</v>
      </c>
      <c r="K105" s="2" t="s">
        <v>87</v>
      </c>
      <c r="L105" s="2">
        <v>0.68</v>
      </c>
      <c r="M105" s="2" t="s">
        <v>24</v>
      </c>
      <c r="N105" s="2" t="s">
        <v>75</v>
      </c>
      <c r="O105" s="2">
        <v>2</v>
      </c>
      <c r="P105" s="2" t="str">
        <f>IF(global_freelancer_raw[[#This Row],[No of projects ]]&lt;=5,"Entry level","Well Experienced")</f>
        <v>Entry level</v>
      </c>
      <c r="Q105" s="2">
        <v>3</v>
      </c>
    </row>
    <row r="106" spans="1:17" x14ac:dyDescent="0.3">
      <c r="A106" t="s">
        <v>314</v>
      </c>
      <c r="B106" t="s">
        <v>315</v>
      </c>
      <c r="C106" t="s">
        <v>118</v>
      </c>
      <c r="D106" s="2">
        <v>25</v>
      </c>
      <c r="E106" t="s">
        <v>73</v>
      </c>
      <c r="F106" t="s">
        <v>30</v>
      </c>
      <c r="G106" s="2" t="s">
        <v>39</v>
      </c>
      <c r="H106" s="2">
        <v>3</v>
      </c>
      <c r="I106" s="2" t="s">
        <v>58</v>
      </c>
      <c r="J106" s="2" t="s">
        <v>2120</v>
      </c>
      <c r="K106" s="2" t="s">
        <v>181</v>
      </c>
      <c r="L106" s="2">
        <v>0.88</v>
      </c>
      <c r="M106" s="2" t="s">
        <v>60</v>
      </c>
      <c r="N106" s="2" t="s">
        <v>34</v>
      </c>
      <c r="O106" s="2">
        <v>2</v>
      </c>
      <c r="P106" s="2" t="str">
        <f>IF(global_freelancer_raw[[#This Row],[No of projects ]]&lt;=5,"Entry level","Well Experienced")</f>
        <v>Entry level</v>
      </c>
      <c r="Q106" s="2">
        <v>4</v>
      </c>
    </row>
    <row r="107" spans="1:17" x14ac:dyDescent="0.3">
      <c r="A107" t="s">
        <v>316</v>
      </c>
      <c r="B107" t="s">
        <v>317</v>
      </c>
      <c r="C107" t="s">
        <v>97</v>
      </c>
      <c r="D107" s="2">
        <v>57</v>
      </c>
      <c r="E107" t="s">
        <v>156</v>
      </c>
      <c r="F107" t="s">
        <v>157</v>
      </c>
      <c r="G107" s="2" t="s">
        <v>110</v>
      </c>
      <c r="H107" s="2">
        <v>21</v>
      </c>
      <c r="I107" s="2" t="s">
        <v>47</v>
      </c>
      <c r="J107" s="2">
        <v>2.5</v>
      </c>
      <c r="K107" s="2" t="s">
        <v>23</v>
      </c>
      <c r="L107" s="2">
        <v>0.77</v>
      </c>
      <c r="M107" s="2" t="s">
        <v>82</v>
      </c>
      <c r="N107" s="2" t="s">
        <v>34</v>
      </c>
      <c r="O107" s="2">
        <v>13</v>
      </c>
      <c r="P107" s="2" t="str">
        <f>IF(global_freelancer_raw[[#This Row],[No of projects ]]&lt;=5,"Entry level","Well Experienced")</f>
        <v>Well Experienced</v>
      </c>
      <c r="Q107" s="2">
        <v>10</v>
      </c>
    </row>
    <row r="108" spans="1:17" x14ac:dyDescent="0.3">
      <c r="A108" t="s">
        <v>318</v>
      </c>
      <c r="B108" t="s">
        <v>319</v>
      </c>
      <c r="C108" t="s">
        <v>118</v>
      </c>
      <c r="D108" s="2">
        <v>58</v>
      </c>
      <c r="E108" t="s">
        <v>145</v>
      </c>
      <c r="F108" t="s">
        <v>146</v>
      </c>
      <c r="G108" s="2" t="s">
        <v>21</v>
      </c>
      <c r="H108" s="2">
        <v>3</v>
      </c>
      <c r="I108" s="2" t="s">
        <v>2119</v>
      </c>
      <c r="J108" s="2">
        <v>0</v>
      </c>
      <c r="K108" s="2" t="s">
        <v>33</v>
      </c>
      <c r="L108" s="2" t="s">
        <v>2120</v>
      </c>
      <c r="M108" s="2" t="s">
        <v>60</v>
      </c>
      <c r="N108" s="2" t="s">
        <v>34</v>
      </c>
      <c r="O108" s="2">
        <v>3</v>
      </c>
      <c r="P108" s="2" t="str">
        <f>IF(global_freelancer_raw[[#This Row],[No of projects ]]&lt;=5,"Entry level","Well Experienced")</f>
        <v>Entry level</v>
      </c>
      <c r="Q108" s="2">
        <v>4</v>
      </c>
    </row>
    <row r="109" spans="1:17" x14ac:dyDescent="0.3">
      <c r="A109" t="s">
        <v>320</v>
      </c>
      <c r="B109" t="s">
        <v>321</v>
      </c>
      <c r="C109" t="s">
        <v>97</v>
      </c>
      <c r="D109" s="2">
        <v>45</v>
      </c>
      <c r="E109" t="s">
        <v>64</v>
      </c>
      <c r="F109" t="s">
        <v>65</v>
      </c>
      <c r="G109" s="2" t="s">
        <v>31</v>
      </c>
      <c r="H109" s="2">
        <v>19</v>
      </c>
      <c r="I109" s="2" t="s">
        <v>86</v>
      </c>
      <c r="J109" s="2" t="s">
        <v>2120</v>
      </c>
      <c r="K109" s="2" t="s">
        <v>33</v>
      </c>
      <c r="L109" s="2">
        <v>0.72</v>
      </c>
      <c r="M109" s="2" t="s">
        <v>24</v>
      </c>
      <c r="N109" s="2" t="s">
        <v>75</v>
      </c>
      <c r="O109" s="2">
        <v>12</v>
      </c>
      <c r="P109" s="2" t="str">
        <f>IF(global_freelancer_raw[[#This Row],[No of projects ]]&lt;=5,"Entry level","Well Experienced")</f>
        <v>Well Experienced</v>
      </c>
      <c r="Q109" s="2">
        <v>6</v>
      </c>
    </row>
    <row r="110" spans="1:17" x14ac:dyDescent="0.3">
      <c r="A110" t="s">
        <v>322</v>
      </c>
      <c r="B110" t="s">
        <v>323</v>
      </c>
      <c r="C110" t="s">
        <v>97</v>
      </c>
      <c r="D110" s="2">
        <v>23</v>
      </c>
      <c r="E110" t="s">
        <v>73</v>
      </c>
      <c r="F110" t="s">
        <v>30</v>
      </c>
      <c r="G110" s="2" t="s">
        <v>46</v>
      </c>
      <c r="H110" s="2">
        <v>0</v>
      </c>
      <c r="I110" s="2" t="s">
        <v>162</v>
      </c>
      <c r="J110" s="2">
        <v>4.7</v>
      </c>
      <c r="K110" s="2" t="s">
        <v>94</v>
      </c>
      <c r="L110" s="2">
        <v>0.6</v>
      </c>
      <c r="M110" s="2" t="s">
        <v>60</v>
      </c>
      <c r="N110" s="2" t="s">
        <v>42</v>
      </c>
      <c r="O110" s="2">
        <v>2</v>
      </c>
      <c r="P110" s="2" t="str">
        <f>IF(global_freelancer_raw[[#This Row],[No of projects ]]&lt;=5,"Entry level","Well Experienced")</f>
        <v>Entry level</v>
      </c>
      <c r="Q110" s="2">
        <v>1</v>
      </c>
    </row>
    <row r="111" spans="1:17" x14ac:dyDescent="0.3">
      <c r="A111" t="s">
        <v>324</v>
      </c>
      <c r="B111" t="s">
        <v>325</v>
      </c>
      <c r="C111" t="s">
        <v>97</v>
      </c>
      <c r="D111" s="2">
        <v>46</v>
      </c>
      <c r="E111" t="s">
        <v>73</v>
      </c>
      <c r="F111" t="s">
        <v>30</v>
      </c>
      <c r="G111" s="2" t="s">
        <v>57</v>
      </c>
      <c r="H111" s="2">
        <v>9</v>
      </c>
      <c r="I111" s="2" t="s">
        <v>58</v>
      </c>
      <c r="J111" s="2">
        <v>3.5</v>
      </c>
      <c r="K111" s="2" t="s">
        <v>2120</v>
      </c>
      <c r="L111" s="2">
        <v>72</v>
      </c>
      <c r="M111" s="2" t="s">
        <v>88</v>
      </c>
      <c r="N111" s="2" t="s">
        <v>25</v>
      </c>
      <c r="O111" s="2">
        <v>15</v>
      </c>
      <c r="P111" s="2" t="str">
        <f>IF(global_freelancer_raw[[#This Row],[No of projects ]]&lt;=5,"Entry level","Well Experienced")</f>
        <v>Well Experienced</v>
      </c>
      <c r="Q111" s="2">
        <v>9</v>
      </c>
    </row>
    <row r="112" spans="1:17" x14ac:dyDescent="0.3">
      <c r="A112" t="s">
        <v>326</v>
      </c>
      <c r="B112" t="s">
        <v>327</v>
      </c>
      <c r="C112" t="s">
        <v>118</v>
      </c>
      <c r="D112" s="2">
        <v>27</v>
      </c>
      <c r="E112" t="s">
        <v>91</v>
      </c>
      <c r="F112" t="s">
        <v>92</v>
      </c>
      <c r="G112" s="2" t="s">
        <v>93</v>
      </c>
      <c r="H112" s="2">
        <v>5</v>
      </c>
      <c r="I112" s="2" t="s">
        <v>52</v>
      </c>
      <c r="J112" s="2" t="s">
        <v>2120</v>
      </c>
      <c r="K112" s="2" t="s">
        <v>41</v>
      </c>
      <c r="L112" s="2">
        <v>0.92</v>
      </c>
      <c r="M112" s="2" t="s">
        <v>82</v>
      </c>
      <c r="N112" s="2" t="s">
        <v>34</v>
      </c>
      <c r="O112" s="2">
        <v>3</v>
      </c>
      <c r="P112" s="2" t="str">
        <f>IF(global_freelancer_raw[[#This Row],[No of projects ]]&lt;=5,"Entry level","Well Experienced")</f>
        <v>Entry level</v>
      </c>
      <c r="Q112" s="2">
        <v>3</v>
      </c>
    </row>
    <row r="113" spans="1:17" x14ac:dyDescent="0.3">
      <c r="A113" t="s">
        <v>328</v>
      </c>
      <c r="B113" t="s">
        <v>329</v>
      </c>
      <c r="C113" t="s">
        <v>97</v>
      </c>
      <c r="D113" s="2">
        <v>32</v>
      </c>
      <c r="E113" t="s">
        <v>73</v>
      </c>
      <c r="F113" t="s">
        <v>30</v>
      </c>
      <c r="G113" s="2" t="s">
        <v>135</v>
      </c>
      <c r="H113" s="2">
        <v>6</v>
      </c>
      <c r="I113" s="2" t="s">
        <v>119</v>
      </c>
      <c r="J113" s="2">
        <v>3.4</v>
      </c>
      <c r="K113" s="2" t="s">
        <v>33</v>
      </c>
      <c r="L113" s="2" t="s">
        <v>2120</v>
      </c>
      <c r="M113" s="2" t="s">
        <v>82</v>
      </c>
      <c r="N113" s="2" t="s">
        <v>42</v>
      </c>
      <c r="O113" s="2">
        <v>11</v>
      </c>
      <c r="P113" s="2" t="str">
        <f>IF(global_freelancer_raw[[#This Row],[No of projects ]]&lt;=5,"Entry level","Well Experienced")</f>
        <v>Well Experienced</v>
      </c>
      <c r="Q113" s="2">
        <v>4</v>
      </c>
    </row>
    <row r="114" spans="1:17" x14ac:dyDescent="0.3">
      <c r="A114" t="s">
        <v>330</v>
      </c>
      <c r="B114" t="s">
        <v>331</v>
      </c>
      <c r="C114" t="s">
        <v>97</v>
      </c>
      <c r="D114" s="2">
        <v>48</v>
      </c>
      <c r="E114" t="s">
        <v>91</v>
      </c>
      <c r="F114" t="s">
        <v>92</v>
      </c>
      <c r="G114" s="2" t="s">
        <v>135</v>
      </c>
      <c r="H114" s="2">
        <v>6</v>
      </c>
      <c r="I114" s="2" t="s">
        <v>67</v>
      </c>
      <c r="J114" s="2">
        <v>2.5</v>
      </c>
      <c r="K114" s="2" t="s">
        <v>2120</v>
      </c>
      <c r="L114" s="2">
        <v>0.92</v>
      </c>
      <c r="M114" s="2" t="s">
        <v>82</v>
      </c>
      <c r="N114" s="2" t="s">
        <v>34</v>
      </c>
      <c r="O114" s="2">
        <v>13</v>
      </c>
      <c r="P114" s="2" t="str">
        <f>IF(global_freelancer_raw[[#This Row],[No of projects ]]&lt;=5,"Entry level","Well Experienced")</f>
        <v>Well Experienced</v>
      </c>
      <c r="Q114" s="2">
        <v>1</v>
      </c>
    </row>
    <row r="115" spans="1:17" x14ac:dyDescent="0.3">
      <c r="A115" t="s">
        <v>332</v>
      </c>
      <c r="B115" t="s">
        <v>333</v>
      </c>
      <c r="C115" t="s">
        <v>118</v>
      </c>
      <c r="D115" s="2">
        <v>30</v>
      </c>
      <c r="E115" t="s">
        <v>79</v>
      </c>
      <c r="F115" t="s">
        <v>80</v>
      </c>
      <c r="G115" s="2" t="s">
        <v>31</v>
      </c>
      <c r="H115" s="2">
        <v>3</v>
      </c>
      <c r="I115" s="2" t="s">
        <v>58</v>
      </c>
      <c r="J115" s="2">
        <v>1.1000000000000001</v>
      </c>
      <c r="K115" s="2" t="s">
        <v>74</v>
      </c>
      <c r="L115" s="2" t="s">
        <v>2120</v>
      </c>
      <c r="M115" s="2" t="s">
        <v>24</v>
      </c>
      <c r="N115" s="2" t="s">
        <v>75</v>
      </c>
      <c r="O115" s="2">
        <v>2</v>
      </c>
      <c r="P115" s="2" t="str">
        <f>IF(global_freelancer_raw[[#This Row],[No of projects ]]&lt;=5,"Entry level","Well Experienced")</f>
        <v>Entry level</v>
      </c>
      <c r="Q115" s="2">
        <v>1</v>
      </c>
    </row>
    <row r="116" spans="1:17" x14ac:dyDescent="0.3">
      <c r="A116" t="s">
        <v>334</v>
      </c>
      <c r="B116" t="s">
        <v>335</v>
      </c>
      <c r="C116" t="s">
        <v>118</v>
      </c>
      <c r="D116" s="2">
        <v>59</v>
      </c>
      <c r="E116" t="s">
        <v>79</v>
      </c>
      <c r="F116" t="s">
        <v>80</v>
      </c>
      <c r="G116" s="2" t="s">
        <v>57</v>
      </c>
      <c r="H116" s="2">
        <v>13</v>
      </c>
      <c r="I116" s="2" t="s">
        <v>336</v>
      </c>
      <c r="J116" s="2">
        <v>4.8</v>
      </c>
      <c r="K116" s="2" t="s">
        <v>2120</v>
      </c>
      <c r="L116" s="2" t="s">
        <v>2120</v>
      </c>
      <c r="M116" s="2" t="s">
        <v>82</v>
      </c>
      <c r="N116" s="2" t="s">
        <v>42</v>
      </c>
      <c r="O116" s="2">
        <v>7</v>
      </c>
      <c r="P116" s="2" t="str">
        <f>IF(global_freelancer_raw[[#This Row],[No of projects ]]&lt;=5,"Entry level","Well Experienced")</f>
        <v>Well Experienced</v>
      </c>
      <c r="Q116" s="2">
        <v>10</v>
      </c>
    </row>
    <row r="117" spans="1:17" x14ac:dyDescent="0.3">
      <c r="A117" t="s">
        <v>337</v>
      </c>
      <c r="B117" t="s">
        <v>338</v>
      </c>
      <c r="C117" t="s">
        <v>97</v>
      </c>
      <c r="D117" s="2">
        <v>32</v>
      </c>
      <c r="E117" t="s">
        <v>201</v>
      </c>
      <c r="F117" t="s">
        <v>92</v>
      </c>
      <c r="G117" s="2" t="s">
        <v>57</v>
      </c>
      <c r="H117" s="2">
        <v>5</v>
      </c>
      <c r="I117" s="2" t="s">
        <v>58</v>
      </c>
      <c r="J117" s="2" t="s">
        <v>2120</v>
      </c>
      <c r="K117" s="2" t="s">
        <v>23</v>
      </c>
      <c r="L117" s="2">
        <v>0.86</v>
      </c>
      <c r="M117" s="2" t="s">
        <v>88</v>
      </c>
      <c r="N117" s="2" t="s">
        <v>75</v>
      </c>
      <c r="O117" s="2">
        <v>3</v>
      </c>
      <c r="P117" s="2" t="str">
        <f>IF(global_freelancer_raw[[#This Row],[No of projects ]]&lt;=5,"Entry level","Well Experienced")</f>
        <v>Entry level</v>
      </c>
      <c r="Q117" s="2">
        <v>1</v>
      </c>
    </row>
    <row r="118" spans="1:17" x14ac:dyDescent="0.3">
      <c r="A118" t="s">
        <v>339</v>
      </c>
      <c r="B118" t="s">
        <v>340</v>
      </c>
      <c r="C118" t="s">
        <v>97</v>
      </c>
      <c r="D118" s="2">
        <v>57</v>
      </c>
      <c r="E118" t="s">
        <v>160</v>
      </c>
      <c r="F118" t="s">
        <v>161</v>
      </c>
      <c r="G118" s="2" t="s">
        <v>93</v>
      </c>
      <c r="H118" s="2">
        <v>4</v>
      </c>
      <c r="I118" s="2" t="s">
        <v>70</v>
      </c>
      <c r="J118" s="2">
        <v>3.4</v>
      </c>
      <c r="K118" s="2" t="s">
        <v>33</v>
      </c>
      <c r="L118" s="2">
        <v>0.68</v>
      </c>
      <c r="M118" s="2" t="s">
        <v>24</v>
      </c>
      <c r="N118" s="2" t="s">
        <v>34</v>
      </c>
      <c r="O118" s="2">
        <v>1</v>
      </c>
      <c r="P118" s="2" t="str">
        <f>IF(global_freelancer_raw[[#This Row],[No of projects ]]&lt;=5,"Entry level","Well Experienced")</f>
        <v>Entry level</v>
      </c>
      <c r="Q118" s="2">
        <v>4</v>
      </c>
    </row>
    <row r="119" spans="1:17" x14ac:dyDescent="0.3">
      <c r="A119" t="s">
        <v>341</v>
      </c>
      <c r="B119" t="s">
        <v>342</v>
      </c>
      <c r="C119" t="s">
        <v>118</v>
      </c>
      <c r="D119" s="2">
        <v>27</v>
      </c>
      <c r="E119" t="s">
        <v>29</v>
      </c>
      <c r="F119" t="s">
        <v>30</v>
      </c>
      <c r="G119" s="2" t="s">
        <v>135</v>
      </c>
      <c r="H119" s="2">
        <v>7</v>
      </c>
      <c r="I119" s="2" t="s">
        <v>336</v>
      </c>
      <c r="J119" s="2">
        <v>3.2</v>
      </c>
      <c r="K119" s="2" t="s">
        <v>33</v>
      </c>
      <c r="L119" s="2">
        <v>0.62</v>
      </c>
      <c r="M119" s="2" t="s">
        <v>88</v>
      </c>
      <c r="N119" s="2" t="s">
        <v>34</v>
      </c>
      <c r="O119" s="2">
        <v>9</v>
      </c>
      <c r="P119" s="2" t="str">
        <f>IF(global_freelancer_raw[[#This Row],[No of projects ]]&lt;=5,"Entry level","Well Experienced")</f>
        <v>Well Experienced</v>
      </c>
      <c r="Q119" s="2">
        <v>3</v>
      </c>
    </row>
    <row r="120" spans="1:17" x14ac:dyDescent="0.3">
      <c r="A120" t="s">
        <v>343</v>
      </c>
      <c r="B120" t="s">
        <v>344</v>
      </c>
      <c r="C120" t="s">
        <v>97</v>
      </c>
      <c r="D120" s="2">
        <v>33</v>
      </c>
      <c r="E120" s="2" t="s">
        <v>2120</v>
      </c>
      <c r="F120" t="s">
        <v>65</v>
      </c>
      <c r="G120" s="2" t="s">
        <v>135</v>
      </c>
      <c r="H120" s="2">
        <v>13</v>
      </c>
      <c r="I120" s="2" t="s">
        <v>162</v>
      </c>
      <c r="J120" s="2">
        <v>3.2</v>
      </c>
      <c r="K120" s="2" t="s">
        <v>59</v>
      </c>
      <c r="L120" s="2" t="s">
        <v>2120</v>
      </c>
      <c r="M120" s="2" t="s">
        <v>60</v>
      </c>
      <c r="N120" s="2" t="s">
        <v>75</v>
      </c>
      <c r="O120" s="2">
        <v>8</v>
      </c>
      <c r="P120" s="2" t="str">
        <f>IF(global_freelancer_raw[[#This Row],[No of projects ]]&lt;=5,"Entry level","Well Experienced")</f>
        <v>Well Experienced</v>
      </c>
      <c r="Q120" s="2">
        <v>9</v>
      </c>
    </row>
    <row r="121" spans="1:17" x14ac:dyDescent="0.3">
      <c r="A121" t="s">
        <v>345</v>
      </c>
      <c r="B121" t="s">
        <v>346</v>
      </c>
      <c r="C121" t="s">
        <v>118</v>
      </c>
      <c r="D121" s="2">
        <v>29</v>
      </c>
      <c r="E121" t="s">
        <v>133</v>
      </c>
      <c r="F121" t="s">
        <v>134</v>
      </c>
      <c r="G121" s="2" t="s">
        <v>66</v>
      </c>
      <c r="H121" s="2">
        <v>4</v>
      </c>
      <c r="I121" s="2" t="s">
        <v>52</v>
      </c>
      <c r="J121" s="2">
        <v>0</v>
      </c>
      <c r="K121" s="2" t="s">
        <v>94</v>
      </c>
      <c r="L121" s="2">
        <v>0.82</v>
      </c>
      <c r="M121" s="2" t="s">
        <v>60</v>
      </c>
      <c r="N121" s="2" t="s">
        <v>25</v>
      </c>
      <c r="O121" s="2">
        <v>5</v>
      </c>
      <c r="P121" s="2" t="str">
        <f>IF(global_freelancer_raw[[#This Row],[No of projects ]]&lt;=5,"Entry level","Well Experienced")</f>
        <v>Entry level</v>
      </c>
      <c r="Q121" s="2">
        <v>3</v>
      </c>
    </row>
    <row r="122" spans="1:17" x14ac:dyDescent="0.3">
      <c r="A122" t="s">
        <v>347</v>
      </c>
      <c r="B122" t="s">
        <v>348</v>
      </c>
      <c r="C122" t="s">
        <v>97</v>
      </c>
      <c r="D122" s="2">
        <v>36</v>
      </c>
      <c r="E122" t="s">
        <v>64</v>
      </c>
      <c r="F122" t="s">
        <v>65</v>
      </c>
      <c r="G122" s="2" t="s">
        <v>93</v>
      </c>
      <c r="H122" s="2">
        <v>13</v>
      </c>
      <c r="I122" s="2" t="s">
        <v>103</v>
      </c>
      <c r="J122" s="2" t="s">
        <v>2120</v>
      </c>
      <c r="K122" s="2" t="s">
        <v>33</v>
      </c>
      <c r="L122" s="2" t="s">
        <v>2120</v>
      </c>
      <c r="M122" s="2" t="s">
        <v>60</v>
      </c>
      <c r="N122" s="2" t="s">
        <v>75</v>
      </c>
      <c r="O122" s="2">
        <v>14</v>
      </c>
      <c r="P122" s="2" t="str">
        <f>IF(global_freelancer_raw[[#This Row],[No of projects ]]&lt;=5,"Entry level","Well Experienced")</f>
        <v>Well Experienced</v>
      </c>
      <c r="Q122" s="2">
        <v>4</v>
      </c>
    </row>
    <row r="123" spans="1:17" x14ac:dyDescent="0.3">
      <c r="A123" t="s">
        <v>349</v>
      </c>
      <c r="B123" t="s">
        <v>350</v>
      </c>
      <c r="C123" t="s">
        <v>97</v>
      </c>
      <c r="D123" s="2">
        <v>47</v>
      </c>
      <c r="E123" t="s">
        <v>19</v>
      </c>
      <c r="F123" t="s">
        <v>20</v>
      </c>
      <c r="G123" s="2" t="s">
        <v>110</v>
      </c>
      <c r="H123" s="2">
        <v>5</v>
      </c>
      <c r="I123" s="2" t="s">
        <v>47</v>
      </c>
      <c r="J123" s="2">
        <v>3.7</v>
      </c>
      <c r="K123" s="2" t="s">
        <v>59</v>
      </c>
      <c r="L123" s="2">
        <v>93</v>
      </c>
      <c r="M123" s="2" t="s">
        <v>60</v>
      </c>
      <c r="N123" s="2" t="s">
        <v>34</v>
      </c>
      <c r="O123" s="2">
        <v>3</v>
      </c>
      <c r="P123" s="2" t="str">
        <f>IF(global_freelancer_raw[[#This Row],[No of projects ]]&lt;=5,"Entry level","Well Experienced")</f>
        <v>Entry level</v>
      </c>
      <c r="Q123" s="2">
        <v>1</v>
      </c>
    </row>
    <row r="124" spans="1:17" x14ac:dyDescent="0.3">
      <c r="A124" t="s">
        <v>351</v>
      </c>
      <c r="B124" t="s">
        <v>352</v>
      </c>
      <c r="C124" t="s">
        <v>118</v>
      </c>
      <c r="D124" s="2">
        <v>48</v>
      </c>
      <c r="E124" t="s">
        <v>149</v>
      </c>
      <c r="F124" t="s">
        <v>30</v>
      </c>
      <c r="G124" s="2" t="s">
        <v>135</v>
      </c>
      <c r="H124" s="2">
        <v>15</v>
      </c>
      <c r="I124" s="2" t="s">
        <v>119</v>
      </c>
      <c r="J124" s="2">
        <v>1</v>
      </c>
      <c r="K124" s="2" t="s">
        <v>94</v>
      </c>
      <c r="L124" s="2">
        <v>0.64</v>
      </c>
      <c r="M124" s="2" t="s">
        <v>88</v>
      </c>
      <c r="N124" s="2" t="s">
        <v>75</v>
      </c>
      <c r="O124" s="2">
        <v>14</v>
      </c>
      <c r="P124" s="2" t="str">
        <f>IF(global_freelancer_raw[[#This Row],[No of projects ]]&lt;=5,"Entry level","Well Experienced")</f>
        <v>Well Experienced</v>
      </c>
      <c r="Q124" s="2">
        <v>5</v>
      </c>
    </row>
    <row r="125" spans="1:17" x14ac:dyDescent="0.3">
      <c r="A125" t="s">
        <v>353</v>
      </c>
      <c r="B125" t="s">
        <v>354</v>
      </c>
      <c r="C125" t="s">
        <v>97</v>
      </c>
      <c r="D125" s="2">
        <v>27</v>
      </c>
      <c r="E125" t="s">
        <v>197</v>
      </c>
      <c r="F125" t="s">
        <v>198</v>
      </c>
      <c r="G125" s="2" t="s">
        <v>93</v>
      </c>
      <c r="H125" s="2">
        <v>8</v>
      </c>
      <c r="I125" s="2" t="s">
        <v>81</v>
      </c>
      <c r="J125" s="2">
        <v>0</v>
      </c>
      <c r="K125" s="2" t="s">
        <v>2120</v>
      </c>
      <c r="L125" s="2" t="s">
        <v>2120</v>
      </c>
      <c r="M125" s="2" t="s">
        <v>24</v>
      </c>
      <c r="N125" s="2" t="s">
        <v>25</v>
      </c>
      <c r="O125" s="2">
        <v>14</v>
      </c>
      <c r="P125" s="2" t="str">
        <f>IF(global_freelancer_raw[[#This Row],[No of projects ]]&lt;=5,"Entry level","Well Experienced")</f>
        <v>Well Experienced</v>
      </c>
      <c r="Q125" s="2">
        <v>6</v>
      </c>
    </row>
    <row r="126" spans="1:17" x14ac:dyDescent="0.3">
      <c r="A126" t="s">
        <v>355</v>
      </c>
      <c r="B126" t="s">
        <v>356</v>
      </c>
      <c r="C126" t="s">
        <v>118</v>
      </c>
      <c r="D126" s="2">
        <v>34</v>
      </c>
      <c r="E126" t="s">
        <v>29</v>
      </c>
      <c r="F126" t="s">
        <v>30</v>
      </c>
      <c r="G126" s="2" t="s">
        <v>46</v>
      </c>
      <c r="H126" s="2">
        <v>10</v>
      </c>
      <c r="I126" s="2" t="s">
        <v>2119</v>
      </c>
      <c r="J126" s="2">
        <v>1.7</v>
      </c>
      <c r="K126" s="2" t="s">
        <v>41</v>
      </c>
      <c r="L126" s="2">
        <v>0.96</v>
      </c>
      <c r="M126" s="2" t="s">
        <v>24</v>
      </c>
      <c r="N126" s="2" t="s">
        <v>75</v>
      </c>
      <c r="O126" s="2">
        <v>7</v>
      </c>
      <c r="P126" s="2" t="str">
        <f>IF(global_freelancer_raw[[#This Row],[No of projects ]]&lt;=5,"Entry level","Well Experienced")</f>
        <v>Well Experienced</v>
      </c>
      <c r="Q126" s="2">
        <v>9</v>
      </c>
    </row>
    <row r="127" spans="1:17" x14ac:dyDescent="0.3">
      <c r="A127" t="s">
        <v>357</v>
      </c>
      <c r="B127" t="s">
        <v>358</v>
      </c>
      <c r="C127" t="s">
        <v>118</v>
      </c>
      <c r="D127" s="2">
        <v>49</v>
      </c>
      <c r="E127" t="s">
        <v>133</v>
      </c>
      <c r="F127" t="s">
        <v>134</v>
      </c>
      <c r="G127" s="2" t="s">
        <v>66</v>
      </c>
      <c r="H127" s="2">
        <v>19</v>
      </c>
      <c r="I127" s="2" t="s">
        <v>2119</v>
      </c>
      <c r="J127" s="2">
        <v>5</v>
      </c>
      <c r="K127" s="2" t="s">
        <v>94</v>
      </c>
      <c r="L127" s="2">
        <v>0.83</v>
      </c>
      <c r="M127" s="2" t="s">
        <v>82</v>
      </c>
      <c r="N127" s="2" t="s">
        <v>25</v>
      </c>
      <c r="O127" s="2">
        <v>11</v>
      </c>
      <c r="P127" s="2" t="str">
        <f>IF(global_freelancer_raw[[#This Row],[No of projects ]]&lt;=5,"Entry level","Well Experienced")</f>
        <v>Well Experienced</v>
      </c>
      <c r="Q127" s="2">
        <v>5</v>
      </c>
    </row>
    <row r="128" spans="1:17" x14ac:dyDescent="0.3">
      <c r="A128" t="s">
        <v>359</v>
      </c>
      <c r="B128" t="s">
        <v>360</v>
      </c>
      <c r="C128" t="s">
        <v>118</v>
      </c>
      <c r="D128" s="2">
        <v>30</v>
      </c>
      <c r="E128" t="s">
        <v>128</v>
      </c>
      <c r="F128" t="s">
        <v>129</v>
      </c>
      <c r="G128" s="2" t="s">
        <v>31</v>
      </c>
      <c r="H128" s="2">
        <v>10</v>
      </c>
      <c r="I128" s="2" t="s">
        <v>251</v>
      </c>
      <c r="J128" s="2">
        <v>1.7</v>
      </c>
      <c r="K128" s="2" t="s">
        <v>87</v>
      </c>
      <c r="L128" s="2">
        <v>0.64</v>
      </c>
      <c r="M128" s="2" t="s">
        <v>88</v>
      </c>
      <c r="N128" s="2" t="s">
        <v>25</v>
      </c>
      <c r="O128" s="2">
        <v>14</v>
      </c>
      <c r="P128" s="2" t="str">
        <f>IF(global_freelancer_raw[[#This Row],[No of projects ]]&lt;=5,"Entry level","Well Experienced")</f>
        <v>Well Experienced</v>
      </c>
      <c r="Q128" s="2">
        <v>9</v>
      </c>
    </row>
    <row r="129" spans="1:17" x14ac:dyDescent="0.3">
      <c r="A129" t="s">
        <v>361</v>
      </c>
      <c r="B129" t="s">
        <v>362</v>
      </c>
      <c r="C129" t="s">
        <v>118</v>
      </c>
      <c r="D129" s="2">
        <v>31</v>
      </c>
      <c r="E129" t="s">
        <v>160</v>
      </c>
      <c r="F129" t="s">
        <v>161</v>
      </c>
      <c r="G129" s="2" t="s">
        <v>39</v>
      </c>
      <c r="H129" s="2">
        <v>8</v>
      </c>
      <c r="I129" s="2" t="s">
        <v>86</v>
      </c>
      <c r="J129" s="2">
        <v>4.4000000000000004</v>
      </c>
      <c r="K129" s="2" t="s">
        <v>23</v>
      </c>
      <c r="L129" s="2">
        <v>0.7</v>
      </c>
      <c r="M129" s="2" t="s">
        <v>60</v>
      </c>
      <c r="N129" s="2" t="s">
        <v>75</v>
      </c>
      <c r="O129" s="2">
        <v>15</v>
      </c>
      <c r="P129" s="2" t="str">
        <f>IF(global_freelancer_raw[[#This Row],[No of projects ]]&lt;=5,"Entry level","Well Experienced")</f>
        <v>Well Experienced</v>
      </c>
      <c r="Q129" s="2">
        <v>5</v>
      </c>
    </row>
    <row r="130" spans="1:17" x14ac:dyDescent="0.3">
      <c r="A130" t="s">
        <v>363</v>
      </c>
      <c r="B130" t="s">
        <v>364</v>
      </c>
      <c r="C130" t="s">
        <v>118</v>
      </c>
      <c r="D130" s="2">
        <v>58</v>
      </c>
      <c r="E130" t="s">
        <v>197</v>
      </c>
      <c r="F130" t="s">
        <v>198</v>
      </c>
      <c r="G130" s="2" t="s">
        <v>135</v>
      </c>
      <c r="H130" s="2">
        <v>9</v>
      </c>
      <c r="I130" s="2" t="s">
        <v>162</v>
      </c>
      <c r="J130" s="2">
        <v>0</v>
      </c>
      <c r="K130" s="2" t="s">
        <v>41</v>
      </c>
      <c r="L130" s="2">
        <v>0.65</v>
      </c>
      <c r="M130" s="2" t="s">
        <v>88</v>
      </c>
      <c r="N130" s="2" t="s">
        <v>75</v>
      </c>
      <c r="O130" s="2">
        <v>15</v>
      </c>
      <c r="P130" s="2" t="str">
        <f>IF(global_freelancer_raw[[#This Row],[No of projects ]]&lt;=5,"Entry level","Well Experienced")</f>
        <v>Well Experienced</v>
      </c>
      <c r="Q130" s="2">
        <v>7</v>
      </c>
    </row>
    <row r="131" spans="1:17" x14ac:dyDescent="0.3">
      <c r="A131" t="s">
        <v>365</v>
      </c>
      <c r="B131" t="s">
        <v>366</v>
      </c>
      <c r="C131" t="s">
        <v>118</v>
      </c>
      <c r="D131" s="2">
        <v>47</v>
      </c>
      <c r="E131" t="s">
        <v>156</v>
      </c>
      <c r="F131" t="s">
        <v>157</v>
      </c>
      <c r="G131" s="2" t="s">
        <v>135</v>
      </c>
      <c r="H131" s="2">
        <v>13</v>
      </c>
      <c r="I131" s="2" t="s">
        <v>86</v>
      </c>
      <c r="J131" s="2">
        <v>3.4</v>
      </c>
      <c r="K131" s="2" t="s">
        <v>2120</v>
      </c>
      <c r="L131" s="2">
        <v>0.67</v>
      </c>
      <c r="M131" s="2" t="s">
        <v>82</v>
      </c>
      <c r="N131" s="2" t="s">
        <v>42</v>
      </c>
      <c r="O131" s="2">
        <v>7</v>
      </c>
      <c r="P131" s="2" t="str">
        <f>IF(global_freelancer_raw[[#This Row],[No of projects ]]&lt;=5,"Entry level","Well Experienced")</f>
        <v>Well Experienced</v>
      </c>
      <c r="Q131" s="2">
        <v>3</v>
      </c>
    </row>
    <row r="132" spans="1:17" x14ac:dyDescent="0.3">
      <c r="A132" t="s">
        <v>367</v>
      </c>
      <c r="B132" t="s">
        <v>368</v>
      </c>
      <c r="C132" t="s">
        <v>97</v>
      </c>
      <c r="D132" s="2">
        <v>45</v>
      </c>
      <c r="E132" t="s">
        <v>85</v>
      </c>
      <c r="F132" t="s">
        <v>30</v>
      </c>
      <c r="G132" s="2" t="s">
        <v>98</v>
      </c>
      <c r="H132" s="2">
        <v>14</v>
      </c>
      <c r="I132" s="2" t="s">
        <v>32</v>
      </c>
      <c r="J132" s="2">
        <v>1.1000000000000001</v>
      </c>
      <c r="K132" s="2" t="s">
        <v>181</v>
      </c>
      <c r="L132" s="2">
        <v>93</v>
      </c>
      <c r="M132" s="2" t="s">
        <v>82</v>
      </c>
      <c r="N132" s="2" t="s">
        <v>34</v>
      </c>
      <c r="O132" s="2">
        <v>12</v>
      </c>
      <c r="P132" s="2" t="str">
        <f>IF(global_freelancer_raw[[#This Row],[No of projects ]]&lt;=5,"Entry level","Well Experienced")</f>
        <v>Well Experienced</v>
      </c>
      <c r="Q132" s="2">
        <v>12</v>
      </c>
    </row>
    <row r="133" spans="1:17" x14ac:dyDescent="0.3">
      <c r="A133" t="s">
        <v>369</v>
      </c>
      <c r="B133" t="s">
        <v>370</v>
      </c>
      <c r="C133" t="s">
        <v>97</v>
      </c>
      <c r="D133" s="2">
        <v>57</v>
      </c>
      <c r="E133" t="s">
        <v>156</v>
      </c>
      <c r="F133" t="s">
        <v>157</v>
      </c>
      <c r="G133" s="2" t="s">
        <v>135</v>
      </c>
      <c r="H133" s="2">
        <v>0</v>
      </c>
      <c r="I133" s="2" t="s">
        <v>40</v>
      </c>
      <c r="J133" s="2">
        <v>1.6</v>
      </c>
      <c r="K133" s="2" t="s">
        <v>41</v>
      </c>
      <c r="L133" s="2">
        <v>0.6</v>
      </c>
      <c r="M133" s="2" t="s">
        <v>88</v>
      </c>
      <c r="N133" s="2" t="s">
        <v>25</v>
      </c>
      <c r="O133" s="2">
        <v>3</v>
      </c>
      <c r="P133" s="2" t="str">
        <f>IF(global_freelancer_raw[[#This Row],[No of projects ]]&lt;=5,"Entry level","Well Experienced")</f>
        <v>Entry level</v>
      </c>
      <c r="Q133" s="2">
        <v>2</v>
      </c>
    </row>
    <row r="134" spans="1:17" x14ac:dyDescent="0.3">
      <c r="A134" t="s">
        <v>371</v>
      </c>
      <c r="B134" t="s">
        <v>372</v>
      </c>
      <c r="C134" t="s">
        <v>118</v>
      </c>
      <c r="D134" s="2">
        <v>50</v>
      </c>
      <c r="E134" t="s">
        <v>114</v>
      </c>
      <c r="F134" t="s">
        <v>115</v>
      </c>
      <c r="G134" s="2" t="s">
        <v>46</v>
      </c>
      <c r="H134" s="2">
        <v>22</v>
      </c>
      <c r="I134" s="2" t="s">
        <v>22</v>
      </c>
      <c r="J134" s="2">
        <v>4.0999999999999996</v>
      </c>
      <c r="K134" s="2" t="s">
        <v>41</v>
      </c>
      <c r="L134" s="2">
        <v>0.62</v>
      </c>
      <c r="M134" s="2" t="s">
        <v>88</v>
      </c>
      <c r="N134" s="2" t="s">
        <v>42</v>
      </c>
      <c r="O134" s="2">
        <v>17</v>
      </c>
      <c r="P134" s="2" t="str">
        <f>IF(global_freelancer_raw[[#This Row],[No of projects ]]&lt;=5,"Entry level","Well Experienced")</f>
        <v>Well Experienced</v>
      </c>
      <c r="Q134" s="2">
        <v>6</v>
      </c>
    </row>
    <row r="135" spans="1:17" x14ac:dyDescent="0.3">
      <c r="A135" t="s">
        <v>373</v>
      </c>
      <c r="B135" t="s">
        <v>374</v>
      </c>
      <c r="C135" t="s">
        <v>97</v>
      </c>
      <c r="D135" s="2" t="s">
        <v>2119</v>
      </c>
      <c r="E135" t="s">
        <v>128</v>
      </c>
      <c r="F135" t="s">
        <v>129</v>
      </c>
      <c r="G135" s="2" t="s">
        <v>135</v>
      </c>
      <c r="H135" s="2">
        <v>4</v>
      </c>
      <c r="I135" s="2" t="s">
        <v>2119</v>
      </c>
      <c r="J135" s="2">
        <v>2.5</v>
      </c>
      <c r="K135" s="2" t="s">
        <v>2120</v>
      </c>
      <c r="L135" s="2">
        <v>0.7</v>
      </c>
      <c r="M135" s="2" t="s">
        <v>88</v>
      </c>
      <c r="N135" s="2" t="s">
        <v>75</v>
      </c>
      <c r="O135" s="2">
        <v>2</v>
      </c>
      <c r="P135" s="2" t="str">
        <f>IF(global_freelancer_raw[[#This Row],[No of projects ]]&lt;=5,"Entry level","Well Experienced")</f>
        <v>Entry level</v>
      </c>
      <c r="Q135" s="2">
        <v>1</v>
      </c>
    </row>
    <row r="136" spans="1:17" x14ac:dyDescent="0.3">
      <c r="A136" t="s">
        <v>375</v>
      </c>
      <c r="B136" t="s">
        <v>376</v>
      </c>
      <c r="C136" t="s">
        <v>97</v>
      </c>
      <c r="D136" s="2">
        <v>45</v>
      </c>
      <c r="E136" t="s">
        <v>64</v>
      </c>
      <c r="F136" t="s">
        <v>65</v>
      </c>
      <c r="G136" s="2" t="s">
        <v>21</v>
      </c>
      <c r="H136" s="2">
        <v>22</v>
      </c>
      <c r="I136" s="2" t="s">
        <v>251</v>
      </c>
      <c r="J136" s="2">
        <v>4</v>
      </c>
      <c r="K136" s="2" t="s">
        <v>94</v>
      </c>
      <c r="L136" s="2">
        <v>0.75</v>
      </c>
      <c r="M136" s="2" t="s">
        <v>24</v>
      </c>
      <c r="N136" s="2" t="s">
        <v>34</v>
      </c>
      <c r="O136" s="2">
        <v>16</v>
      </c>
      <c r="P136" s="2" t="str">
        <f>IF(global_freelancer_raw[[#This Row],[No of projects ]]&lt;=5,"Entry level","Well Experienced")</f>
        <v>Well Experienced</v>
      </c>
      <c r="Q136" s="2">
        <v>4</v>
      </c>
    </row>
    <row r="137" spans="1:17" x14ac:dyDescent="0.3">
      <c r="A137" t="s">
        <v>377</v>
      </c>
      <c r="B137" t="s">
        <v>378</v>
      </c>
      <c r="C137" t="s">
        <v>118</v>
      </c>
      <c r="D137" s="2">
        <v>60</v>
      </c>
      <c r="E137" t="s">
        <v>175</v>
      </c>
      <c r="F137" t="s">
        <v>176</v>
      </c>
      <c r="G137" s="2" t="s">
        <v>98</v>
      </c>
      <c r="H137" s="2">
        <v>39</v>
      </c>
      <c r="I137" s="2" t="s">
        <v>103</v>
      </c>
      <c r="J137" s="2">
        <v>1.4</v>
      </c>
      <c r="K137" s="2" t="s">
        <v>181</v>
      </c>
      <c r="L137" s="2">
        <v>0.7</v>
      </c>
      <c r="M137" s="2" t="s">
        <v>60</v>
      </c>
      <c r="N137" s="2" t="s">
        <v>42</v>
      </c>
      <c r="O137" s="2">
        <v>10</v>
      </c>
      <c r="P137" s="2" t="str">
        <f>IF(global_freelancer_raw[[#This Row],[No of projects ]]&lt;=5,"Entry level","Well Experienced")</f>
        <v>Well Experienced</v>
      </c>
      <c r="Q137" s="2">
        <v>3</v>
      </c>
    </row>
    <row r="138" spans="1:17" x14ac:dyDescent="0.3">
      <c r="A138" t="s">
        <v>379</v>
      </c>
      <c r="B138" t="s">
        <v>380</v>
      </c>
      <c r="C138" t="s">
        <v>97</v>
      </c>
      <c r="D138" s="2">
        <v>43</v>
      </c>
      <c r="E138" t="s">
        <v>85</v>
      </c>
      <c r="F138" t="s">
        <v>30</v>
      </c>
      <c r="G138" s="2" t="s">
        <v>98</v>
      </c>
      <c r="H138" s="2">
        <v>5</v>
      </c>
      <c r="I138" s="2" t="s">
        <v>119</v>
      </c>
      <c r="J138" s="2" t="s">
        <v>2120</v>
      </c>
      <c r="K138" s="2" t="s">
        <v>33</v>
      </c>
      <c r="L138" s="2">
        <v>0.84</v>
      </c>
      <c r="M138" s="2" t="s">
        <v>88</v>
      </c>
      <c r="N138" s="2" t="s">
        <v>25</v>
      </c>
      <c r="O138" s="2">
        <v>1</v>
      </c>
      <c r="P138" s="2" t="str">
        <f>IF(global_freelancer_raw[[#This Row],[No of projects ]]&lt;=5,"Entry level","Well Experienced")</f>
        <v>Entry level</v>
      </c>
      <c r="Q138" s="2">
        <v>3</v>
      </c>
    </row>
    <row r="139" spans="1:17" x14ac:dyDescent="0.3">
      <c r="A139" t="s">
        <v>381</v>
      </c>
      <c r="B139" t="s">
        <v>382</v>
      </c>
      <c r="C139" t="s">
        <v>97</v>
      </c>
      <c r="D139" s="2">
        <v>39</v>
      </c>
      <c r="E139" t="s">
        <v>156</v>
      </c>
      <c r="F139" t="s">
        <v>157</v>
      </c>
      <c r="G139" s="2" t="s">
        <v>98</v>
      </c>
      <c r="H139" s="2">
        <v>5</v>
      </c>
      <c r="I139" s="2" t="s">
        <v>70</v>
      </c>
      <c r="J139" s="2">
        <v>1.2</v>
      </c>
      <c r="K139" s="2" t="s">
        <v>23</v>
      </c>
      <c r="L139" s="2">
        <v>83</v>
      </c>
      <c r="M139" s="2" t="s">
        <v>88</v>
      </c>
      <c r="N139" s="2" t="s">
        <v>42</v>
      </c>
      <c r="O139" s="2">
        <v>4</v>
      </c>
      <c r="P139" s="2" t="str">
        <f>IF(global_freelancer_raw[[#This Row],[No of projects ]]&lt;=5,"Entry level","Well Experienced")</f>
        <v>Entry level</v>
      </c>
      <c r="Q139" s="2">
        <v>1</v>
      </c>
    </row>
    <row r="140" spans="1:17" x14ac:dyDescent="0.3">
      <c r="A140" t="s">
        <v>383</v>
      </c>
      <c r="B140" t="s">
        <v>384</v>
      </c>
      <c r="C140" t="s">
        <v>118</v>
      </c>
      <c r="D140" s="2">
        <v>26</v>
      </c>
      <c r="E140" t="s">
        <v>201</v>
      </c>
      <c r="F140" t="s">
        <v>92</v>
      </c>
      <c r="G140" s="2" t="s">
        <v>93</v>
      </c>
      <c r="H140" s="2">
        <v>5</v>
      </c>
      <c r="I140" s="2" t="s">
        <v>40</v>
      </c>
      <c r="J140" s="2">
        <v>0</v>
      </c>
      <c r="K140" s="2" t="s">
        <v>41</v>
      </c>
      <c r="L140" s="2" t="s">
        <v>2120</v>
      </c>
      <c r="M140" s="2" t="s">
        <v>88</v>
      </c>
      <c r="N140" s="2" t="s">
        <v>25</v>
      </c>
      <c r="O140" s="2">
        <v>3</v>
      </c>
      <c r="P140" s="2" t="str">
        <f>IF(global_freelancer_raw[[#This Row],[No of projects ]]&lt;=5,"Entry level","Well Experienced")</f>
        <v>Entry level</v>
      </c>
      <c r="Q140" s="2">
        <v>1</v>
      </c>
    </row>
    <row r="141" spans="1:17" x14ac:dyDescent="0.3">
      <c r="A141" t="s">
        <v>385</v>
      </c>
      <c r="B141" t="s">
        <v>386</v>
      </c>
      <c r="C141" t="s">
        <v>118</v>
      </c>
      <c r="D141" s="2">
        <v>31</v>
      </c>
      <c r="E141" t="s">
        <v>38</v>
      </c>
      <c r="F141" t="s">
        <v>38</v>
      </c>
      <c r="G141" s="2" t="s">
        <v>98</v>
      </c>
      <c r="H141" s="2">
        <v>11</v>
      </c>
      <c r="I141" s="2" t="s">
        <v>40</v>
      </c>
      <c r="J141" s="2">
        <v>3.1</v>
      </c>
      <c r="K141" s="2" t="s">
        <v>59</v>
      </c>
      <c r="L141" s="2">
        <v>0.88</v>
      </c>
      <c r="M141" s="2" t="s">
        <v>82</v>
      </c>
      <c r="N141" s="2" t="s">
        <v>75</v>
      </c>
      <c r="O141" s="2">
        <v>14</v>
      </c>
      <c r="P141" s="2" t="str">
        <f>IF(global_freelancer_raw[[#This Row],[No of projects ]]&lt;=5,"Entry level","Well Experienced")</f>
        <v>Well Experienced</v>
      </c>
      <c r="Q141" s="2">
        <v>3</v>
      </c>
    </row>
    <row r="142" spans="1:17" x14ac:dyDescent="0.3">
      <c r="A142" t="s">
        <v>387</v>
      </c>
      <c r="B142" t="s">
        <v>388</v>
      </c>
      <c r="C142" t="s">
        <v>118</v>
      </c>
      <c r="D142" s="2">
        <v>52</v>
      </c>
      <c r="E142" t="s">
        <v>156</v>
      </c>
      <c r="F142" t="s">
        <v>157</v>
      </c>
      <c r="G142" s="2" t="s">
        <v>93</v>
      </c>
      <c r="H142" s="2">
        <v>15</v>
      </c>
      <c r="I142" s="2" t="s">
        <v>40</v>
      </c>
      <c r="J142" s="2">
        <v>0</v>
      </c>
      <c r="K142" s="2" t="s">
        <v>87</v>
      </c>
      <c r="L142" s="2">
        <v>0.81</v>
      </c>
      <c r="M142" s="2" t="s">
        <v>82</v>
      </c>
      <c r="N142" s="2" t="s">
        <v>34</v>
      </c>
      <c r="O142" s="2">
        <v>10</v>
      </c>
      <c r="P142" s="2" t="str">
        <f>IF(global_freelancer_raw[[#This Row],[No of projects ]]&lt;=5,"Entry level","Well Experienced")</f>
        <v>Well Experienced</v>
      </c>
      <c r="Q142" s="2">
        <v>12</v>
      </c>
    </row>
    <row r="143" spans="1:17" x14ac:dyDescent="0.3">
      <c r="A143" t="s">
        <v>389</v>
      </c>
      <c r="B143" t="s">
        <v>390</v>
      </c>
      <c r="C143" t="s">
        <v>97</v>
      </c>
      <c r="D143" s="2">
        <v>34</v>
      </c>
      <c r="E143" t="s">
        <v>114</v>
      </c>
      <c r="F143" t="s">
        <v>115</v>
      </c>
      <c r="G143" s="2" t="s">
        <v>66</v>
      </c>
      <c r="H143" s="2">
        <v>5</v>
      </c>
      <c r="I143" s="2" t="s">
        <v>336</v>
      </c>
      <c r="J143" s="2">
        <v>2.2000000000000002</v>
      </c>
      <c r="K143" s="2" t="s">
        <v>94</v>
      </c>
      <c r="L143" s="2">
        <v>0.8</v>
      </c>
      <c r="M143" s="2" t="s">
        <v>24</v>
      </c>
      <c r="N143" s="2" t="s">
        <v>34</v>
      </c>
      <c r="O143" s="2">
        <v>3</v>
      </c>
      <c r="P143" s="2" t="str">
        <f>IF(global_freelancer_raw[[#This Row],[No of projects ]]&lt;=5,"Entry level","Well Experienced")</f>
        <v>Entry level</v>
      </c>
      <c r="Q143" s="2">
        <v>3</v>
      </c>
    </row>
    <row r="144" spans="1:17" x14ac:dyDescent="0.3">
      <c r="A144" t="s">
        <v>391</v>
      </c>
      <c r="B144" t="s">
        <v>392</v>
      </c>
      <c r="C144" t="s">
        <v>118</v>
      </c>
      <c r="D144" s="2">
        <v>45</v>
      </c>
      <c r="E144" t="s">
        <v>85</v>
      </c>
      <c r="F144" t="s">
        <v>30</v>
      </c>
      <c r="G144" s="2" t="s">
        <v>46</v>
      </c>
      <c r="H144" s="2">
        <v>7</v>
      </c>
      <c r="I144" s="2" t="s">
        <v>103</v>
      </c>
      <c r="J144" s="2">
        <v>3</v>
      </c>
      <c r="K144" s="2" t="s">
        <v>33</v>
      </c>
      <c r="L144" s="2">
        <v>0.67</v>
      </c>
      <c r="M144" s="2" t="s">
        <v>60</v>
      </c>
      <c r="N144" s="2" t="s">
        <v>34</v>
      </c>
      <c r="O144" s="2">
        <v>7</v>
      </c>
      <c r="P144" s="2" t="str">
        <f>IF(global_freelancer_raw[[#This Row],[No of projects ]]&lt;=5,"Entry level","Well Experienced")</f>
        <v>Well Experienced</v>
      </c>
      <c r="Q144" s="2">
        <v>8</v>
      </c>
    </row>
    <row r="145" spans="1:17" x14ac:dyDescent="0.3">
      <c r="A145" t="s">
        <v>393</v>
      </c>
      <c r="B145" t="s">
        <v>394</v>
      </c>
      <c r="C145" t="s">
        <v>118</v>
      </c>
      <c r="D145" s="2">
        <v>46</v>
      </c>
      <c r="E145" t="s">
        <v>85</v>
      </c>
      <c r="F145" t="s">
        <v>30</v>
      </c>
      <c r="G145" s="2" t="s">
        <v>98</v>
      </c>
      <c r="H145" s="2">
        <v>9</v>
      </c>
      <c r="I145" s="2" t="s">
        <v>142</v>
      </c>
      <c r="J145" s="2">
        <v>0</v>
      </c>
      <c r="K145" s="2" t="s">
        <v>41</v>
      </c>
      <c r="L145" s="2">
        <v>0.82</v>
      </c>
      <c r="M145" s="2" t="s">
        <v>24</v>
      </c>
      <c r="N145" s="2" t="s">
        <v>75</v>
      </c>
      <c r="O145" s="2">
        <v>14</v>
      </c>
      <c r="P145" s="2" t="str">
        <f>IF(global_freelancer_raw[[#This Row],[No of projects ]]&lt;=5,"Entry level","Well Experienced")</f>
        <v>Well Experienced</v>
      </c>
      <c r="Q145" s="2">
        <v>6</v>
      </c>
    </row>
    <row r="146" spans="1:17" x14ac:dyDescent="0.3">
      <c r="A146" t="s">
        <v>395</v>
      </c>
      <c r="B146" t="s">
        <v>396</v>
      </c>
      <c r="C146" t="s">
        <v>118</v>
      </c>
      <c r="D146" s="2">
        <v>56</v>
      </c>
      <c r="E146" t="s">
        <v>156</v>
      </c>
      <c r="F146" t="s">
        <v>157</v>
      </c>
      <c r="G146" s="2" t="s">
        <v>93</v>
      </c>
      <c r="H146" s="2">
        <v>21</v>
      </c>
      <c r="I146" s="2" t="s">
        <v>32</v>
      </c>
      <c r="J146" s="2">
        <v>0</v>
      </c>
      <c r="K146" s="2" t="s">
        <v>74</v>
      </c>
      <c r="L146" s="2">
        <v>78</v>
      </c>
      <c r="M146" s="2" t="s">
        <v>60</v>
      </c>
      <c r="N146" s="2" t="s">
        <v>25</v>
      </c>
      <c r="O146" s="2">
        <v>18</v>
      </c>
      <c r="P146" s="2" t="str">
        <f>IF(global_freelancer_raw[[#This Row],[No of projects ]]&lt;=5,"Entry level","Well Experienced")</f>
        <v>Well Experienced</v>
      </c>
      <c r="Q146" s="2">
        <v>13</v>
      </c>
    </row>
    <row r="147" spans="1:17" x14ac:dyDescent="0.3">
      <c r="A147" t="s">
        <v>397</v>
      </c>
      <c r="B147" t="s">
        <v>398</v>
      </c>
      <c r="C147" t="s">
        <v>97</v>
      </c>
      <c r="D147" s="2">
        <v>59</v>
      </c>
      <c r="E147" t="s">
        <v>38</v>
      </c>
      <c r="F147" t="s">
        <v>38</v>
      </c>
      <c r="G147" s="2" t="s">
        <v>57</v>
      </c>
      <c r="H147" s="2">
        <v>7</v>
      </c>
      <c r="I147" s="2" t="s">
        <v>47</v>
      </c>
      <c r="J147" s="2">
        <v>1.4</v>
      </c>
      <c r="K147" s="2" t="s">
        <v>59</v>
      </c>
      <c r="L147" s="2">
        <v>0.81</v>
      </c>
      <c r="M147" s="2" t="s">
        <v>82</v>
      </c>
      <c r="N147" s="2" t="s">
        <v>75</v>
      </c>
      <c r="O147" s="2">
        <v>9</v>
      </c>
      <c r="P147" s="2" t="str">
        <f>IF(global_freelancer_raw[[#This Row],[No of projects ]]&lt;=5,"Entry level","Well Experienced")</f>
        <v>Well Experienced</v>
      </c>
      <c r="Q147" s="2">
        <v>11</v>
      </c>
    </row>
    <row r="148" spans="1:17" x14ac:dyDescent="0.3">
      <c r="A148" t="s">
        <v>399</v>
      </c>
      <c r="B148" t="s">
        <v>400</v>
      </c>
      <c r="C148" t="s">
        <v>97</v>
      </c>
      <c r="D148" s="2">
        <v>54</v>
      </c>
      <c r="E148" t="s">
        <v>160</v>
      </c>
      <c r="F148" t="s">
        <v>161</v>
      </c>
      <c r="G148" s="2" t="s">
        <v>21</v>
      </c>
      <c r="H148" s="2">
        <v>4</v>
      </c>
      <c r="I148" s="2" t="s">
        <v>2119</v>
      </c>
      <c r="J148" s="2">
        <v>1.4</v>
      </c>
      <c r="K148" s="2" t="s">
        <v>74</v>
      </c>
      <c r="L148" s="2">
        <v>0.74</v>
      </c>
      <c r="M148" s="2" t="s">
        <v>82</v>
      </c>
      <c r="N148" s="2" t="s">
        <v>34</v>
      </c>
      <c r="O148" s="2">
        <v>5</v>
      </c>
      <c r="P148" s="2" t="str">
        <f>IF(global_freelancer_raw[[#This Row],[No of projects ]]&lt;=5,"Entry level","Well Experienced")</f>
        <v>Entry level</v>
      </c>
      <c r="Q148" s="2">
        <v>1</v>
      </c>
    </row>
    <row r="149" spans="1:17" x14ac:dyDescent="0.3">
      <c r="A149" t="s">
        <v>401</v>
      </c>
      <c r="B149" t="s">
        <v>402</v>
      </c>
      <c r="C149" t="s">
        <v>118</v>
      </c>
      <c r="D149" s="2">
        <v>36</v>
      </c>
      <c r="E149" t="s">
        <v>38</v>
      </c>
      <c r="F149" t="s">
        <v>38</v>
      </c>
      <c r="G149" s="2" t="s">
        <v>93</v>
      </c>
      <c r="H149" s="2">
        <v>7</v>
      </c>
      <c r="I149" s="2" t="s">
        <v>52</v>
      </c>
      <c r="J149" s="2">
        <v>0</v>
      </c>
      <c r="K149" s="2" t="s">
        <v>41</v>
      </c>
      <c r="L149" s="2">
        <v>0.88</v>
      </c>
      <c r="M149" s="2" t="s">
        <v>82</v>
      </c>
      <c r="N149" s="2" t="s">
        <v>75</v>
      </c>
      <c r="O149" s="2">
        <v>7</v>
      </c>
      <c r="P149" s="2" t="str">
        <f>IF(global_freelancer_raw[[#This Row],[No of projects ]]&lt;=5,"Entry level","Well Experienced")</f>
        <v>Well Experienced</v>
      </c>
      <c r="Q149" s="2">
        <v>2</v>
      </c>
    </row>
    <row r="150" spans="1:17" x14ac:dyDescent="0.3">
      <c r="A150" t="s">
        <v>403</v>
      </c>
      <c r="B150" t="s">
        <v>404</v>
      </c>
      <c r="C150" t="s">
        <v>118</v>
      </c>
      <c r="D150" s="2">
        <v>25</v>
      </c>
      <c r="E150" t="s">
        <v>201</v>
      </c>
      <c r="F150" t="s">
        <v>92</v>
      </c>
      <c r="G150" s="2" t="s">
        <v>66</v>
      </c>
      <c r="H150" s="2">
        <v>0</v>
      </c>
      <c r="I150" s="2" t="s">
        <v>86</v>
      </c>
      <c r="J150" s="2">
        <v>0</v>
      </c>
      <c r="K150" s="2" t="s">
        <v>23</v>
      </c>
      <c r="L150" s="2">
        <v>0.9</v>
      </c>
      <c r="M150" s="2" t="s">
        <v>24</v>
      </c>
      <c r="N150" s="2" t="s">
        <v>75</v>
      </c>
      <c r="O150" s="2">
        <v>1</v>
      </c>
      <c r="P150" s="2" t="str">
        <f>IF(global_freelancer_raw[[#This Row],[No of projects ]]&lt;=5,"Entry level","Well Experienced")</f>
        <v>Entry level</v>
      </c>
      <c r="Q150" s="2">
        <v>2</v>
      </c>
    </row>
    <row r="151" spans="1:17" x14ac:dyDescent="0.3">
      <c r="A151" t="s">
        <v>405</v>
      </c>
      <c r="B151" t="s">
        <v>406</v>
      </c>
      <c r="C151" t="s">
        <v>97</v>
      </c>
      <c r="D151" s="2">
        <v>37</v>
      </c>
      <c r="E151" t="s">
        <v>145</v>
      </c>
      <c r="F151" t="s">
        <v>146</v>
      </c>
      <c r="G151" s="2" t="s">
        <v>66</v>
      </c>
      <c r="H151" s="2">
        <v>15</v>
      </c>
      <c r="I151" s="2" t="s">
        <v>47</v>
      </c>
      <c r="J151" s="2">
        <v>2.9</v>
      </c>
      <c r="K151" s="2" t="s">
        <v>59</v>
      </c>
      <c r="L151" s="2" t="s">
        <v>2120</v>
      </c>
      <c r="M151" s="2" t="s">
        <v>88</v>
      </c>
      <c r="N151" s="2" t="s">
        <v>75</v>
      </c>
      <c r="O151" s="2">
        <v>6</v>
      </c>
      <c r="P151" s="2" t="str">
        <f>IF(global_freelancer_raw[[#This Row],[No of projects ]]&lt;=5,"Entry level","Well Experienced")</f>
        <v>Well Experienced</v>
      </c>
      <c r="Q151" s="2">
        <v>8</v>
      </c>
    </row>
    <row r="152" spans="1:17" x14ac:dyDescent="0.3">
      <c r="A152" t="s">
        <v>407</v>
      </c>
      <c r="B152" t="s">
        <v>408</v>
      </c>
      <c r="C152" t="s">
        <v>118</v>
      </c>
      <c r="D152" s="2" t="s">
        <v>2119</v>
      </c>
      <c r="E152" t="s">
        <v>79</v>
      </c>
      <c r="F152" t="s">
        <v>80</v>
      </c>
      <c r="G152" s="2" t="s">
        <v>66</v>
      </c>
      <c r="H152" s="2">
        <v>10</v>
      </c>
      <c r="I152" s="2" t="s">
        <v>70</v>
      </c>
      <c r="J152" s="2">
        <v>0</v>
      </c>
      <c r="K152" s="2" t="s">
        <v>2120</v>
      </c>
      <c r="L152" s="2" t="s">
        <v>2120</v>
      </c>
      <c r="M152" s="2" t="s">
        <v>88</v>
      </c>
      <c r="N152" s="2" t="s">
        <v>25</v>
      </c>
      <c r="O152" s="2">
        <v>6</v>
      </c>
      <c r="P152" s="2" t="str">
        <f>IF(global_freelancer_raw[[#This Row],[No of projects ]]&lt;=5,"Entry level","Well Experienced")</f>
        <v>Well Experienced</v>
      </c>
      <c r="Q152" s="2">
        <v>2</v>
      </c>
    </row>
    <row r="153" spans="1:17" x14ac:dyDescent="0.3">
      <c r="A153" t="s">
        <v>409</v>
      </c>
      <c r="B153" t="s">
        <v>410</v>
      </c>
      <c r="C153" t="s">
        <v>118</v>
      </c>
      <c r="D153" s="2">
        <v>29</v>
      </c>
      <c r="E153" t="s">
        <v>212</v>
      </c>
      <c r="F153" t="s">
        <v>92</v>
      </c>
      <c r="G153" s="2" t="s">
        <v>66</v>
      </c>
      <c r="H153" s="2">
        <v>11</v>
      </c>
      <c r="I153" s="2" t="s">
        <v>162</v>
      </c>
      <c r="J153" s="2">
        <v>2.7</v>
      </c>
      <c r="K153" s="2" t="s">
        <v>181</v>
      </c>
      <c r="L153" s="2">
        <v>0.93</v>
      </c>
      <c r="M153" s="2" t="s">
        <v>82</v>
      </c>
      <c r="N153" s="2" t="s">
        <v>42</v>
      </c>
      <c r="O153" s="2">
        <v>13</v>
      </c>
      <c r="P153" s="2" t="str">
        <f>IF(global_freelancer_raw[[#This Row],[No of projects ]]&lt;=5,"Entry level","Well Experienced")</f>
        <v>Well Experienced</v>
      </c>
      <c r="Q153" s="2">
        <v>7</v>
      </c>
    </row>
    <row r="154" spans="1:17" x14ac:dyDescent="0.3">
      <c r="A154" t="s">
        <v>411</v>
      </c>
      <c r="B154" t="s">
        <v>412</v>
      </c>
      <c r="C154" t="s">
        <v>97</v>
      </c>
      <c r="D154" s="2">
        <v>55</v>
      </c>
      <c r="E154" t="s">
        <v>91</v>
      </c>
      <c r="F154" t="s">
        <v>92</v>
      </c>
      <c r="G154" s="2" t="s">
        <v>31</v>
      </c>
      <c r="H154" s="2">
        <v>12</v>
      </c>
      <c r="I154" s="2" t="s">
        <v>22</v>
      </c>
      <c r="J154" s="2">
        <v>1.8</v>
      </c>
      <c r="K154" s="2" t="s">
        <v>33</v>
      </c>
      <c r="L154" s="2" t="s">
        <v>2120</v>
      </c>
      <c r="M154" s="2" t="s">
        <v>88</v>
      </c>
      <c r="N154" s="2" t="s">
        <v>42</v>
      </c>
      <c r="O154" s="2">
        <v>11</v>
      </c>
      <c r="P154" s="2" t="str">
        <f>IF(global_freelancer_raw[[#This Row],[No of projects ]]&lt;=5,"Entry level","Well Experienced")</f>
        <v>Well Experienced</v>
      </c>
      <c r="Q154" s="2">
        <v>3</v>
      </c>
    </row>
    <row r="155" spans="1:17" x14ac:dyDescent="0.3">
      <c r="A155" t="s">
        <v>413</v>
      </c>
      <c r="B155" t="s">
        <v>414</v>
      </c>
      <c r="C155" t="s">
        <v>97</v>
      </c>
      <c r="D155" s="2">
        <v>38</v>
      </c>
      <c r="E155" t="s">
        <v>106</v>
      </c>
      <c r="F155" t="s">
        <v>107</v>
      </c>
      <c r="G155" s="2" t="s">
        <v>110</v>
      </c>
      <c r="H155" s="2">
        <v>20</v>
      </c>
      <c r="I155" s="2" t="s">
        <v>192</v>
      </c>
      <c r="J155" s="2">
        <v>1.1000000000000001</v>
      </c>
      <c r="K155" s="2" t="s">
        <v>181</v>
      </c>
      <c r="L155" s="2">
        <v>0.71</v>
      </c>
      <c r="M155" s="2" t="s">
        <v>88</v>
      </c>
      <c r="N155" s="2" t="s">
        <v>75</v>
      </c>
      <c r="O155" s="2">
        <v>19</v>
      </c>
      <c r="P155" s="2" t="str">
        <f>IF(global_freelancer_raw[[#This Row],[No of projects ]]&lt;=5,"Entry level","Well Experienced")</f>
        <v>Well Experienced</v>
      </c>
      <c r="Q155" s="2">
        <v>7</v>
      </c>
    </row>
    <row r="156" spans="1:17" x14ac:dyDescent="0.3">
      <c r="A156" t="s">
        <v>415</v>
      </c>
      <c r="B156" t="s">
        <v>416</v>
      </c>
      <c r="C156" t="s">
        <v>118</v>
      </c>
      <c r="D156" s="2">
        <v>47</v>
      </c>
      <c r="E156" t="s">
        <v>133</v>
      </c>
      <c r="F156" t="s">
        <v>134</v>
      </c>
      <c r="G156" s="2" t="s">
        <v>110</v>
      </c>
      <c r="H156" s="2">
        <v>29</v>
      </c>
      <c r="I156" s="2" t="s">
        <v>47</v>
      </c>
      <c r="J156" s="2">
        <v>4.3</v>
      </c>
      <c r="K156" s="2" t="s">
        <v>33</v>
      </c>
      <c r="L156" s="2">
        <v>0.95</v>
      </c>
      <c r="M156" s="2" t="s">
        <v>24</v>
      </c>
      <c r="N156" s="2" t="s">
        <v>42</v>
      </c>
      <c r="O156" s="2">
        <v>11</v>
      </c>
      <c r="P156" s="2" t="str">
        <f>IF(global_freelancer_raw[[#This Row],[No of projects ]]&lt;=5,"Entry level","Well Experienced")</f>
        <v>Well Experienced</v>
      </c>
      <c r="Q156" s="2">
        <v>8</v>
      </c>
    </row>
    <row r="157" spans="1:17" x14ac:dyDescent="0.3">
      <c r="A157" t="s">
        <v>417</v>
      </c>
      <c r="B157" t="s">
        <v>418</v>
      </c>
      <c r="C157" t="s">
        <v>118</v>
      </c>
      <c r="D157" s="2">
        <v>60</v>
      </c>
      <c r="E157" t="s">
        <v>128</v>
      </c>
      <c r="F157" t="s">
        <v>129</v>
      </c>
      <c r="G157" s="2" t="s">
        <v>46</v>
      </c>
      <c r="H157" s="2">
        <v>15</v>
      </c>
      <c r="I157" s="2" t="s">
        <v>22</v>
      </c>
      <c r="J157" s="2">
        <v>1.5</v>
      </c>
      <c r="K157" s="2" t="s">
        <v>23</v>
      </c>
      <c r="L157" s="2">
        <v>80</v>
      </c>
      <c r="M157" s="2" t="s">
        <v>60</v>
      </c>
      <c r="N157" s="2" t="s">
        <v>42</v>
      </c>
      <c r="O157" s="2">
        <v>8</v>
      </c>
      <c r="P157" s="2" t="str">
        <f>IF(global_freelancer_raw[[#This Row],[No of projects ]]&lt;=5,"Entry level","Well Experienced")</f>
        <v>Well Experienced</v>
      </c>
      <c r="Q157" s="2">
        <v>14</v>
      </c>
    </row>
    <row r="158" spans="1:17" x14ac:dyDescent="0.3">
      <c r="A158" t="s">
        <v>419</v>
      </c>
      <c r="B158" t="s">
        <v>420</v>
      </c>
      <c r="C158" t="s">
        <v>97</v>
      </c>
      <c r="D158" s="2">
        <v>43</v>
      </c>
      <c r="E158" t="s">
        <v>19</v>
      </c>
      <c r="F158" t="s">
        <v>20</v>
      </c>
      <c r="G158" s="2" t="s">
        <v>66</v>
      </c>
      <c r="H158" s="2">
        <v>9</v>
      </c>
      <c r="I158" s="2" t="s">
        <v>142</v>
      </c>
      <c r="J158" s="2">
        <v>2.2000000000000002</v>
      </c>
      <c r="K158" s="2" t="s">
        <v>41</v>
      </c>
      <c r="L158" s="2" t="s">
        <v>2120</v>
      </c>
      <c r="M158" s="2" t="s">
        <v>82</v>
      </c>
      <c r="N158" s="2" t="s">
        <v>75</v>
      </c>
      <c r="O158" s="2">
        <v>12</v>
      </c>
      <c r="P158" s="2" t="str">
        <f>IF(global_freelancer_raw[[#This Row],[No of projects ]]&lt;=5,"Entry level","Well Experienced")</f>
        <v>Well Experienced</v>
      </c>
      <c r="Q158" s="2">
        <v>5</v>
      </c>
    </row>
    <row r="159" spans="1:17" x14ac:dyDescent="0.3">
      <c r="A159" t="s">
        <v>421</v>
      </c>
      <c r="B159" t="s">
        <v>422</v>
      </c>
      <c r="C159" t="s">
        <v>118</v>
      </c>
      <c r="D159" s="2">
        <v>56</v>
      </c>
      <c r="E159" t="s">
        <v>175</v>
      </c>
      <c r="F159" t="s">
        <v>176</v>
      </c>
      <c r="G159" s="2" t="s">
        <v>66</v>
      </c>
      <c r="H159" s="2" t="s">
        <v>2120</v>
      </c>
      <c r="I159" s="2" t="s">
        <v>22</v>
      </c>
      <c r="J159" s="2">
        <v>3.2</v>
      </c>
      <c r="K159" s="2" t="s">
        <v>23</v>
      </c>
      <c r="L159" s="2">
        <v>0.62</v>
      </c>
      <c r="M159" s="2" t="s">
        <v>82</v>
      </c>
      <c r="N159" s="2" t="s">
        <v>75</v>
      </c>
      <c r="O159" s="2">
        <v>4</v>
      </c>
      <c r="P159" s="2" t="str">
        <f>IF(global_freelancer_raw[[#This Row],[No of projects ]]&lt;=5,"Entry level","Well Experienced")</f>
        <v>Entry level</v>
      </c>
      <c r="Q159" s="2">
        <v>1</v>
      </c>
    </row>
    <row r="160" spans="1:17" x14ac:dyDescent="0.3">
      <c r="A160" t="s">
        <v>423</v>
      </c>
      <c r="B160" t="s">
        <v>424</v>
      </c>
      <c r="C160" t="s">
        <v>118</v>
      </c>
      <c r="D160" s="2">
        <v>42</v>
      </c>
      <c r="E160" t="s">
        <v>145</v>
      </c>
      <c r="F160" t="s">
        <v>146</v>
      </c>
      <c r="G160" s="2" t="s">
        <v>110</v>
      </c>
      <c r="H160" s="2">
        <v>2</v>
      </c>
      <c r="I160" s="2" t="s">
        <v>81</v>
      </c>
      <c r="J160" s="2">
        <v>1.9</v>
      </c>
      <c r="K160" s="2" t="s">
        <v>59</v>
      </c>
      <c r="L160" s="2">
        <v>0.95</v>
      </c>
      <c r="M160" s="2" t="s">
        <v>24</v>
      </c>
      <c r="N160" s="2" t="s">
        <v>34</v>
      </c>
      <c r="O160" s="2">
        <v>2</v>
      </c>
      <c r="P160" s="2" t="str">
        <f>IF(global_freelancer_raw[[#This Row],[No of projects ]]&lt;=5,"Entry level","Well Experienced")</f>
        <v>Entry level</v>
      </c>
      <c r="Q160" s="2">
        <v>3</v>
      </c>
    </row>
    <row r="161" spans="1:17" x14ac:dyDescent="0.3">
      <c r="A161" t="s">
        <v>425</v>
      </c>
      <c r="B161" t="s">
        <v>426</v>
      </c>
      <c r="C161" t="s">
        <v>97</v>
      </c>
      <c r="D161" s="2">
        <v>20</v>
      </c>
      <c r="E161" t="s">
        <v>212</v>
      </c>
      <c r="F161" t="s">
        <v>92</v>
      </c>
      <c r="G161" s="2" t="s">
        <v>39</v>
      </c>
      <c r="H161" s="2">
        <v>0</v>
      </c>
      <c r="I161" s="2" t="s">
        <v>86</v>
      </c>
      <c r="J161" s="2">
        <v>2.5</v>
      </c>
      <c r="K161" s="2" t="s">
        <v>23</v>
      </c>
      <c r="L161" s="2">
        <v>0.79</v>
      </c>
      <c r="M161" s="2" t="s">
        <v>24</v>
      </c>
      <c r="N161" s="2" t="s">
        <v>42</v>
      </c>
      <c r="O161" s="2">
        <v>4</v>
      </c>
      <c r="P161" s="2" t="str">
        <f>IF(global_freelancer_raw[[#This Row],[No of projects ]]&lt;=5,"Entry level","Well Experienced")</f>
        <v>Entry level</v>
      </c>
      <c r="Q161" s="2">
        <v>2</v>
      </c>
    </row>
    <row r="162" spans="1:17" x14ac:dyDescent="0.3">
      <c r="A162" t="s">
        <v>427</v>
      </c>
      <c r="B162" t="s">
        <v>428</v>
      </c>
      <c r="C162" t="s">
        <v>97</v>
      </c>
      <c r="D162" s="2">
        <v>47</v>
      </c>
      <c r="E162" t="s">
        <v>64</v>
      </c>
      <c r="F162" t="s">
        <v>65</v>
      </c>
      <c r="G162" s="2" t="s">
        <v>93</v>
      </c>
      <c r="H162" s="2">
        <v>12</v>
      </c>
      <c r="I162" s="2" t="s">
        <v>86</v>
      </c>
      <c r="J162" s="2">
        <v>4.5</v>
      </c>
      <c r="K162" s="2" t="s">
        <v>181</v>
      </c>
      <c r="L162" s="2">
        <v>0.62</v>
      </c>
      <c r="M162" s="2" t="s">
        <v>88</v>
      </c>
      <c r="N162" s="2" t="s">
        <v>25</v>
      </c>
      <c r="O162" s="2">
        <v>15</v>
      </c>
      <c r="P162" s="2" t="str">
        <f>IF(global_freelancer_raw[[#This Row],[No of projects ]]&lt;=5,"Entry level","Well Experienced")</f>
        <v>Well Experienced</v>
      </c>
      <c r="Q162" s="2">
        <v>10</v>
      </c>
    </row>
    <row r="163" spans="1:17" x14ac:dyDescent="0.3">
      <c r="A163" t="s">
        <v>429</v>
      </c>
      <c r="B163" t="s">
        <v>430</v>
      </c>
      <c r="C163" t="s">
        <v>118</v>
      </c>
      <c r="D163" s="2" t="s">
        <v>2119</v>
      </c>
      <c r="E163" t="s">
        <v>91</v>
      </c>
      <c r="F163" t="s">
        <v>92</v>
      </c>
      <c r="G163" s="2" t="s">
        <v>66</v>
      </c>
      <c r="H163" s="2">
        <v>12</v>
      </c>
      <c r="I163" s="2" t="s">
        <v>58</v>
      </c>
      <c r="J163" s="2">
        <v>4.0999999999999996</v>
      </c>
      <c r="K163" s="2" t="s">
        <v>181</v>
      </c>
      <c r="L163" s="2">
        <v>0.68</v>
      </c>
      <c r="M163" s="2" t="s">
        <v>82</v>
      </c>
      <c r="N163" s="2" t="s">
        <v>75</v>
      </c>
      <c r="O163" s="2">
        <v>15</v>
      </c>
      <c r="P163" s="2" t="str">
        <f>IF(global_freelancer_raw[[#This Row],[No of projects ]]&lt;=5,"Entry level","Well Experienced")</f>
        <v>Well Experienced</v>
      </c>
      <c r="Q163" s="2">
        <v>11</v>
      </c>
    </row>
    <row r="164" spans="1:17" x14ac:dyDescent="0.3">
      <c r="A164" t="s">
        <v>431</v>
      </c>
      <c r="B164" t="s">
        <v>432</v>
      </c>
      <c r="C164" t="s">
        <v>118</v>
      </c>
      <c r="D164" s="2">
        <v>56</v>
      </c>
      <c r="E164" t="s">
        <v>64</v>
      </c>
      <c r="F164" t="s">
        <v>65</v>
      </c>
      <c r="G164" s="2" t="s">
        <v>110</v>
      </c>
      <c r="H164" s="2">
        <v>15</v>
      </c>
      <c r="I164" s="2" t="s">
        <v>67</v>
      </c>
      <c r="J164" s="2">
        <v>0</v>
      </c>
      <c r="K164" s="2" t="s">
        <v>181</v>
      </c>
      <c r="L164" s="2" t="s">
        <v>2120</v>
      </c>
      <c r="M164" s="2" t="s">
        <v>60</v>
      </c>
      <c r="N164" s="2" t="s">
        <v>34</v>
      </c>
      <c r="O164" s="2">
        <v>9</v>
      </c>
      <c r="P164" s="2" t="str">
        <f>IF(global_freelancer_raw[[#This Row],[No of projects ]]&lt;=5,"Entry level","Well Experienced")</f>
        <v>Well Experienced</v>
      </c>
      <c r="Q164" s="2">
        <v>9</v>
      </c>
    </row>
    <row r="165" spans="1:17" x14ac:dyDescent="0.3">
      <c r="A165" t="s">
        <v>433</v>
      </c>
      <c r="B165" t="s">
        <v>434</v>
      </c>
      <c r="C165" t="s">
        <v>118</v>
      </c>
      <c r="D165" s="2">
        <v>59</v>
      </c>
      <c r="E165" t="s">
        <v>85</v>
      </c>
      <c r="F165" t="s">
        <v>30</v>
      </c>
      <c r="G165" s="2" t="s">
        <v>110</v>
      </c>
      <c r="H165" s="2">
        <v>29</v>
      </c>
      <c r="I165" s="2" t="s">
        <v>67</v>
      </c>
      <c r="J165" s="2" t="s">
        <v>2120</v>
      </c>
      <c r="K165" s="2" t="s">
        <v>23</v>
      </c>
      <c r="L165" s="2">
        <v>0.8</v>
      </c>
      <c r="M165" s="2" t="s">
        <v>24</v>
      </c>
      <c r="N165" s="2" t="s">
        <v>25</v>
      </c>
      <c r="O165" s="2">
        <v>19</v>
      </c>
      <c r="P165" s="2" t="str">
        <f>IF(global_freelancer_raw[[#This Row],[No of projects ]]&lt;=5,"Entry level","Well Experienced")</f>
        <v>Well Experienced</v>
      </c>
      <c r="Q165" s="2">
        <v>7</v>
      </c>
    </row>
    <row r="166" spans="1:17" x14ac:dyDescent="0.3">
      <c r="A166" t="s">
        <v>435</v>
      </c>
      <c r="B166" t="s">
        <v>436</v>
      </c>
      <c r="C166" t="s">
        <v>118</v>
      </c>
      <c r="D166" s="2">
        <v>56</v>
      </c>
      <c r="E166" t="s">
        <v>106</v>
      </c>
      <c r="F166" t="s">
        <v>107</v>
      </c>
      <c r="G166" s="2" t="s">
        <v>98</v>
      </c>
      <c r="H166" s="2">
        <v>15</v>
      </c>
      <c r="I166" s="2" t="s">
        <v>86</v>
      </c>
      <c r="J166" s="2">
        <v>3.7</v>
      </c>
      <c r="K166" s="2" t="s">
        <v>2120</v>
      </c>
      <c r="L166" s="2">
        <v>0.92</v>
      </c>
      <c r="M166" s="2" t="s">
        <v>60</v>
      </c>
      <c r="N166" s="2" t="s">
        <v>42</v>
      </c>
      <c r="O166" s="2">
        <v>14</v>
      </c>
      <c r="P166" s="2" t="str">
        <f>IF(global_freelancer_raw[[#This Row],[No of projects ]]&lt;=5,"Entry level","Well Experienced")</f>
        <v>Well Experienced</v>
      </c>
      <c r="Q166" s="2">
        <v>9</v>
      </c>
    </row>
    <row r="167" spans="1:17" x14ac:dyDescent="0.3">
      <c r="A167" t="s">
        <v>437</v>
      </c>
      <c r="B167" t="s">
        <v>438</v>
      </c>
      <c r="C167" t="s">
        <v>97</v>
      </c>
      <c r="D167" s="2">
        <v>31</v>
      </c>
      <c r="E167" t="s">
        <v>175</v>
      </c>
      <c r="F167" t="s">
        <v>176</v>
      </c>
      <c r="G167" s="2" t="s">
        <v>46</v>
      </c>
      <c r="H167" s="2" t="s">
        <v>2120</v>
      </c>
      <c r="I167" s="2" t="s">
        <v>67</v>
      </c>
      <c r="J167" s="2">
        <v>1.3</v>
      </c>
      <c r="K167" s="2" t="s">
        <v>33</v>
      </c>
      <c r="L167" s="2">
        <v>0.65</v>
      </c>
      <c r="M167" s="2" t="s">
        <v>60</v>
      </c>
      <c r="N167" s="2" t="s">
        <v>34</v>
      </c>
      <c r="O167" s="2">
        <v>1</v>
      </c>
      <c r="P167" s="2" t="str">
        <f>IF(global_freelancer_raw[[#This Row],[No of projects ]]&lt;=5,"Entry level","Well Experienced")</f>
        <v>Entry level</v>
      </c>
      <c r="Q167" s="2">
        <v>1</v>
      </c>
    </row>
    <row r="168" spans="1:17" x14ac:dyDescent="0.3">
      <c r="A168" t="s">
        <v>439</v>
      </c>
      <c r="B168" t="s">
        <v>440</v>
      </c>
      <c r="C168" t="s">
        <v>118</v>
      </c>
      <c r="D168" s="2">
        <v>60</v>
      </c>
      <c r="E168" t="s">
        <v>133</v>
      </c>
      <c r="F168" t="s">
        <v>134</v>
      </c>
      <c r="G168" s="2" t="s">
        <v>31</v>
      </c>
      <c r="H168" s="2">
        <v>33</v>
      </c>
      <c r="I168" s="2" t="s">
        <v>86</v>
      </c>
      <c r="J168" s="2">
        <v>3.6</v>
      </c>
      <c r="K168" s="2" t="s">
        <v>33</v>
      </c>
      <c r="L168" s="2">
        <v>0.87</v>
      </c>
      <c r="M168" s="2" t="s">
        <v>82</v>
      </c>
      <c r="N168" s="2" t="s">
        <v>75</v>
      </c>
      <c r="O168" s="2">
        <v>13</v>
      </c>
      <c r="P168" s="2" t="str">
        <f>IF(global_freelancer_raw[[#This Row],[No of projects ]]&lt;=5,"Entry level","Well Experienced")</f>
        <v>Well Experienced</v>
      </c>
      <c r="Q168" s="2">
        <v>10</v>
      </c>
    </row>
    <row r="169" spans="1:17" x14ac:dyDescent="0.3">
      <c r="A169" t="s">
        <v>441</v>
      </c>
      <c r="B169" t="s">
        <v>442</v>
      </c>
      <c r="C169" t="s">
        <v>97</v>
      </c>
      <c r="D169" s="2">
        <v>31</v>
      </c>
      <c r="E169" t="s">
        <v>149</v>
      </c>
      <c r="F169" t="s">
        <v>30</v>
      </c>
      <c r="G169" s="2" t="s">
        <v>46</v>
      </c>
      <c r="H169" s="2">
        <v>10</v>
      </c>
      <c r="I169" s="2" t="s">
        <v>103</v>
      </c>
      <c r="J169" s="2">
        <v>0</v>
      </c>
      <c r="K169" s="2" t="s">
        <v>181</v>
      </c>
      <c r="L169" s="2">
        <v>0.7</v>
      </c>
      <c r="M169" s="2" t="s">
        <v>82</v>
      </c>
      <c r="N169" s="2" t="s">
        <v>25</v>
      </c>
      <c r="O169" s="2">
        <v>11</v>
      </c>
      <c r="P169" s="2" t="str">
        <f>IF(global_freelancer_raw[[#This Row],[No of projects ]]&lt;=5,"Entry level","Well Experienced")</f>
        <v>Well Experienced</v>
      </c>
      <c r="Q169" s="2">
        <v>9</v>
      </c>
    </row>
    <row r="170" spans="1:17" x14ac:dyDescent="0.3">
      <c r="A170" t="s">
        <v>443</v>
      </c>
      <c r="B170" t="s">
        <v>444</v>
      </c>
      <c r="C170" t="s">
        <v>118</v>
      </c>
      <c r="D170" s="2">
        <v>60</v>
      </c>
      <c r="E170" t="s">
        <v>91</v>
      </c>
      <c r="F170" t="s">
        <v>92</v>
      </c>
      <c r="G170" s="2" t="s">
        <v>98</v>
      </c>
      <c r="H170" s="2">
        <v>20</v>
      </c>
      <c r="I170" s="2" t="s">
        <v>86</v>
      </c>
      <c r="J170" s="2">
        <v>1.4</v>
      </c>
      <c r="K170" s="2" t="s">
        <v>181</v>
      </c>
      <c r="L170" s="2">
        <v>87</v>
      </c>
      <c r="M170" s="2" t="s">
        <v>24</v>
      </c>
      <c r="N170" s="2" t="s">
        <v>75</v>
      </c>
      <c r="O170" s="2">
        <v>18</v>
      </c>
      <c r="P170" s="2" t="str">
        <f>IF(global_freelancer_raw[[#This Row],[No of projects ]]&lt;=5,"Entry level","Well Experienced")</f>
        <v>Well Experienced</v>
      </c>
      <c r="Q170" s="2">
        <v>17</v>
      </c>
    </row>
    <row r="171" spans="1:17" x14ac:dyDescent="0.3">
      <c r="A171" t="s">
        <v>445</v>
      </c>
      <c r="B171" t="s">
        <v>446</v>
      </c>
      <c r="C171" t="s">
        <v>118</v>
      </c>
      <c r="D171" s="2">
        <v>46</v>
      </c>
      <c r="E171" t="s">
        <v>156</v>
      </c>
      <c r="F171" t="s">
        <v>157</v>
      </c>
      <c r="G171" s="2" t="s">
        <v>110</v>
      </c>
      <c r="H171" s="2">
        <v>23</v>
      </c>
      <c r="I171" s="2" t="s">
        <v>162</v>
      </c>
      <c r="J171" s="2">
        <v>2.9</v>
      </c>
      <c r="K171" s="2" t="s">
        <v>41</v>
      </c>
      <c r="L171" s="2">
        <v>0.72</v>
      </c>
      <c r="M171" s="2" t="s">
        <v>82</v>
      </c>
      <c r="N171" s="2" t="s">
        <v>42</v>
      </c>
      <c r="O171" s="2">
        <v>19</v>
      </c>
      <c r="P171" s="2" t="str">
        <f>IF(global_freelancer_raw[[#This Row],[No of projects ]]&lt;=5,"Entry level","Well Experienced")</f>
        <v>Well Experienced</v>
      </c>
      <c r="Q171" s="2">
        <v>5</v>
      </c>
    </row>
    <row r="172" spans="1:17" x14ac:dyDescent="0.3">
      <c r="A172" t="s">
        <v>447</v>
      </c>
      <c r="B172" t="s">
        <v>448</v>
      </c>
      <c r="C172" t="s">
        <v>97</v>
      </c>
      <c r="D172" s="2" t="s">
        <v>2119</v>
      </c>
      <c r="E172" t="s">
        <v>55</v>
      </c>
      <c r="F172" t="s">
        <v>56</v>
      </c>
      <c r="G172" s="2" t="s">
        <v>21</v>
      </c>
      <c r="H172" s="2" t="s">
        <v>2120</v>
      </c>
      <c r="I172" s="2" t="s">
        <v>86</v>
      </c>
      <c r="J172" s="2">
        <v>2.8</v>
      </c>
      <c r="K172" s="2" t="s">
        <v>41</v>
      </c>
      <c r="L172" s="2">
        <v>0.8</v>
      </c>
      <c r="M172" s="2" t="s">
        <v>82</v>
      </c>
      <c r="N172" s="2" t="s">
        <v>25</v>
      </c>
      <c r="O172" s="2">
        <v>4</v>
      </c>
      <c r="P172" s="2" t="str">
        <f>IF(global_freelancer_raw[[#This Row],[No of projects ]]&lt;=5,"Entry level","Well Experienced")</f>
        <v>Entry level</v>
      </c>
      <c r="Q172" s="2">
        <v>1</v>
      </c>
    </row>
    <row r="173" spans="1:17" x14ac:dyDescent="0.3">
      <c r="A173" t="s">
        <v>449</v>
      </c>
      <c r="B173" t="s">
        <v>450</v>
      </c>
      <c r="C173" t="s">
        <v>118</v>
      </c>
      <c r="D173" s="2">
        <v>34</v>
      </c>
      <c r="E173" t="s">
        <v>106</v>
      </c>
      <c r="F173" t="s">
        <v>107</v>
      </c>
      <c r="G173" s="2" t="s">
        <v>93</v>
      </c>
      <c r="H173" s="2">
        <v>0</v>
      </c>
      <c r="I173" s="2" t="s">
        <v>162</v>
      </c>
      <c r="J173" s="2">
        <v>1.7</v>
      </c>
      <c r="K173" s="2" t="s">
        <v>23</v>
      </c>
      <c r="L173" s="2">
        <v>0.66</v>
      </c>
      <c r="M173" s="2" t="s">
        <v>82</v>
      </c>
      <c r="N173" s="2" t="s">
        <v>42</v>
      </c>
      <c r="O173" s="2">
        <v>1</v>
      </c>
      <c r="P173" s="2" t="str">
        <f>IF(global_freelancer_raw[[#This Row],[No of projects ]]&lt;=5,"Entry level","Well Experienced")</f>
        <v>Entry level</v>
      </c>
      <c r="Q173" s="2">
        <v>3</v>
      </c>
    </row>
    <row r="174" spans="1:17" x14ac:dyDescent="0.3">
      <c r="A174" t="s">
        <v>451</v>
      </c>
      <c r="B174" t="s">
        <v>452</v>
      </c>
      <c r="C174" t="s">
        <v>97</v>
      </c>
      <c r="D174" s="2">
        <v>42</v>
      </c>
      <c r="E174" t="s">
        <v>55</v>
      </c>
      <c r="F174" t="s">
        <v>56</v>
      </c>
      <c r="G174" s="2" t="s">
        <v>39</v>
      </c>
      <c r="H174" s="2">
        <v>7</v>
      </c>
      <c r="I174" s="2" t="s">
        <v>70</v>
      </c>
      <c r="J174" s="2">
        <v>0</v>
      </c>
      <c r="K174" s="2" t="s">
        <v>33</v>
      </c>
      <c r="L174" s="2" t="s">
        <v>2120</v>
      </c>
      <c r="M174" s="2" t="s">
        <v>60</v>
      </c>
      <c r="N174" s="2" t="s">
        <v>42</v>
      </c>
      <c r="O174" s="2">
        <v>14</v>
      </c>
      <c r="P174" s="2" t="str">
        <f>IF(global_freelancer_raw[[#This Row],[No of projects ]]&lt;=5,"Entry level","Well Experienced")</f>
        <v>Well Experienced</v>
      </c>
      <c r="Q174" s="2">
        <v>5</v>
      </c>
    </row>
    <row r="175" spans="1:17" x14ac:dyDescent="0.3">
      <c r="A175" t="s">
        <v>453</v>
      </c>
      <c r="B175" t="s">
        <v>454</v>
      </c>
      <c r="C175" t="s">
        <v>118</v>
      </c>
      <c r="D175" s="2">
        <v>31</v>
      </c>
      <c r="E175" t="s">
        <v>85</v>
      </c>
      <c r="F175" t="s">
        <v>30</v>
      </c>
      <c r="G175" s="2" t="s">
        <v>66</v>
      </c>
      <c r="H175" s="2">
        <v>4</v>
      </c>
      <c r="I175" s="2" t="s">
        <v>67</v>
      </c>
      <c r="J175" s="2">
        <v>1.1000000000000001</v>
      </c>
      <c r="K175" s="2" t="s">
        <v>74</v>
      </c>
      <c r="L175" s="2">
        <v>0.64</v>
      </c>
      <c r="M175" s="2" t="s">
        <v>24</v>
      </c>
      <c r="N175" s="2" t="s">
        <v>34</v>
      </c>
      <c r="O175" s="2">
        <v>4</v>
      </c>
      <c r="P175" s="2" t="str">
        <f>IF(global_freelancer_raw[[#This Row],[No of projects ]]&lt;=5,"Entry level","Well Experienced")</f>
        <v>Entry level</v>
      </c>
      <c r="Q175" s="2">
        <v>2</v>
      </c>
    </row>
    <row r="176" spans="1:17" x14ac:dyDescent="0.3">
      <c r="A176" t="s">
        <v>455</v>
      </c>
      <c r="B176" t="s">
        <v>456</v>
      </c>
      <c r="C176" t="s">
        <v>118</v>
      </c>
      <c r="D176" s="2">
        <v>29</v>
      </c>
      <c r="E176" t="s">
        <v>128</v>
      </c>
      <c r="F176" t="s">
        <v>129</v>
      </c>
      <c r="G176" s="2" t="s">
        <v>93</v>
      </c>
      <c r="H176" s="2">
        <v>9</v>
      </c>
      <c r="I176" s="2" t="s">
        <v>162</v>
      </c>
      <c r="J176" s="2" t="s">
        <v>2120</v>
      </c>
      <c r="K176" s="2" t="s">
        <v>2120</v>
      </c>
      <c r="L176" s="2">
        <v>0.68</v>
      </c>
      <c r="M176" s="2" t="s">
        <v>88</v>
      </c>
      <c r="N176" s="2" t="s">
        <v>75</v>
      </c>
      <c r="O176" s="2">
        <v>11</v>
      </c>
      <c r="P176" s="2" t="str">
        <f>IF(global_freelancer_raw[[#This Row],[No of projects ]]&lt;=5,"Entry level","Well Experienced")</f>
        <v>Well Experienced</v>
      </c>
      <c r="Q176" s="2">
        <v>5</v>
      </c>
    </row>
    <row r="177" spans="1:17" x14ac:dyDescent="0.3">
      <c r="A177" t="s">
        <v>457</v>
      </c>
      <c r="B177" t="s">
        <v>458</v>
      </c>
      <c r="C177" t="s">
        <v>97</v>
      </c>
      <c r="D177" s="2">
        <v>57</v>
      </c>
      <c r="E177" t="s">
        <v>29</v>
      </c>
      <c r="F177" t="s">
        <v>30</v>
      </c>
      <c r="G177" s="2" t="s">
        <v>39</v>
      </c>
      <c r="H177" s="2">
        <v>17</v>
      </c>
      <c r="I177" s="2" t="s">
        <v>162</v>
      </c>
      <c r="J177" s="2">
        <v>3.6</v>
      </c>
      <c r="K177" s="2" t="s">
        <v>23</v>
      </c>
      <c r="L177" s="2">
        <v>0.63</v>
      </c>
      <c r="M177" s="2" t="s">
        <v>60</v>
      </c>
      <c r="N177" s="2" t="s">
        <v>25</v>
      </c>
      <c r="O177" s="2">
        <v>10</v>
      </c>
      <c r="P177" s="2" t="str">
        <f>IF(global_freelancer_raw[[#This Row],[No of projects ]]&lt;=5,"Entry level","Well Experienced")</f>
        <v>Well Experienced</v>
      </c>
      <c r="Q177" s="2">
        <v>4</v>
      </c>
    </row>
    <row r="178" spans="1:17" x14ac:dyDescent="0.3">
      <c r="A178" t="s">
        <v>459</v>
      </c>
      <c r="B178" t="s">
        <v>460</v>
      </c>
      <c r="C178" t="s">
        <v>118</v>
      </c>
      <c r="D178" s="2">
        <v>47</v>
      </c>
      <c r="E178" t="s">
        <v>114</v>
      </c>
      <c r="F178" t="s">
        <v>115</v>
      </c>
      <c r="G178" s="2" t="s">
        <v>110</v>
      </c>
      <c r="H178" s="2">
        <v>8</v>
      </c>
      <c r="I178" s="2" t="s">
        <v>162</v>
      </c>
      <c r="J178" s="2">
        <v>4.5</v>
      </c>
      <c r="K178" s="2" t="s">
        <v>33</v>
      </c>
      <c r="L178" s="2">
        <v>0.72</v>
      </c>
      <c r="M178" s="2" t="s">
        <v>82</v>
      </c>
      <c r="N178" s="2" t="s">
        <v>42</v>
      </c>
      <c r="O178" s="2">
        <v>12</v>
      </c>
      <c r="P178" s="2" t="str">
        <f>IF(global_freelancer_raw[[#This Row],[No of projects ]]&lt;=5,"Entry level","Well Experienced")</f>
        <v>Well Experienced</v>
      </c>
      <c r="Q178" s="2">
        <v>10</v>
      </c>
    </row>
    <row r="179" spans="1:17" x14ac:dyDescent="0.3">
      <c r="A179" t="s">
        <v>461</v>
      </c>
      <c r="B179" t="s">
        <v>462</v>
      </c>
      <c r="C179" t="s">
        <v>118</v>
      </c>
      <c r="D179" s="2">
        <v>47</v>
      </c>
      <c r="E179" t="s">
        <v>175</v>
      </c>
      <c r="F179" t="s">
        <v>176</v>
      </c>
      <c r="G179" s="2" t="s">
        <v>57</v>
      </c>
      <c r="H179" s="2">
        <v>14</v>
      </c>
      <c r="I179" s="2" t="s">
        <v>58</v>
      </c>
      <c r="J179" s="2">
        <v>0</v>
      </c>
      <c r="K179" s="2" t="s">
        <v>74</v>
      </c>
      <c r="L179" s="2">
        <v>0.86</v>
      </c>
      <c r="M179" s="2" t="s">
        <v>60</v>
      </c>
      <c r="N179" s="2" t="s">
        <v>42</v>
      </c>
      <c r="O179" s="2">
        <v>14</v>
      </c>
      <c r="P179" s="2" t="str">
        <f>IF(global_freelancer_raw[[#This Row],[No of projects ]]&lt;=5,"Entry level","Well Experienced")</f>
        <v>Well Experienced</v>
      </c>
      <c r="Q179" s="2">
        <v>3</v>
      </c>
    </row>
    <row r="180" spans="1:17" x14ac:dyDescent="0.3">
      <c r="A180" t="s">
        <v>463</v>
      </c>
      <c r="B180" t="s">
        <v>464</v>
      </c>
      <c r="C180" t="s">
        <v>97</v>
      </c>
      <c r="D180" s="2">
        <v>45</v>
      </c>
      <c r="E180" t="s">
        <v>156</v>
      </c>
      <c r="F180" t="s">
        <v>157</v>
      </c>
      <c r="G180" s="2" t="s">
        <v>39</v>
      </c>
      <c r="H180" s="2">
        <v>21</v>
      </c>
      <c r="I180" s="2" t="s">
        <v>130</v>
      </c>
      <c r="J180" s="2">
        <v>1.5</v>
      </c>
      <c r="K180" s="2" t="s">
        <v>33</v>
      </c>
      <c r="L180" s="2">
        <v>0.73</v>
      </c>
      <c r="M180" s="2" t="s">
        <v>82</v>
      </c>
      <c r="N180" s="2" t="s">
        <v>25</v>
      </c>
      <c r="O180" s="2">
        <v>15</v>
      </c>
      <c r="P180" s="2" t="str">
        <f>IF(global_freelancer_raw[[#This Row],[No of projects ]]&lt;=5,"Entry level","Well Experienced")</f>
        <v>Well Experienced</v>
      </c>
      <c r="Q180" s="2">
        <v>17</v>
      </c>
    </row>
    <row r="181" spans="1:17" x14ac:dyDescent="0.3">
      <c r="A181" t="s">
        <v>465</v>
      </c>
      <c r="B181" t="s">
        <v>466</v>
      </c>
      <c r="C181" t="s">
        <v>118</v>
      </c>
      <c r="D181" s="2">
        <v>24</v>
      </c>
      <c r="E181" t="s">
        <v>79</v>
      </c>
      <c r="F181" t="s">
        <v>80</v>
      </c>
      <c r="G181" s="2" t="s">
        <v>135</v>
      </c>
      <c r="H181" s="2">
        <v>1</v>
      </c>
      <c r="I181" s="2" t="s">
        <v>58</v>
      </c>
      <c r="J181" s="2">
        <v>3.7</v>
      </c>
      <c r="K181" s="2" t="s">
        <v>181</v>
      </c>
      <c r="L181" s="2">
        <v>0.95</v>
      </c>
      <c r="M181" s="2" t="s">
        <v>82</v>
      </c>
      <c r="N181" s="2" t="s">
        <v>42</v>
      </c>
      <c r="O181" s="2">
        <v>3</v>
      </c>
      <c r="P181" s="2" t="str">
        <f>IF(global_freelancer_raw[[#This Row],[No of projects ]]&lt;=5,"Entry level","Well Experienced")</f>
        <v>Entry level</v>
      </c>
      <c r="Q181" s="2">
        <v>1</v>
      </c>
    </row>
    <row r="182" spans="1:17" x14ac:dyDescent="0.3">
      <c r="A182" t="s">
        <v>467</v>
      </c>
      <c r="B182" t="s">
        <v>468</v>
      </c>
      <c r="C182" t="s">
        <v>97</v>
      </c>
      <c r="D182" s="2">
        <v>31</v>
      </c>
      <c r="E182" t="s">
        <v>91</v>
      </c>
      <c r="F182" t="s">
        <v>92</v>
      </c>
      <c r="G182" s="2" t="s">
        <v>31</v>
      </c>
      <c r="H182" s="2">
        <v>12</v>
      </c>
      <c r="I182" s="2" t="s">
        <v>162</v>
      </c>
      <c r="J182" s="2">
        <v>2.2999999999999998</v>
      </c>
      <c r="K182" s="2" t="s">
        <v>59</v>
      </c>
      <c r="L182" s="2">
        <v>0.9</v>
      </c>
      <c r="M182" s="2" t="s">
        <v>60</v>
      </c>
      <c r="N182" s="2" t="s">
        <v>34</v>
      </c>
      <c r="O182" s="2">
        <v>11</v>
      </c>
      <c r="P182" s="2" t="str">
        <f>IF(global_freelancer_raw[[#This Row],[No of projects ]]&lt;=5,"Entry level","Well Experienced")</f>
        <v>Well Experienced</v>
      </c>
      <c r="Q182" s="2">
        <v>6</v>
      </c>
    </row>
    <row r="183" spans="1:17" x14ac:dyDescent="0.3">
      <c r="A183" t="s">
        <v>469</v>
      </c>
      <c r="B183" t="s">
        <v>470</v>
      </c>
      <c r="C183" t="s">
        <v>97</v>
      </c>
      <c r="D183" s="2">
        <v>20</v>
      </c>
      <c r="E183" t="s">
        <v>201</v>
      </c>
      <c r="F183" t="s">
        <v>92</v>
      </c>
      <c r="G183" s="2" t="s">
        <v>39</v>
      </c>
      <c r="H183" s="2">
        <v>2</v>
      </c>
      <c r="I183" s="2" t="s">
        <v>142</v>
      </c>
      <c r="J183" s="2">
        <v>2.8</v>
      </c>
      <c r="K183" s="2" t="s">
        <v>23</v>
      </c>
      <c r="L183" s="2">
        <v>0.78</v>
      </c>
      <c r="M183" s="2" t="s">
        <v>24</v>
      </c>
      <c r="N183" s="2" t="s">
        <v>34</v>
      </c>
      <c r="O183" s="2">
        <v>5</v>
      </c>
      <c r="P183" s="2" t="str">
        <f>IF(global_freelancer_raw[[#This Row],[No of projects ]]&lt;=5,"Entry level","Well Experienced")</f>
        <v>Entry level</v>
      </c>
      <c r="Q183" s="2">
        <v>1</v>
      </c>
    </row>
    <row r="184" spans="1:17" x14ac:dyDescent="0.3">
      <c r="A184" t="s">
        <v>471</v>
      </c>
      <c r="B184" t="s">
        <v>472</v>
      </c>
      <c r="C184" t="s">
        <v>118</v>
      </c>
      <c r="D184" s="2">
        <v>38</v>
      </c>
      <c r="E184" t="s">
        <v>106</v>
      </c>
      <c r="F184" t="s">
        <v>107</v>
      </c>
      <c r="G184" s="2" t="s">
        <v>46</v>
      </c>
      <c r="H184" s="2">
        <v>3</v>
      </c>
      <c r="I184" s="2" t="s">
        <v>52</v>
      </c>
      <c r="J184" s="2">
        <v>3.5</v>
      </c>
      <c r="K184" s="2" t="s">
        <v>181</v>
      </c>
      <c r="L184" s="2">
        <v>0.97</v>
      </c>
      <c r="M184" s="2" t="s">
        <v>82</v>
      </c>
      <c r="N184" s="2" t="s">
        <v>34</v>
      </c>
      <c r="O184" s="2">
        <v>3</v>
      </c>
      <c r="P184" s="2" t="str">
        <f>IF(global_freelancer_raw[[#This Row],[No of projects ]]&lt;=5,"Entry level","Well Experienced")</f>
        <v>Entry level</v>
      </c>
      <c r="Q184" s="2">
        <v>1</v>
      </c>
    </row>
    <row r="185" spans="1:17" x14ac:dyDescent="0.3">
      <c r="A185" t="s">
        <v>473</v>
      </c>
      <c r="B185" t="s">
        <v>474</v>
      </c>
      <c r="C185" t="s">
        <v>97</v>
      </c>
      <c r="D185" s="2">
        <v>33</v>
      </c>
      <c r="E185" t="s">
        <v>38</v>
      </c>
      <c r="F185" t="s">
        <v>38</v>
      </c>
      <c r="G185" s="2" t="s">
        <v>93</v>
      </c>
      <c r="H185" s="2">
        <v>11</v>
      </c>
      <c r="I185" s="2" t="s">
        <v>2119</v>
      </c>
      <c r="J185" s="2">
        <v>0</v>
      </c>
      <c r="K185" s="2" t="s">
        <v>87</v>
      </c>
      <c r="L185" s="2">
        <v>0.65</v>
      </c>
      <c r="M185" s="2" t="s">
        <v>24</v>
      </c>
      <c r="N185" s="2" t="s">
        <v>34</v>
      </c>
      <c r="O185" s="2">
        <v>12</v>
      </c>
      <c r="P185" s="2" t="str">
        <f>IF(global_freelancer_raw[[#This Row],[No of projects ]]&lt;=5,"Entry level","Well Experienced")</f>
        <v>Well Experienced</v>
      </c>
      <c r="Q185" s="2">
        <v>7</v>
      </c>
    </row>
    <row r="186" spans="1:17" x14ac:dyDescent="0.3">
      <c r="A186" t="s">
        <v>475</v>
      </c>
      <c r="B186" t="s">
        <v>476</v>
      </c>
      <c r="C186" t="s">
        <v>97</v>
      </c>
      <c r="D186" s="2">
        <v>31</v>
      </c>
      <c r="E186" t="s">
        <v>29</v>
      </c>
      <c r="F186" t="s">
        <v>30</v>
      </c>
      <c r="G186" s="2" t="s">
        <v>46</v>
      </c>
      <c r="H186" s="2">
        <v>4</v>
      </c>
      <c r="I186" s="2" t="s">
        <v>86</v>
      </c>
      <c r="J186" s="2">
        <v>3.2</v>
      </c>
      <c r="K186" s="2" t="s">
        <v>33</v>
      </c>
      <c r="L186" s="2">
        <v>0.78</v>
      </c>
      <c r="M186" s="2" t="s">
        <v>88</v>
      </c>
      <c r="N186" s="2" t="s">
        <v>42</v>
      </c>
      <c r="O186" s="2">
        <v>4</v>
      </c>
      <c r="P186" s="2" t="str">
        <f>IF(global_freelancer_raw[[#This Row],[No of projects ]]&lt;=5,"Entry level","Well Experienced")</f>
        <v>Entry level</v>
      </c>
      <c r="Q186" s="2">
        <v>1</v>
      </c>
    </row>
    <row r="187" spans="1:17" x14ac:dyDescent="0.3">
      <c r="A187" t="s">
        <v>477</v>
      </c>
      <c r="B187" t="s">
        <v>478</v>
      </c>
      <c r="C187" t="s">
        <v>118</v>
      </c>
      <c r="D187" s="2">
        <v>41</v>
      </c>
      <c r="E187" t="s">
        <v>212</v>
      </c>
      <c r="F187" t="s">
        <v>92</v>
      </c>
      <c r="G187" s="2" t="s">
        <v>135</v>
      </c>
      <c r="H187" s="2">
        <v>21</v>
      </c>
      <c r="I187" s="2" t="s">
        <v>40</v>
      </c>
      <c r="J187" s="2">
        <v>3.3</v>
      </c>
      <c r="K187" s="2" t="s">
        <v>94</v>
      </c>
      <c r="L187" s="2">
        <v>0.65</v>
      </c>
      <c r="M187" s="2" t="s">
        <v>82</v>
      </c>
      <c r="N187" s="2" t="s">
        <v>25</v>
      </c>
      <c r="O187" s="2">
        <v>20</v>
      </c>
      <c r="P187" s="2" t="str">
        <f>IF(global_freelancer_raw[[#This Row],[No of projects ]]&lt;=5,"Entry level","Well Experienced")</f>
        <v>Well Experienced</v>
      </c>
      <c r="Q187" s="2">
        <v>4</v>
      </c>
    </row>
    <row r="188" spans="1:17" x14ac:dyDescent="0.3">
      <c r="A188" t="s">
        <v>479</v>
      </c>
      <c r="B188" t="s">
        <v>480</v>
      </c>
      <c r="C188" t="s">
        <v>118</v>
      </c>
      <c r="D188" s="2">
        <v>54</v>
      </c>
      <c r="E188" t="s">
        <v>79</v>
      </c>
      <c r="F188" t="s">
        <v>80</v>
      </c>
      <c r="G188" s="2" t="s">
        <v>46</v>
      </c>
      <c r="H188" s="2">
        <v>0</v>
      </c>
      <c r="I188" s="2" t="s">
        <v>142</v>
      </c>
      <c r="J188" s="2">
        <v>4.9000000000000004</v>
      </c>
      <c r="K188" s="2" t="s">
        <v>2120</v>
      </c>
      <c r="L188" s="2" t="s">
        <v>2120</v>
      </c>
      <c r="M188" s="2" t="s">
        <v>24</v>
      </c>
      <c r="N188" s="2" t="s">
        <v>25</v>
      </c>
      <c r="O188" s="2">
        <v>2</v>
      </c>
      <c r="P188" s="2" t="str">
        <f>IF(global_freelancer_raw[[#This Row],[No of projects ]]&lt;=5,"Entry level","Well Experienced")</f>
        <v>Entry level</v>
      </c>
      <c r="Q188" s="2">
        <v>4</v>
      </c>
    </row>
    <row r="189" spans="1:17" x14ac:dyDescent="0.3">
      <c r="A189" t="s">
        <v>481</v>
      </c>
      <c r="B189" t="s">
        <v>482</v>
      </c>
      <c r="C189" t="s">
        <v>118</v>
      </c>
      <c r="D189" s="2">
        <v>50</v>
      </c>
      <c r="E189" t="s">
        <v>201</v>
      </c>
      <c r="F189" t="s">
        <v>92</v>
      </c>
      <c r="G189" s="2" t="s">
        <v>66</v>
      </c>
      <c r="H189" s="2">
        <v>6</v>
      </c>
      <c r="I189" s="2" t="s">
        <v>52</v>
      </c>
      <c r="J189" s="2">
        <v>2.2000000000000002</v>
      </c>
      <c r="K189" s="2" t="s">
        <v>33</v>
      </c>
      <c r="L189" s="2">
        <v>0.95</v>
      </c>
      <c r="M189" s="2" t="s">
        <v>24</v>
      </c>
      <c r="N189" s="2" t="s">
        <v>25</v>
      </c>
      <c r="O189" s="2">
        <v>13</v>
      </c>
      <c r="P189" s="2" t="str">
        <f>IF(global_freelancer_raw[[#This Row],[No of projects ]]&lt;=5,"Entry level","Well Experienced")</f>
        <v>Well Experienced</v>
      </c>
      <c r="Q189" s="2">
        <v>2</v>
      </c>
    </row>
    <row r="190" spans="1:17" x14ac:dyDescent="0.3">
      <c r="A190" t="s">
        <v>483</v>
      </c>
      <c r="B190" t="s">
        <v>484</v>
      </c>
      <c r="C190" t="s">
        <v>118</v>
      </c>
      <c r="D190" s="2">
        <v>48</v>
      </c>
      <c r="E190" t="s">
        <v>128</v>
      </c>
      <c r="F190" t="s">
        <v>129</v>
      </c>
      <c r="G190" s="2" t="s">
        <v>135</v>
      </c>
      <c r="H190" s="2">
        <v>18</v>
      </c>
      <c r="I190" s="2" t="s">
        <v>70</v>
      </c>
      <c r="J190" s="2" t="s">
        <v>2120</v>
      </c>
      <c r="K190" s="2" t="s">
        <v>33</v>
      </c>
      <c r="L190" s="2">
        <v>0.88</v>
      </c>
      <c r="M190" s="2" t="s">
        <v>88</v>
      </c>
      <c r="N190" s="2" t="s">
        <v>25</v>
      </c>
      <c r="O190" s="2">
        <v>14</v>
      </c>
      <c r="P190" s="2" t="str">
        <f>IF(global_freelancer_raw[[#This Row],[No of projects ]]&lt;=5,"Entry level","Well Experienced")</f>
        <v>Well Experienced</v>
      </c>
      <c r="Q190" s="2">
        <v>2</v>
      </c>
    </row>
    <row r="191" spans="1:17" x14ac:dyDescent="0.3">
      <c r="A191" t="s">
        <v>485</v>
      </c>
      <c r="B191" t="s">
        <v>486</v>
      </c>
      <c r="C191" t="s">
        <v>97</v>
      </c>
      <c r="D191" s="2">
        <v>49</v>
      </c>
      <c r="E191" t="s">
        <v>201</v>
      </c>
      <c r="F191" t="s">
        <v>92</v>
      </c>
      <c r="G191" s="2" t="s">
        <v>39</v>
      </c>
      <c r="H191" s="2" t="s">
        <v>2120</v>
      </c>
      <c r="I191" s="2" t="s">
        <v>2119</v>
      </c>
      <c r="J191" s="2">
        <v>1.8</v>
      </c>
      <c r="K191" s="2" t="s">
        <v>23</v>
      </c>
      <c r="L191" s="2" t="s">
        <v>2120</v>
      </c>
      <c r="M191" s="2" t="s">
        <v>24</v>
      </c>
      <c r="N191" s="2" t="s">
        <v>75</v>
      </c>
      <c r="O191" s="2">
        <v>5</v>
      </c>
      <c r="P191" s="2" t="str">
        <f>IF(global_freelancer_raw[[#This Row],[No of projects ]]&lt;=5,"Entry level","Well Experienced")</f>
        <v>Entry level</v>
      </c>
      <c r="Q191" s="2">
        <v>5</v>
      </c>
    </row>
    <row r="192" spans="1:17" x14ac:dyDescent="0.3">
      <c r="A192" t="s">
        <v>487</v>
      </c>
      <c r="B192" t="s">
        <v>488</v>
      </c>
      <c r="C192" t="s">
        <v>118</v>
      </c>
      <c r="D192" s="2">
        <v>21</v>
      </c>
      <c r="E192" t="s">
        <v>133</v>
      </c>
      <c r="F192" t="s">
        <v>134</v>
      </c>
      <c r="G192" s="2" t="s">
        <v>39</v>
      </c>
      <c r="H192" s="2">
        <v>1</v>
      </c>
      <c r="I192" s="2" t="s">
        <v>103</v>
      </c>
      <c r="J192" s="2">
        <v>4.5999999999999996</v>
      </c>
      <c r="K192" s="2" t="s">
        <v>23</v>
      </c>
      <c r="L192" s="2">
        <v>0.92</v>
      </c>
      <c r="M192" s="2" t="s">
        <v>24</v>
      </c>
      <c r="N192" s="2" t="s">
        <v>25</v>
      </c>
      <c r="O192" s="2">
        <v>2</v>
      </c>
      <c r="P192" s="2" t="str">
        <f>IF(global_freelancer_raw[[#This Row],[No of projects ]]&lt;=5,"Entry level","Well Experienced")</f>
        <v>Entry level</v>
      </c>
      <c r="Q192" s="2">
        <v>1</v>
      </c>
    </row>
    <row r="193" spans="1:17" x14ac:dyDescent="0.3">
      <c r="A193" t="s">
        <v>489</v>
      </c>
      <c r="B193" t="s">
        <v>490</v>
      </c>
      <c r="C193" t="s">
        <v>118</v>
      </c>
      <c r="D193" s="2">
        <v>58</v>
      </c>
      <c r="E193" t="s">
        <v>29</v>
      </c>
      <c r="F193" t="s">
        <v>30</v>
      </c>
      <c r="G193" s="2" t="s">
        <v>39</v>
      </c>
      <c r="H193" s="2">
        <v>20</v>
      </c>
      <c r="I193" s="2" t="s">
        <v>103</v>
      </c>
      <c r="J193" s="2">
        <v>2.8</v>
      </c>
      <c r="K193" s="2" t="s">
        <v>181</v>
      </c>
      <c r="L193" s="2">
        <v>0.75</v>
      </c>
      <c r="M193" s="2" t="s">
        <v>88</v>
      </c>
      <c r="N193" s="2" t="s">
        <v>75</v>
      </c>
      <c r="O193" s="2">
        <v>13</v>
      </c>
      <c r="P193" s="2" t="str">
        <f>IF(global_freelancer_raw[[#This Row],[No of projects ]]&lt;=5,"Entry level","Well Experienced")</f>
        <v>Well Experienced</v>
      </c>
      <c r="Q193" s="2">
        <v>1</v>
      </c>
    </row>
    <row r="194" spans="1:17" x14ac:dyDescent="0.3">
      <c r="A194" t="s">
        <v>491</v>
      </c>
      <c r="B194" t="s">
        <v>285</v>
      </c>
      <c r="C194" t="s">
        <v>118</v>
      </c>
      <c r="D194" s="2">
        <v>41</v>
      </c>
      <c r="E194" t="s">
        <v>19</v>
      </c>
      <c r="F194" t="s">
        <v>20</v>
      </c>
      <c r="G194" s="2" t="s">
        <v>110</v>
      </c>
      <c r="H194" s="2" t="s">
        <v>2120</v>
      </c>
      <c r="I194" s="2" t="s">
        <v>58</v>
      </c>
      <c r="J194" s="2">
        <v>1.4</v>
      </c>
      <c r="K194" s="2" t="s">
        <v>59</v>
      </c>
      <c r="L194" s="2">
        <v>0.74</v>
      </c>
      <c r="M194" s="2" t="s">
        <v>82</v>
      </c>
      <c r="N194" s="2" t="s">
        <v>75</v>
      </c>
      <c r="O194" s="2">
        <v>2</v>
      </c>
      <c r="P194" s="2" t="str">
        <f>IF(global_freelancer_raw[[#This Row],[No of projects ]]&lt;=5,"Entry level","Well Experienced")</f>
        <v>Entry level</v>
      </c>
      <c r="Q194" s="2">
        <v>4</v>
      </c>
    </row>
    <row r="195" spans="1:17" x14ac:dyDescent="0.3">
      <c r="A195" t="s">
        <v>492</v>
      </c>
      <c r="B195" t="s">
        <v>493</v>
      </c>
      <c r="C195" t="s">
        <v>97</v>
      </c>
      <c r="D195" s="2">
        <v>58</v>
      </c>
      <c r="E195" t="s">
        <v>145</v>
      </c>
      <c r="F195" t="s">
        <v>146</v>
      </c>
      <c r="G195" s="2" t="s">
        <v>21</v>
      </c>
      <c r="H195" s="2">
        <v>25</v>
      </c>
      <c r="I195" s="2" t="s">
        <v>58</v>
      </c>
      <c r="J195" s="2">
        <v>4.2</v>
      </c>
      <c r="K195" s="2" t="s">
        <v>94</v>
      </c>
      <c r="L195" s="2">
        <v>0.71</v>
      </c>
      <c r="M195" s="2" t="s">
        <v>24</v>
      </c>
      <c r="N195" s="2" t="s">
        <v>34</v>
      </c>
      <c r="O195" s="2">
        <v>11</v>
      </c>
      <c r="P195" s="2" t="str">
        <f>IF(global_freelancer_raw[[#This Row],[No of projects ]]&lt;=5,"Entry level","Well Experienced")</f>
        <v>Well Experienced</v>
      </c>
      <c r="Q195" s="2">
        <v>13</v>
      </c>
    </row>
    <row r="196" spans="1:17" x14ac:dyDescent="0.3">
      <c r="A196" t="s">
        <v>494</v>
      </c>
      <c r="B196" t="s">
        <v>495</v>
      </c>
      <c r="C196" t="s">
        <v>97</v>
      </c>
      <c r="D196" s="2">
        <v>50</v>
      </c>
      <c r="E196" t="s">
        <v>175</v>
      </c>
      <c r="F196" t="s">
        <v>176</v>
      </c>
      <c r="G196" s="2" t="s">
        <v>39</v>
      </c>
      <c r="H196" s="2">
        <v>20</v>
      </c>
      <c r="I196" s="2" t="s">
        <v>70</v>
      </c>
      <c r="J196" s="2">
        <v>3.6</v>
      </c>
      <c r="K196" s="2" t="s">
        <v>33</v>
      </c>
      <c r="L196" s="2">
        <v>0.89</v>
      </c>
      <c r="M196" s="2" t="s">
        <v>24</v>
      </c>
      <c r="N196" s="2" t="s">
        <v>75</v>
      </c>
      <c r="O196" s="2">
        <v>17</v>
      </c>
      <c r="P196" s="2" t="str">
        <f>IF(global_freelancer_raw[[#This Row],[No of projects ]]&lt;=5,"Entry level","Well Experienced")</f>
        <v>Well Experienced</v>
      </c>
      <c r="Q196" s="2">
        <v>2</v>
      </c>
    </row>
    <row r="197" spans="1:17" x14ac:dyDescent="0.3">
      <c r="A197" t="s">
        <v>496</v>
      </c>
      <c r="B197" t="s">
        <v>497</v>
      </c>
      <c r="C197" t="s">
        <v>118</v>
      </c>
      <c r="D197" s="2">
        <v>52</v>
      </c>
      <c r="E197" t="s">
        <v>64</v>
      </c>
      <c r="F197" t="s">
        <v>65</v>
      </c>
      <c r="G197" s="2" t="s">
        <v>46</v>
      </c>
      <c r="H197" s="2">
        <v>33</v>
      </c>
      <c r="I197" s="2" t="s">
        <v>251</v>
      </c>
      <c r="J197" s="2">
        <v>1.6</v>
      </c>
      <c r="K197" s="2" t="s">
        <v>2120</v>
      </c>
      <c r="L197" s="2">
        <v>0.66</v>
      </c>
      <c r="M197" s="2" t="s">
        <v>24</v>
      </c>
      <c r="N197" s="2" t="s">
        <v>42</v>
      </c>
      <c r="O197" s="2">
        <v>14</v>
      </c>
      <c r="P197" s="2" t="str">
        <f>IF(global_freelancer_raw[[#This Row],[No of projects ]]&lt;=5,"Entry level","Well Experienced")</f>
        <v>Well Experienced</v>
      </c>
      <c r="Q197" s="2">
        <v>17</v>
      </c>
    </row>
    <row r="198" spans="1:17" x14ac:dyDescent="0.3">
      <c r="A198" t="s">
        <v>498</v>
      </c>
      <c r="B198" t="s">
        <v>499</v>
      </c>
      <c r="C198" t="s">
        <v>118</v>
      </c>
      <c r="D198" s="2">
        <v>34</v>
      </c>
      <c r="E198" t="s">
        <v>55</v>
      </c>
      <c r="F198" t="s">
        <v>56</v>
      </c>
      <c r="G198" s="2" t="s">
        <v>66</v>
      </c>
      <c r="H198" s="2">
        <v>6</v>
      </c>
      <c r="I198" s="2" t="s">
        <v>251</v>
      </c>
      <c r="J198" s="2">
        <v>2</v>
      </c>
      <c r="K198" s="2" t="s">
        <v>181</v>
      </c>
      <c r="L198" s="2" t="s">
        <v>2120</v>
      </c>
      <c r="M198" s="2" t="s">
        <v>60</v>
      </c>
      <c r="N198" s="2" t="s">
        <v>75</v>
      </c>
      <c r="O198" s="2">
        <v>13</v>
      </c>
      <c r="P198" s="2" t="str">
        <f>IF(global_freelancer_raw[[#This Row],[No of projects ]]&lt;=5,"Entry level","Well Experienced")</f>
        <v>Well Experienced</v>
      </c>
      <c r="Q198" s="2">
        <v>1</v>
      </c>
    </row>
    <row r="199" spans="1:17" x14ac:dyDescent="0.3">
      <c r="A199" t="s">
        <v>500</v>
      </c>
      <c r="B199" t="s">
        <v>501</v>
      </c>
      <c r="C199" t="s">
        <v>118</v>
      </c>
      <c r="D199" s="2">
        <v>32</v>
      </c>
      <c r="E199" t="s">
        <v>156</v>
      </c>
      <c r="F199" t="s">
        <v>157</v>
      </c>
      <c r="G199" s="2" t="s">
        <v>135</v>
      </c>
      <c r="H199" s="2">
        <v>11</v>
      </c>
      <c r="I199" s="2" t="s">
        <v>86</v>
      </c>
      <c r="J199" s="2">
        <v>4.3</v>
      </c>
      <c r="K199" s="2" t="s">
        <v>74</v>
      </c>
      <c r="L199" s="2">
        <v>0.86</v>
      </c>
      <c r="M199" s="2" t="s">
        <v>88</v>
      </c>
      <c r="N199" s="2" t="s">
        <v>34</v>
      </c>
      <c r="O199" s="2">
        <v>9</v>
      </c>
      <c r="P199" s="2" t="str">
        <f>IF(global_freelancer_raw[[#This Row],[No of projects ]]&lt;=5,"Entry level","Well Experienced")</f>
        <v>Well Experienced</v>
      </c>
      <c r="Q199" s="2">
        <v>2</v>
      </c>
    </row>
    <row r="200" spans="1:17" x14ac:dyDescent="0.3">
      <c r="A200" t="s">
        <v>502</v>
      </c>
      <c r="B200" t="s">
        <v>503</v>
      </c>
      <c r="C200" t="s">
        <v>97</v>
      </c>
      <c r="D200" s="2">
        <v>50</v>
      </c>
      <c r="E200" t="s">
        <v>114</v>
      </c>
      <c r="F200" t="s">
        <v>115</v>
      </c>
      <c r="G200" s="2" t="s">
        <v>39</v>
      </c>
      <c r="H200" s="2">
        <v>28</v>
      </c>
      <c r="I200" s="2" t="s">
        <v>251</v>
      </c>
      <c r="J200" s="2">
        <v>4.9000000000000004</v>
      </c>
      <c r="K200" s="2" t="s">
        <v>94</v>
      </c>
      <c r="L200" s="2">
        <v>0.86</v>
      </c>
      <c r="M200" s="2" t="s">
        <v>60</v>
      </c>
      <c r="N200" s="2" t="s">
        <v>75</v>
      </c>
      <c r="O200" s="2">
        <v>12</v>
      </c>
      <c r="P200" s="2" t="str">
        <f>IF(global_freelancer_raw[[#This Row],[No of projects ]]&lt;=5,"Entry level","Well Experienced")</f>
        <v>Well Experienced</v>
      </c>
      <c r="Q200" s="2">
        <v>3</v>
      </c>
    </row>
    <row r="201" spans="1:17" x14ac:dyDescent="0.3">
      <c r="A201" t="s">
        <v>504</v>
      </c>
      <c r="B201" t="s">
        <v>505</v>
      </c>
      <c r="C201" t="s">
        <v>97</v>
      </c>
      <c r="D201" s="2">
        <v>39</v>
      </c>
      <c r="E201" t="s">
        <v>91</v>
      </c>
      <c r="F201" t="s">
        <v>92</v>
      </c>
      <c r="G201" s="2" t="s">
        <v>66</v>
      </c>
      <c r="H201" s="2">
        <v>11</v>
      </c>
      <c r="I201" s="2" t="s">
        <v>22</v>
      </c>
      <c r="J201" s="2">
        <v>3.5</v>
      </c>
      <c r="K201" s="2" t="s">
        <v>94</v>
      </c>
      <c r="L201" s="2">
        <v>0.82</v>
      </c>
      <c r="M201" s="2" t="s">
        <v>88</v>
      </c>
      <c r="N201" s="2" t="s">
        <v>42</v>
      </c>
      <c r="O201" s="2">
        <v>12</v>
      </c>
      <c r="P201" s="2" t="str">
        <f>IF(global_freelancer_raw[[#This Row],[No of projects ]]&lt;=5,"Entry level","Well Experienced")</f>
        <v>Well Experienced</v>
      </c>
      <c r="Q201" s="2">
        <v>2</v>
      </c>
    </row>
    <row r="202" spans="1:17" x14ac:dyDescent="0.3">
      <c r="A202" t="s">
        <v>506</v>
      </c>
      <c r="B202" t="s">
        <v>507</v>
      </c>
      <c r="C202" t="s">
        <v>97</v>
      </c>
      <c r="D202" s="2">
        <v>25</v>
      </c>
      <c r="E202" t="s">
        <v>212</v>
      </c>
      <c r="F202" t="s">
        <v>92</v>
      </c>
      <c r="G202" s="2" t="s">
        <v>57</v>
      </c>
      <c r="H202" s="2">
        <v>2</v>
      </c>
      <c r="I202" s="2" t="s">
        <v>22</v>
      </c>
      <c r="J202" s="2">
        <v>2.5</v>
      </c>
      <c r="K202" s="2" t="s">
        <v>181</v>
      </c>
      <c r="L202" s="2">
        <v>87</v>
      </c>
      <c r="M202" s="2" t="s">
        <v>82</v>
      </c>
      <c r="N202" s="2" t="s">
        <v>42</v>
      </c>
      <c r="O202" s="2">
        <v>1</v>
      </c>
      <c r="P202" s="2" t="str">
        <f>IF(global_freelancer_raw[[#This Row],[No of projects ]]&lt;=5,"Entry level","Well Experienced")</f>
        <v>Entry level</v>
      </c>
      <c r="Q202" s="2">
        <v>1</v>
      </c>
    </row>
    <row r="203" spans="1:17" x14ac:dyDescent="0.3">
      <c r="A203" t="s">
        <v>508</v>
      </c>
      <c r="B203" t="s">
        <v>509</v>
      </c>
      <c r="C203" t="s">
        <v>97</v>
      </c>
      <c r="D203" s="2">
        <v>55</v>
      </c>
      <c r="E203" t="s">
        <v>197</v>
      </c>
      <c r="F203" t="s">
        <v>198</v>
      </c>
      <c r="G203" s="2" t="s">
        <v>135</v>
      </c>
      <c r="H203" s="2">
        <v>7</v>
      </c>
      <c r="I203" s="2" t="s">
        <v>22</v>
      </c>
      <c r="J203" s="2">
        <v>1.7</v>
      </c>
      <c r="K203" s="2" t="s">
        <v>33</v>
      </c>
      <c r="L203" s="2">
        <v>0.8</v>
      </c>
      <c r="M203" s="2" t="s">
        <v>82</v>
      </c>
      <c r="N203" s="2" t="s">
        <v>42</v>
      </c>
      <c r="O203" s="2">
        <v>14</v>
      </c>
      <c r="P203" s="2" t="str">
        <f>IF(global_freelancer_raw[[#This Row],[No of projects ]]&lt;=5,"Entry level","Well Experienced")</f>
        <v>Well Experienced</v>
      </c>
      <c r="Q203" s="2">
        <v>4</v>
      </c>
    </row>
    <row r="204" spans="1:17" x14ac:dyDescent="0.3">
      <c r="A204" t="s">
        <v>510</v>
      </c>
      <c r="B204" t="s">
        <v>511</v>
      </c>
      <c r="C204" t="s">
        <v>118</v>
      </c>
      <c r="D204" s="2">
        <v>42</v>
      </c>
      <c r="E204" t="s">
        <v>19</v>
      </c>
      <c r="F204" t="s">
        <v>20</v>
      </c>
      <c r="G204" s="2" t="s">
        <v>110</v>
      </c>
      <c r="H204" s="2">
        <v>10</v>
      </c>
      <c r="I204" s="2" t="s">
        <v>32</v>
      </c>
      <c r="J204" s="2">
        <v>4.5999999999999996</v>
      </c>
      <c r="K204" s="2" t="s">
        <v>94</v>
      </c>
      <c r="L204" s="2">
        <v>0.71</v>
      </c>
      <c r="M204" s="2" t="s">
        <v>24</v>
      </c>
      <c r="N204" s="2" t="s">
        <v>34</v>
      </c>
      <c r="O204" s="2">
        <v>15</v>
      </c>
      <c r="P204" s="2" t="str">
        <f>IF(global_freelancer_raw[[#This Row],[No of projects ]]&lt;=5,"Entry level","Well Experienced")</f>
        <v>Well Experienced</v>
      </c>
      <c r="Q204" s="2">
        <v>10</v>
      </c>
    </row>
    <row r="205" spans="1:17" x14ac:dyDescent="0.3">
      <c r="A205" t="s">
        <v>512</v>
      </c>
      <c r="B205" t="s">
        <v>513</v>
      </c>
      <c r="C205" t="s">
        <v>118</v>
      </c>
      <c r="D205" s="2">
        <v>43</v>
      </c>
      <c r="E205" t="s">
        <v>145</v>
      </c>
      <c r="F205" t="s">
        <v>146</v>
      </c>
      <c r="G205" s="2" t="s">
        <v>31</v>
      </c>
      <c r="H205" s="2">
        <v>6</v>
      </c>
      <c r="I205" s="2" t="s">
        <v>40</v>
      </c>
      <c r="J205" s="2" t="s">
        <v>2120</v>
      </c>
      <c r="K205" s="2" t="s">
        <v>41</v>
      </c>
      <c r="L205" s="2">
        <v>0.77</v>
      </c>
      <c r="M205" s="2" t="s">
        <v>88</v>
      </c>
      <c r="N205" s="2" t="s">
        <v>34</v>
      </c>
      <c r="O205" s="2">
        <v>6</v>
      </c>
      <c r="P205" s="2" t="str">
        <f>IF(global_freelancer_raw[[#This Row],[No of projects ]]&lt;=5,"Entry level","Well Experienced")</f>
        <v>Well Experienced</v>
      </c>
      <c r="Q205" s="2">
        <v>9</v>
      </c>
    </row>
    <row r="206" spans="1:17" x14ac:dyDescent="0.3">
      <c r="A206" t="s">
        <v>514</v>
      </c>
      <c r="B206" t="s">
        <v>515</v>
      </c>
      <c r="C206" t="s">
        <v>118</v>
      </c>
      <c r="D206" s="2">
        <v>54</v>
      </c>
      <c r="E206" t="s">
        <v>19</v>
      </c>
      <c r="F206" t="s">
        <v>20</v>
      </c>
      <c r="G206" s="2" t="s">
        <v>110</v>
      </c>
      <c r="H206" s="2">
        <v>29</v>
      </c>
      <c r="I206" s="2" t="s">
        <v>58</v>
      </c>
      <c r="J206" s="2">
        <v>1.7</v>
      </c>
      <c r="K206" s="2" t="s">
        <v>23</v>
      </c>
      <c r="L206" s="2">
        <v>68</v>
      </c>
      <c r="M206" s="2" t="s">
        <v>82</v>
      </c>
      <c r="N206" s="2" t="s">
        <v>25</v>
      </c>
      <c r="O206" s="2">
        <v>19</v>
      </c>
      <c r="P206" s="2" t="str">
        <f>IF(global_freelancer_raw[[#This Row],[No of projects ]]&lt;=5,"Entry level","Well Experienced")</f>
        <v>Well Experienced</v>
      </c>
      <c r="Q206" s="2">
        <v>2</v>
      </c>
    </row>
    <row r="207" spans="1:17" x14ac:dyDescent="0.3">
      <c r="A207" t="s">
        <v>516</v>
      </c>
      <c r="B207" t="s">
        <v>517</v>
      </c>
      <c r="C207" t="s">
        <v>97</v>
      </c>
      <c r="D207" s="2">
        <v>21</v>
      </c>
      <c r="E207" t="s">
        <v>160</v>
      </c>
      <c r="F207" t="s">
        <v>161</v>
      </c>
      <c r="G207" s="2" t="s">
        <v>39</v>
      </c>
      <c r="H207" s="2">
        <v>0</v>
      </c>
      <c r="I207" s="2" t="s">
        <v>162</v>
      </c>
      <c r="J207" s="2">
        <v>1.8</v>
      </c>
      <c r="K207" s="2" t="s">
        <v>41</v>
      </c>
      <c r="L207" s="2">
        <v>0.91</v>
      </c>
      <c r="M207" s="2" t="s">
        <v>88</v>
      </c>
      <c r="N207" s="2" t="s">
        <v>34</v>
      </c>
      <c r="O207" s="2">
        <v>4</v>
      </c>
      <c r="P207" s="2" t="str">
        <f>IF(global_freelancer_raw[[#This Row],[No of projects ]]&lt;=5,"Entry level","Well Experienced")</f>
        <v>Entry level</v>
      </c>
      <c r="Q207" s="2">
        <v>1</v>
      </c>
    </row>
    <row r="208" spans="1:17" x14ac:dyDescent="0.3">
      <c r="A208" t="s">
        <v>518</v>
      </c>
      <c r="B208" t="s">
        <v>519</v>
      </c>
      <c r="C208" t="s">
        <v>118</v>
      </c>
      <c r="D208" s="2">
        <v>46</v>
      </c>
      <c r="E208" t="s">
        <v>149</v>
      </c>
      <c r="F208" t="s">
        <v>30</v>
      </c>
      <c r="G208" s="2" t="s">
        <v>93</v>
      </c>
      <c r="H208" s="2">
        <v>5</v>
      </c>
      <c r="I208" s="2" t="s">
        <v>162</v>
      </c>
      <c r="J208" s="2">
        <v>2.2000000000000002</v>
      </c>
      <c r="K208" s="2" t="s">
        <v>59</v>
      </c>
      <c r="L208" s="2">
        <v>0.75</v>
      </c>
      <c r="M208" s="2" t="s">
        <v>82</v>
      </c>
      <c r="N208" s="2" t="s">
        <v>42</v>
      </c>
      <c r="O208" s="2">
        <v>1</v>
      </c>
      <c r="P208" s="2" t="str">
        <f>IF(global_freelancer_raw[[#This Row],[No of projects ]]&lt;=5,"Entry level","Well Experienced")</f>
        <v>Entry level</v>
      </c>
      <c r="Q208" s="2">
        <v>5</v>
      </c>
    </row>
    <row r="209" spans="1:17" x14ac:dyDescent="0.3">
      <c r="A209" t="s">
        <v>520</v>
      </c>
      <c r="B209" t="s">
        <v>521</v>
      </c>
      <c r="C209" t="s">
        <v>97</v>
      </c>
      <c r="D209" s="2">
        <v>30</v>
      </c>
      <c r="E209" t="s">
        <v>212</v>
      </c>
      <c r="F209" t="s">
        <v>92</v>
      </c>
      <c r="G209" s="2" t="s">
        <v>21</v>
      </c>
      <c r="H209" s="2">
        <v>11</v>
      </c>
      <c r="I209" s="2" t="s">
        <v>86</v>
      </c>
      <c r="J209" s="2">
        <v>1</v>
      </c>
      <c r="K209" s="2" t="s">
        <v>41</v>
      </c>
      <c r="L209" s="2">
        <v>0.9</v>
      </c>
      <c r="M209" s="2" t="s">
        <v>60</v>
      </c>
      <c r="N209" s="2" t="s">
        <v>42</v>
      </c>
      <c r="O209" s="2">
        <v>11</v>
      </c>
      <c r="P209" s="2" t="str">
        <f>IF(global_freelancer_raw[[#This Row],[No of projects ]]&lt;=5,"Entry level","Well Experienced")</f>
        <v>Well Experienced</v>
      </c>
      <c r="Q209" s="2">
        <v>1</v>
      </c>
    </row>
    <row r="210" spans="1:17" x14ac:dyDescent="0.3">
      <c r="A210" t="s">
        <v>522</v>
      </c>
      <c r="B210" t="s">
        <v>523</v>
      </c>
      <c r="C210" t="s">
        <v>118</v>
      </c>
      <c r="D210" s="2">
        <v>36</v>
      </c>
      <c r="E210" t="s">
        <v>197</v>
      </c>
      <c r="F210" t="s">
        <v>198</v>
      </c>
      <c r="G210" s="2" t="s">
        <v>135</v>
      </c>
      <c r="H210" s="2">
        <v>11</v>
      </c>
      <c r="I210" s="2" t="s">
        <v>192</v>
      </c>
      <c r="J210" s="2">
        <v>3.2</v>
      </c>
      <c r="K210" s="2" t="s">
        <v>23</v>
      </c>
      <c r="L210" s="2">
        <v>93</v>
      </c>
      <c r="M210" s="2" t="s">
        <v>82</v>
      </c>
      <c r="N210" s="2" t="s">
        <v>34</v>
      </c>
      <c r="O210" s="2">
        <v>10</v>
      </c>
      <c r="P210" s="2" t="str">
        <f>IF(global_freelancer_raw[[#This Row],[No of projects ]]&lt;=5,"Entry level","Well Experienced")</f>
        <v>Well Experienced</v>
      </c>
      <c r="Q210" s="2">
        <v>3</v>
      </c>
    </row>
    <row r="211" spans="1:17" x14ac:dyDescent="0.3">
      <c r="A211" t="s">
        <v>524</v>
      </c>
      <c r="B211" t="s">
        <v>525</v>
      </c>
      <c r="C211" t="s">
        <v>97</v>
      </c>
      <c r="D211" s="2">
        <v>47</v>
      </c>
      <c r="E211" t="s">
        <v>38</v>
      </c>
      <c r="F211" t="s">
        <v>38</v>
      </c>
      <c r="G211" s="2" t="s">
        <v>66</v>
      </c>
      <c r="H211" s="2">
        <v>15</v>
      </c>
      <c r="I211" s="2" t="s">
        <v>86</v>
      </c>
      <c r="J211" s="2">
        <v>2.1</v>
      </c>
      <c r="K211" s="2" t="s">
        <v>87</v>
      </c>
      <c r="L211" s="2">
        <v>0.94</v>
      </c>
      <c r="M211" s="2" t="s">
        <v>60</v>
      </c>
      <c r="N211" s="2" t="s">
        <v>75</v>
      </c>
      <c r="O211" s="2">
        <v>8</v>
      </c>
      <c r="P211" s="2" t="str">
        <f>IF(global_freelancer_raw[[#This Row],[No of projects ]]&lt;=5,"Entry level","Well Experienced")</f>
        <v>Well Experienced</v>
      </c>
      <c r="Q211" s="2">
        <v>10</v>
      </c>
    </row>
    <row r="212" spans="1:17" x14ac:dyDescent="0.3">
      <c r="A212" t="s">
        <v>526</v>
      </c>
      <c r="B212" t="s">
        <v>527</v>
      </c>
      <c r="C212" t="s">
        <v>97</v>
      </c>
      <c r="D212" s="2">
        <v>43</v>
      </c>
      <c r="E212" t="s">
        <v>149</v>
      </c>
      <c r="F212" t="s">
        <v>30</v>
      </c>
      <c r="G212" s="2" t="s">
        <v>31</v>
      </c>
      <c r="H212" s="2">
        <v>1</v>
      </c>
      <c r="I212" s="2" t="s">
        <v>119</v>
      </c>
      <c r="J212" s="2">
        <v>4.5999999999999996</v>
      </c>
      <c r="K212" s="2" t="s">
        <v>74</v>
      </c>
      <c r="L212" s="2">
        <v>64</v>
      </c>
      <c r="M212" s="2" t="s">
        <v>82</v>
      </c>
      <c r="N212" s="2" t="s">
        <v>34</v>
      </c>
      <c r="O212" s="2">
        <v>4</v>
      </c>
      <c r="P212" s="2" t="str">
        <f>IF(global_freelancer_raw[[#This Row],[No of projects ]]&lt;=5,"Entry level","Well Experienced")</f>
        <v>Entry level</v>
      </c>
      <c r="Q212" s="2">
        <v>2</v>
      </c>
    </row>
    <row r="213" spans="1:17" x14ac:dyDescent="0.3">
      <c r="A213" t="s">
        <v>528</v>
      </c>
      <c r="B213" t="s">
        <v>529</v>
      </c>
      <c r="C213" t="s">
        <v>118</v>
      </c>
      <c r="D213" s="2">
        <v>57</v>
      </c>
      <c r="E213" t="s">
        <v>133</v>
      </c>
      <c r="F213" t="s">
        <v>134</v>
      </c>
      <c r="G213" s="2" t="s">
        <v>98</v>
      </c>
      <c r="H213" s="2">
        <v>8</v>
      </c>
      <c r="I213" s="2" t="s">
        <v>142</v>
      </c>
      <c r="J213" s="2">
        <v>0</v>
      </c>
      <c r="K213" s="2" t="s">
        <v>87</v>
      </c>
      <c r="L213" s="2">
        <v>0.84</v>
      </c>
      <c r="M213" s="2" t="s">
        <v>24</v>
      </c>
      <c r="N213" s="2" t="s">
        <v>34</v>
      </c>
      <c r="O213" s="2">
        <v>8</v>
      </c>
      <c r="P213" s="2" t="str">
        <f>IF(global_freelancer_raw[[#This Row],[No of projects ]]&lt;=5,"Entry level","Well Experienced")</f>
        <v>Well Experienced</v>
      </c>
      <c r="Q213" s="2">
        <v>5</v>
      </c>
    </row>
    <row r="214" spans="1:17" x14ac:dyDescent="0.3">
      <c r="A214" t="s">
        <v>530</v>
      </c>
      <c r="B214" t="s">
        <v>531</v>
      </c>
      <c r="C214" t="s">
        <v>118</v>
      </c>
      <c r="D214" s="2">
        <v>52</v>
      </c>
      <c r="E214" t="s">
        <v>19</v>
      </c>
      <c r="F214" t="s">
        <v>20</v>
      </c>
      <c r="G214" s="2" t="s">
        <v>135</v>
      </c>
      <c r="H214" s="2">
        <v>30</v>
      </c>
      <c r="I214" s="2" t="s">
        <v>142</v>
      </c>
      <c r="J214" s="2">
        <v>2.8</v>
      </c>
      <c r="K214" s="2" t="s">
        <v>181</v>
      </c>
      <c r="L214" s="2">
        <v>0.87</v>
      </c>
      <c r="M214" s="2" t="s">
        <v>60</v>
      </c>
      <c r="N214" s="2" t="s">
        <v>42</v>
      </c>
      <c r="O214" s="2">
        <v>12</v>
      </c>
      <c r="P214" s="2" t="str">
        <f>IF(global_freelancer_raw[[#This Row],[No of projects ]]&lt;=5,"Entry level","Well Experienced")</f>
        <v>Well Experienced</v>
      </c>
      <c r="Q214" s="2">
        <v>5</v>
      </c>
    </row>
    <row r="215" spans="1:17" x14ac:dyDescent="0.3">
      <c r="A215" t="s">
        <v>532</v>
      </c>
      <c r="B215" t="s">
        <v>533</v>
      </c>
      <c r="C215" t="s">
        <v>118</v>
      </c>
      <c r="D215" s="2" t="s">
        <v>2119</v>
      </c>
      <c r="E215" t="s">
        <v>38</v>
      </c>
      <c r="F215" t="s">
        <v>38</v>
      </c>
      <c r="G215" s="2" t="s">
        <v>21</v>
      </c>
      <c r="H215" s="2">
        <v>8</v>
      </c>
      <c r="I215" s="2" t="s">
        <v>47</v>
      </c>
      <c r="J215" s="2">
        <v>0</v>
      </c>
      <c r="K215" s="2" t="s">
        <v>41</v>
      </c>
      <c r="L215" s="2">
        <v>0.64</v>
      </c>
      <c r="M215" s="2" t="s">
        <v>82</v>
      </c>
      <c r="N215" s="2" t="s">
        <v>25</v>
      </c>
      <c r="O215" s="2">
        <v>14</v>
      </c>
      <c r="P215" s="2" t="str">
        <f>IF(global_freelancer_raw[[#This Row],[No of projects ]]&lt;=5,"Entry level","Well Experienced")</f>
        <v>Well Experienced</v>
      </c>
      <c r="Q215" s="2">
        <v>4</v>
      </c>
    </row>
    <row r="216" spans="1:17" x14ac:dyDescent="0.3">
      <c r="A216" t="s">
        <v>534</v>
      </c>
      <c r="B216" t="s">
        <v>535</v>
      </c>
      <c r="C216" t="s">
        <v>97</v>
      </c>
      <c r="D216" s="2">
        <v>22</v>
      </c>
      <c r="E216" t="s">
        <v>64</v>
      </c>
      <c r="F216" t="s">
        <v>65</v>
      </c>
      <c r="G216" s="2" t="s">
        <v>135</v>
      </c>
      <c r="H216" s="2">
        <v>0</v>
      </c>
      <c r="I216" s="2" t="s">
        <v>22</v>
      </c>
      <c r="J216" s="2">
        <v>2.7</v>
      </c>
      <c r="K216" s="2" t="s">
        <v>74</v>
      </c>
      <c r="L216" s="2">
        <v>0.64</v>
      </c>
      <c r="M216" s="2" t="s">
        <v>24</v>
      </c>
      <c r="N216" s="2" t="s">
        <v>42</v>
      </c>
      <c r="O216" s="2">
        <v>1</v>
      </c>
      <c r="P216" s="2" t="str">
        <f>IF(global_freelancer_raw[[#This Row],[No of projects ]]&lt;=5,"Entry level","Well Experienced")</f>
        <v>Entry level</v>
      </c>
      <c r="Q216" s="2">
        <v>1</v>
      </c>
    </row>
    <row r="217" spans="1:17" x14ac:dyDescent="0.3">
      <c r="A217" t="s">
        <v>536</v>
      </c>
      <c r="B217" t="s">
        <v>537</v>
      </c>
      <c r="C217" t="s">
        <v>118</v>
      </c>
      <c r="D217" s="2" t="s">
        <v>2119</v>
      </c>
      <c r="E217" t="s">
        <v>114</v>
      </c>
      <c r="F217" t="s">
        <v>115</v>
      </c>
      <c r="G217" s="2" t="s">
        <v>135</v>
      </c>
      <c r="H217" s="2">
        <v>12</v>
      </c>
      <c r="I217" s="2" t="s">
        <v>142</v>
      </c>
      <c r="J217" s="2">
        <v>0</v>
      </c>
      <c r="K217" s="2" t="s">
        <v>74</v>
      </c>
      <c r="L217" s="2">
        <v>0.8</v>
      </c>
      <c r="M217" s="2" t="s">
        <v>60</v>
      </c>
      <c r="N217" s="2" t="s">
        <v>25</v>
      </c>
      <c r="O217" s="2">
        <v>8</v>
      </c>
      <c r="P217" s="2" t="str">
        <f>IF(global_freelancer_raw[[#This Row],[No of projects ]]&lt;=5,"Entry level","Well Experienced")</f>
        <v>Well Experienced</v>
      </c>
      <c r="Q217" s="2">
        <v>13</v>
      </c>
    </row>
    <row r="218" spans="1:17" x14ac:dyDescent="0.3">
      <c r="A218" t="s">
        <v>538</v>
      </c>
      <c r="B218" t="s">
        <v>539</v>
      </c>
      <c r="C218" t="s">
        <v>97</v>
      </c>
      <c r="D218" s="2">
        <v>58</v>
      </c>
      <c r="E218" t="s">
        <v>212</v>
      </c>
      <c r="F218" t="s">
        <v>92</v>
      </c>
      <c r="G218" s="2" t="s">
        <v>31</v>
      </c>
      <c r="H218" s="2">
        <v>4</v>
      </c>
      <c r="I218" s="2" t="s">
        <v>81</v>
      </c>
      <c r="J218" s="2">
        <v>3.1</v>
      </c>
      <c r="K218" s="2" t="s">
        <v>23</v>
      </c>
      <c r="L218" s="2">
        <v>0.9</v>
      </c>
      <c r="M218" s="2" t="s">
        <v>24</v>
      </c>
      <c r="N218" s="2" t="s">
        <v>42</v>
      </c>
      <c r="O218" s="2">
        <v>2</v>
      </c>
      <c r="P218" s="2" t="str">
        <f>IF(global_freelancer_raw[[#This Row],[No of projects ]]&lt;=5,"Entry level","Well Experienced")</f>
        <v>Entry level</v>
      </c>
      <c r="Q218" s="2">
        <v>1</v>
      </c>
    </row>
    <row r="219" spans="1:17" x14ac:dyDescent="0.3">
      <c r="A219" t="s">
        <v>540</v>
      </c>
      <c r="B219" t="s">
        <v>541</v>
      </c>
      <c r="C219" t="s">
        <v>118</v>
      </c>
      <c r="D219" s="2">
        <v>39</v>
      </c>
      <c r="E219" t="s">
        <v>133</v>
      </c>
      <c r="F219" t="s">
        <v>134</v>
      </c>
      <c r="G219" s="2" t="s">
        <v>46</v>
      </c>
      <c r="H219" s="2">
        <v>14</v>
      </c>
      <c r="I219" s="2" t="s">
        <v>32</v>
      </c>
      <c r="J219" s="2">
        <v>0</v>
      </c>
      <c r="K219" s="2" t="s">
        <v>94</v>
      </c>
      <c r="L219" s="2">
        <v>0.92</v>
      </c>
      <c r="M219" s="2" t="s">
        <v>88</v>
      </c>
      <c r="N219" s="2" t="s">
        <v>34</v>
      </c>
      <c r="O219" s="2">
        <v>7</v>
      </c>
      <c r="P219" s="2" t="str">
        <f>IF(global_freelancer_raw[[#This Row],[No of projects ]]&lt;=5,"Entry level","Well Experienced")</f>
        <v>Well Experienced</v>
      </c>
      <c r="Q219" s="2">
        <v>9</v>
      </c>
    </row>
    <row r="220" spans="1:17" x14ac:dyDescent="0.3">
      <c r="A220" t="s">
        <v>542</v>
      </c>
      <c r="B220" t="s">
        <v>543</v>
      </c>
      <c r="C220" t="s">
        <v>118</v>
      </c>
      <c r="D220" s="2">
        <v>32</v>
      </c>
      <c r="E220" t="s">
        <v>64</v>
      </c>
      <c r="F220" t="s">
        <v>65</v>
      </c>
      <c r="G220" s="2" t="s">
        <v>39</v>
      </c>
      <c r="H220" s="2">
        <v>14</v>
      </c>
      <c r="I220" s="2" t="s">
        <v>2119</v>
      </c>
      <c r="J220" s="2" t="s">
        <v>2120</v>
      </c>
      <c r="K220" s="2" t="s">
        <v>23</v>
      </c>
      <c r="L220" s="2">
        <v>0.96</v>
      </c>
      <c r="M220" s="2" t="s">
        <v>88</v>
      </c>
      <c r="N220" s="2" t="s">
        <v>42</v>
      </c>
      <c r="O220" s="2">
        <v>14</v>
      </c>
      <c r="P220" s="2" t="str">
        <f>IF(global_freelancer_raw[[#This Row],[No of projects ]]&lt;=5,"Entry level","Well Experienced")</f>
        <v>Well Experienced</v>
      </c>
      <c r="Q220" s="2">
        <v>3</v>
      </c>
    </row>
    <row r="221" spans="1:17" x14ac:dyDescent="0.3">
      <c r="A221" t="s">
        <v>544</v>
      </c>
      <c r="B221" t="s">
        <v>545</v>
      </c>
      <c r="C221" t="s">
        <v>118</v>
      </c>
      <c r="D221" s="2">
        <v>37</v>
      </c>
      <c r="E221" t="s">
        <v>149</v>
      </c>
      <c r="F221" t="s">
        <v>30</v>
      </c>
      <c r="G221" s="2" t="s">
        <v>93</v>
      </c>
      <c r="H221" s="2">
        <v>2</v>
      </c>
      <c r="I221" s="2" t="s">
        <v>58</v>
      </c>
      <c r="J221" s="2">
        <v>2.2999999999999998</v>
      </c>
      <c r="K221" s="2" t="s">
        <v>87</v>
      </c>
      <c r="L221" s="2" t="s">
        <v>2120</v>
      </c>
      <c r="M221" s="2" t="s">
        <v>60</v>
      </c>
      <c r="N221" s="2" t="s">
        <v>42</v>
      </c>
      <c r="O221" s="2">
        <v>4</v>
      </c>
      <c r="P221" s="2" t="str">
        <f>IF(global_freelancer_raw[[#This Row],[No of projects ]]&lt;=5,"Entry level","Well Experienced")</f>
        <v>Entry level</v>
      </c>
      <c r="Q221" s="2">
        <v>4</v>
      </c>
    </row>
    <row r="222" spans="1:17" x14ac:dyDescent="0.3">
      <c r="A222" t="s">
        <v>546</v>
      </c>
      <c r="B222" t="s">
        <v>547</v>
      </c>
      <c r="C222" t="s">
        <v>97</v>
      </c>
      <c r="D222" s="2">
        <v>21</v>
      </c>
      <c r="E222" t="s">
        <v>197</v>
      </c>
      <c r="F222" t="s">
        <v>198</v>
      </c>
      <c r="G222" s="2" t="s">
        <v>98</v>
      </c>
      <c r="H222" s="2">
        <v>2</v>
      </c>
      <c r="I222" s="2" t="s">
        <v>22</v>
      </c>
      <c r="J222" s="2">
        <v>2.4</v>
      </c>
      <c r="K222" s="2" t="s">
        <v>94</v>
      </c>
      <c r="L222" s="2" t="s">
        <v>2120</v>
      </c>
      <c r="M222" s="2" t="s">
        <v>82</v>
      </c>
      <c r="N222" s="2" t="s">
        <v>42</v>
      </c>
      <c r="O222" s="2">
        <v>3</v>
      </c>
      <c r="P222" s="2" t="str">
        <f>IF(global_freelancer_raw[[#This Row],[No of projects ]]&lt;=5,"Entry level","Well Experienced")</f>
        <v>Entry level</v>
      </c>
      <c r="Q222" s="2">
        <v>1</v>
      </c>
    </row>
    <row r="223" spans="1:17" x14ac:dyDescent="0.3">
      <c r="A223" t="s">
        <v>548</v>
      </c>
      <c r="B223" t="s">
        <v>549</v>
      </c>
      <c r="C223" t="s">
        <v>118</v>
      </c>
      <c r="D223" s="2">
        <v>41</v>
      </c>
      <c r="E223" t="s">
        <v>133</v>
      </c>
      <c r="F223" t="s">
        <v>134</v>
      </c>
      <c r="G223" s="2" t="s">
        <v>135</v>
      </c>
      <c r="H223" s="2">
        <v>4</v>
      </c>
      <c r="I223" s="2" t="s">
        <v>103</v>
      </c>
      <c r="J223" s="2">
        <v>2.6</v>
      </c>
      <c r="K223" s="2" t="s">
        <v>2120</v>
      </c>
      <c r="L223" s="2">
        <v>0.85</v>
      </c>
      <c r="M223" s="2" t="s">
        <v>60</v>
      </c>
      <c r="N223" s="2" t="s">
        <v>34</v>
      </c>
      <c r="O223" s="2">
        <v>4</v>
      </c>
      <c r="P223" s="2" t="str">
        <f>IF(global_freelancer_raw[[#This Row],[No of projects ]]&lt;=5,"Entry level","Well Experienced")</f>
        <v>Entry level</v>
      </c>
      <c r="Q223" s="2">
        <v>1</v>
      </c>
    </row>
    <row r="224" spans="1:17" x14ac:dyDescent="0.3">
      <c r="A224" t="s">
        <v>550</v>
      </c>
      <c r="B224" t="s">
        <v>551</v>
      </c>
      <c r="C224" t="s">
        <v>97</v>
      </c>
      <c r="D224" s="2">
        <v>21</v>
      </c>
      <c r="E224" t="s">
        <v>149</v>
      </c>
      <c r="F224" t="s">
        <v>30</v>
      </c>
      <c r="G224" s="2" t="s">
        <v>57</v>
      </c>
      <c r="H224" s="2">
        <v>0</v>
      </c>
      <c r="I224" s="2" t="s">
        <v>70</v>
      </c>
      <c r="J224" s="2">
        <v>1.1000000000000001</v>
      </c>
      <c r="K224" s="2" t="s">
        <v>23</v>
      </c>
      <c r="L224" s="2">
        <v>0.79</v>
      </c>
      <c r="M224" s="2" t="s">
        <v>24</v>
      </c>
      <c r="N224" s="2" t="s">
        <v>34</v>
      </c>
      <c r="O224" s="2">
        <v>5</v>
      </c>
      <c r="P224" s="2" t="str">
        <f>IF(global_freelancer_raw[[#This Row],[No of projects ]]&lt;=5,"Entry level","Well Experienced")</f>
        <v>Entry level</v>
      </c>
      <c r="Q224" s="2">
        <v>2</v>
      </c>
    </row>
    <row r="225" spans="1:17" x14ac:dyDescent="0.3">
      <c r="A225" t="s">
        <v>552</v>
      </c>
      <c r="B225" t="s">
        <v>553</v>
      </c>
      <c r="C225" t="s">
        <v>97</v>
      </c>
      <c r="D225" s="2">
        <v>58</v>
      </c>
      <c r="E225" t="s">
        <v>197</v>
      </c>
      <c r="F225" t="s">
        <v>198</v>
      </c>
      <c r="G225" s="2" t="s">
        <v>135</v>
      </c>
      <c r="H225" s="2">
        <v>9</v>
      </c>
      <c r="I225" s="2" t="s">
        <v>52</v>
      </c>
      <c r="J225" s="2">
        <v>0</v>
      </c>
      <c r="K225" s="2" t="s">
        <v>33</v>
      </c>
      <c r="L225" s="2">
        <v>0.65</v>
      </c>
      <c r="M225" s="2" t="s">
        <v>82</v>
      </c>
      <c r="N225" s="2" t="s">
        <v>34</v>
      </c>
      <c r="O225" s="2">
        <v>15</v>
      </c>
      <c r="P225" s="2" t="str">
        <f>IF(global_freelancer_raw[[#This Row],[No of projects ]]&lt;=5,"Entry level","Well Experienced")</f>
        <v>Well Experienced</v>
      </c>
      <c r="Q225" s="2">
        <v>6</v>
      </c>
    </row>
    <row r="226" spans="1:17" x14ac:dyDescent="0.3">
      <c r="A226" t="s">
        <v>554</v>
      </c>
      <c r="B226" t="s">
        <v>555</v>
      </c>
      <c r="C226" t="s">
        <v>118</v>
      </c>
      <c r="D226" s="2">
        <v>60</v>
      </c>
      <c r="E226" t="s">
        <v>149</v>
      </c>
      <c r="F226" t="s">
        <v>30</v>
      </c>
      <c r="G226" s="2" t="s">
        <v>135</v>
      </c>
      <c r="H226" s="2">
        <v>3</v>
      </c>
      <c r="I226" s="2" t="s">
        <v>86</v>
      </c>
      <c r="J226" s="2">
        <v>4.7</v>
      </c>
      <c r="K226" s="2" t="s">
        <v>59</v>
      </c>
      <c r="L226" s="2">
        <v>0.63</v>
      </c>
      <c r="M226" s="2" t="s">
        <v>88</v>
      </c>
      <c r="N226" s="2" t="s">
        <v>34</v>
      </c>
      <c r="O226" s="2">
        <v>1</v>
      </c>
      <c r="P226" s="2" t="str">
        <f>IF(global_freelancer_raw[[#This Row],[No of projects ]]&lt;=5,"Entry level","Well Experienced")</f>
        <v>Entry level</v>
      </c>
      <c r="Q226" s="2">
        <v>5</v>
      </c>
    </row>
    <row r="227" spans="1:17" x14ac:dyDescent="0.3">
      <c r="A227" t="s">
        <v>556</v>
      </c>
      <c r="B227" t="s">
        <v>557</v>
      </c>
      <c r="C227" t="s">
        <v>118</v>
      </c>
      <c r="D227" s="2">
        <v>27</v>
      </c>
      <c r="E227" t="s">
        <v>175</v>
      </c>
      <c r="F227" t="s">
        <v>176</v>
      </c>
      <c r="G227" s="2" t="s">
        <v>46</v>
      </c>
      <c r="H227" s="2">
        <v>2</v>
      </c>
      <c r="I227" s="2" t="s">
        <v>47</v>
      </c>
      <c r="J227" s="2">
        <v>1.2</v>
      </c>
      <c r="K227" s="2" t="s">
        <v>59</v>
      </c>
      <c r="L227" s="2" t="s">
        <v>2120</v>
      </c>
      <c r="M227" s="2" t="s">
        <v>82</v>
      </c>
      <c r="N227" s="2" t="s">
        <v>25</v>
      </c>
      <c r="O227" s="2">
        <v>1</v>
      </c>
      <c r="P227" s="2" t="str">
        <f>IF(global_freelancer_raw[[#This Row],[No of projects ]]&lt;=5,"Entry level","Well Experienced")</f>
        <v>Entry level</v>
      </c>
      <c r="Q227" s="2">
        <v>1</v>
      </c>
    </row>
    <row r="228" spans="1:17" x14ac:dyDescent="0.3">
      <c r="A228" t="s">
        <v>558</v>
      </c>
      <c r="B228" t="s">
        <v>559</v>
      </c>
      <c r="C228" t="s">
        <v>97</v>
      </c>
      <c r="D228" s="2">
        <v>29</v>
      </c>
      <c r="E228" t="s">
        <v>38</v>
      </c>
      <c r="F228" t="s">
        <v>38</v>
      </c>
      <c r="G228" s="2" t="s">
        <v>135</v>
      </c>
      <c r="H228" s="2">
        <v>10</v>
      </c>
      <c r="I228" s="2" t="s">
        <v>70</v>
      </c>
      <c r="J228" s="2">
        <v>1.2</v>
      </c>
      <c r="K228" s="2" t="s">
        <v>59</v>
      </c>
      <c r="L228" s="2">
        <v>0.78</v>
      </c>
      <c r="M228" s="2" t="s">
        <v>88</v>
      </c>
      <c r="N228" s="2" t="s">
        <v>25</v>
      </c>
      <c r="O228" s="2">
        <v>7</v>
      </c>
      <c r="P228" s="2" t="str">
        <f>IF(global_freelancer_raw[[#This Row],[No of projects ]]&lt;=5,"Entry level","Well Experienced")</f>
        <v>Well Experienced</v>
      </c>
      <c r="Q228" s="2">
        <v>6</v>
      </c>
    </row>
    <row r="229" spans="1:17" x14ac:dyDescent="0.3">
      <c r="A229" t="s">
        <v>560</v>
      </c>
      <c r="B229" t="s">
        <v>561</v>
      </c>
      <c r="C229" t="s">
        <v>97</v>
      </c>
      <c r="D229" s="2">
        <v>54</v>
      </c>
      <c r="E229" t="s">
        <v>149</v>
      </c>
      <c r="F229" t="s">
        <v>30</v>
      </c>
      <c r="G229" s="2" t="s">
        <v>39</v>
      </c>
      <c r="H229" s="2">
        <v>33</v>
      </c>
      <c r="I229" s="2" t="s">
        <v>192</v>
      </c>
      <c r="J229" s="2">
        <v>0</v>
      </c>
      <c r="K229" s="2" t="s">
        <v>33</v>
      </c>
      <c r="L229" s="2">
        <v>0.62</v>
      </c>
      <c r="M229" s="2" t="s">
        <v>82</v>
      </c>
      <c r="N229" s="2" t="s">
        <v>75</v>
      </c>
      <c r="O229" s="2">
        <v>18</v>
      </c>
      <c r="P229" s="2" t="str">
        <f>IF(global_freelancer_raw[[#This Row],[No of projects ]]&lt;=5,"Entry level","Well Experienced")</f>
        <v>Well Experienced</v>
      </c>
      <c r="Q229" s="2">
        <v>9</v>
      </c>
    </row>
    <row r="230" spans="1:17" x14ac:dyDescent="0.3">
      <c r="A230" t="s">
        <v>562</v>
      </c>
      <c r="B230" t="s">
        <v>563</v>
      </c>
      <c r="C230" t="s">
        <v>118</v>
      </c>
      <c r="D230" s="2">
        <v>52</v>
      </c>
      <c r="E230" t="s">
        <v>201</v>
      </c>
      <c r="F230" t="s">
        <v>92</v>
      </c>
      <c r="G230" s="2" t="s">
        <v>135</v>
      </c>
      <c r="H230" s="2">
        <v>12</v>
      </c>
      <c r="I230" s="2" t="s">
        <v>86</v>
      </c>
      <c r="J230" s="2">
        <v>1.2</v>
      </c>
      <c r="K230" s="2" t="s">
        <v>23</v>
      </c>
      <c r="L230" s="2">
        <v>0.76</v>
      </c>
      <c r="M230" s="2" t="s">
        <v>82</v>
      </c>
      <c r="N230" s="2" t="s">
        <v>34</v>
      </c>
      <c r="O230" s="2">
        <v>14</v>
      </c>
      <c r="P230" s="2" t="str">
        <f>IF(global_freelancer_raw[[#This Row],[No of projects ]]&lt;=5,"Entry level","Well Experienced")</f>
        <v>Well Experienced</v>
      </c>
      <c r="Q230" s="2">
        <v>3</v>
      </c>
    </row>
    <row r="231" spans="1:17" x14ac:dyDescent="0.3">
      <c r="A231" t="s">
        <v>564</v>
      </c>
      <c r="B231" t="s">
        <v>565</v>
      </c>
      <c r="C231" t="s">
        <v>97</v>
      </c>
      <c r="D231" s="2">
        <v>55</v>
      </c>
      <c r="E231" t="s">
        <v>64</v>
      </c>
      <c r="F231" t="s">
        <v>65</v>
      </c>
      <c r="G231" s="2" t="s">
        <v>21</v>
      </c>
      <c r="H231" s="2">
        <v>18</v>
      </c>
      <c r="I231" s="2" t="s">
        <v>22</v>
      </c>
      <c r="J231" s="2">
        <v>2.9</v>
      </c>
      <c r="K231" s="2" t="s">
        <v>23</v>
      </c>
      <c r="L231" s="2">
        <v>97</v>
      </c>
      <c r="M231" s="2" t="s">
        <v>82</v>
      </c>
      <c r="N231" s="2" t="s">
        <v>25</v>
      </c>
      <c r="O231" s="2">
        <v>12</v>
      </c>
      <c r="P231" s="2" t="str">
        <f>IF(global_freelancer_raw[[#This Row],[No of projects ]]&lt;=5,"Entry level","Well Experienced")</f>
        <v>Well Experienced</v>
      </c>
      <c r="Q231" s="2">
        <v>9</v>
      </c>
    </row>
    <row r="232" spans="1:17" x14ac:dyDescent="0.3">
      <c r="A232" t="s">
        <v>566</v>
      </c>
      <c r="B232" t="s">
        <v>567</v>
      </c>
      <c r="C232" t="s">
        <v>118</v>
      </c>
      <c r="D232" s="2">
        <v>37</v>
      </c>
      <c r="E232" t="s">
        <v>128</v>
      </c>
      <c r="F232" t="s">
        <v>129</v>
      </c>
      <c r="G232" s="2" t="s">
        <v>21</v>
      </c>
      <c r="H232" s="2">
        <v>4</v>
      </c>
      <c r="I232" s="2" t="s">
        <v>2119</v>
      </c>
      <c r="J232" s="2" t="s">
        <v>2120</v>
      </c>
      <c r="K232" s="2" t="s">
        <v>41</v>
      </c>
      <c r="L232" s="2" t="s">
        <v>2120</v>
      </c>
      <c r="M232" s="2" t="s">
        <v>24</v>
      </c>
      <c r="N232" s="2" t="s">
        <v>42</v>
      </c>
      <c r="O232" s="2">
        <v>3</v>
      </c>
      <c r="P232" s="2" t="str">
        <f>IF(global_freelancer_raw[[#This Row],[No of projects ]]&lt;=5,"Entry level","Well Experienced")</f>
        <v>Entry level</v>
      </c>
      <c r="Q232" s="2">
        <v>2</v>
      </c>
    </row>
    <row r="233" spans="1:17" x14ac:dyDescent="0.3">
      <c r="A233" t="s">
        <v>568</v>
      </c>
      <c r="B233" t="s">
        <v>569</v>
      </c>
      <c r="C233" t="s">
        <v>97</v>
      </c>
      <c r="D233" s="2">
        <v>34</v>
      </c>
      <c r="E233" t="s">
        <v>160</v>
      </c>
      <c r="F233" t="s">
        <v>161</v>
      </c>
      <c r="G233" s="2" t="s">
        <v>66</v>
      </c>
      <c r="H233" s="2">
        <v>11</v>
      </c>
      <c r="I233" s="2" t="s">
        <v>81</v>
      </c>
      <c r="J233" s="2">
        <v>3.9</v>
      </c>
      <c r="K233" s="2" t="s">
        <v>33</v>
      </c>
      <c r="L233" s="2">
        <v>0.82</v>
      </c>
      <c r="M233" s="2" t="s">
        <v>24</v>
      </c>
      <c r="N233" s="2" t="s">
        <v>34</v>
      </c>
      <c r="O233" s="2">
        <v>13</v>
      </c>
      <c r="P233" s="2" t="str">
        <f>IF(global_freelancer_raw[[#This Row],[No of projects ]]&lt;=5,"Entry level","Well Experienced")</f>
        <v>Well Experienced</v>
      </c>
      <c r="Q233" s="2">
        <v>2</v>
      </c>
    </row>
    <row r="234" spans="1:17" x14ac:dyDescent="0.3">
      <c r="A234" t="s">
        <v>570</v>
      </c>
      <c r="B234" t="s">
        <v>571</v>
      </c>
      <c r="C234" t="s">
        <v>118</v>
      </c>
      <c r="D234" s="2">
        <v>20</v>
      </c>
      <c r="E234" t="s">
        <v>156</v>
      </c>
      <c r="F234" t="s">
        <v>157</v>
      </c>
      <c r="G234" s="2" t="s">
        <v>66</v>
      </c>
      <c r="H234" s="2">
        <v>1</v>
      </c>
      <c r="I234" s="2" t="s">
        <v>40</v>
      </c>
      <c r="J234" s="2">
        <v>3.1</v>
      </c>
      <c r="K234" s="2" t="s">
        <v>2120</v>
      </c>
      <c r="L234" s="2">
        <v>0.71</v>
      </c>
      <c r="M234" s="2" t="s">
        <v>60</v>
      </c>
      <c r="N234" s="2" t="s">
        <v>75</v>
      </c>
      <c r="O234" s="2">
        <v>4</v>
      </c>
      <c r="P234" s="2" t="str">
        <f>IF(global_freelancer_raw[[#This Row],[No of projects ]]&lt;=5,"Entry level","Well Experienced")</f>
        <v>Entry level</v>
      </c>
      <c r="Q234" s="2">
        <v>3</v>
      </c>
    </row>
    <row r="235" spans="1:17" x14ac:dyDescent="0.3">
      <c r="A235" t="s">
        <v>572</v>
      </c>
      <c r="B235" t="s">
        <v>573</v>
      </c>
      <c r="C235" t="s">
        <v>118</v>
      </c>
      <c r="D235" s="2">
        <v>22</v>
      </c>
      <c r="E235" t="s">
        <v>201</v>
      </c>
      <c r="F235" t="s">
        <v>92</v>
      </c>
      <c r="G235" s="2" t="s">
        <v>93</v>
      </c>
      <c r="H235" s="2">
        <v>2</v>
      </c>
      <c r="I235" s="2" t="s">
        <v>2119</v>
      </c>
      <c r="J235" s="2">
        <v>0</v>
      </c>
      <c r="K235" s="2" t="s">
        <v>33</v>
      </c>
      <c r="L235" s="2" t="s">
        <v>2120</v>
      </c>
      <c r="M235" s="2" t="s">
        <v>60</v>
      </c>
      <c r="N235" s="2" t="s">
        <v>75</v>
      </c>
      <c r="O235" s="2">
        <v>5</v>
      </c>
      <c r="P235" s="2" t="str">
        <f>IF(global_freelancer_raw[[#This Row],[No of projects ]]&lt;=5,"Entry level","Well Experienced")</f>
        <v>Entry level</v>
      </c>
      <c r="Q235" s="2">
        <v>1</v>
      </c>
    </row>
    <row r="236" spans="1:17" x14ac:dyDescent="0.3">
      <c r="A236" t="s">
        <v>574</v>
      </c>
      <c r="B236" t="s">
        <v>575</v>
      </c>
      <c r="C236" t="s">
        <v>97</v>
      </c>
      <c r="D236" s="2">
        <v>23</v>
      </c>
      <c r="E236" t="s">
        <v>133</v>
      </c>
      <c r="F236" t="s">
        <v>134</v>
      </c>
      <c r="G236" s="2" t="s">
        <v>39</v>
      </c>
      <c r="H236" s="2">
        <v>2</v>
      </c>
      <c r="I236" s="2" t="s">
        <v>40</v>
      </c>
      <c r="J236" s="2">
        <v>3.2</v>
      </c>
      <c r="K236" s="2" t="s">
        <v>74</v>
      </c>
      <c r="L236" s="2" t="s">
        <v>2120</v>
      </c>
      <c r="M236" s="2" t="s">
        <v>88</v>
      </c>
      <c r="N236" s="2" t="s">
        <v>75</v>
      </c>
      <c r="O236" s="2">
        <v>2</v>
      </c>
      <c r="P236" s="2" t="str">
        <f>IF(global_freelancer_raw[[#This Row],[No of projects ]]&lt;=5,"Entry level","Well Experienced")</f>
        <v>Entry level</v>
      </c>
      <c r="Q236" s="2">
        <v>1</v>
      </c>
    </row>
    <row r="237" spans="1:17" x14ac:dyDescent="0.3">
      <c r="A237" t="s">
        <v>576</v>
      </c>
      <c r="B237" t="s">
        <v>577</v>
      </c>
      <c r="C237" t="s">
        <v>97</v>
      </c>
      <c r="D237" s="2">
        <v>53</v>
      </c>
      <c r="E237" t="s">
        <v>133</v>
      </c>
      <c r="F237" t="s">
        <v>134</v>
      </c>
      <c r="G237" s="2" t="s">
        <v>21</v>
      </c>
      <c r="H237" s="2">
        <v>34</v>
      </c>
      <c r="I237" s="2" t="s">
        <v>52</v>
      </c>
      <c r="J237" s="2" t="s">
        <v>2120</v>
      </c>
      <c r="K237" s="2" t="s">
        <v>94</v>
      </c>
      <c r="L237" s="2" t="s">
        <v>2120</v>
      </c>
      <c r="M237" s="2" t="s">
        <v>24</v>
      </c>
      <c r="N237" s="2" t="s">
        <v>42</v>
      </c>
      <c r="O237" s="2">
        <v>14</v>
      </c>
      <c r="P237" s="2" t="str">
        <f>IF(global_freelancer_raw[[#This Row],[No of projects ]]&lt;=5,"Entry level","Well Experienced")</f>
        <v>Well Experienced</v>
      </c>
      <c r="Q237" s="2">
        <v>9</v>
      </c>
    </row>
    <row r="238" spans="1:17" x14ac:dyDescent="0.3">
      <c r="A238" t="s">
        <v>578</v>
      </c>
      <c r="B238" t="s">
        <v>579</v>
      </c>
      <c r="C238" t="s">
        <v>97</v>
      </c>
      <c r="D238" s="2">
        <v>56</v>
      </c>
      <c r="E238" t="s">
        <v>133</v>
      </c>
      <c r="F238" t="s">
        <v>134</v>
      </c>
      <c r="G238" s="2" t="s">
        <v>39</v>
      </c>
      <c r="H238" s="2">
        <v>27</v>
      </c>
      <c r="I238" s="2" t="s">
        <v>22</v>
      </c>
      <c r="J238" s="2">
        <v>4.7</v>
      </c>
      <c r="K238" s="2" t="s">
        <v>74</v>
      </c>
      <c r="L238" s="2">
        <v>0.69</v>
      </c>
      <c r="M238" s="2" t="s">
        <v>88</v>
      </c>
      <c r="N238" s="2" t="s">
        <v>25</v>
      </c>
      <c r="O238" s="2">
        <v>19</v>
      </c>
      <c r="P238" s="2" t="str">
        <f>IF(global_freelancer_raw[[#This Row],[No of projects ]]&lt;=5,"Entry level","Well Experienced")</f>
        <v>Well Experienced</v>
      </c>
      <c r="Q238" s="2">
        <v>7</v>
      </c>
    </row>
    <row r="239" spans="1:17" x14ac:dyDescent="0.3">
      <c r="A239" t="s">
        <v>580</v>
      </c>
      <c r="B239" t="s">
        <v>581</v>
      </c>
      <c r="C239" t="s">
        <v>118</v>
      </c>
      <c r="D239" s="2">
        <v>27</v>
      </c>
      <c r="E239" t="s">
        <v>149</v>
      </c>
      <c r="F239" t="s">
        <v>30</v>
      </c>
      <c r="G239" s="2" t="s">
        <v>57</v>
      </c>
      <c r="H239" s="2">
        <v>4</v>
      </c>
      <c r="I239" s="2" t="s">
        <v>103</v>
      </c>
      <c r="J239" s="2">
        <v>5</v>
      </c>
      <c r="K239" s="2" t="s">
        <v>23</v>
      </c>
      <c r="L239" s="2">
        <v>0.88</v>
      </c>
      <c r="M239" s="2" t="s">
        <v>60</v>
      </c>
      <c r="N239" s="2" t="s">
        <v>42</v>
      </c>
      <c r="O239" s="2">
        <v>5</v>
      </c>
      <c r="P239" s="2" t="str">
        <f>IF(global_freelancer_raw[[#This Row],[No of projects ]]&lt;=5,"Entry level","Well Experienced")</f>
        <v>Entry level</v>
      </c>
      <c r="Q239" s="2">
        <v>1</v>
      </c>
    </row>
    <row r="240" spans="1:17" x14ac:dyDescent="0.3">
      <c r="A240" t="s">
        <v>582</v>
      </c>
      <c r="B240" t="s">
        <v>583</v>
      </c>
      <c r="C240" t="s">
        <v>118</v>
      </c>
      <c r="D240" s="2">
        <v>34</v>
      </c>
      <c r="E240" t="s">
        <v>19</v>
      </c>
      <c r="F240" t="s">
        <v>20</v>
      </c>
      <c r="G240" s="2" t="s">
        <v>31</v>
      </c>
      <c r="H240" s="2">
        <v>11</v>
      </c>
      <c r="I240" s="2" t="s">
        <v>70</v>
      </c>
      <c r="J240" s="2" t="s">
        <v>2120</v>
      </c>
      <c r="K240" s="2" t="s">
        <v>59</v>
      </c>
      <c r="L240" s="2">
        <v>0.67</v>
      </c>
      <c r="M240" s="2" t="s">
        <v>88</v>
      </c>
      <c r="N240" s="2" t="s">
        <v>34</v>
      </c>
      <c r="O240" s="2">
        <v>13</v>
      </c>
      <c r="P240" s="2" t="str">
        <f>IF(global_freelancer_raw[[#This Row],[No of projects ]]&lt;=5,"Entry level","Well Experienced")</f>
        <v>Well Experienced</v>
      </c>
      <c r="Q240" s="2">
        <v>9</v>
      </c>
    </row>
    <row r="241" spans="1:17" x14ac:dyDescent="0.3">
      <c r="A241" t="s">
        <v>584</v>
      </c>
      <c r="B241" t="s">
        <v>585</v>
      </c>
      <c r="C241" t="s">
        <v>118</v>
      </c>
      <c r="D241" s="2">
        <v>29</v>
      </c>
      <c r="E241" t="s">
        <v>73</v>
      </c>
      <c r="F241" t="s">
        <v>30</v>
      </c>
      <c r="G241" s="2" t="s">
        <v>46</v>
      </c>
      <c r="H241" s="2">
        <v>4</v>
      </c>
      <c r="I241" s="2" t="s">
        <v>119</v>
      </c>
      <c r="J241" s="2">
        <v>4</v>
      </c>
      <c r="K241" s="2" t="s">
        <v>23</v>
      </c>
      <c r="L241" s="2" t="s">
        <v>2120</v>
      </c>
      <c r="M241" s="2" t="s">
        <v>60</v>
      </c>
      <c r="N241" s="2" t="s">
        <v>75</v>
      </c>
      <c r="O241" s="2">
        <v>3</v>
      </c>
      <c r="P241" s="2" t="str">
        <f>IF(global_freelancer_raw[[#This Row],[No of projects ]]&lt;=5,"Entry level","Well Experienced")</f>
        <v>Entry level</v>
      </c>
      <c r="Q241" s="2">
        <v>2</v>
      </c>
    </row>
    <row r="242" spans="1:17" x14ac:dyDescent="0.3">
      <c r="A242" t="s">
        <v>586</v>
      </c>
      <c r="B242" t="s">
        <v>587</v>
      </c>
      <c r="C242" t="s">
        <v>118</v>
      </c>
      <c r="D242" s="2">
        <v>34</v>
      </c>
      <c r="E242" t="s">
        <v>114</v>
      </c>
      <c r="F242" t="s">
        <v>115</v>
      </c>
      <c r="G242" s="2" t="s">
        <v>57</v>
      </c>
      <c r="H242" s="2">
        <v>11</v>
      </c>
      <c r="I242" s="2" t="s">
        <v>2119</v>
      </c>
      <c r="J242" s="2">
        <v>1.2</v>
      </c>
      <c r="K242" s="2" t="s">
        <v>33</v>
      </c>
      <c r="L242" s="2" t="s">
        <v>2120</v>
      </c>
      <c r="M242" s="2" t="s">
        <v>24</v>
      </c>
      <c r="N242" s="2" t="s">
        <v>42</v>
      </c>
      <c r="O242" s="2">
        <v>11</v>
      </c>
      <c r="P242" s="2" t="str">
        <f>IF(global_freelancer_raw[[#This Row],[No of projects ]]&lt;=5,"Entry level","Well Experienced")</f>
        <v>Well Experienced</v>
      </c>
      <c r="Q242" s="2">
        <v>4</v>
      </c>
    </row>
    <row r="243" spans="1:17" x14ac:dyDescent="0.3">
      <c r="A243" t="s">
        <v>588</v>
      </c>
      <c r="B243" t="s">
        <v>589</v>
      </c>
      <c r="C243" t="s">
        <v>97</v>
      </c>
      <c r="D243" s="2">
        <v>32</v>
      </c>
      <c r="E243" t="s">
        <v>201</v>
      </c>
      <c r="F243" t="s">
        <v>92</v>
      </c>
      <c r="G243" s="2" t="s">
        <v>57</v>
      </c>
      <c r="H243" s="2">
        <v>1</v>
      </c>
      <c r="I243" s="2" t="s">
        <v>22</v>
      </c>
      <c r="J243" s="2">
        <v>4.7</v>
      </c>
      <c r="K243" s="2" t="s">
        <v>23</v>
      </c>
      <c r="L243" s="2">
        <v>0.67</v>
      </c>
      <c r="M243" s="2" t="s">
        <v>82</v>
      </c>
      <c r="N243" s="2" t="s">
        <v>42</v>
      </c>
      <c r="O243" s="2">
        <v>5</v>
      </c>
      <c r="P243" s="2" t="str">
        <f>IF(global_freelancer_raw[[#This Row],[No of projects ]]&lt;=5,"Entry level","Well Experienced")</f>
        <v>Entry level</v>
      </c>
      <c r="Q243" s="2">
        <v>1</v>
      </c>
    </row>
    <row r="244" spans="1:17" x14ac:dyDescent="0.3">
      <c r="A244" t="s">
        <v>590</v>
      </c>
      <c r="B244" t="s">
        <v>591</v>
      </c>
      <c r="C244" t="s">
        <v>97</v>
      </c>
      <c r="D244" s="2">
        <v>21</v>
      </c>
      <c r="E244" t="s">
        <v>175</v>
      </c>
      <c r="F244" t="s">
        <v>176</v>
      </c>
      <c r="G244" s="2" t="s">
        <v>135</v>
      </c>
      <c r="H244" s="2">
        <v>2</v>
      </c>
      <c r="I244" s="2" t="s">
        <v>162</v>
      </c>
      <c r="J244" s="2">
        <v>2.4</v>
      </c>
      <c r="K244" s="2" t="s">
        <v>2120</v>
      </c>
      <c r="L244" s="2">
        <v>0.86</v>
      </c>
      <c r="M244" s="2" t="s">
        <v>24</v>
      </c>
      <c r="N244" s="2" t="s">
        <v>25</v>
      </c>
      <c r="O244" s="2">
        <v>4</v>
      </c>
      <c r="P244" s="2" t="str">
        <f>IF(global_freelancer_raw[[#This Row],[No of projects ]]&lt;=5,"Entry level","Well Experienced")</f>
        <v>Entry level</v>
      </c>
      <c r="Q244" s="2">
        <v>2</v>
      </c>
    </row>
    <row r="245" spans="1:17" x14ac:dyDescent="0.3">
      <c r="A245" t="s">
        <v>592</v>
      </c>
      <c r="B245" t="s">
        <v>593</v>
      </c>
      <c r="C245" t="s">
        <v>118</v>
      </c>
      <c r="D245" s="2">
        <v>20</v>
      </c>
      <c r="E245" t="s">
        <v>201</v>
      </c>
      <c r="F245" t="s">
        <v>92</v>
      </c>
      <c r="G245" s="2" t="s">
        <v>39</v>
      </c>
      <c r="H245" s="2">
        <v>2</v>
      </c>
      <c r="I245" s="2" t="s">
        <v>2119</v>
      </c>
      <c r="J245" s="2">
        <v>1.1000000000000001</v>
      </c>
      <c r="K245" s="2" t="s">
        <v>59</v>
      </c>
      <c r="L245" s="2">
        <v>0.69</v>
      </c>
      <c r="M245" s="2" t="s">
        <v>88</v>
      </c>
      <c r="N245" s="2" t="s">
        <v>25</v>
      </c>
      <c r="O245" s="2">
        <v>3</v>
      </c>
      <c r="P245" s="2" t="str">
        <f>IF(global_freelancer_raw[[#This Row],[No of projects ]]&lt;=5,"Entry level","Well Experienced")</f>
        <v>Entry level</v>
      </c>
      <c r="Q245" s="2">
        <v>1</v>
      </c>
    </row>
    <row r="246" spans="1:17" x14ac:dyDescent="0.3">
      <c r="A246" t="s">
        <v>594</v>
      </c>
      <c r="B246" t="s">
        <v>595</v>
      </c>
      <c r="C246" t="s">
        <v>97</v>
      </c>
      <c r="D246" s="2">
        <v>35</v>
      </c>
      <c r="E246" t="s">
        <v>73</v>
      </c>
      <c r="F246" t="s">
        <v>30</v>
      </c>
      <c r="G246" s="2" t="s">
        <v>31</v>
      </c>
      <c r="H246" s="2">
        <v>10</v>
      </c>
      <c r="I246" s="2" t="s">
        <v>40</v>
      </c>
      <c r="J246" s="2">
        <v>1.4</v>
      </c>
      <c r="K246" s="2" t="s">
        <v>74</v>
      </c>
      <c r="L246" s="2">
        <v>0.85</v>
      </c>
      <c r="M246" s="2" t="s">
        <v>88</v>
      </c>
      <c r="N246" s="2" t="s">
        <v>75</v>
      </c>
      <c r="O246" s="2">
        <v>8</v>
      </c>
      <c r="P246" s="2" t="str">
        <f>IF(global_freelancer_raw[[#This Row],[No of projects ]]&lt;=5,"Entry level","Well Experienced")</f>
        <v>Well Experienced</v>
      </c>
      <c r="Q246" s="2">
        <v>4</v>
      </c>
    </row>
    <row r="247" spans="1:17" x14ac:dyDescent="0.3">
      <c r="A247" t="s">
        <v>596</v>
      </c>
      <c r="B247" t="s">
        <v>597</v>
      </c>
      <c r="C247" t="s">
        <v>97</v>
      </c>
      <c r="D247" s="2">
        <v>47</v>
      </c>
      <c r="E247" t="s">
        <v>73</v>
      </c>
      <c r="F247" t="s">
        <v>30</v>
      </c>
      <c r="G247" s="2" t="s">
        <v>93</v>
      </c>
      <c r="H247" s="2">
        <v>18</v>
      </c>
      <c r="I247" s="2" t="s">
        <v>86</v>
      </c>
      <c r="J247" s="2">
        <v>3.4</v>
      </c>
      <c r="K247" s="2" t="s">
        <v>23</v>
      </c>
      <c r="L247" s="2">
        <v>60</v>
      </c>
      <c r="M247" s="2" t="s">
        <v>24</v>
      </c>
      <c r="N247" s="2" t="s">
        <v>42</v>
      </c>
      <c r="O247" s="2">
        <v>11</v>
      </c>
      <c r="P247" s="2" t="str">
        <f>IF(global_freelancer_raw[[#This Row],[No of projects ]]&lt;=5,"Entry level","Well Experienced")</f>
        <v>Well Experienced</v>
      </c>
      <c r="Q247" s="2">
        <v>10</v>
      </c>
    </row>
    <row r="248" spans="1:17" x14ac:dyDescent="0.3">
      <c r="A248" t="s">
        <v>598</v>
      </c>
      <c r="B248" t="s">
        <v>599</v>
      </c>
      <c r="C248" t="s">
        <v>97</v>
      </c>
      <c r="D248" s="2">
        <v>41</v>
      </c>
      <c r="E248" t="s">
        <v>79</v>
      </c>
      <c r="F248" t="s">
        <v>80</v>
      </c>
      <c r="G248" s="2" t="s">
        <v>21</v>
      </c>
      <c r="H248" s="2">
        <v>4</v>
      </c>
      <c r="I248" s="2" t="s">
        <v>86</v>
      </c>
      <c r="J248" s="2">
        <v>2.7</v>
      </c>
      <c r="K248" s="2" t="s">
        <v>33</v>
      </c>
      <c r="L248" s="2">
        <v>70</v>
      </c>
      <c r="M248" s="2" t="s">
        <v>24</v>
      </c>
      <c r="N248" s="2" t="s">
        <v>42</v>
      </c>
      <c r="O248" s="2">
        <v>2</v>
      </c>
      <c r="P248" s="2" t="str">
        <f>IF(global_freelancer_raw[[#This Row],[No of projects ]]&lt;=5,"Entry level","Well Experienced")</f>
        <v>Entry level</v>
      </c>
      <c r="Q248" s="2">
        <v>2</v>
      </c>
    </row>
    <row r="249" spans="1:17" x14ac:dyDescent="0.3">
      <c r="A249" t="s">
        <v>600</v>
      </c>
      <c r="B249" t="s">
        <v>601</v>
      </c>
      <c r="C249" t="s">
        <v>118</v>
      </c>
      <c r="D249" s="2">
        <v>58</v>
      </c>
      <c r="E249" t="s">
        <v>91</v>
      </c>
      <c r="F249" t="s">
        <v>92</v>
      </c>
      <c r="G249" s="2" t="s">
        <v>46</v>
      </c>
      <c r="H249" s="2">
        <v>23</v>
      </c>
      <c r="I249" s="2" t="s">
        <v>2119</v>
      </c>
      <c r="J249" s="2">
        <v>4.9000000000000004</v>
      </c>
      <c r="K249" s="2" t="s">
        <v>59</v>
      </c>
      <c r="L249" s="2" t="s">
        <v>2120</v>
      </c>
      <c r="M249" s="2" t="s">
        <v>60</v>
      </c>
      <c r="N249" s="2" t="s">
        <v>25</v>
      </c>
      <c r="O249" s="2">
        <v>19</v>
      </c>
      <c r="P249" s="2" t="str">
        <f>IF(global_freelancer_raw[[#This Row],[No of projects ]]&lt;=5,"Entry level","Well Experienced")</f>
        <v>Well Experienced</v>
      </c>
      <c r="Q249" s="2">
        <v>5</v>
      </c>
    </row>
    <row r="250" spans="1:17" x14ac:dyDescent="0.3">
      <c r="A250" t="s">
        <v>602</v>
      </c>
      <c r="B250" t="s">
        <v>603</v>
      </c>
      <c r="C250" t="s">
        <v>118</v>
      </c>
      <c r="D250" s="2">
        <v>34</v>
      </c>
      <c r="E250" t="s">
        <v>197</v>
      </c>
      <c r="F250" t="s">
        <v>198</v>
      </c>
      <c r="G250" s="2" t="s">
        <v>66</v>
      </c>
      <c r="H250" s="2">
        <v>6</v>
      </c>
      <c r="I250" s="2" t="s">
        <v>103</v>
      </c>
      <c r="J250" s="2">
        <v>1.9</v>
      </c>
      <c r="K250" s="2" t="s">
        <v>33</v>
      </c>
      <c r="L250" s="2">
        <v>0.81</v>
      </c>
      <c r="M250" s="2" t="s">
        <v>88</v>
      </c>
      <c r="N250" s="2" t="s">
        <v>42</v>
      </c>
      <c r="O250" s="2">
        <v>9</v>
      </c>
      <c r="P250" s="2" t="str">
        <f>IF(global_freelancer_raw[[#This Row],[No of projects ]]&lt;=5,"Entry level","Well Experienced")</f>
        <v>Well Experienced</v>
      </c>
      <c r="Q250" s="2">
        <v>6</v>
      </c>
    </row>
    <row r="251" spans="1:17" x14ac:dyDescent="0.3">
      <c r="A251" t="s">
        <v>604</v>
      </c>
      <c r="B251" t="s">
        <v>605</v>
      </c>
      <c r="C251" t="s">
        <v>97</v>
      </c>
      <c r="D251" s="2">
        <v>50</v>
      </c>
      <c r="E251" t="s">
        <v>114</v>
      </c>
      <c r="F251" t="s">
        <v>115</v>
      </c>
      <c r="G251" s="2" t="s">
        <v>31</v>
      </c>
      <c r="H251" s="2">
        <v>5</v>
      </c>
      <c r="I251" s="2" t="s">
        <v>22</v>
      </c>
      <c r="J251" s="2" t="s">
        <v>2120</v>
      </c>
      <c r="K251" s="2" t="s">
        <v>33</v>
      </c>
      <c r="L251" s="2" t="s">
        <v>2120</v>
      </c>
      <c r="M251" s="2" t="s">
        <v>88</v>
      </c>
      <c r="N251" s="2" t="s">
        <v>42</v>
      </c>
      <c r="O251" s="2">
        <v>4</v>
      </c>
      <c r="P251" s="2" t="str">
        <f>IF(global_freelancer_raw[[#This Row],[No of projects ]]&lt;=5,"Entry level","Well Experienced")</f>
        <v>Entry level</v>
      </c>
      <c r="Q251" s="2">
        <v>1</v>
      </c>
    </row>
    <row r="252" spans="1:17" x14ac:dyDescent="0.3">
      <c r="A252" t="s">
        <v>606</v>
      </c>
      <c r="B252" t="s">
        <v>607</v>
      </c>
      <c r="C252" t="s">
        <v>97</v>
      </c>
      <c r="D252" s="2">
        <v>42</v>
      </c>
      <c r="E252" t="s">
        <v>201</v>
      </c>
      <c r="F252" t="s">
        <v>92</v>
      </c>
      <c r="G252" s="2" t="s">
        <v>110</v>
      </c>
      <c r="H252" s="2">
        <v>19</v>
      </c>
      <c r="I252" s="2" t="s">
        <v>67</v>
      </c>
      <c r="J252" s="2">
        <v>4.5999999999999996</v>
      </c>
      <c r="K252" s="2" t="s">
        <v>23</v>
      </c>
      <c r="L252" s="2">
        <v>0.78</v>
      </c>
      <c r="M252" s="2" t="s">
        <v>24</v>
      </c>
      <c r="N252" s="2" t="s">
        <v>42</v>
      </c>
      <c r="O252" s="2">
        <v>18</v>
      </c>
      <c r="P252" s="2" t="str">
        <f>IF(global_freelancer_raw[[#This Row],[No of projects ]]&lt;=5,"Entry level","Well Experienced")</f>
        <v>Well Experienced</v>
      </c>
      <c r="Q252" s="2">
        <v>13</v>
      </c>
    </row>
    <row r="253" spans="1:17" x14ac:dyDescent="0.3">
      <c r="A253" t="s">
        <v>608</v>
      </c>
      <c r="B253" t="s">
        <v>609</v>
      </c>
      <c r="C253" t="s">
        <v>118</v>
      </c>
      <c r="D253" s="2">
        <v>43</v>
      </c>
      <c r="E253" t="s">
        <v>38</v>
      </c>
      <c r="F253" t="s">
        <v>38</v>
      </c>
      <c r="G253" s="2" t="s">
        <v>93</v>
      </c>
      <c r="H253" s="2">
        <v>6</v>
      </c>
      <c r="I253" s="2" t="s">
        <v>40</v>
      </c>
      <c r="J253" s="2">
        <v>0</v>
      </c>
      <c r="K253" s="2" t="s">
        <v>23</v>
      </c>
      <c r="L253" s="2">
        <v>81</v>
      </c>
      <c r="M253" s="2" t="s">
        <v>82</v>
      </c>
      <c r="N253" s="2" t="s">
        <v>25</v>
      </c>
      <c r="O253" s="2">
        <v>8</v>
      </c>
      <c r="P253" s="2" t="str">
        <f>IF(global_freelancer_raw[[#This Row],[No of projects ]]&lt;=5,"Entry level","Well Experienced")</f>
        <v>Well Experienced</v>
      </c>
      <c r="Q253" s="2">
        <v>13</v>
      </c>
    </row>
    <row r="254" spans="1:17" x14ac:dyDescent="0.3">
      <c r="A254" t="s">
        <v>610</v>
      </c>
      <c r="B254" t="s">
        <v>611</v>
      </c>
      <c r="C254" t="s">
        <v>118</v>
      </c>
      <c r="D254" s="2">
        <v>34</v>
      </c>
      <c r="E254" t="s">
        <v>38</v>
      </c>
      <c r="F254" t="s">
        <v>38</v>
      </c>
      <c r="G254" s="2" t="s">
        <v>66</v>
      </c>
      <c r="H254" s="2">
        <v>8</v>
      </c>
      <c r="I254" s="2" t="s">
        <v>103</v>
      </c>
      <c r="J254" s="2">
        <v>1.8</v>
      </c>
      <c r="K254" s="2" t="s">
        <v>33</v>
      </c>
      <c r="L254" s="2">
        <v>0.71</v>
      </c>
      <c r="M254" s="2" t="s">
        <v>88</v>
      </c>
      <c r="N254" s="2" t="s">
        <v>75</v>
      </c>
      <c r="O254" s="2">
        <v>8</v>
      </c>
      <c r="P254" s="2" t="str">
        <f>IF(global_freelancer_raw[[#This Row],[No of projects ]]&lt;=5,"Entry level","Well Experienced")</f>
        <v>Well Experienced</v>
      </c>
      <c r="Q254" s="2">
        <v>9</v>
      </c>
    </row>
    <row r="255" spans="1:17" x14ac:dyDescent="0.3">
      <c r="A255" t="s">
        <v>612</v>
      </c>
      <c r="B255" t="s">
        <v>613</v>
      </c>
      <c r="C255" t="s">
        <v>118</v>
      </c>
      <c r="D255" s="2">
        <v>24</v>
      </c>
      <c r="E255" t="s">
        <v>212</v>
      </c>
      <c r="F255" t="s">
        <v>92</v>
      </c>
      <c r="G255" s="2" t="s">
        <v>31</v>
      </c>
      <c r="H255" s="2">
        <v>3</v>
      </c>
      <c r="I255" s="2" t="s">
        <v>103</v>
      </c>
      <c r="J255" s="2">
        <v>2</v>
      </c>
      <c r="K255" s="2" t="s">
        <v>59</v>
      </c>
      <c r="L255" s="2" t="s">
        <v>2120</v>
      </c>
      <c r="M255" s="2" t="s">
        <v>82</v>
      </c>
      <c r="N255" s="2" t="s">
        <v>34</v>
      </c>
      <c r="O255" s="2">
        <v>2</v>
      </c>
      <c r="P255" s="2" t="str">
        <f>IF(global_freelancer_raw[[#This Row],[No of projects ]]&lt;=5,"Entry level","Well Experienced")</f>
        <v>Entry level</v>
      </c>
      <c r="Q255" s="2">
        <v>1</v>
      </c>
    </row>
    <row r="256" spans="1:17" x14ac:dyDescent="0.3">
      <c r="A256" t="s">
        <v>614</v>
      </c>
      <c r="B256" t="s">
        <v>615</v>
      </c>
      <c r="C256" t="s">
        <v>118</v>
      </c>
      <c r="D256" s="2">
        <v>48</v>
      </c>
      <c r="E256" t="s">
        <v>175</v>
      </c>
      <c r="F256" t="s">
        <v>176</v>
      </c>
      <c r="G256" s="2" t="s">
        <v>93</v>
      </c>
      <c r="H256" s="2">
        <v>8</v>
      </c>
      <c r="I256" s="2" t="s">
        <v>52</v>
      </c>
      <c r="J256" s="2">
        <v>5</v>
      </c>
      <c r="K256" s="2" t="s">
        <v>33</v>
      </c>
      <c r="L256" s="2">
        <v>0.99</v>
      </c>
      <c r="M256" s="2" t="s">
        <v>24</v>
      </c>
      <c r="N256" s="2" t="s">
        <v>75</v>
      </c>
      <c r="O256" s="2">
        <v>6</v>
      </c>
      <c r="P256" s="2" t="str">
        <f>IF(global_freelancer_raw[[#This Row],[No of projects ]]&lt;=5,"Entry level","Well Experienced")</f>
        <v>Well Experienced</v>
      </c>
      <c r="Q256" s="2">
        <v>9</v>
      </c>
    </row>
    <row r="257" spans="1:17" x14ac:dyDescent="0.3">
      <c r="A257" t="s">
        <v>616</v>
      </c>
      <c r="B257" t="s">
        <v>617</v>
      </c>
      <c r="C257" t="s">
        <v>97</v>
      </c>
      <c r="D257" s="2">
        <v>39</v>
      </c>
      <c r="E257" t="s">
        <v>133</v>
      </c>
      <c r="F257" t="s">
        <v>134</v>
      </c>
      <c r="G257" s="2" t="s">
        <v>66</v>
      </c>
      <c r="H257" s="2">
        <v>12</v>
      </c>
      <c r="I257" s="2" t="s">
        <v>142</v>
      </c>
      <c r="J257" s="2">
        <v>3.2</v>
      </c>
      <c r="K257" s="2" t="s">
        <v>74</v>
      </c>
      <c r="L257" s="2">
        <v>0.66</v>
      </c>
      <c r="M257" s="2" t="s">
        <v>24</v>
      </c>
      <c r="N257" s="2" t="s">
        <v>34</v>
      </c>
      <c r="O257" s="2">
        <v>15</v>
      </c>
      <c r="P257" s="2" t="str">
        <f>IF(global_freelancer_raw[[#This Row],[No of projects ]]&lt;=5,"Entry level","Well Experienced")</f>
        <v>Well Experienced</v>
      </c>
      <c r="Q257" s="2">
        <v>6</v>
      </c>
    </row>
    <row r="258" spans="1:17" x14ac:dyDescent="0.3">
      <c r="A258" t="s">
        <v>618</v>
      </c>
      <c r="B258" t="s">
        <v>619</v>
      </c>
      <c r="C258" t="s">
        <v>97</v>
      </c>
      <c r="D258" s="2">
        <v>57</v>
      </c>
      <c r="E258" t="s">
        <v>29</v>
      </c>
      <c r="F258" t="s">
        <v>30</v>
      </c>
      <c r="G258" s="2" t="s">
        <v>21</v>
      </c>
      <c r="H258" s="2">
        <v>30</v>
      </c>
      <c r="I258" s="2" t="s">
        <v>58</v>
      </c>
      <c r="J258" s="2">
        <v>2.4</v>
      </c>
      <c r="K258" s="2" t="s">
        <v>2120</v>
      </c>
      <c r="L258" s="2">
        <v>0.8</v>
      </c>
      <c r="M258" s="2" t="s">
        <v>60</v>
      </c>
      <c r="N258" s="2" t="s">
        <v>42</v>
      </c>
      <c r="O258" s="2">
        <v>13</v>
      </c>
      <c r="P258" s="2" t="str">
        <f>IF(global_freelancer_raw[[#This Row],[No of projects ]]&lt;=5,"Entry level","Well Experienced")</f>
        <v>Well Experienced</v>
      </c>
      <c r="Q258" s="2">
        <v>8</v>
      </c>
    </row>
    <row r="259" spans="1:17" x14ac:dyDescent="0.3">
      <c r="A259" t="s">
        <v>620</v>
      </c>
      <c r="B259" t="s">
        <v>621</v>
      </c>
      <c r="C259" t="s">
        <v>97</v>
      </c>
      <c r="D259" s="2">
        <v>44</v>
      </c>
      <c r="E259" t="s">
        <v>149</v>
      </c>
      <c r="F259" t="s">
        <v>30</v>
      </c>
      <c r="G259" s="2" t="s">
        <v>46</v>
      </c>
      <c r="H259" s="2">
        <v>21</v>
      </c>
      <c r="I259" s="2" t="s">
        <v>22</v>
      </c>
      <c r="J259" s="2">
        <v>2.9</v>
      </c>
      <c r="K259" s="2" t="s">
        <v>23</v>
      </c>
      <c r="L259" s="2">
        <v>0.83</v>
      </c>
      <c r="M259" s="2" t="s">
        <v>88</v>
      </c>
      <c r="N259" s="2" t="s">
        <v>75</v>
      </c>
      <c r="O259" s="2">
        <v>17</v>
      </c>
      <c r="P259" s="2" t="str">
        <f>IF(global_freelancer_raw[[#This Row],[No of projects ]]&lt;=5,"Entry level","Well Experienced")</f>
        <v>Well Experienced</v>
      </c>
      <c r="Q259" s="2">
        <v>1</v>
      </c>
    </row>
    <row r="260" spans="1:17" x14ac:dyDescent="0.3">
      <c r="A260" t="s">
        <v>622</v>
      </c>
      <c r="B260" t="s">
        <v>623</v>
      </c>
      <c r="C260" t="s">
        <v>118</v>
      </c>
      <c r="D260" s="2">
        <v>37</v>
      </c>
      <c r="E260" t="s">
        <v>128</v>
      </c>
      <c r="F260" t="s">
        <v>129</v>
      </c>
      <c r="G260" s="2" t="s">
        <v>93</v>
      </c>
      <c r="H260" s="2">
        <v>17</v>
      </c>
      <c r="I260" s="2" t="s">
        <v>336</v>
      </c>
      <c r="J260" s="2">
        <v>0</v>
      </c>
      <c r="K260" s="2" t="s">
        <v>87</v>
      </c>
      <c r="L260" s="2">
        <v>87</v>
      </c>
      <c r="M260" s="2" t="s">
        <v>82</v>
      </c>
      <c r="N260" s="2" t="s">
        <v>34</v>
      </c>
      <c r="O260" s="2">
        <v>16</v>
      </c>
      <c r="P260" s="2" t="str">
        <f>IF(global_freelancer_raw[[#This Row],[No of projects ]]&lt;=5,"Entry level","Well Experienced")</f>
        <v>Well Experienced</v>
      </c>
      <c r="Q260" s="2">
        <v>7</v>
      </c>
    </row>
    <row r="261" spans="1:17" x14ac:dyDescent="0.3">
      <c r="A261" t="s">
        <v>624</v>
      </c>
      <c r="B261" t="s">
        <v>625</v>
      </c>
      <c r="C261" t="s">
        <v>118</v>
      </c>
      <c r="D261" s="2">
        <v>50</v>
      </c>
      <c r="E261" t="s">
        <v>79</v>
      </c>
      <c r="F261" t="s">
        <v>80</v>
      </c>
      <c r="G261" s="2" t="s">
        <v>66</v>
      </c>
      <c r="H261" s="2">
        <v>9</v>
      </c>
      <c r="I261" s="2" t="s">
        <v>52</v>
      </c>
      <c r="J261" s="2">
        <v>3</v>
      </c>
      <c r="K261" s="2" t="s">
        <v>23</v>
      </c>
      <c r="L261" s="2">
        <v>76</v>
      </c>
      <c r="M261" s="2" t="s">
        <v>60</v>
      </c>
      <c r="N261" s="2" t="s">
        <v>25</v>
      </c>
      <c r="O261" s="2">
        <v>15</v>
      </c>
      <c r="P261" s="2" t="str">
        <f>IF(global_freelancer_raw[[#This Row],[No of projects ]]&lt;=5,"Entry level","Well Experienced")</f>
        <v>Well Experienced</v>
      </c>
      <c r="Q261" s="2">
        <v>3</v>
      </c>
    </row>
    <row r="262" spans="1:17" x14ac:dyDescent="0.3">
      <c r="A262" t="s">
        <v>626</v>
      </c>
      <c r="B262" t="s">
        <v>627</v>
      </c>
      <c r="C262" t="s">
        <v>118</v>
      </c>
      <c r="D262" s="2">
        <v>50</v>
      </c>
      <c r="E262" t="s">
        <v>212</v>
      </c>
      <c r="F262" t="s">
        <v>92</v>
      </c>
      <c r="G262" s="2" t="s">
        <v>93</v>
      </c>
      <c r="H262" s="2">
        <v>2</v>
      </c>
      <c r="I262" s="2" t="s">
        <v>40</v>
      </c>
      <c r="J262" s="2">
        <v>1.6</v>
      </c>
      <c r="K262" s="2" t="s">
        <v>181</v>
      </c>
      <c r="L262" s="2">
        <v>0.89</v>
      </c>
      <c r="M262" s="2" t="s">
        <v>88</v>
      </c>
      <c r="N262" s="2" t="s">
        <v>25</v>
      </c>
      <c r="O262" s="2">
        <v>3</v>
      </c>
      <c r="P262" s="2" t="str">
        <f>IF(global_freelancer_raw[[#This Row],[No of projects ]]&lt;=5,"Entry level","Well Experienced")</f>
        <v>Entry level</v>
      </c>
      <c r="Q262" s="2">
        <v>1</v>
      </c>
    </row>
    <row r="263" spans="1:17" x14ac:dyDescent="0.3">
      <c r="A263" t="s">
        <v>628</v>
      </c>
      <c r="B263" t="s">
        <v>629</v>
      </c>
      <c r="C263" t="s">
        <v>97</v>
      </c>
      <c r="D263" s="2">
        <v>28</v>
      </c>
      <c r="E263" t="s">
        <v>156</v>
      </c>
      <c r="F263" t="s">
        <v>157</v>
      </c>
      <c r="G263" s="2" t="s">
        <v>39</v>
      </c>
      <c r="H263" s="2">
        <v>1</v>
      </c>
      <c r="I263" s="2" t="s">
        <v>162</v>
      </c>
      <c r="J263" s="2">
        <v>3.6</v>
      </c>
      <c r="K263" s="2" t="s">
        <v>87</v>
      </c>
      <c r="L263" s="2">
        <v>0.94</v>
      </c>
      <c r="M263" s="2" t="s">
        <v>60</v>
      </c>
      <c r="N263" s="2" t="s">
        <v>75</v>
      </c>
      <c r="O263" s="2">
        <v>3</v>
      </c>
      <c r="P263" s="2" t="str">
        <f>IF(global_freelancer_raw[[#This Row],[No of projects ]]&lt;=5,"Entry level","Well Experienced")</f>
        <v>Entry level</v>
      </c>
      <c r="Q263" s="2">
        <v>1</v>
      </c>
    </row>
    <row r="264" spans="1:17" x14ac:dyDescent="0.3">
      <c r="A264" t="s">
        <v>630</v>
      </c>
      <c r="B264" t="s">
        <v>631</v>
      </c>
      <c r="C264" t="s">
        <v>118</v>
      </c>
      <c r="D264" s="2">
        <v>48</v>
      </c>
      <c r="E264" t="s">
        <v>19</v>
      </c>
      <c r="F264" t="s">
        <v>20</v>
      </c>
      <c r="G264" s="2" t="s">
        <v>46</v>
      </c>
      <c r="H264" s="2">
        <v>23</v>
      </c>
      <c r="I264" s="2" t="s">
        <v>2119</v>
      </c>
      <c r="J264" s="2">
        <v>2.1</v>
      </c>
      <c r="K264" s="2" t="s">
        <v>23</v>
      </c>
      <c r="L264" s="2">
        <v>0.68</v>
      </c>
      <c r="M264" s="2" t="s">
        <v>24</v>
      </c>
      <c r="N264" s="2" t="s">
        <v>75</v>
      </c>
      <c r="O264" s="2">
        <v>14</v>
      </c>
      <c r="P264" s="2" t="str">
        <f>IF(global_freelancer_raw[[#This Row],[No of projects ]]&lt;=5,"Entry level","Well Experienced")</f>
        <v>Well Experienced</v>
      </c>
      <c r="Q264" s="2">
        <v>7</v>
      </c>
    </row>
    <row r="265" spans="1:17" x14ac:dyDescent="0.3">
      <c r="A265" t="s">
        <v>632</v>
      </c>
      <c r="B265" t="s">
        <v>633</v>
      </c>
      <c r="C265" t="s">
        <v>118</v>
      </c>
      <c r="D265" s="2">
        <v>42</v>
      </c>
      <c r="E265" t="s">
        <v>38</v>
      </c>
      <c r="F265" t="s">
        <v>38</v>
      </c>
      <c r="G265" s="2" t="s">
        <v>110</v>
      </c>
      <c r="H265" s="2">
        <v>8</v>
      </c>
      <c r="I265" s="2" t="s">
        <v>52</v>
      </c>
      <c r="J265" s="2">
        <v>3.6</v>
      </c>
      <c r="K265" s="2" t="s">
        <v>33</v>
      </c>
      <c r="L265" s="2">
        <v>0.96</v>
      </c>
      <c r="M265" s="2" t="s">
        <v>88</v>
      </c>
      <c r="N265" s="2" t="s">
        <v>42</v>
      </c>
      <c r="O265" s="2">
        <v>9</v>
      </c>
      <c r="P265" s="2" t="str">
        <f>IF(global_freelancer_raw[[#This Row],[No of projects ]]&lt;=5,"Entry level","Well Experienced")</f>
        <v>Well Experienced</v>
      </c>
      <c r="Q265" s="2">
        <v>7</v>
      </c>
    </row>
    <row r="266" spans="1:17" x14ac:dyDescent="0.3">
      <c r="A266" t="s">
        <v>634</v>
      </c>
      <c r="B266" t="s">
        <v>635</v>
      </c>
      <c r="C266" t="s">
        <v>97</v>
      </c>
      <c r="D266" s="2">
        <v>37</v>
      </c>
      <c r="E266" t="s">
        <v>149</v>
      </c>
      <c r="F266" t="s">
        <v>30</v>
      </c>
      <c r="G266" s="2" t="s">
        <v>66</v>
      </c>
      <c r="H266" s="2">
        <v>6</v>
      </c>
      <c r="I266" s="2" t="s">
        <v>142</v>
      </c>
      <c r="J266" s="2">
        <v>2.7</v>
      </c>
      <c r="K266" s="2" t="s">
        <v>74</v>
      </c>
      <c r="L266" s="2">
        <v>0.91</v>
      </c>
      <c r="M266" s="2" t="s">
        <v>60</v>
      </c>
      <c r="N266" s="2" t="s">
        <v>75</v>
      </c>
      <c r="O266" s="2">
        <v>6</v>
      </c>
      <c r="P266" s="2" t="str">
        <f>IF(global_freelancer_raw[[#This Row],[No of projects ]]&lt;=5,"Entry level","Well Experienced")</f>
        <v>Well Experienced</v>
      </c>
      <c r="Q266" s="2">
        <v>4</v>
      </c>
    </row>
    <row r="267" spans="1:17" x14ac:dyDescent="0.3">
      <c r="A267" t="s">
        <v>636</v>
      </c>
      <c r="B267" t="s">
        <v>637</v>
      </c>
      <c r="C267" t="s">
        <v>118</v>
      </c>
      <c r="D267" s="2">
        <v>21</v>
      </c>
      <c r="E267" t="s">
        <v>114</v>
      </c>
      <c r="F267" t="s">
        <v>115</v>
      </c>
      <c r="G267" s="2" t="s">
        <v>21</v>
      </c>
      <c r="H267" s="2">
        <v>1</v>
      </c>
      <c r="I267" s="2" t="s">
        <v>22</v>
      </c>
      <c r="J267" s="2">
        <v>2.1</v>
      </c>
      <c r="K267" s="2" t="s">
        <v>33</v>
      </c>
      <c r="L267" s="2">
        <v>0.92</v>
      </c>
      <c r="M267" s="2" t="s">
        <v>60</v>
      </c>
      <c r="N267" s="2" t="s">
        <v>42</v>
      </c>
      <c r="O267" s="2">
        <v>5</v>
      </c>
      <c r="P267" s="2" t="str">
        <f>IF(global_freelancer_raw[[#This Row],[No of projects ]]&lt;=5,"Entry level","Well Experienced")</f>
        <v>Entry level</v>
      </c>
      <c r="Q267" s="2">
        <v>4</v>
      </c>
    </row>
    <row r="268" spans="1:17" x14ac:dyDescent="0.3">
      <c r="A268" t="s">
        <v>638</v>
      </c>
      <c r="B268" t="s">
        <v>639</v>
      </c>
      <c r="C268" t="s">
        <v>118</v>
      </c>
      <c r="D268" s="2">
        <v>50</v>
      </c>
      <c r="E268" t="s">
        <v>133</v>
      </c>
      <c r="F268" t="s">
        <v>134</v>
      </c>
      <c r="G268" s="2" t="s">
        <v>46</v>
      </c>
      <c r="H268" s="2">
        <v>19</v>
      </c>
      <c r="I268" s="2" t="s">
        <v>47</v>
      </c>
      <c r="J268" s="2">
        <v>4.9000000000000004</v>
      </c>
      <c r="K268" s="2" t="s">
        <v>2120</v>
      </c>
      <c r="L268" s="2">
        <v>0.82</v>
      </c>
      <c r="M268" s="2" t="s">
        <v>82</v>
      </c>
      <c r="N268" s="2" t="s">
        <v>42</v>
      </c>
      <c r="O268" s="2">
        <v>15</v>
      </c>
      <c r="P268" s="2" t="str">
        <f>IF(global_freelancer_raw[[#This Row],[No of projects ]]&lt;=5,"Entry level","Well Experienced")</f>
        <v>Well Experienced</v>
      </c>
      <c r="Q268" s="2">
        <v>15</v>
      </c>
    </row>
    <row r="269" spans="1:17" x14ac:dyDescent="0.3">
      <c r="A269" t="s">
        <v>640</v>
      </c>
      <c r="B269" t="s">
        <v>641</v>
      </c>
      <c r="C269" t="s">
        <v>97</v>
      </c>
      <c r="D269" s="2">
        <v>22</v>
      </c>
      <c r="E269" t="s">
        <v>91</v>
      </c>
      <c r="F269" t="s">
        <v>92</v>
      </c>
      <c r="G269" s="2" t="s">
        <v>57</v>
      </c>
      <c r="H269" s="2">
        <v>2</v>
      </c>
      <c r="I269" s="2" t="s">
        <v>52</v>
      </c>
      <c r="J269" s="2">
        <v>2.1</v>
      </c>
      <c r="K269" s="2" t="s">
        <v>2120</v>
      </c>
      <c r="L269" s="2" t="s">
        <v>2120</v>
      </c>
      <c r="M269" s="2" t="s">
        <v>60</v>
      </c>
      <c r="N269" s="2" t="s">
        <v>25</v>
      </c>
      <c r="O269" s="2">
        <v>2</v>
      </c>
      <c r="P269" s="2" t="str">
        <f>IF(global_freelancer_raw[[#This Row],[No of projects ]]&lt;=5,"Entry level","Well Experienced")</f>
        <v>Entry level</v>
      </c>
      <c r="Q269" s="2">
        <v>2</v>
      </c>
    </row>
    <row r="270" spans="1:17" x14ac:dyDescent="0.3">
      <c r="A270" t="s">
        <v>642</v>
      </c>
      <c r="B270" t="s">
        <v>643</v>
      </c>
      <c r="C270" t="s">
        <v>97</v>
      </c>
      <c r="D270" s="2">
        <v>39</v>
      </c>
      <c r="E270" t="s">
        <v>106</v>
      </c>
      <c r="F270" t="s">
        <v>107</v>
      </c>
      <c r="G270" s="2" t="s">
        <v>46</v>
      </c>
      <c r="H270" s="2">
        <v>21</v>
      </c>
      <c r="I270" s="2" t="s">
        <v>22</v>
      </c>
      <c r="J270" s="2">
        <v>0</v>
      </c>
      <c r="K270" s="2" t="s">
        <v>181</v>
      </c>
      <c r="L270" s="2">
        <v>0.91</v>
      </c>
      <c r="M270" s="2" t="s">
        <v>88</v>
      </c>
      <c r="N270" s="2" t="s">
        <v>25</v>
      </c>
      <c r="O270" s="2">
        <v>17</v>
      </c>
      <c r="P270" s="2" t="str">
        <f>IF(global_freelancer_raw[[#This Row],[No of projects ]]&lt;=5,"Entry level","Well Experienced")</f>
        <v>Well Experienced</v>
      </c>
      <c r="Q270" s="2">
        <v>13</v>
      </c>
    </row>
    <row r="271" spans="1:17" x14ac:dyDescent="0.3">
      <c r="A271" t="s">
        <v>644</v>
      </c>
      <c r="B271" t="s">
        <v>645</v>
      </c>
      <c r="C271" t="s">
        <v>97</v>
      </c>
      <c r="D271" s="2">
        <v>25</v>
      </c>
      <c r="E271" t="s">
        <v>106</v>
      </c>
      <c r="F271" t="s">
        <v>107</v>
      </c>
      <c r="G271" s="2" t="s">
        <v>135</v>
      </c>
      <c r="H271" s="2">
        <v>3</v>
      </c>
      <c r="I271" s="2" t="s">
        <v>81</v>
      </c>
      <c r="J271" s="2">
        <v>2.8</v>
      </c>
      <c r="K271" s="2" t="s">
        <v>87</v>
      </c>
      <c r="L271" s="2">
        <v>86</v>
      </c>
      <c r="M271" s="2" t="s">
        <v>88</v>
      </c>
      <c r="N271" s="2" t="s">
        <v>34</v>
      </c>
      <c r="O271" s="2">
        <v>3</v>
      </c>
      <c r="P271" s="2" t="str">
        <f>IF(global_freelancer_raw[[#This Row],[No of projects ]]&lt;=5,"Entry level","Well Experienced")</f>
        <v>Entry level</v>
      </c>
      <c r="Q271" s="2">
        <v>2</v>
      </c>
    </row>
    <row r="272" spans="1:17" x14ac:dyDescent="0.3">
      <c r="A272" t="s">
        <v>646</v>
      </c>
      <c r="B272" t="s">
        <v>647</v>
      </c>
      <c r="C272" t="s">
        <v>97</v>
      </c>
      <c r="D272" s="2">
        <v>47</v>
      </c>
      <c r="E272" t="s">
        <v>175</v>
      </c>
      <c r="F272" t="s">
        <v>176</v>
      </c>
      <c r="G272" s="2" t="s">
        <v>31</v>
      </c>
      <c r="H272" s="2">
        <v>14</v>
      </c>
      <c r="I272" s="2" t="s">
        <v>2119</v>
      </c>
      <c r="J272" s="2" t="s">
        <v>2120</v>
      </c>
      <c r="K272" s="2" t="s">
        <v>59</v>
      </c>
      <c r="L272" s="2">
        <v>0.69</v>
      </c>
      <c r="M272" s="2" t="s">
        <v>82</v>
      </c>
      <c r="N272" s="2" t="s">
        <v>25</v>
      </c>
      <c r="O272" s="2">
        <v>12</v>
      </c>
      <c r="P272" s="2" t="str">
        <f>IF(global_freelancer_raw[[#This Row],[No of projects ]]&lt;=5,"Entry level","Well Experienced")</f>
        <v>Well Experienced</v>
      </c>
      <c r="Q272" s="2">
        <v>13</v>
      </c>
    </row>
    <row r="273" spans="1:17" x14ac:dyDescent="0.3">
      <c r="A273" t="s">
        <v>648</v>
      </c>
      <c r="B273" t="s">
        <v>649</v>
      </c>
      <c r="C273" t="s">
        <v>97</v>
      </c>
      <c r="D273" s="2">
        <v>35</v>
      </c>
      <c r="E273" t="s">
        <v>175</v>
      </c>
      <c r="F273" t="s">
        <v>176</v>
      </c>
      <c r="G273" s="2" t="s">
        <v>93</v>
      </c>
      <c r="H273" s="2">
        <v>10</v>
      </c>
      <c r="I273" s="2" t="s">
        <v>32</v>
      </c>
      <c r="J273" s="2">
        <v>4.7</v>
      </c>
      <c r="K273" s="2" t="s">
        <v>74</v>
      </c>
      <c r="L273" s="2">
        <v>0.84</v>
      </c>
      <c r="M273" s="2" t="s">
        <v>88</v>
      </c>
      <c r="N273" s="2" t="s">
        <v>25</v>
      </c>
      <c r="O273" s="2">
        <v>7</v>
      </c>
      <c r="P273" s="2" t="str">
        <f>IF(global_freelancer_raw[[#This Row],[No of projects ]]&lt;=5,"Entry level","Well Experienced")</f>
        <v>Well Experienced</v>
      </c>
      <c r="Q273" s="2">
        <v>13</v>
      </c>
    </row>
    <row r="274" spans="1:17" x14ac:dyDescent="0.3">
      <c r="A274" t="s">
        <v>650</v>
      </c>
      <c r="B274" t="s">
        <v>651</v>
      </c>
      <c r="C274" t="s">
        <v>97</v>
      </c>
      <c r="D274" s="2" t="s">
        <v>2119</v>
      </c>
      <c r="E274" t="s">
        <v>85</v>
      </c>
      <c r="F274" t="s">
        <v>30</v>
      </c>
      <c r="G274" s="2" t="s">
        <v>98</v>
      </c>
      <c r="H274" s="2">
        <v>5</v>
      </c>
      <c r="I274" s="2" t="s">
        <v>22</v>
      </c>
      <c r="J274" s="2">
        <v>1.3</v>
      </c>
      <c r="K274" s="2" t="s">
        <v>23</v>
      </c>
      <c r="L274" s="2">
        <v>0.6</v>
      </c>
      <c r="M274" s="2" t="s">
        <v>24</v>
      </c>
      <c r="N274" s="2" t="s">
        <v>75</v>
      </c>
      <c r="O274" s="2">
        <v>5</v>
      </c>
      <c r="P274" s="2" t="str">
        <f>IF(global_freelancer_raw[[#This Row],[No of projects ]]&lt;=5,"Entry level","Well Experienced")</f>
        <v>Entry level</v>
      </c>
      <c r="Q274" s="2">
        <v>2</v>
      </c>
    </row>
    <row r="275" spans="1:17" x14ac:dyDescent="0.3">
      <c r="A275" t="s">
        <v>652</v>
      </c>
      <c r="B275" t="s">
        <v>653</v>
      </c>
      <c r="C275" t="s">
        <v>118</v>
      </c>
      <c r="D275" s="2">
        <v>35</v>
      </c>
      <c r="E275" t="s">
        <v>55</v>
      </c>
      <c r="F275" t="s">
        <v>56</v>
      </c>
      <c r="G275" s="2" t="s">
        <v>21</v>
      </c>
      <c r="H275" s="2">
        <v>6</v>
      </c>
      <c r="I275" s="2" t="s">
        <v>67</v>
      </c>
      <c r="J275" s="2">
        <v>1.6</v>
      </c>
      <c r="K275" s="2" t="s">
        <v>33</v>
      </c>
      <c r="L275" s="2">
        <v>0.97</v>
      </c>
      <c r="M275" s="2" t="s">
        <v>88</v>
      </c>
      <c r="N275" s="2" t="s">
        <v>25</v>
      </c>
      <c r="O275" s="2">
        <v>13</v>
      </c>
      <c r="P275" s="2" t="str">
        <f>IF(global_freelancer_raw[[#This Row],[No of projects ]]&lt;=5,"Entry level","Well Experienced")</f>
        <v>Well Experienced</v>
      </c>
      <c r="Q275" s="2">
        <v>6</v>
      </c>
    </row>
    <row r="276" spans="1:17" x14ac:dyDescent="0.3">
      <c r="A276" t="s">
        <v>654</v>
      </c>
      <c r="B276" t="s">
        <v>655</v>
      </c>
      <c r="C276" t="s">
        <v>118</v>
      </c>
      <c r="D276" s="2">
        <v>59</v>
      </c>
      <c r="E276" t="s">
        <v>156</v>
      </c>
      <c r="F276" t="s">
        <v>157</v>
      </c>
      <c r="G276" s="2" t="s">
        <v>46</v>
      </c>
      <c r="H276" s="2">
        <v>21</v>
      </c>
      <c r="I276" s="2" t="s">
        <v>22</v>
      </c>
      <c r="J276" s="2">
        <v>0</v>
      </c>
      <c r="K276" s="2" t="s">
        <v>2120</v>
      </c>
      <c r="L276" s="2">
        <v>0.7</v>
      </c>
      <c r="M276" s="2" t="s">
        <v>88</v>
      </c>
      <c r="N276" s="2" t="s">
        <v>34</v>
      </c>
      <c r="O276" s="2">
        <v>17</v>
      </c>
      <c r="P276" s="2" t="str">
        <f>IF(global_freelancer_raw[[#This Row],[No of projects ]]&lt;=5,"Entry level","Well Experienced")</f>
        <v>Well Experienced</v>
      </c>
      <c r="Q276" s="2">
        <v>7</v>
      </c>
    </row>
    <row r="277" spans="1:17" x14ac:dyDescent="0.3">
      <c r="A277" t="s">
        <v>656</v>
      </c>
      <c r="B277" t="s">
        <v>657</v>
      </c>
      <c r="C277" t="s">
        <v>97</v>
      </c>
      <c r="D277" s="2">
        <v>26</v>
      </c>
      <c r="E277" t="s">
        <v>197</v>
      </c>
      <c r="F277" t="s">
        <v>198</v>
      </c>
      <c r="G277" s="2" t="s">
        <v>93</v>
      </c>
      <c r="H277" s="2">
        <v>4</v>
      </c>
      <c r="I277" s="2" t="s">
        <v>32</v>
      </c>
      <c r="J277" s="2">
        <v>3.6</v>
      </c>
      <c r="K277" s="2" t="s">
        <v>181</v>
      </c>
      <c r="L277" s="2">
        <v>0.81</v>
      </c>
      <c r="M277" s="2" t="s">
        <v>60</v>
      </c>
      <c r="N277" s="2" t="s">
        <v>75</v>
      </c>
      <c r="O277" s="2">
        <v>5</v>
      </c>
      <c r="P277" s="2" t="str">
        <f>IF(global_freelancer_raw[[#This Row],[No of projects ]]&lt;=5,"Entry level","Well Experienced")</f>
        <v>Entry level</v>
      </c>
      <c r="Q277" s="2">
        <v>2</v>
      </c>
    </row>
    <row r="278" spans="1:17" x14ac:dyDescent="0.3">
      <c r="A278" t="s">
        <v>658</v>
      </c>
      <c r="B278" t="s">
        <v>659</v>
      </c>
      <c r="C278" t="s">
        <v>118</v>
      </c>
      <c r="D278" s="2">
        <v>44</v>
      </c>
      <c r="E278" t="s">
        <v>145</v>
      </c>
      <c r="F278" t="s">
        <v>146</v>
      </c>
      <c r="G278" s="2" t="s">
        <v>135</v>
      </c>
      <c r="H278" s="2">
        <v>18</v>
      </c>
      <c r="I278" s="2" t="s">
        <v>162</v>
      </c>
      <c r="J278" s="2">
        <v>4.7</v>
      </c>
      <c r="K278" s="2" t="s">
        <v>33</v>
      </c>
      <c r="L278" s="2">
        <v>0.88</v>
      </c>
      <c r="M278" s="2" t="s">
        <v>60</v>
      </c>
      <c r="N278" s="2" t="s">
        <v>34</v>
      </c>
      <c r="O278" s="2">
        <v>15</v>
      </c>
      <c r="P278" s="2" t="str">
        <f>IF(global_freelancer_raw[[#This Row],[No of projects ]]&lt;=5,"Entry level","Well Experienced")</f>
        <v>Well Experienced</v>
      </c>
      <c r="Q278" s="2">
        <v>10</v>
      </c>
    </row>
    <row r="279" spans="1:17" x14ac:dyDescent="0.3">
      <c r="A279" t="s">
        <v>660</v>
      </c>
      <c r="B279" t="s">
        <v>661</v>
      </c>
      <c r="C279" t="s">
        <v>97</v>
      </c>
      <c r="D279" s="2">
        <v>31</v>
      </c>
      <c r="E279" t="s">
        <v>175</v>
      </c>
      <c r="F279" t="s">
        <v>176</v>
      </c>
      <c r="G279" s="2" t="s">
        <v>93</v>
      </c>
      <c r="H279" s="2">
        <v>12</v>
      </c>
      <c r="I279" s="2" t="s">
        <v>47</v>
      </c>
      <c r="J279" s="2" t="s">
        <v>2120</v>
      </c>
      <c r="K279" s="2" t="s">
        <v>33</v>
      </c>
      <c r="L279" s="2">
        <v>1</v>
      </c>
      <c r="M279" s="2" t="s">
        <v>88</v>
      </c>
      <c r="N279" s="2" t="s">
        <v>25</v>
      </c>
      <c r="O279" s="2">
        <v>15</v>
      </c>
      <c r="P279" s="2" t="str">
        <f>IF(global_freelancer_raw[[#This Row],[No of projects ]]&lt;=5,"Entry level","Well Experienced")</f>
        <v>Well Experienced</v>
      </c>
      <c r="Q279" s="2">
        <v>13</v>
      </c>
    </row>
    <row r="280" spans="1:17" x14ac:dyDescent="0.3">
      <c r="A280" t="s">
        <v>662</v>
      </c>
      <c r="B280" t="s">
        <v>663</v>
      </c>
      <c r="C280" t="s">
        <v>118</v>
      </c>
      <c r="D280" s="2">
        <v>60</v>
      </c>
      <c r="E280" t="s">
        <v>79</v>
      </c>
      <c r="F280" t="s">
        <v>80</v>
      </c>
      <c r="G280" s="2" t="s">
        <v>66</v>
      </c>
      <c r="H280" s="2">
        <v>6</v>
      </c>
      <c r="I280" s="2" t="s">
        <v>2119</v>
      </c>
      <c r="J280" s="2">
        <v>3.2</v>
      </c>
      <c r="K280" s="2" t="s">
        <v>23</v>
      </c>
      <c r="L280" s="2">
        <v>95</v>
      </c>
      <c r="M280" s="2" t="s">
        <v>82</v>
      </c>
      <c r="N280" s="2" t="s">
        <v>34</v>
      </c>
      <c r="O280" s="2">
        <v>10</v>
      </c>
      <c r="P280" s="2" t="str">
        <f>IF(global_freelancer_raw[[#This Row],[No of projects ]]&lt;=5,"Entry level","Well Experienced")</f>
        <v>Well Experienced</v>
      </c>
      <c r="Q280" s="2">
        <v>5</v>
      </c>
    </row>
    <row r="281" spans="1:17" x14ac:dyDescent="0.3">
      <c r="A281" t="s">
        <v>664</v>
      </c>
      <c r="B281" t="s">
        <v>665</v>
      </c>
      <c r="C281" t="s">
        <v>97</v>
      </c>
      <c r="D281" s="2">
        <v>23</v>
      </c>
      <c r="E281" t="s">
        <v>85</v>
      </c>
      <c r="F281" t="s">
        <v>30</v>
      </c>
      <c r="G281" s="2" t="s">
        <v>21</v>
      </c>
      <c r="H281" s="2">
        <v>4</v>
      </c>
      <c r="I281" s="2" t="s">
        <v>336</v>
      </c>
      <c r="J281" s="2" t="s">
        <v>2120</v>
      </c>
      <c r="K281" s="2" t="s">
        <v>23</v>
      </c>
      <c r="L281" s="2">
        <v>0.71</v>
      </c>
      <c r="M281" s="2" t="s">
        <v>60</v>
      </c>
      <c r="N281" s="2" t="s">
        <v>75</v>
      </c>
      <c r="O281" s="2">
        <v>3</v>
      </c>
      <c r="P281" s="2" t="str">
        <f>IF(global_freelancer_raw[[#This Row],[No of projects ]]&lt;=5,"Entry level","Well Experienced")</f>
        <v>Entry level</v>
      </c>
      <c r="Q281" s="2">
        <v>5</v>
      </c>
    </row>
    <row r="282" spans="1:17" x14ac:dyDescent="0.3">
      <c r="A282" t="s">
        <v>666</v>
      </c>
      <c r="B282" t="s">
        <v>667</v>
      </c>
      <c r="C282" t="s">
        <v>118</v>
      </c>
      <c r="D282" s="2">
        <v>42</v>
      </c>
      <c r="E282" t="s">
        <v>64</v>
      </c>
      <c r="F282" t="s">
        <v>65</v>
      </c>
      <c r="G282" s="2" t="s">
        <v>93</v>
      </c>
      <c r="H282" s="2">
        <v>13</v>
      </c>
      <c r="I282" s="2" t="s">
        <v>142</v>
      </c>
      <c r="J282" s="2">
        <v>4.7</v>
      </c>
      <c r="K282" s="2" t="s">
        <v>41</v>
      </c>
      <c r="L282" s="2">
        <v>0.85</v>
      </c>
      <c r="M282" s="2" t="s">
        <v>82</v>
      </c>
      <c r="N282" s="2" t="s">
        <v>42</v>
      </c>
      <c r="O282" s="2">
        <v>9</v>
      </c>
      <c r="P282" s="2" t="str">
        <f>IF(global_freelancer_raw[[#This Row],[No of projects ]]&lt;=5,"Entry level","Well Experienced")</f>
        <v>Well Experienced</v>
      </c>
      <c r="Q282" s="2">
        <v>3</v>
      </c>
    </row>
    <row r="283" spans="1:17" x14ac:dyDescent="0.3">
      <c r="A283" t="s">
        <v>668</v>
      </c>
      <c r="B283" t="s">
        <v>669</v>
      </c>
      <c r="C283" t="s">
        <v>97</v>
      </c>
      <c r="D283" s="2">
        <v>48</v>
      </c>
      <c r="E283" t="s">
        <v>114</v>
      </c>
      <c r="F283" t="s">
        <v>115</v>
      </c>
      <c r="G283" s="2" t="s">
        <v>31</v>
      </c>
      <c r="H283" s="2">
        <v>6</v>
      </c>
      <c r="I283" s="2" t="s">
        <v>52</v>
      </c>
      <c r="J283" s="2" t="s">
        <v>2120</v>
      </c>
      <c r="K283" s="2" t="s">
        <v>41</v>
      </c>
      <c r="L283" s="2">
        <v>0.96</v>
      </c>
      <c r="M283" s="2" t="s">
        <v>88</v>
      </c>
      <c r="N283" s="2" t="s">
        <v>34</v>
      </c>
      <c r="O283" s="2">
        <v>11</v>
      </c>
      <c r="P283" s="2" t="str">
        <f>IF(global_freelancer_raw[[#This Row],[No of projects ]]&lt;=5,"Entry level","Well Experienced")</f>
        <v>Well Experienced</v>
      </c>
      <c r="Q283" s="2">
        <v>7</v>
      </c>
    </row>
    <row r="284" spans="1:17" x14ac:dyDescent="0.3">
      <c r="A284" t="s">
        <v>670</v>
      </c>
      <c r="B284" t="s">
        <v>671</v>
      </c>
      <c r="C284" t="s">
        <v>118</v>
      </c>
      <c r="D284" s="2">
        <v>42</v>
      </c>
      <c r="E284" t="s">
        <v>55</v>
      </c>
      <c r="F284" t="s">
        <v>56</v>
      </c>
      <c r="G284" s="2" t="s">
        <v>39</v>
      </c>
      <c r="H284" s="2">
        <v>10</v>
      </c>
      <c r="I284" s="2" t="s">
        <v>336</v>
      </c>
      <c r="J284" s="2">
        <v>2.4</v>
      </c>
      <c r="K284" s="2" t="s">
        <v>94</v>
      </c>
      <c r="L284" s="2">
        <v>0.92</v>
      </c>
      <c r="M284" s="2" t="s">
        <v>88</v>
      </c>
      <c r="N284" s="2" t="s">
        <v>34</v>
      </c>
      <c r="O284" s="2">
        <v>11</v>
      </c>
      <c r="P284" s="2" t="str">
        <f>IF(global_freelancer_raw[[#This Row],[No of projects ]]&lt;=5,"Entry level","Well Experienced")</f>
        <v>Well Experienced</v>
      </c>
      <c r="Q284" s="2">
        <v>6</v>
      </c>
    </row>
    <row r="285" spans="1:17" x14ac:dyDescent="0.3">
      <c r="A285" t="s">
        <v>672</v>
      </c>
      <c r="B285" t="s">
        <v>673</v>
      </c>
      <c r="C285" t="s">
        <v>118</v>
      </c>
      <c r="D285" s="2">
        <v>52</v>
      </c>
      <c r="E285" t="s">
        <v>133</v>
      </c>
      <c r="F285" t="s">
        <v>134</v>
      </c>
      <c r="G285" s="2" t="s">
        <v>98</v>
      </c>
      <c r="H285" s="2">
        <v>20</v>
      </c>
      <c r="I285" s="2" t="s">
        <v>40</v>
      </c>
      <c r="J285" s="2" t="s">
        <v>2120</v>
      </c>
      <c r="K285" s="2" t="s">
        <v>59</v>
      </c>
      <c r="L285" s="2">
        <v>0.79</v>
      </c>
      <c r="M285" s="2" t="s">
        <v>24</v>
      </c>
      <c r="N285" s="2" t="s">
        <v>75</v>
      </c>
      <c r="O285" s="2">
        <v>14</v>
      </c>
      <c r="P285" s="2" t="str">
        <f>IF(global_freelancer_raw[[#This Row],[No of projects ]]&lt;=5,"Entry level","Well Experienced")</f>
        <v>Well Experienced</v>
      </c>
      <c r="Q285" s="2">
        <v>10</v>
      </c>
    </row>
    <row r="286" spans="1:17" x14ac:dyDescent="0.3">
      <c r="A286" t="s">
        <v>674</v>
      </c>
      <c r="B286" t="s">
        <v>675</v>
      </c>
      <c r="C286" t="s">
        <v>97</v>
      </c>
      <c r="D286" s="2">
        <v>55</v>
      </c>
      <c r="E286" t="s">
        <v>106</v>
      </c>
      <c r="F286" t="s">
        <v>107</v>
      </c>
      <c r="G286" s="2" t="s">
        <v>46</v>
      </c>
      <c r="H286" s="2">
        <v>20</v>
      </c>
      <c r="I286" s="2" t="s">
        <v>103</v>
      </c>
      <c r="J286" s="2">
        <v>2.9</v>
      </c>
      <c r="K286" s="2" t="s">
        <v>59</v>
      </c>
      <c r="L286" s="2" t="s">
        <v>2120</v>
      </c>
      <c r="M286" s="2" t="s">
        <v>60</v>
      </c>
      <c r="N286" s="2" t="s">
        <v>75</v>
      </c>
      <c r="O286" s="2">
        <v>12</v>
      </c>
      <c r="P286" s="2" t="str">
        <f>IF(global_freelancer_raw[[#This Row],[No of projects ]]&lt;=5,"Entry level","Well Experienced")</f>
        <v>Well Experienced</v>
      </c>
      <c r="Q286" s="2">
        <v>11</v>
      </c>
    </row>
    <row r="287" spans="1:17" x14ac:dyDescent="0.3">
      <c r="A287" t="s">
        <v>676</v>
      </c>
      <c r="B287" t="s">
        <v>677</v>
      </c>
      <c r="C287" t="s">
        <v>97</v>
      </c>
      <c r="D287" s="2">
        <v>58</v>
      </c>
      <c r="E287" t="s">
        <v>175</v>
      </c>
      <c r="F287" t="s">
        <v>176</v>
      </c>
      <c r="G287" s="2" t="s">
        <v>98</v>
      </c>
      <c r="H287" s="2">
        <v>11</v>
      </c>
      <c r="I287" s="2" t="s">
        <v>40</v>
      </c>
      <c r="J287" s="2">
        <v>0</v>
      </c>
      <c r="K287" s="2" t="s">
        <v>23</v>
      </c>
      <c r="L287" s="2" t="s">
        <v>2120</v>
      </c>
      <c r="M287" s="2" t="s">
        <v>88</v>
      </c>
      <c r="N287" s="2" t="s">
        <v>34</v>
      </c>
      <c r="O287" s="2">
        <v>8</v>
      </c>
      <c r="P287" s="2" t="str">
        <f>IF(global_freelancer_raw[[#This Row],[No of projects ]]&lt;=5,"Entry level","Well Experienced")</f>
        <v>Well Experienced</v>
      </c>
      <c r="Q287" s="2">
        <v>5</v>
      </c>
    </row>
    <row r="288" spans="1:17" x14ac:dyDescent="0.3">
      <c r="A288" t="s">
        <v>678</v>
      </c>
      <c r="B288" t="s">
        <v>679</v>
      </c>
      <c r="C288" t="s">
        <v>97</v>
      </c>
      <c r="D288" s="2">
        <v>46</v>
      </c>
      <c r="E288" t="s">
        <v>133</v>
      </c>
      <c r="F288" t="s">
        <v>134</v>
      </c>
      <c r="G288" s="2" t="s">
        <v>135</v>
      </c>
      <c r="H288" s="2">
        <v>12</v>
      </c>
      <c r="I288" s="2" t="s">
        <v>162</v>
      </c>
      <c r="J288" s="2">
        <v>0</v>
      </c>
      <c r="K288" s="2" t="s">
        <v>59</v>
      </c>
      <c r="L288" s="2">
        <v>0.89</v>
      </c>
      <c r="M288" s="2" t="s">
        <v>24</v>
      </c>
      <c r="N288" s="2" t="s">
        <v>25</v>
      </c>
      <c r="O288" s="2">
        <v>10</v>
      </c>
      <c r="P288" s="2" t="str">
        <f>IF(global_freelancer_raw[[#This Row],[No of projects ]]&lt;=5,"Entry level","Well Experienced")</f>
        <v>Well Experienced</v>
      </c>
      <c r="Q288" s="2">
        <v>4</v>
      </c>
    </row>
    <row r="289" spans="1:17" x14ac:dyDescent="0.3">
      <c r="A289" t="s">
        <v>680</v>
      </c>
      <c r="B289" t="s">
        <v>681</v>
      </c>
      <c r="C289" t="s">
        <v>97</v>
      </c>
      <c r="D289" s="2">
        <v>45</v>
      </c>
      <c r="E289" t="s">
        <v>212</v>
      </c>
      <c r="F289" t="s">
        <v>92</v>
      </c>
      <c r="G289" s="2" t="s">
        <v>135</v>
      </c>
      <c r="H289" s="2">
        <v>1</v>
      </c>
      <c r="I289" s="2" t="s">
        <v>22</v>
      </c>
      <c r="J289" s="2">
        <v>1.5</v>
      </c>
      <c r="K289" s="2" t="s">
        <v>33</v>
      </c>
      <c r="L289" s="2">
        <v>1</v>
      </c>
      <c r="M289" s="2" t="s">
        <v>60</v>
      </c>
      <c r="N289" s="2" t="s">
        <v>34</v>
      </c>
      <c r="O289" s="2">
        <v>4</v>
      </c>
      <c r="P289" s="2" t="str">
        <f>IF(global_freelancer_raw[[#This Row],[No of projects ]]&lt;=5,"Entry level","Well Experienced")</f>
        <v>Entry level</v>
      </c>
      <c r="Q289" s="2">
        <v>4</v>
      </c>
    </row>
    <row r="290" spans="1:17" x14ac:dyDescent="0.3">
      <c r="A290" t="s">
        <v>682</v>
      </c>
      <c r="B290" t="s">
        <v>683</v>
      </c>
      <c r="C290" t="s">
        <v>97</v>
      </c>
      <c r="D290" s="2">
        <v>56</v>
      </c>
      <c r="E290" t="s">
        <v>114</v>
      </c>
      <c r="F290" t="s">
        <v>115</v>
      </c>
      <c r="G290" s="2" t="s">
        <v>135</v>
      </c>
      <c r="H290" s="2">
        <v>2</v>
      </c>
      <c r="I290" s="2" t="s">
        <v>52</v>
      </c>
      <c r="J290" s="2">
        <v>1.9</v>
      </c>
      <c r="K290" s="2" t="s">
        <v>33</v>
      </c>
      <c r="L290" s="2">
        <v>0.81</v>
      </c>
      <c r="M290" s="2" t="s">
        <v>88</v>
      </c>
      <c r="N290" s="2" t="s">
        <v>75</v>
      </c>
      <c r="O290" s="2">
        <v>1</v>
      </c>
      <c r="P290" s="2" t="str">
        <f>IF(global_freelancer_raw[[#This Row],[No of projects ]]&lt;=5,"Entry level","Well Experienced")</f>
        <v>Entry level</v>
      </c>
      <c r="Q290" s="2">
        <v>1</v>
      </c>
    </row>
    <row r="291" spans="1:17" x14ac:dyDescent="0.3">
      <c r="A291" t="s">
        <v>684</v>
      </c>
      <c r="B291" t="s">
        <v>685</v>
      </c>
      <c r="C291" t="s">
        <v>118</v>
      </c>
      <c r="D291" s="2">
        <v>44</v>
      </c>
      <c r="E291" t="s">
        <v>85</v>
      </c>
      <c r="F291" t="s">
        <v>30</v>
      </c>
      <c r="G291" s="2" t="s">
        <v>21</v>
      </c>
      <c r="H291" s="2">
        <v>13</v>
      </c>
      <c r="I291" s="2" t="s">
        <v>22</v>
      </c>
      <c r="J291" s="2">
        <v>3.1</v>
      </c>
      <c r="K291" s="2" t="s">
        <v>94</v>
      </c>
      <c r="L291" s="2">
        <v>95</v>
      </c>
      <c r="M291" s="2" t="s">
        <v>88</v>
      </c>
      <c r="N291" s="2" t="s">
        <v>42</v>
      </c>
      <c r="O291" s="2">
        <v>10</v>
      </c>
      <c r="P291" s="2" t="str">
        <f>IF(global_freelancer_raw[[#This Row],[No of projects ]]&lt;=5,"Entry level","Well Experienced")</f>
        <v>Well Experienced</v>
      </c>
      <c r="Q291" s="2">
        <v>3</v>
      </c>
    </row>
    <row r="292" spans="1:17" x14ac:dyDescent="0.3">
      <c r="A292" t="s">
        <v>686</v>
      </c>
      <c r="B292" t="s">
        <v>687</v>
      </c>
      <c r="C292" t="s">
        <v>118</v>
      </c>
      <c r="D292" s="2">
        <v>46</v>
      </c>
      <c r="E292" t="s">
        <v>64</v>
      </c>
      <c r="F292" t="s">
        <v>65</v>
      </c>
      <c r="G292" s="2" t="s">
        <v>93</v>
      </c>
      <c r="H292" s="2">
        <v>0</v>
      </c>
      <c r="I292" s="2" t="s">
        <v>2119</v>
      </c>
      <c r="J292" s="2">
        <v>1.8</v>
      </c>
      <c r="K292" s="2" t="s">
        <v>41</v>
      </c>
      <c r="L292" s="2">
        <v>0.88</v>
      </c>
      <c r="M292" s="2" t="s">
        <v>60</v>
      </c>
      <c r="N292" s="2" t="s">
        <v>42</v>
      </c>
      <c r="O292" s="2">
        <v>3</v>
      </c>
      <c r="P292" s="2" t="str">
        <f>IF(global_freelancer_raw[[#This Row],[No of projects ]]&lt;=5,"Entry level","Well Experienced")</f>
        <v>Entry level</v>
      </c>
      <c r="Q292" s="2">
        <v>2</v>
      </c>
    </row>
    <row r="293" spans="1:17" x14ac:dyDescent="0.3">
      <c r="A293" t="s">
        <v>688</v>
      </c>
      <c r="B293" t="s">
        <v>689</v>
      </c>
      <c r="C293" t="s">
        <v>97</v>
      </c>
      <c r="D293" s="2">
        <v>27</v>
      </c>
      <c r="E293" t="s">
        <v>106</v>
      </c>
      <c r="F293" t="s">
        <v>107</v>
      </c>
      <c r="G293" s="2" t="s">
        <v>46</v>
      </c>
      <c r="H293" s="2">
        <v>7</v>
      </c>
      <c r="I293" s="2" t="s">
        <v>52</v>
      </c>
      <c r="J293" s="2">
        <v>2.4</v>
      </c>
      <c r="K293" s="2" t="s">
        <v>87</v>
      </c>
      <c r="L293" s="2">
        <v>0.66</v>
      </c>
      <c r="M293" s="2" t="s">
        <v>60</v>
      </c>
      <c r="N293" s="2" t="s">
        <v>25</v>
      </c>
      <c r="O293" s="2">
        <v>12</v>
      </c>
      <c r="P293" s="2" t="str">
        <f>IF(global_freelancer_raw[[#This Row],[No of projects ]]&lt;=5,"Entry level","Well Experienced")</f>
        <v>Well Experienced</v>
      </c>
      <c r="Q293" s="2">
        <v>8</v>
      </c>
    </row>
    <row r="294" spans="1:17" x14ac:dyDescent="0.3">
      <c r="A294" t="s">
        <v>690</v>
      </c>
      <c r="B294" t="s">
        <v>691</v>
      </c>
      <c r="C294" t="s">
        <v>97</v>
      </c>
      <c r="D294" s="2">
        <v>49</v>
      </c>
      <c r="E294" t="s">
        <v>114</v>
      </c>
      <c r="F294" t="s">
        <v>115</v>
      </c>
      <c r="G294" s="2" t="s">
        <v>21</v>
      </c>
      <c r="H294" s="2">
        <v>13</v>
      </c>
      <c r="I294" s="2" t="s">
        <v>22</v>
      </c>
      <c r="J294" s="2">
        <v>4.2</v>
      </c>
      <c r="K294" s="2" t="s">
        <v>33</v>
      </c>
      <c r="L294" s="2">
        <v>0.84</v>
      </c>
      <c r="M294" s="2" t="s">
        <v>60</v>
      </c>
      <c r="N294" s="2" t="s">
        <v>34</v>
      </c>
      <c r="O294" s="2">
        <v>7</v>
      </c>
      <c r="P294" s="2" t="str">
        <f>IF(global_freelancer_raw[[#This Row],[No of projects ]]&lt;=5,"Entry level","Well Experienced")</f>
        <v>Well Experienced</v>
      </c>
      <c r="Q294" s="2">
        <v>4</v>
      </c>
    </row>
    <row r="295" spans="1:17" x14ac:dyDescent="0.3">
      <c r="A295" t="s">
        <v>692</v>
      </c>
      <c r="B295" t="s">
        <v>693</v>
      </c>
      <c r="C295" t="s">
        <v>118</v>
      </c>
      <c r="D295" s="2">
        <v>53</v>
      </c>
      <c r="E295" t="s">
        <v>201</v>
      </c>
      <c r="F295" t="s">
        <v>92</v>
      </c>
      <c r="G295" s="2" t="s">
        <v>46</v>
      </c>
      <c r="H295" s="2">
        <v>21</v>
      </c>
      <c r="I295" s="2" t="s">
        <v>81</v>
      </c>
      <c r="J295" s="2">
        <v>1.4</v>
      </c>
      <c r="K295" s="2" t="s">
        <v>41</v>
      </c>
      <c r="L295" s="2" t="s">
        <v>2120</v>
      </c>
      <c r="M295" s="2" t="s">
        <v>88</v>
      </c>
      <c r="N295" s="2" t="s">
        <v>42</v>
      </c>
      <c r="O295" s="2">
        <v>20</v>
      </c>
      <c r="P295" s="2" t="str">
        <f>IF(global_freelancer_raw[[#This Row],[No of projects ]]&lt;=5,"Entry level","Well Experienced")</f>
        <v>Well Experienced</v>
      </c>
      <c r="Q295" s="2">
        <v>7</v>
      </c>
    </row>
    <row r="296" spans="1:17" x14ac:dyDescent="0.3">
      <c r="A296" t="s">
        <v>694</v>
      </c>
      <c r="B296" t="s">
        <v>695</v>
      </c>
      <c r="C296" t="s">
        <v>118</v>
      </c>
      <c r="D296" s="2">
        <v>56</v>
      </c>
      <c r="E296" t="s">
        <v>29</v>
      </c>
      <c r="F296" t="s">
        <v>30</v>
      </c>
      <c r="G296" s="2" t="s">
        <v>46</v>
      </c>
      <c r="H296" s="2">
        <v>19</v>
      </c>
      <c r="I296" s="2" t="s">
        <v>86</v>
      </c>
      <c r="J296" s="2">
        <v>1.2</v>
      </c>
      <c r="K296" s="2" t="s">
        <v>94</v>
      </c>
      <c r="L296" s="2">
        <v>0.82</v>
      </c>
      <c r="M296" s="2" t="s">
        <v>88</v>
      </c>
      <c r="N296" s="2" t="s">
        <v>34</v>
      </c>
      <c r="O296" s="2">
        <v>11</v>
      </c>
      <c r="P296" s="2" t="str">
        <f>IF(global_freelancer_raw[[#This Row],[No of projects ]]&lt;=5,"Entry level","Well Experienced")</f>
        <v>Well Experienced</v>
      </c>
      <c r="Q296" s="2">
        <v>3</v>
      </c>
    </row>
    <row r="297" spans="1:17" x14ac:dyDescent="0.3">
      <c r="A297" t="s">
        <v>696</v>
      </c>
      <c r="B297" t="s">
        <v>697</v>
      </c>
      <c r="C297" t="s">
        <v>97</v>
      </c>
      <c r="D297" s="2">
        <v>56</v>
      </c>
      <c r="E297" t="s">
        <v>85</v>
      </c>
      <c r="F297" t="s">
        <v>30</v>
      </c>
      <c r="G297" s="2" t="s">
        <v>110</v>
      </c>
      <c r="H297" s="2">
        <v>34</v>
      </c>
      <c r="I297" s="2" t="s">
        <v>2119</v>
      </c>
      <c r="J297" s="2">
        <v>2.1</v>
      </c>
      <c r="K297" s="2" t="s">
        <v>87</v>
      </c>
      <c r="L297" s="2">
        <v>0.84</v>
      </c>
      <c r="M297" s="2" t="s">
        <v>24</v>
      </c>
      <c r="N297" s="2" t="s">
        <v>75</v>
      </c>
      <c r="O297" s="2">
        <v>17</v>
      </c>
      <c r="P297" s="2" t="str">
        <f>IF(global_freelancer_raw[[#This Row],[No of projects ]]&lt;=5,"Entry level","Well Experienced")</f>
        <v>Well Experienced</v>
      </c>
      <c r="Q297" s="2">
        <v>11</v>
      </c>
    </row>
    <row r="298" spans="1:17" x14ac:dyDescent="0.3">
      <c r="A298" t="s">
        <v>698</v>
      </c>
      <c r="B298" t="s">
        <v>699</v>
      </c>
      <c r="C298" t="s">
        <v>118</v>
      </c>
      <c r="D298" s="2">
        <v>38</v>
      </c>
      <c r="E298" t="s">
        <v>175</v>
      </c>
      <c r="F298" t="s">
        <v>176</v>
      </c>
      <c r="G298" s="2" t="s">
        <v>66</v>
      </c>
      <c r="H298" s="2">
        <v>3</v>
      </c>
      <c r="I298" s="2" t="s">
        <v>22</v>
      </c>
      <c r="J298" s="2">
        <v>1.4</v>
      </c>
      <c r="K298" s="2" t="s">
        <v>59</v>
      </c>
      <c r="L298" s="2">
        <v>0.73</v>
      </c>
      <c r="M298" s="2" t="s">
        <v>82</v>
      </c>
      <c r="N298" s="2" t="s">
        <v>42</v>
      </c>
      <c r="O298" s="2">
        <v>3</v>
      </c>
      <c r="P298" s="2" t="str">
        <f>IF(global_freelancer_raw[[#This Row],[No of projects ]]&lt;=5,"Entry level","Well Experienced")</f>
        <v>Entry level</v>
      </c>
      <c r="Q298" s="2">
        <v>5</v>
      </c>
    </row>
    <row r="299" spans="1:17" x14ac:dyDescent="0.3">
      <c r="A299" t="s">
        <v>700</v>
      </c>
      <c r="B299" t="s">
        <v>701</v>
      </c>
      <c r="C299" t="s">
        <v>118</v>
      </c>
      <c r="D299" s="2">
        <v>20</v>
      </c>
      <c r="E299" t="s">
        <v>133</v>
      </c>
      <c r="F299" t="s">
        <v>134</v>
      </c>
      <c r="G299" s="2" t="s">
        <v>31</v>
      </c>
      <c r="H299" s="2">
        <v>0</v>
      </c>
      <c r="I299" s="2" t="s">
        <v>52</v>
      </c>
      <c r="J299" s="2">
        <v>3.8</v>
      </c>
      <c r="K299" s="2" t="s">
        <v>2120</v>
      </c>
      <c r="L299" s="2">
        <v>0.93</v>
      </c>
      <c r="M299" s="2" t="s">
        <v>60</v>
      </c>
      <c r="N299" s="2" t="s">
        <v>25</v>
      </c>
      <c r="O299" s="2">
        <v>5</v>
      </c>
      <c r="P299" s="2" t="str">
        <f>IF(global_freelancer_raw[[#This Row],[No of projects ]]&lt;=5,"Entry level","Well Experienced")</f>
        <v>Entry level</v>
      </c>
      <c r="Q299" s="2">
        <v>2</v>
      </c>
    </row>
    <row r="300" spans="1:17" x14ac:dyDescent="0.3">
      <c r="A300" t="s">
        <v>702</v>
      </c>
      <c r="B300" t="s">
        <v>703</v>
      </c>
      <c r="C300" t="s">
        <v>97</v>
      </c>
      <c r="D300" s="2">
        <v>38</v>
      </c>
      <c r="E300" t="s">
        <v>149</v>
      </c>
      <c r="F300" t="s">
        <v>30</v>
      </c>
      <c r="G300" s="2" t="s">
        <v>135</v>
      </c>
      <c r="H300" s="2">
        <v>20</v>
      </c>
      <c r="I300" s="2" t="s">
        <v>40</v>
      </c>
      <c r="J300" s="2">
        <v>0</v>
      </c>
      <c r="K300" s="2" t="s">
        <v>2120</v>
      </c>
      <c r="L300" s="2">
        <v>0.64</v>
      </c>
      <c r="M300" s="2" t="s">
        <v>88</v>
      </c>
      <c r="N300" s="2" t="s">
        <v>75</v>
      </c>
      <c r="O300" s="2">
        <v>10</v>
      </c>
      <c r="P300" s="2" t="str">
        <f>IF(global_freelancer_raw[[#This Row],[No of projects ]]&lt;=5,"Entry level","Well Experienced")</f>
        <v>Well Experienced</v>
      </c>
      <c r="Q300" s="2">
        <v>2</v>
      </c>
    </row>
    <row r="301" spans="1:17" x14ac:dyDescent="0.3">
      <c r="A301" t="s">
        <v>704</v>
      </c>
      <c r="B301" t="s">
        <v>705</v>
      </c>
      <c r="C301" t="s">
        <v>97</v>
      </c>
      <c r="D301" s="2" t="s">
        <v>2119</v>
      </c>
      <c r="E301" t="s">
        <v>55</v>
      </c>
      <c r="F301" t="s">
        <v>56</v>
      </c>
      <c r="G301" s="2" t="s">
        <v>31</v>
      </c>
      <c r="H301" s="2">
        <v>6</v>
      </c>
      <c r="I301" s="2" t="s">
        <v>86</v>
      </c>
      <c r="J301" s="2">
        <v>3.5</v>
      </c>
      <c r="K301" s="2" t="s">
        <v>23</v>
      </c>
      <c r="L301" s="2">
        <v>0.76</v>
      </c>
      <c r="M301" s="2" t="s">
        <v>88</v>
      </c>
      <c r="N301" s="2" t="s">
        <v>25</v>
      </c>
      <c r="O301" s="2">
        <v>15</v>
      </c>
      <c r="P301" s="2" t="str">
        <f>IF(global_freelancer_raw[[#This Row],[No of projects ]]&lt;=5,"Entry level","Well Experienced")</f>
        <v>Well Experienced</v>
      </c>
      <c r="Q301" s="2">
        <v>6</v>
      </c>
    </row>
    <row r="302" spans="1:17" x14ac:dyDescent="0.3">
      <c r="A302" t="s">
        <v>706</v>
      </c>
      <c r="B302" t="s">
        <v>707</v>
      </c>
      <c r="C302" t="s">
        <v>118</v>
      </c>
      <c r="D302" s="2">
        <v>46</v>
      </c>
      <c r="E302" t="s">
        <v>114</v>
      </c>
      <c r="F302" t="s">
        <v>115</v>
      </c>
      <c r="G302" s="2" t="s">
        <v>135</v>
      </c>
      <c r="H302" s="2">
        <v>13</v>
      </c>
      <c r="I302" s="2" t="s">
        <v>251</v>
      </c>
      <c r="J302" s="2">
        <v>0</v>
      </c>
      <c r="K302" s="2" t="s">
        <v>94</v>
      </c>
      <c r="L302" s="2">
        <v>0.97</v>
      </c>
      <c r="M302" s="2" t="s">
        <v>60</v>
      </c>
      <c r="N302" s="2" t="s">
        <v>75</v>
      </c>
      <c r="O302" s="2">
        <v>9</v>
      </c>
      <c r="P302" s="2" t="str">
        <f>IF(global_freelancer_raw[[#This Row],[No of projects ]]&lt;=5,"Entry level","Well Experienced")</f>
        <v>Well Experienced</v>
      </c>
      <c r="Q302" s="2">
        <v>12</v>
      </c>
    </row>
    <row r="303" spans="1:17" x14ac:dyDescent="0.3">
      <c r="A303" t="s">
        <v>708</v>
      </c>
      <c r="B303" t="s">
        <v>709</v>
      </c>
      <c r="C303" t="s">
        <v>118</v>
      </c>
      <c r="D303" s="2">
        <v>36</v>
      </c>
      <c r="E303" t="s">
        <v>175</v>
      </c>
      <c r="F303" t="s">
        <v>176</v>
      </c>
      <c r="G303" s="2" t="s">
        <v>66</v>
      </c>
      <c r="H303" s="2">
        <v>9</v>
      </c>
      <c r="I303" s="2" t="s">
        <v>103</v>
      </c>
      <c r="J303" s="2">
        <v>2.2000000000000002</v>
      </c>
      <c r="K303" s="2" t="s">
        <v>23</v>
      </c>
      <c r="L303" s="2">
        <v>0.95</v>
      </c>
      <c r="M303" s="2" t="s">
        <v>82</v>
      </c>
      <c r="N303" s="2" t="s">
        <v>42</v>
      </c>
      <c r="O303" s="2">
        <v>11</v>
      </c>
      <c r="P303" s="2" t="str">
        <f>IF(global_freelancer_raw[[#This Row],[No of projects ]]&lt;=5,"Entry level","Well Experienced")</f>
        <v>Well Experienced</v>
      </c>
      <c r="Q303" s="2">
        <v>1</v>
      </c>
    </row>
    <row r="304" spans="1:17" x14ac:dyDescent="0.3">
      <c r="A304" t="s">
        <v>710</v>
      </c>
      <c r="B304" t="s">
        <v>711</v>
      </c>
      <c r="C304" t="s">
        <v>118</v>
      </c>
      <c r="D304" s="2">
        <v>33</v>
      </c>
      <c r="E304" t="s">
        <v>145</v>
      </c>
      <c r="F304" t="s">
        <v>146</v>
      </c>
      <c r="G304" s="2" t="s">
        <v>46</v>
      </c>
      <c r="H304" s="2">
        <v>2</v>
      </c>
      <c r="I304" s="2" t="s">
        <v>103</v>
      </c>
      <c r="J304" s="2">
        <v>2.5</v>
      </c>
      <c r="K304" s="2" t="s">
        <v>59</v>
      </c>
      <c r="L304" s="2">
        <v>0.65</v>
      </c>
      <c r="M304" s="2" t="s">
        <v>60</v>
      </c>
      <c r="N304" s="2" t="s">
        <v>25</v>
      </c>
      <c r="O304" s="2">
        <v>4</v>
      </c>
      <c r="P304" s="2" t="str">
        <f>IF(global_freelancer_raw[[#This Row],[No of projects ]]&lt;=5,"Entry level","Well Experienced")</f>
        <v>Entry level</v>
      </c>
      <c r="Q304" s="2">
        <v>1</v>
      </c>
    </row>
    <row r="305" spans="1:17" x14ac:dyDescent="0.3">
      <c r="A305" t="s">
        <v>712</v>
      </c>
      <c r="B305" t="s">
        <v>713</v>
      </c>
      <c r="C305" t="s">
        <v>97</v>
      </c>
      <c r="D305" s="2">
        <v>37</v>
      </c>
      <c r="E305" t="s">
        <v>149</v>
      </c>
      <c r="F305" t="s">
        <v>30</v>
      </c>
      <c r="G305" s="2" t="s">
        <v>39</v>
      </c>
      <c r="H305" s="2">
        <v>0</v>
      </c>
      <c r="I305" s="2" t="s">
        <v>119</v>
      </c>
      <c r="J305" s="2">
        <v>4.7</v>
      </c>
      <c r="K305" s="2" t="s">
        <v>23</v>
      </c>
      <c r="L305" s="2">
        <v>0.77</v>
      </c>
      <c r="M305" s="2" t="s">
        <v>82</v>
      </c>
      <c r="N305" s="2" t="s">
        <v>25</v>
      </c>
      <c r="O305" s="2">
        <v>3</v>
      </c>
      <c r="P305" s="2" t="str">
        <f>IF(global_freelancer_raw[[#This Row],[No of projects ]]&lt;=5,"Entry level","Well Experienced")</f>
        <v>Entry level</v>
      </c>
      <c r="Q305" s="2">
        <v>2</v>
      </c>
    </row>
    <row r="306" spans="1:17" x14ac:dyDescent="0.3">
      <c r="A306" t="s">
        <v>714</v>
      </c>
      <c r="B306" t="s">
        <v>715</v>
      </c>
      <c r="C306" t="s">
        <v>118</v>
      </c>
      <c r="D306" s="2">
        <v>20</v>
      </c>
      <c r="E306" t="s">
        <v>160</v>
      </c>
      <c r="F306" t="s">
        <v>161</v>
      </c>
      <c r="G306" s="2" t="s">
        <v>66</v>
      </c>
      <c r="H306" s="2">
        <v>0</v>
      </c>
      <c r="I306" s="2" t="s">
        <v>162</v>
      </c>
      <c r="J306" s="2">
        <v>3.9</v>
      </c>
      <c r="K306" s="2" t="s">
        <v>59</v>
      </c>
      <c r="L306" s="2" t="s">
        <v>2120</v>
      </c>
      <c r="M306" s="2" t="s">
        <v>88</v>
      </c>
      <c r="N306" s="2" t="s">
        <v>75</v>
      </c>
      <c r="O306" s="2">
        <v>1</v>
      </c>
      <c r="P306" s="2" t="str">
        <f>IF(global_freelancer_raw[[#This Row],[No of projects ]]&lt;=5,"Entry level","Well Experienced")</f>
        <v>Entry level</v>
      </c>
      <c r="Q306" s="2">
        <v>1</v>
      </c>
    </row>
    <row r="307" spans="1:17" x14ac:dyDescent="0.3">
      <c r="A307" t="s">
        <v>716</v>
      </c>
      <c r="B307" t="s">
        <v>717</v>
      </c>
      <c r="C307" t="s">
        <v>97</v>
      </c>
      <c r="D307" s="2">
        <v>48</v>
      </c>
      <c r="E307" t="s">
        <v>197</v>
      </c>
      <c r="F307" t="s">
        <v>198</v>
      </c>
      <c r="G307" s="2" t="s">
        <v>66</v>
      </c>
      <c r="H307" s="2">
        <v>2</v>
      </c>
      <c r="I307" s="2" t="s">
        <v>103</v>
      </c>
      <c r="J307" s="2">
        <v>1.6</v>
      </c>
      <c r="K307" s="2" t="s">
        <v>41</v>
      </c>
      <c r="L307" s="2">
        <v>0.67</v>
      </c>
      <c r="M307" s="2" t="s">
        <v>82</v>
      </c>
      <c r="N307" s="2" t="s">
        <v>25</v>
      </c>
      <c r="O307" s="2">
        <v>5</v>
      </c>
      <c r="P307" s="2" t="str">
        <f>IF(global_freelancer_raw[[#This Row],[No of projects ]]&lt;=5,"Entry level","Well Experienced")</f>
        <v>Entry level</v>
      </c>
      <c r="Q307" s="2">
        <v>2</v>
      </c>
    </row>
    <row r="308" spans="1:17" x14ac:dyDescent="0.3">
      <c r="A308" t="s">
        <v>718</v>
      </c>
      <c r="B308" t="s">
        <v>719</v>
      </c>
      <c r="C308" t="s">
        <v>118</v>
      </c>
      <c r="D308" s="2">
        <v>27</v>
      </c>
      <c r="E308" t="s">
        <v>156</v>
      </c>
      <c r="F308" t="s">
        <v>157</v>
      </c>
      <c r="G308" s="2" t="s">
        <v>98</v>
      </c>
      <c r="H308" s="2">
        <v>2</v>
      </c>
      <c r="I308" s="2" t="s">
        <v>81</v>
      </c>
      <c r="J308" s="2" t="s">
        <v>2120</v>
      </c>
      <c r="K308" s="2" t="s">
        <v>23</v>
      </c>
      <c r="L308" s="2">
        <v>0.84</v>
      </c>
      <c r="M308" s="2" t="s">
        <v>24</v>
      </c>
      <c r="N308" s="2" t="s">
        <v>75</v>
      </c>
      <c r="O308" s="2">
        <v>2</v>
      </c>
      <c r="P308" s="2" t="str">
        <f>IF(global_freelancer_raw[[#This Row],[No of projects ]]&lt;=5,"Entry level","Well Experienced")</f>
        <v>Entry level</v>
      </c>
      <c r="Q308" s="2">
        <v>3</v>
      </c>
    </row>
    <row r="309" spans="1:17" x14ac:dyDescent="0.3">
      <c r="A309" t="s">
        <v>720</v>
      </c>
      <c r="B309" t="s">
        <v>721</v>
      </c>
      <c r="C309" t="s">
        <v>118</v>
      </c>
      <c r="D309" s="2">
        <v>34</v>
      </c>
      <c r="E309" t="s">
        <v>133</v>
      </c>
      <c r="F309" t="s">
        <v>134</v>
      </c>
      <c r="G309" s="2" t="s">
        <v>31</v>
      </c>
      <c r="H309" s="2">
        <v>1</v>
      </c>
      <c r="I309" s="2" t="s">
        <v>52</v>
      </c>
      <c r="J309" s="2">
        <v>3.6</v>
      </c>
      <c r="K309" s="2" t="s">
        <v>33</v>
      </c>
      <c r="L309" s="2">
        <v>0.87</v>
      </c>
      <c r="M309" s="2" t="s">
        <v>88</v>
      </c>
      <c r="N309" s="2" t="s">
        <v>75</v>
      </c>
      <c r="O309" s="2">
        <v>2</v>
      </c>
      <c r="P309" s="2" t="str">
        <f>IF(global_freelancer_raw[[#This Row],[No of projects ]]&lt;=5,"Entry level","Well Experienced")</f>
        <v>Entry level</v>
      </c>
      <c r="Q309" s="2">
        <v>2</v>
      </c>
    </row>
    <row r="310" spans="1:17" x14ac:dyDescent="0.3">
      <c r="A310" t="s">
        <v>722</v>
      </c>
      <c r="B310" t="s">
        <v>723</v>
      </c>
      <c r="C310" t="s">
        <v>118</v>
      </c>
      <c r="D310" s="2">
        <v>55</v>
      </c>
      <c r="E310" t="s">
        <v>128</v>
      </c>
      <c r="F310" t="s">
        <v>129</v>
      </c>
      <c r="G310" s="2" t="s">
        <v>135</v>
      </c>
      <c r="H310" s="2">
        <v>14</v>
      </c>
      <c r="I310" s="2" t="s">
        <v>130</v>
      </c>
      <c r="J310" s="2">
        <v>1.2</v>
      </c>
      <c r="K310" s="2" t="s">
        <v>87</v>
      </c>
      <c r="L310" s="2">
        <v>0.91</v>
      </c>
      <c r="M310" s="2" t="s">
        <v>24</v>
      </c>
      <c r="N310" s="2" t="s">
        <v>75</v>
      </c>
      <c r="O310" s="2">
        <v>7</v>
      </c>
      <c r="P310" s="2" t="str">
        <f>IF(global_freelancer_raw[[#This Row],[No of projects ]]&lt;=5,"Entry level","Well Experienced")</f>
        <v>Well Experienced</v>
      </c>
      <c r="Q310" s="2">
        <v>6</v>
      </c>
    </row>
    <row r="311" spans="1:17" x14ac:dyDescent="0.3">
      <c r="A311" t="s">
        <v>724</v>
      </c>
      <c r="B311" t="s">
        <v>725</v>
      </c>
      <c r="C311" t="s">
        <v>97</v>
      </c>
      <c r="D311" s="2">
        <v>44</v>
      </c>
      <c r="E311" t="s">
        <v>175</v>
      </c>
      <c r="F311" t="s">
        <v>176</v>
      </c>
      <c r="G311" s="2" t="s">
        <v>135</v>
      </c>
      <c r="H311" s="2">
        <v>14</v>
      </c>
      <c r="I311" s="2" t="s">
        <v>67</v>
      </c>
      <c r="J311" s="2">
        <v>3</v>
      </c>
      <c r="K311" s="2" t="s">
        <v>23</v>
      </c>
      <c r="L311" s="2">
        <v>0.78</v>
      </c>
      <c r="M311" s="2" t="s">
        <v>60</v>
      </c>
      <c r="N311" s="2" t="s">
        <v>75</v>
      </c>
      <c r="O311" s="2">
        <v>13</v>
      </c>
      <c r="P311" s="2" t="str">
        <f>IF(global_freelancer_raw[[#This Row],[No of projects ]]&lt;=5,"Entry level","Well Experienced")</f>
        <v>Well Experienced</v>
      </c>
      <c r="Q311" s="2">
        <v>6</v>
      </c>
    </row>
    <row r="312" spans="1:17" x14ac:dyDescent="0.3">
      <c r="A312" t="s">
        <v>726</v>
      </c>
      <c r="B312" t="s">
        <v>727</v>
      </c>
      <c r="C312" t="s">
        <v>118</v>
      </c>
      <c r="D312" s="2">
        <v>31</v>
      </c>
      <c r="E312" t="s">
        <v>55</v>
      </c>
      <c r="F312" t="s">
        <v>56</v>
      </c>
      <c r="G312" s="2" t="s">
        <v>93</v>
      </c>
      <c r="H312" s="2">
        <v>2</v>
      </c>
      <c r="I312" s="2" t="s">
        <v>40</v>
      </c>
      <c r="J312" s="2">
        <v>3.9</v>
      </c>
      <c r="K312" s="2" t="s">
        <v>23</v>
      </c>
      <c r="L312" s="2" t="s">
        <v>2120</v>
      </c>
      <c r="M312" s="2" t="s">
        <v>60</v>
      </c>
      <c r="N312" s="2" t="s">
        <v>42</v>
      </c>
      <c r="O312" s="2">
        <v>4</v>
      </c>
      <c r="P312" s="2" t="str">
        <f>IF(global_freelancer_raw[[#This Row],[No of projects ]]&lt;=5,"Entry level","Well Experienced")</f>
        <v>Entry level</v>
      </c>
      <c r="Q312" s="2">
        <v>1</v>
      </c>
    </row>
    <row r="313" spans="1:17" x14ac:dyDescent="0.3">
      <c r="A313" t="s">
        <v>728</v>
      </c>
      <c r="B313" t="s">
        <v>729</v>
      </c>
      <c r="C313" t="s">
        <v>118</v>
      </c>
      <c r="D313" s="2">
        <v>34</v>
      </c>
      <c r="E313" t="s">
        <v>29</v>
      </c>
      <c r="F313" t="s">
        <v>30</v>
      </c>
      <c r="G313" s="2" t="s">
        <v>110</v>
      </c>
      <c r="H313" s="2">
        <v>1</v>
      </c>
      <c r="I313" s="2" t="s">
        <v>86</v>
      </c>
      <c r="J313" s="2">
        <v>1.7</v>
      </c>
      <c r="K313" s="2" t="s">
        <v>2120</v>
      </c>
      <c r="L313" s="2">
        <v>74</v>
      </c>
      <c r="M313" s="2" t="s">
        <v>60</v>
      </c>
      <c r="N313" s="2" t="s">
        <v>75</v>
      </c>
      <c r="O313" s="2">
        <v>4</v>
      </c>
      <c r="P313" s="2" t="str">
        <f>IF(global_freelancer_raw[[#This Row],[No of projects ]]&lt;=5,"Entry level","Well Experienced")</f>
        <v>Entry level</v>
      </c>
      <c r="Q313" s="2">
        <v>4</v>
      </c>
    </row>
    <row r="314" spans="1:17" x14ac:dyDescent="0.3">
      <c r="A314" t="s">
        <v>730</v>
      </c>
      <c r="B314" t="s">
        <v>731</v>
      </c>
      <c r="C314" t="s">
        <v>97</v>
      </c>
      <c r="D314" s="2">
        <v>47</v>
      </c>
      <c r="E314" t="s">
        <v>128</v>
      </c>
      <c r="F314" t="s">
        <v>129</v>
      </c>
      <c r="G314" s="2" t="s">
        <v>110</v>
      </c>
      <c r="H314" s="2">
        <v>13</v>
      </c>
      <c r="I314" s="2" t="s">
        <v>162</v>
      </c>
      <c r="J314" s="2">
        <v>4.5</v>
      </c>
      <c r="K314" s="2" t="s">
        <v>2120</v>
      </c>
      <c r="L314" s="2">
        <v>0.91</v>
      </c>
      <c r="M314" s="2" t="s">
        <v>82</v>
      </c>
      <c r="N314" s="2" t="s">
        <v>34</v>
      </c>
      <c r="O314" s="2">
        <v>7</v>
      </c>
      <c r="P314" s="2" t="str">
        <f>IF(global_freelancer_raw[[#This Row],[No of projects ]]&lt;=5,"Entry level","Well Experienced")</f>
        <v>Well Experienced</v>
      </c>
      <c r="Q314" s="2">
        <v>6</v>
      </c>
    </row>
    <row r="315" spans="1:17" x14ac:dyDescent="0.3">
      <c r="A315" t="s">
        <v>732</v>
      </c>
      <c r="B315" t="s">
        <v>733</v>
      </c>
      <c r="C315" t="s">
        <v>118</v>
      </c>
      <c r="D315" s="2">
        <v>50</v>
      </c>
      <c r="E315" t="s">
        <v>73</v>
      </c>
      <c r="F315" t="s">
        <v>30</v>
      </c>
      <c r="G315" s="2" t="s">
        <v>39</v>
      </c>
      <c r="H315" s="2">
        <v>23</v>
      </c>
      <c r="I315" s="2" t="s">
        <v>47</v>
      </c>
      <c r="J315" s="2">
        <v>3.6</v>
      </c>
      <c r="K315" s="2" t="s">
        <v>74</v>
      </c>
      <c r="L315" s="2">
        <v>0.71</v>
      </c>
      <c r="M315" s="2" t="s">
        <v>88</v>
      </c>
      <c r="N315" s="2" t="s">
        <v>25</v>
      </c>
      <c r="O315" s="2">
        <v>12</v>
      </c>
      <c r="P315" s="2" t="str">
        <f>IF(global_freelancer_raw[[#This Row],[No of projects ]]&lt;=5,"Entry level","Well Experienced")</f>
        <v>Well Experienced</v>
      </c>
      <c r="Q315" s="2">
        <v>9</v>
      </c>
    </row>
    <row r="316" spans="1:17" x14ac:dyDescent="0.3">
      <c r="A316" t="s">
        <v>734</v>
      </c>
      <c r="B316" t="s">
        <v>735</v>
      </c>
      <c r="C316" t="s">
        <v>118</v>
      </c>
      <c r="D316" s="2">
        <v>39</v>
      </c>
      <c r="E316" t="s">
        <v>38</v>
      </c>
      <c r="F316" t="s">
        <v>38</v>
      </c>
      <c r="G316" s="2" t="s">
        <v>98</v>
      </c>
      <c r="H316" s="2" t="s">
        <v>2120</v>
      </c>
      <c r="I316" s="2" t="s">
        <v>67</v>
      </c>
      <c r="J316" s="2">
        <v>3.6</v>
      </c>
      <c r="K316" s="2" t="s">
        <v>94</v>
      </c>
      <c r="L316" s="2">
        <v>0.87</v>
      </c>
      <c r="M316" s="2" t="s">
        <v>60</v>
      </c>
      <c r="N316" s="2" t="s">
        <v>34</v>
      </c>
      <c r="O316" s="2">
        <v>5</v>
      </c>
      <c r="P316" s="2" t="str">
        <f>IF(global_freelancer_raw[[#This Row],[No of projects ]]&lt;=5,"Entry level","Well Experienced")</f>
        <v>Entry level</v>
      </c>
      <c r="Q316" s="2">
        <v>1</v>
      </c>
    </row>
    <row r="317" spans="1:17" x14ac:dyDescent="0.3">
      <c r="A317" t="s">
        <v>736</v>
      </c>
      <c r="B317" t="s">
        <v>737</v>
      </c>
      <c r="C317" t="s">
        <v>97</v>
      </c>
      <c r="D317" s="2">
        <v>26</v>
      </c>
      <c r="E317" t="s">
        <v>91</v>
      </c>
      <c r="F317" t="s">
        <v>92</v>
      </c>
      <c r="G317" s="2" t="s">
        <v>21</v>
      </c>
      <c r="H317" s="2">
        <v>3</v>
      </c>
      <c r="I317" s="2" t="s">
        <v>32</v>
      </c>
      <c r="J317" s="2">
        <v>2.8</v>
      </c>
      <c r="K317" s="2" t="s">
        <v>33</v>
      </c>
      <c r="L317" s="2">
        <v>0.61</v>
      </c>
      <c r="M317" s="2" t="s">
        <v>60</v>
      </c>
      <c r="N317" s="2" t="s">
        <v>42</v>
      </c>
      <c r="O317" s="2">
        <v>1</v>
      </c>
      <c r="P317" s="2" t="str">
        <f>IF(global_freelancer_raw[[#This Row],[No of projects ]]&lt;=5,"Entry level","Well Experienced")</f>
        <v>Entry level</v>
      </c>
      <c r="Q317" s="2">
        <v>1</v>
      </c>
    </row>
    <row r="318" spans="1:17" x14ac:dyDescent="0.3">
      <c r="A318" t="s">
        <v>738</v>
      </c>
      <c r="B318" t="s">
        <v>739</v>
      </c>
      <c r="C318" t="s">
        <v>118</v>
      </c>
      <c r="D318" s="2" t="s">
        <v>2119</v>
      </c>
      <c r="E318" t="s">
        <v>55</v>
      </c>
      <c r="F318" t="s">
        <v>56</v>
      </c>
      <c r="G318" s="2" t="s">
        <v>110</v>
      </c>
      <c r="H318" s="2">
        <v>0</v>
      </c>
      <c r="I318" s="2" t="s">
        <v>251</v>
      </c>
      <c r="J318" s="2">
        <v>5</v>
      </c>
      <c r="K318" s="2" t="s">
        <v>41</v>
      </c>
      <c r="L318" s="2" t="s">
        <v>2120</v>
      </c>
      <c r="M318" s="2" t="s">
        <v>88</v>
      </c>
      <c r="N318" s="2" t="s">
        <v>34</v>
      </c>
      <c r="O318" s="2">
        <v>1</v>
      </c>
      <c r="P318" s="2" t="str">
        <f>IF(global_freelancer_raw[[#This Row],[No of projects ]]&lt;=5,"Entry level","Well Experienced")</f>
        <v>Entry level</v>
      </c>
      <c r="Q318" s="2">
        <v>4</v>
      </c>
    </row>
    <row r="319" spans="1:17" x14ac:dyDescent="0.3">
      <c r="A319" t="s">
        <v>740</v>
      </c>
      <c r="B319" t="s">
        <v>741</v>
      </c>
      <c r="C319" t="s">
        <v>118</v>
      </c>
      <c r="D319" s="2">
        <v>32</v>
      </c>
      <c r="E319" t="s">
        <v>38</v>
      </c>
      <c r="F319" t="s">
        <v>38</v>
      </c>
      <c r="G319" s="2" t="s">
        <v>39</v>
      </c>
      <c r="H319" s="2">
        <v>0</v>
      </c>
      <c r="I319" s="2" t="s">
        <v>22</v>
      </c>
      <c r="J319" s="2">
        <v>1.4</v>
      </c>
      <c r="K319" s="2" t="s">
        <v>33</v>
      </c>
      <c r="L319" s="2">
        <v>0.81</v>
      </c>
      <c r="M319" s="2" t="s">
        <v>60</v>
      </c>
      <c r="N319" s="2" t="s">
        <v>25</v>
      </c>
      <c r="O319" s="2">
        <v>2</v>
      </c>
      <c r="P319" s="2" t="str">
        <f>IF(global_freelancer_raw[[#This Row],[No of projects ]]&lt;=5,"Entry level","Well Experienced")</f>
        <v>Entry level</v>
      </c>
      <c r="Q319" s="2">
        <v>1</v>
      </c>
    </row>
    <row r="320" spans="1:17" x14ac:dyDescent="0.3">
      <c r="A320" t="s">
        <v>742</v>
      </c>
      <c r="B320" t="s">
        <v>743</v>
      </c>
      <c r="C320" t="s">
        <v>97</v>
      </c>
      <c r="D320" s="2">
        <v>55</v>
      </c>
      <c r="E320" t="s">
        <v>145</v>
      </c>
      <c r="F320" t="s">
        <v>146</v>
      </c>
      <c r="G320" s="2" t="s">
        <v>66</v>
      </c>
      <c r="H320" s="2">
        <v>17</v>
      </c>
      <c r="I320" s="2" t="s">
        <v>52</v>
      </c>
      <c r="J320" s="2" t="s">
        <v>2120</v>
      </c>
      <c r="K320" s="2" t="s">
        <v>2120</v>
      </c>
      <c r="L320" s="2" t="s">
        <v>2120</v>
      </c>
      <c r="M320" s="2" t="s">
        <v>24</v>
      </c>
      <c r="N320" s="2" t="s">
        <v>34</v>
      </c>
      <c r="O320" s="2">
        <v>18</v>
      </c>
      <c r="P320" s="2" t="str">
        <f>IF(global_freelancer_raw[[#This Row],[No of projects ]]&lt;=5,"Entry level","Well Experienced")</f>
        <v>Well Experienced</v>
      </c>
      <c r="Q320" s="2">
        <v>13</v>
      </c>
    </row>
    <row r="321" spans="1:17" x14ac:dyDescent="0.3">
      <c r="A321" t="s">
        <v>744</v>
      </c>
      <c r="B321" t="s">
        <v>745</v>
      </c>
      <c r="C321" t="s">
        <v>118</v>
      </c>
      <c r="D321" s="2">
        <v>32</v>
      </c>
      <c r="E321" t="s">
        <v>91</v>
      </c>
      <c r="F321" t="s">
        <v>92</v>
      </c>
      <c r="G321" s="2" t="s">
        <v>135</v>
      </c>
      <c r="H321" s="2">
        <v>9</v>
      </c>
      <c r="I321" s="2" t="s">
        <v>70</v>
      </c>
      <c r="J321" s="2">
        <v>4.5999999999999996</v>
      </c>
      <c r="K321" s="2" t="s">
        <v>33</v>
      </c>
      <c r="L321" s="2">
        <v>0.84</v>
      </c>
      <c r="M321" s="2" t="s">
        <v>88</v>
      </c>
      <c r="N321" s="2" t="s">
        <v>42</v>
      </c>
      <c r="O321" s="2">
        <v>9</v>
      </c>
      <c r="P321" s="2" t="str">
        <f>IF(global_freelancer_raw[[#This Row],[No of projects ]]&lt;=5,"Entry level","Well Experienced")</f>
        <v>Well Experienced</v>
      </c>
      <c r="Q321" s="2">
        <v>2</v>
      </c>
    </row>
    <row r="322" spans="1:17" x14ac:dyDescent="0.3">
      <c r="A322" t="s">
        <v>746</v>
      </c>
      <c r="B322" t="s">
        <v>747</v>
      </c>
      <c r="C322" t="s">
        <v>118</v>
      </c>
      <c r="D322" s="2">
        <v>30</v>
      </c>
      <c r="E322" t="s">
        <v>133</v>
      </c>
      <c r="F322" t="s">
        <v>134</v>
      </c>
      <c r="G322" s="2" t="s">
        <v>21</v>
      </c>
      <c r="H322" s="2">
        <v>4</v>
      </c>
      <c r="I322" s="2" t="s">
        <v>142</v>
      </c>
      <c r="J322" s="2">
        <v>3.3</v>
      </c>
      <c r="K322" s="2" t="s">
        <v>181</v>
      </c>
      <c r="L322" s="2" t="s">
        <v>2120</v>
      </c>
      <c r="M322" s="2" t="s">
        <v>88</v>
      </c>
      <c r="N322" s="2" t="s">
        <v>75</v>
      </c>
      <c r="O322" s="2">
        <v>4</v>
      </c>
      <c r="P322" s="2" t="str">
        <f>IF(global_freelancer_raw[[#This Row],[No of projects ]]&lt;=5,"Entry level","Well Experienced")</f>
        <v>Entry level</v>
      </c>
      <c r="Q322" s="2">
        <v>4</v>
      </c>
    </row>
    <row r="323" spans="1:17" x14ac:dyDescent="0.3">
      <c r="A323" t="s">
        <v>748</v>
      </c>
      <c r="B323" t="s">
        <v>749</v>
      </c>
      <c r="C323" t="s">
        <v>97</v>
      </c>
      <c r="D323" s="2">
        <v>37</v>
      </c>
      <c r="E323" t="s">
        <v>149</v>
      </c>
      <c r="F323" t="s">
        <v>30</v>
      </c>
      <c r="G323" s="2" t="s">
        <v>98</v>
      </c>
      <c r="H323" s="2">
        <v>0</v>
      </c>
      <c r="I323" s="2" t="s">
        <v>47</v>
      </c>
      <c r="J323" s="2">
        <v>3.7</v>
      </c>
      <c r="K323" s="2" t="s">
        <v>33</v>
      </c>
      <c r="L323" s="2" t="s">
        <v>2120</v>
      </c>
      <c r="M323" s="2" t="s">
        <v>88</v>
      </c>
      <c r="N323" s="2" t="s">
        <v>34</v>
      </c>
      <c r="O323" s="2">
        <v>3</v>
      </c>
      <c r="P323" s="2" t="str">
        <f>IF(global_freelancer_raw[[#This Row],[No of projects ]]&lt;=5,"Entry level","Well Experienced")</f>
        <v>Entry level</v>
      </c>
      <c r="Q323" s="2">
        <v>5</v>
      </c>
    </row>
    <row r="324" spans="1:17" x14ac:dyDescent="0.3">
      <c r="A324" t="s">
        <v>750</v>
      </c>
      <c r="B324" t="s">
        <v>751</v>
      </c>
      <c r="C324" t="s">
        <v>118</v>
      </c>
      <c r="D324" s="2">
        <v>52</v>
      </c>
      <c r="E324" t="s">
        <v>128</v>
      </c>
      <c r="F324" t="s">
        <v>129</v>
      </c>
      <c r="G324" s="2" t="s">
        <v>39</v>
      </c>
      <c r="H324" s="2">
        <v>33</v>
      </c>
      <c r="I324" s="2" t="s">
        <v>2119</v>
      </c>
      <c r="J324" s="2">
        <v>0</v>
      </c>
      <c r="K324" s="2" t="s">
        <v>33</v>
      </c>
      <c r="L324" s="2">
        <v>0.6</v>
      </c>
      <c r="M324" s="2" t="s">
        <v>24</v>
      </c>
      <c r="N324" s="2" t="s">
        <v>42</v>
      </c>
      <c r="O324" s="2">
        <v>13</v>
      </c>
      <c r="P324" s="2" t="str">
        <f>IF(global_freelancer_raw[[#This Row],[No of projects ]]&lt;=5,"Entry level","Well Experienced")</f>
        <v>Well Experienced</v>
      </c>
      <c r="Q324" s="2">
        <v>7</v>
      </c>
    </row>
    <row r="325" spans="1:17" x14ac:dyDescent="0.3">
      <c r="A325" t="s">
        <v>752</v>
      </c>
      <c r="B325" t="s">
        <v>753</v>
      </c>
      <c r="C325" t="s">
        <v>118</v>
      </c>
      <c r="D325" s="2">
        <v>48</v>
      </c>
      <c r="E325" t="s">
        <v>114</v>
      </c>
      <c r="F325" t="s">
        <v>115</v>
      </c>
      <c r="G325" s="2" t="s">
        <v>98</v>
      </c>
      <c r="H325" s="2">
        <v>18</v>
      </c>
      <c r="I325" s="2" t="s">
        <v>40</v>
      </c>
      <c r="J325" s="2">
        <v>0</v>
      </c>
      <c r="K325" s="2" t="s">
        <v>94</v>
      </c>
      <c r="L325" s="2">
        <v>0.64</v>
      </c>
      <c r="M325" s="2" t="s">
        <v>88</v>
      </c>
      <c r="N325" s="2" t="s">
        <v>42</v>
      </c>
      <c r="O325" s="2">
        <v>11</v>
      </c>
      <c r="P325" s="2" t="str">
        <f>IF(global_freelancer_raw[[#This Row],[No of projects ]]&lt;=5,"Entry level","Well Experienced")</f>
        <v>Well Experienced</v>
      </c>
      <c r="Q325" s="2">
        <v>16</v>
      </c>
    </row>
    <row r="326" spans="1:17" x14ac:dyDescent="0.3">
      <c r="A326" t="s">
        <v>754</v>
      </c>
      <c r="B326" t="s">
        <v>755</v>
      </c>
      <c r="C326" t="s">
        <v>97</v>
      </c>
      <c r="D326" s="2">
        <v>28</v>
      </c>
      <c r="E326" t="s">
        <v>106</v>
      </c>
      <c r="F326" t="s">
        <v>107</v>
      </c>
      <c r="G326" s="2" t="s">
        <v>31</v>
      </c>
      <c r="H326" s="2">
        <v>9</v>
      </c>
      <c r="I326" s="2" t="s">
        <v>86</v>
      </c>
      <c r="J326" s="2" t="s">
        <v>2120</v>
      </c>
      <c r="K326" s="2" t="s">
        <v>33</v>
      </c>
      <c r="L326" s="2">
        <v>0.64</v>
      </c>
      <c r="M326" s="2" t="s">
        <v>24</v>
      </c>
      <c r="N326" s="2" t="s">
        <v>25</v>
      </c>
      <c r="O326" s="2">
        <v>14</v>
      </c>
      <c r="P326" s="2" t="str">
        <f>IF(global_freelancer_raw[[#This Row],[No of projects ]]&lt;=5,"Entry level","Well Experienced")</f>
        <v>Well Experienced</v>
      </c>
      <c r="Q326" s="2">
        <v>12</v>
      </c>
    </row>
    <row r="327" spans="1:17" x14ac:dyDescent="0.3">
      <c r="A327" t="s">
        <v>756</v>
      </c>
      <c r="B327" t="s">
        <v>757</v>
      </c>
      <c r="C327" t="s">
        <v>97</v>
      </c>
      <c r="D327" s="2">
        <v>58</v>
      </c>
      <c r="E327" t="s">
        <v>212</v>
      </c>
      <c r="F327" t="s">
        <v>92</v>
      </c>
      <c r="G327" s="2" t="s">
        <v>66</v>
      </c>
      <c r="H327" s="2">
        <v>40</v>
      </c>
      <c r="I327" s="2" t="s">
        <v>103</v>
      </c>
      <c r="J327" s="2">
        <v>3.4</v>
      </c>
      <c r="K327" s="2" t="s">
        <v>33</v>
      </c>
      <c r="L327" s="2">
        <v>1</v>
      </c>
      <c r="M327" s="2" t="s">
        <v>88</v>
      </c>
      <c r="N327" s="2" t="s">
        <v>25</v>
      </c>
      <c r="O327" s="2">
        <v>11</v>
      </c>
      <c r="P327" s="2" t="str">
        <f>IF(global_freelancer_raw[[#This Row],[No of projects ]]&lt;=5,"Entry level","Well Experienced")</f>
        <v>Well Experienced</v>
      </c>
      <c r="Q327" s="2">
        <v>12</v>
      </c>
    </row>
    <row r="328" spans="1:17" x14ac:dyDescent="0.3">
      <c r="A328" t="s">
        <v>758</v>
      </c>
      <c r="B328" t="s">
        <v>759</v>
      </c>
      <c r="C328" t="s">
        <v>118</v>
      </c>
      <c r="D328" s="2">
        <v>30</v>
      </c>
      <c r="E328" t="s">
        <v>91</v>
      </c>
      <c r="F328" t="s">
        <v>92</v>
      </c>
      <c r="G328" s="2" t="s">
        <v>46</v>
      </c>
      <c r="H328" s="2">
        <v>1</v>
      </c>
      <c r="I328" s="2" t="s">
        <v>86</v>
      </c>
      <c r="J328" s="2">
        <v>1.6</v>
      </c>
      <c r="K328" s="2" t="s">
        <v>74</v>
      </c>
      <c r="L328" s="2">
        <v>100</v>
      </c>
      <c r="M328" s="2" t="s">
        <v>82</v>
      </c>
      <c r="N328" s="2" t="s">
        <v>34</v>
      </c>
      <c r="O328" s="2">
        <v>4</v>
      </c>
      <c r="P328" s="2" t="str">
        <f>IF(global_freelancer_raw[[#This Row],[No of projects ]]&lt;=5,"Entry level","Well Experienced")</f>
        <v>Entry level</v>
      </c>
      <c r="Q328" s="2">
        <v>1</v>
      </c>
    </row>
    <row r="329" spans="1:17" x14ac:dyDescent="0.3">
      <c r="A329" t="s">
        <v>760</v>
      </c>
      <c r="B329" t="s">
        <v>761</v>
      </c>
      <c r="C329" t="s">
        <v>97</v>
      </c>
      <c r="D329" s="2">
        <v>47</v>
      </c>
      <c r="E329" t="s">
        <v>197</v>
      </c>
      <c r="F329" t="s">
        <v>198</v>
      </c>
      <c r="G329" s="2" t="s">
        <v>31</v>
      </c>
      <c r="H329" s="2">
        <v>5</v>
      </c>
      <c r="I329" s="2" t="s">
        <v>162</v>
      </c>
      <c r="J329" s="2">
        <v>1.9</v>
      </c>
      <c r="K329" s="2" t="s">
        <v>23</v>
      </c>
      <c r="L329" s="2" t="s">
        <v>2120</v>
      </c>
      <c r="M329" s="2" t="s">
        <v>60</v>
      </c>
      <c r="N329" s="2" t="s">
        <v>75</v>
      </c>
      <c r="O329" s="2">
        <v>5</v>
      </c>
      <c r="P329" s="2" t="str">
        <f>IF(global_freelancer_raw[[#This Row],[No of projects ]]&lt;=5,"Entry level","Well Experienced")</f>
        <v>Entry level</v>
      </c>
      <c r="Q329" s="2">
        <v>1</v>
      </c>
    </row>
    <row r="330" spans="1:17" x14ac:dyDescent="0.3">
      <c r="A330" t="s">
        <v>762</v>
      </c>
      <c r="B330" t="s">
        <v>763</v>
      </c>
      <c r="C330" t="s">
        <v>118</v>
      </c>
      <c r="D330" s="2">
        <v>44</v>
      </c>
      <c r="E330" t="s">
        <v>91</v>
      </c>
      <c r="F330" t="s">
        <v>92</v>
      </c>
      <c r="G330" s="2" t="s">
        <v>57</v>
      </c>
      <c r="H330" s="2">
        <v>4</v>
      </c>
      <c r="I330" s="2" t="s">
        <v>81</v>
      </c>
      <c r="J330" s="2">
        <v>0</v>
      </c>
      <c r="K330" s="2" t="s">
        <v>74</v>
      </c>
      <c r="L330" s="2">
        <v>0.83</v>
      </c>
      <c r="M330" s="2" t="s">
        <v>82</v>
      </c>
      <c r="N330" s="2" t="s">
        <v>42</v>
      </c>
      <c r="O330" s="2">
        <v>5</v>
      </c>
      <c r="P330" s="2" t="str">
        <f>IF(global_freelancer_raw[[#This Row],[No of projects ]]&lt;=5,"Entry level","Well Experienced")</f>
        <v>Entry level</v>
      </c>
      <c r="Q330" s="2">
        <v>1</v>
      </c>
    </row>
    <row r="331" spans="1:17" x14ac:dyDescent="0.3">
      <c r="A331" t="s">
        <v>764</v>
      </c>
      <c r="B331" t="s">
        <v>765</v>
      </c>
      <c r="C331" t="s">
        <v>118</v>
      </c>
      <c r="D331" s="2">
        <v>56</v>
      </c>
      <c r="E331" t="s">
        <v>19</v>
      </c>
      <c r="F331" t="s">
        <v>20</v>
      </c>
      <c r="G331" s="2" t="s">
        <v>135</v>
      </c>
      <c r="H331" s="2">
        <v>13</v>
      </c>
      <c r="I331" s="2" t="s">
        <v>70</v>
      </c>
      <c r="J331" s="2" t="s">
        <v>2120</v>
      </c>
      <c r="K331" s="2" t="s">
        <v>33</v>
      </c>
      <c r="L331" s="2">
        <v>0.87</v>
      </c>
      <c r="M331" s="2" t="s">
        <v>60</v>
      </c>
      <c r="N331" s="2" t="s">
        <v>34</v>
      </c>
      <c r="O331" s="2">
        <v>9</v>
      </c>
      <c r="P331" s="2" t="str">
        <f>IF(global_freelancer_raw[[#This Row],[No of projects ]]&lt;=5,"Entry level","Well Experienced")</f>
        <v>Well Experienced</v>
      </c>
      <c r="Q331" s="2">
        <v>10</v>
      </c>
    </row>
    <row r="332" spans="1:17" x14ac:dyDescent="0.3">
      <c r="A332" t="s">
        <v>766</v>
      </c>
      <c r="B332" t="s">
        <v>767</v>
      </c>
      <c r="C332" t="s">
        <v>97</v>
      </c>
      <c r="D332" s="2">
        <v>53</v>
      </c>
      <c r="E332" t="s">
        <v>73</v>
      </c>
      <c r="F332" t="s">
        <v>30</v>
      </c>
      <c r="G332" s="2" t="s">
        <v>31</v>
      </c>
      <c r="H332" s="2">
        <v>33</v>
      </c>
      <c r="I332" s="2" t="s">
        <v>251</v>
      </c>
      <c r="J332" s="2" t="s">
        <v>2120</v>
      </c>
      <c r="K332" s="2" t="s">
        <v>181</v>
      </c>
      <c r="L332" s="2">
        <v>0.75</v>
      </c>
      <c r="M332" s="2" t="s">
        <v>24</v>
      </c>
      <c r="N332" s="2" t="s">
        <v>42</v>
      </c>
      <c r="O332" s="2">
        <v>12</v>
      </c>
      <c r="P332" s="2" t="str">
        <f>IF(global_freelancer_raw[[#This Row],[No of projects ]]&lt;=5,"Entry level","Well Experienced")</f>
        <v>Well Experienced</v>
      </c>
      <c r="Q332" s="2">
        <v>1</v>
      </c>
    </row>
    <row r="333" spans="1:17" x14ac:dyDescent="0.3">
      <c r="A333" t="s">
        <v>768</v>
      </c>
      <c r="B333" t="s">
        <v>769</v>
      </c>
      <c r="C333" t="s">
        <v>118</v>
      </c>
      <c r="D333" s="2">
        <v>59</v>
      </c>
      <c r="E333" t="s">
        <v>85</v>
      </c>
      <c r="F333" t="s">
        <v>30</v>
      </c>
      <c r="G333" s="2" t="s">
        <v>31</v>
      </c>
      <c r="H333" s="2">
        <v>22</v>
      </c>
      <c r="I333" s="2" t="s">
        <v>86</v>
      </c>
      <c r="J333" s="2">
        <v>1.1000000000000001</v>
      </c>
      <c r="K333" s="2" t="s">
        <v>87</v>
      </c>
      <c r="L333" s="2">
        <v>0.61</v>
      </c>
      <c r="M333" s="2" t="s">
        <v>82</v>
      </c>
      <c r="N333" s="2" t="s">
        <v>42</v>
      </c>
      <c r="O333" s="2">
        <v>10</v>
      </c>
      <c r="P333" s="2" t="str">
        <f>IF(global_freelancer_raw[[#This Row],[No of projects ]]&lt;=5,"Entry level","Well Experienced")</f>
        <v>Well Experienced</v>
      </c>
      <c r="Q333" s="2">
        <v>19</v>
      </c>
    </row>
    <row r="334" spans="1:17" x14ac:dyDescent="0.3">
      <c r="A334" t="s">
        <v>770</v>
      </c>
      <c r="B334" t="s">
        <v>771</v>
      </c>
      <c r="C334" t="s">
        <v>118</v>
      </c>
      <c r="D334" s="2">
        <v>60</v>
      </c>
      <c r="E334" t="s">
        <v>73</v>
      </c>
      <c r="F334" t="s">
        <v>30</v>
      </c>
      <c r="G334" s="2" t="s">
        <v>110</v>
      </c>
      <c r="H334" s="2">
        <v>34</v>
      </c>
      <c r="I334" s="2" t="s">
        <v>2119</v>
      </c>
      <c r="J334" s="2">
        <v>2.5</v>
      </c>
      <c r="K334" s="2" t="s">
        <v>59</v>
      </c>
      <c r="L334" s="2">
        <v>0.93</v>
      </c>
      <c r="M334" s="2" t="s">
        <v>88</v>
      </c>
      <c r="N334" s="2" t="s">
        <v>75</v>
      </c>
      <c r="O334" s="2">
        <v>20</v>
      </c>
      <c r="P334" s="2" t="str">
        <f>IF(global_freelancer_raw[[#This Row],[No of projects ]]&lt;=5,"Entry level","Well Experienced")</f>
        <v>Well Experienced</v>
      </c>
      <c r="Q334" s="2">
        <v>9</v>
      </c>
    </row>
    <row r="335" spans="1:17" x14ac:dyDescent="0.3">
      <c r="A335" t="s">
        <v>772</v>
      </c>
      <c r="B335" t="s">
        <v>773</v>
      </c>
      <c r="C335" t="s">
        <v>97</v>
      </c>
      <c r="D335" s="2">
        <v>33</v>
      </c>
      <c r="E335" t="s">
        <v>38</v>
      </c>
      <c r="F335" t="s">
        <v>38</v>
      </c>
      <c r="G335" s="2" t="s">
        <v>31</v>
      </c>
      <c r="H335" s="2">
        <v>8</v>
      </c>
      <c r="I335" s="2" t="s">
        <v>130</v>
      </c>
      <c r="J335" s="2">
        <v>3.6</v>
      </c>
      <c r="K335" s="2" t="s">
        <v>33</v>
      </c>
      <c r="L335" s="2" t="s">
        <v>2120</v>
      </c>
      <c r="M335" s="2" t="s">
        <v>60</v>
      </c>
      <c r="N335" s="2" t="s">
        <v>75</v>
      </c>
      <c r="O335" s="2">
        <v>8</v>
      </c>
      <c r="P335" s="2" t="str">
        <f>IF(global_freelancer_raw[[#This Row],[No of projects ]]&lt;=5,"Entry level","Well Experienced")</f>
        <v>Well Experienced</v>
      </c>
      <c r="Q335" s="2">
        <v>3</v>
      </c>
    </row>
    <row r="336" spans="1:17" x14ac:dyDescent="0.3">
      <c r="A336" t="s">
        <v>774</v>
      </c>
      <c r="B336" t="s">
        <v>775</v>
      </c>
      <c r="C336" t="s">
        <v>97</v>
      </c>
      <c r="D336" s="2">
        <v>21</v>
      </c>
      <c r="E336" t="s">
        <v>91</v>
      </c>
      <c r="F336" t="s">
        <v>92</v>
      </c>
      <c r="G336" s="2" t="s">
        <v>46</v>
      </c>
      <c r="H336" s="2">
        <v>1</v>
      </c>
      <c r="I336" s="2" t="s">
        <v>336</v>
      </c>
      <c r="J336" s="2" t="s">
        <v>2120</v>
      </c>
      <c r="K336" s="2" t="s">
        <v>59</v>
      </c>
      <c r="L336" s="2">
        <v>0.99</v>
      </c>
      <c r="M336" s="2" t="s">
        <v>60</v>
      </c>
      <c r="N336" s="2" t="s">
        <v>34</v>
      </c>
      <c r="O336" s="2">
        <v>4</v>
      </c>
      <c r="P336" s="2" t="str">
        <f>IF(global_freelancer_raw[[#This Row],[No of projects ]]&lt;=5,"Entry level","Well Experienced")</f>
        <v>Entry level</v>
      </c>
      <c r="Q336" s="2">
        <v>2</v>
      </c>
    </row>
    <row r="337" spans="1:17" x14ac:dyDescent="0.3">
      <c r="A337" t="s">
        <v>776</v>
      </c>
      <c r="B337" t="s">
        <v>777</v>
      </c>
      <c r="C337" t="s">
        <v>118</v>
      </c>
      <c r="D337" s="2">
        <v>54</v>
      </c>
      <c r="E337" t="s">
        <v>85</v>
      </c>
      <c r="F337" t="s">
        <v>30</v>
      </c>
      <c r="G337" s="2" t="s">
        <v>93</v>
      </c>
      <c r="H337" s="2">
        <v>20</v>
      </c>
      <c r="I337" s="2" t="s">
        <v>40</v>
      </c>
      <c r="J337" s="2">
        <v>4.4000000000000004</v>
      </c>
      <c r="K337" s="2" t="s">
        <v>23</v>
      </c>
      <c r="L337" s="2">
        <v>73</v>
      </c>
      <c r="M337" s="2" t="s">
        <v>82</v>
      </c>
      <c r="N337" s="2" t="s">
        <v>75</v>
      </c>
      <c r="O337" s="2">
        <v>20</v>
      </c>
      <c r="P337" s="2" t="str">
        <f>IF(global_freelancer_raw[[#This Row],[No of projects ]]&lt;=5,"Entry level","Well Experienced")</f>
        <v>Well Experienced</v>
      </c>
      <c r="Q337" s="2">
        <v>12</v>
      </c>
    </row>
    <row r="338" spans="1:17" x14ac:dyDescent="0.3">
      <c r="A338" t="s">
        <v>778</v>
      </c>
      <c r="B338" t="s">
        <v>779</v>
      </c>
      <c r="C338" t="s">
        <v>97</v>
      </c>
      <c r="D338" s="2">
        <v>33</v>
      </c>
      <c r="E338" t="s">
        <v>73</v>
      </c>
      <c r="F338" t="s">
        <v>30</v>
      </c>
      <c r="G338" s="2" t="s">
        <v>39</v>
      </c>
      <c r="H338" s="2">
        <v>11</v>
      </c>
      <c r="I338" s="2" t="s">
        <v>103</v>
      </c>
      <c r="J338" s="2">
        <v>2.1</v>
      </c>
      <c r="K338" s="2" t="s">
        <v>23</v>
      </c>
      <c r="L338" s="2">
        <v>0.96</v>
      </c>
      <c r="M338" s="2" t="s">
        <v>24</v>
      </c>
      <c r="N338" s="2" t="s">
        <v>75</v>
      </c>
      <c r="O338" s="2">
        <v>7</v>
      </c>
      <c r="P338" s="2" t="str">
        <f>IF(global_freelancer_raw[[#This Row],[No of projects ]]&lt;=5,"Entry level","Well Experienced")</f>
        <v>Well Experienced</v>
      </c>
      <c r="Q338" s="2">
        <v>5</v>
      </c>
    </row>
    <row r="339" spans="1:17" x14ac:dyDescent="0.3">
      <c r="A339" t="s">
        <v>780</v>
      </c>
      <c r="B339" t="s">
        <v>781</v>
      </c>
      <c r="C339" t="s">
        <v>97</v>
      </c>
      <c r="D339" s="2">
        <v>57</v>
      </c>
      <c r="E339" t="s">
        <v>79</v>
      </c>
      <c r="F339" t="s">
        <v>80</v>
      </c>
      <c r="G339" s="2" t="s">
        <v>66</v>
      </c>
      <c r="H339" s="2">
        <v>2</v>
      </c>
      <c r="I339" s="2" t="s">
        <v>86</v>
      </c>
      <c r="J339" s="2">
        <v>0</v>
      </c>
      <c r="K339" s="2" t="s">
        <v>59</v>
      </c>
      <c r="L339" s="2">
        <v>0.6</v>
      </c>
      <c r="M339" s="2" t="s">
        <v>82</v>
      </c>
      <c r="N339" s="2" t="s">
        <v>34</v>
      </c>
      <c r="O339" s="2">
        <v>5</v>
      </c>
      <c r="P339" s="2" t="str">
        <f>IF(global_freelancer_raw[[#This Row],[No of projects ]]&lt;=5,"Entry level","Well Experienced")</f>
        <v>Entry level</v>
      </c>
      <c r="Q339" s="2">
        <v>2</v>
      </c>
    </row>
    <row r="340" spans="1:17" x14ac:dyDescent="0.3">
      <c r="A340" t="s">
        <v>782</v>
      </c>
      <c r="B340" t="s">
        <v>783</v>
      </c>
      <c r="C340" t="s">
        <v>118</v>
      </c>
      <c r="D340" s="2">
        <v>36</v>
      </c>
      <c r="E340" t="s">
        <v>133</v>
      </c>
      <c r="F340" t="s">
        <v>134</v>
      </c>
      <c r="G340" s="2" t="s">
        <v>39</v>
      </c>
      <c r="H340" s="2">
        <v>6</v>
      </c>
      <c r="I340" s="2" t="s">
        <v>162</v>
      </c>
      <c r="J340" s="2">
        <v>1</v>
      </c>
      <c r="K340" s="2" t="s">
        <v>94</v>
      </c>
      <c r="L340" s="2">
        <v>0.64</v>
      </c>
      <c r="M340" s="2" t="s">
        <v>24</v>
      </c>
      <c r="N340" s="2" t="s">
        <v>75</v>
      </c>
      <c r="O340" s="2">
        <v>15</v>
      </c>
      <c r="P340" s="2" t="str">
        <f>IF(global_freelancer_raw[[#This Row],[No of projects ]]&lt;=5,"Entry level","Well Experienced")</f>
        <v>Well Experienced</v>
      </c>
      <c r="Q340" s="2">
        <v>6</v>
      </c>
    </row>
    <row r="341" spans="1:17" x14ac:dyDescent="0.3">
      <c r="A341" t="s">
        <v>784</v>
      </c>
      <c r="B341" t="s">
        <v>785</v>
      </c>
      <c r="C341" t="s">
        <v>118</v>
      </c>
      <c r="D341" s="2">
        <v>50</v>
      </c>
      <c r="E341" t="s">
        <v>38</v>
      </c>
      <c r="F341" t="s">
        <v>38</v>
      </c>
      <c r="G341" s="2" t="s">
        <v>21</v>
      </c>
      <c r="H341" s="2">
        <v>20</v>
      </c>
      <c r="I341" s="2" t="s">
        <v>130</v>
      </c>
      <c r="J341" s="2">
        <v>0</v>
      </c>
      <c r="K341" s="2" t="s">
        <v>23</v>
      </c>
      <c r="L341" s="2" t="s">
        <v>2120</v>
      </c>
      <c r="M341" s="2" t="s">
        <v>24</v>
      </c>
      <c r="N341" s="2" t="s">
        <v>25</v>
      </c>
      <c r="O341" s="2">
        <v>18</v>
      </c>
      <c r="P341" s="2" t="str">
        <f>IF(global_freelancer_raw[[#This Row],[No of projects ]]&lt;=5,"Entry level","Well Experienced")</f>
        <v>Well Experienced</v>
      </c>
      <c r="Q341" s="2">
        <v>7</v>
      </c>
    </row>
    <row r="342" spans="1:17" x14ac:dyDescent="0.3">
      <c r="A342" t="s">
        <v>786</v>
      </c>
      <c r="B342" t="s">
        <v>787</v>
      </c>
      <c r="C342" t="s">
        <v>97</v>
      </c>
      <c r="D342" s="2">
        <v>37</v>
      </c>
      <c r="E342" t="s">
        <v>149</v>
      </c>
      <c r="F342" t="s">
        <v>30</v>
      </c>
      <c r="G342" s="2" t="s">
        <v>110</v>
      </c>
      <c r="H342" s="2" t="s">
        <v>2120</v>
      </c>
      <c r="I342" s="2" t="s">
        <v>336</v>
      </c>
      <c r="J342" s="2">
        <v>4.9000000000000004</v>
      </c>
      <c r="K342" s="2" t="s">
        <v>41</v>
      </c>
      <c r="L342" s="2" t="s">
        <v>2120</v>
      </c>
      <c r="M342" s="2" t="s">
        <v>60</v>
      </c>
      <c r="N342" s="2" t="s">
        <v>42</v>
      </c>
      <c r="O342" s="2">
        <v>5</v>
      </c>
      <c r="P342" s="2" t="str">
        <f>IF(global_freelancer_raw[[#This Row],[No of projects ]]&lt;=5,"Entry level","Well Experienced")</f>
        <v>Entry level</v>
      </c>
      <c r="Q342" s="2">
        <v>3</v>
      </c>
    </row>
    <row r="343" spans="1:17" x14ac:dyDescent="0.3">
      <c r="A343" t="s">
        <v>788</v>
      </c>
      <c r="B343" t="s">
        <v>789</v>
      </c>
      <c r="C343" t="s">
        <v>118</v>
      </c>
      <c r="D343" s="2">
        <v>53</v>
      </c>
      <c r="E343" t="s">
        <v>19</v>
      </c>
      <c r="F343" t="s">
        <v>20</v>
      </c>
      <c r="G343" s="2" t="s">
        <v>57</v>
      </c>
      <c r="H343" s="2">
        <v>4</v>
      </c>
      <c r="I343" s="2" t="s">
        <v>52</v>
      </c>
      <c r="J343" s="2">
        <v>4.7</v>
      </c>
      <c r="K343" s="2" t="s">
        <v>181</v>
      </c>
      <c r="L343" s="2">
        <v>0.99</v>
      </c>
      <c r="M343" s="2" t="s">
        <v>82</v>
      </c>
      <c r="N343" s="2" t="s">
        <v>42</v>
      </c>
      <c r="O343" s="2">
        <v>2</v>
      </c>
      <c r="P343" s="2" t="str">
        <f>IF(global_freelancer_raw[[#This Row],[No of projects ]]&lt;=5,"Entry level","Well Experienced")</f>
        <v>Entry level</v>
      </c>
      <c r="Q343" s="2">
        <v>1</v>
      </c>
    </row>
    <row r="344" spans="1:17" x14ac:dyDescent="0.3">
      <c r="A344" t="s">
        <v>790</v>
      </c>
      <c r="B344" t="s">
        <v>791</v>
      </c>
      <c r="C344" t="s">
        <v>97</v>
      </c>
      <c r="D344" s="2">
        <v>22</v>
      </c>
      <c r="E344" t="s">
        <v>19</v>
      </c>
      <c r="F344" t="s">
        <v>20</v>
      </c>
      <c r="G344" s="2" t="s">
        <v>21</v>
      </c>
      <c r="H344" s="2">
        <v>3</v>
      </c>
      <c r="I344" s="2" t="s">
        <v>70</v>
      </c>
      <c r="J344" s="2">
        <v>2.1</v>
      </c>
      <c r="K344" s="2" t="s">
        <v>23</v>
      </c>
      <c r="L344" s="2" t="s">
        <v>2120</v>
      </c>
      <c r="M344" s="2" t="s">
        <v>82</v>
      </c>
      <c r="N344" s="2" t="s">
        <v>42</v>
      </c>
      <c r="O344" s="2">
        <v>4</v>
      </c>
      <c r="P344" s="2" t="str">
        <f>IF(global_freelancer_raw[[#This Row],[No of projects ]]&lt;=5,"Entry level","Well Experienced")</f>
        <v>Entry level</v>
      </c>
      <c r="Q344" s="2">
        <v>1</v>
      </c>
    </row>
    <row r="345" spans="1:17" x14ac:dyDescent="0.3">
      <c r="A345" t="s">
        <v>792</v>
      </c>
      <c r="B345" t="s">
        <v>793</v>
      </c>
      <c r="C345" t="s">
        <v>97</v>
      </c>
      <c r="D345" s="2">
        <v>55</v>
      </c>
      <c r="E345" t="s">
        <v>55</v>
      </c>
      <c r="F345" t="s">
        <v>56</v>
      </c>
      <c r="G345" s="2" t="s">
        <v>31</v>
      </c>
      <c r="H345" s="2">
        <v>33</v>
      </c>
      <c r="I345" s="2" t="s">
        <v>86</v>
      </c>
      <c r="J345" s="2">
        <v>1.5</v>
      </c>
      <c r="K345" s="2" t="s">
        <v>94</v>
      </c>
      <c r="L345" s="2">
        <v>0.71</v>
      </c>
      <c r="M345" s="2" t="s">
        <v>24</v>
      </c>
      <c r="N345" s="2" t="s">
        <v>42</v>
      </c>
      <c r="O345" s="2">
        <v>10</v>
      </c>
      <c r="P345" s="2" t="str">
        <f>IF(global_freelancer_raw[[#This Row],[No of projects ]]&lt;=5,"Entry level","Well Experienced")</f>
        <v>Well Experienced</v>
      </c>
      <c r="Q345" s="2">
        <v>11</v>
      </c>
    </row>
    <row r="346" spans="1:17" x14ac:dyDescent="0.3">
      <c r="A346" t="s">
        <v>794</v>
      </c>
      <c r="B346" t="s">
        <v>795</v>
      </c>
      <c r="C346" t="s">
        <v>118</v>
      </c>
      <c r="D346" s="2">
        <v>22</v>
      </c>
      <c r="E346" t="s">
        <v>29</v>
      </c>
      <c r="F346" t="s">
        <v>30</v>
      </c>
      <c r="G346" s="2" t="s">
        <v>98</v>
      </c>
      <c r="H346" s="2">
        <v>1</v>
      </c>
      <c r="I346" s="2" t="s">
        <v>2119</v>
      </c>
      <c r="J346" s="2">
        <v>2.6</v>
      </c>
      <c r="K346" s="2" t="s">
        <v>23</v>
      </c>
      <c r="L346" s="2">
        <v>0.72</v>
      </c>
      <c r="M346" s="2" t="s">
        <v>82</v>
      </c>
      <c r="N346" s="2" t="s">
        <v>34</v>
      </c>
      <c r="O346" s="2">
        <v>5</v>
      </c>
      <c r="P346" s="2" t="str">
        <f>IF(global_freelancer_raw[[#This Row],[No of projects ]]&lt;=5,"Entry level","Well Experienced")</f>
        <v>Entry level</v>
      </c>
      <c r="Q346" s="2">
        <v>1</v>
      </c>
    </row>
    <row r="347" spans="1:17" x14ac:dyDescent="0.3">
      <c r="A347" t="s">
        <v>796</v>
      </c>
      <c r="B347" t="s">
        <v>797</v>
      </c>
      <c r="C347" t="s">
        <v>97</v>
      </c>
      <c r="D347" s="2">
        <v>45</v>
      </c>
      <c r="E347" t="s">
        <v>79</v>
      </c>
      <c r="F347" t="s">
        <v>80</v>
      </c>
      <c r="G347" s="2" t="s">
        <v>46</v>
      </c>
      <c r="H347" s="2">
        <v>23</v>
      </c>
      <c r="I347" s="2" t="s">
        <v>119</v>
      </c>
      <c r="J347" s="2">
        <v>0</v>
      </c>
      <c r="K347" s="2" t="s">
        <v>23</v>
      </c>
      <c r="L347" s="2">
        <v>0.66</v>
      </c>
      <c r="M347" s="2" t="s">
        <v>88</v>
      </c>
      <c r="N347" s="2" t="s">
        <v>42</v>
      </c>
      <c r="O347" s="2">
        <v>10</v>
      </c>
      <c r="P347" s="2" t="str">
        <f>IF(global_freelancer_raw[[#This Row],[No of projects ]]&lt;=5,"Entry level","Well Experienced")</f>
        <v>Well Experienced</v>
      </c>
      <c r="Q347" s="2">
        <v>6</v>
      </c>
    </row>
    <row r="348" spans="1:17" x14ac:dyDescent="0.3">
      <c r="A348" t="s">
        <v>798</v>
      </c>
      <c r="B348" t="s">
        <v>799</v>
      </c>
      <c r="C348" t="s">
        <v>118</v>
      </c>
      <c r="D348" s="2">
        <v>36</v>
      </c>
      <c r="E348" t="s">
        <v>156</v>
      </c>
      <c r="F348" t="s">
        <v>157</v>
      </c>
      <c r="G348" s="2" t="s">
        <v>66</v>
      </c>
      <c r="H348" s="2">
        <v>13</v>
      </c>
      <c r="I348" s="2" t="s">
        <v>86</v>
      </c>
      <c r="J348" s="2" t="s">
        <v>2120</v>
      </c>
      <c r="K348" s="2" t="s">
        <v>41</v>
      </c>
      <c r="L348" s="2">
        <v>0.78</v>
      </c>
      <c r="M348" s="2" t="s">
        <v>88</v>
      </c>
      <c r="N348" s="2" t="s">
        <v>42</v>
      </c>
      <c r="O348" s="2">
        <v>15</v>
      </c>
      <c r="P348" s="2" t="str">
        <f>IF(global_freelancer_raw[[#This Row],[No of projects ]]&lt;=5,"Entry level","Well Experienced")</f>
        <v>Well Experienced</v>
      </c>
      <c r="Q348" s="2">
        <v>10</v>
      </c>
    </row>
    <row r="349" spans="1:17" x14ac:dyDescent="0.3">
      <c r="A349" t="s">
        <v>800</v>
      </c>
      <c r="B349" t="s">
        <v>801</v>
      </c>
      <c r="C349" t="s">
        <v>118</v>
      </c>
      <c r="D349" s="2">
        <v>23</v>
      </c>
      <c r="E349" t="s">
        <v>29</v>
      </c>
      <c r="F349" t="s">
        <v>30</v>
      </c>
      <c r="G349" s="2" t="s">
        <v>110</v>
      </c>
      <c r="H349" s="2">
        <v>1</v>
      </c>
      <c r="I349" s="2" t="s">
        <v>336</v>
      </c>
      <c r="J349" s="2">
        <v>4</v>
      </c>
      <c r="K349" s="2" t="s">
        <v>94</v>
      </c>
      <c r="L349" s="2">
        <v>100</v>
      </c>
      <c r="M349" s="2" t="s">
        <v>82</v>
      </c>
      <c r="N349" s="2" t="s">
        <v>42</v>
      </c>
      <c r="O349" s="2">
        <v>1</v>
      </c>
      <c r="P349" s="2" t="str">
        <f>IF(global_freelancer_raw[[#This Row],[No of projects ]]&lt;=5,"Entry level","Well Experienced")</f>
        <v>Entry level</v>
      </c>
      <c r="Q349" s="2">
        <v>3</v>
      </c>
    </row>
    <row r="350" spans="1:17" x14ac:dyDescent="0.3">
      <c r="A350" t="s">
        <v>802</v>
      </c>
      <c r="B350" t="s">
        <v>803</v>
      </c>
      <c r="C350" t="s">
        <v>118</v>
      </c>
      <c r="D350" s="2">
        <v>55</v>
      </c>
      <c r="E350" t="s">
        <v>19</v>
      </c>
      <c r="F350" t="s">
        <v>20</v>
      </c>
      <c r="G350" s="2" t="s">
        <v>110</v>
      </c>
      <c r="H350" s="2">
        <v>15</v>
      </c>
      <c r="I350" s="2" t="s">
        <v>86</v>
      </c>
      <c r="J350" s="2">
        <v>4.5</v>
      </c>
      <c r="K350" s="2" t="s">
        <v>2120</v>
      </c>
      <c r="L350" s="2" t="s">
        <v>2120</v>
      </c>
      <c r="M350" s="2" t="s">
        <v>82</v>
      </c>
      <c r="N350" s="2" t="s">
        <v>42</v>
      </c>
      <c r="O350" s="2">
        <v>9</v>
      </c>
      <c r="P350" s="2" t="str">
        <f>IF(global_freelancer_raw[[#This Row],[No of projects ]]&lt;=5,"Entry level","Well Experienced")</f>
        <v>Well Experienced</v>
      </c>
      <c r="Q350" s="2">
        <v>10</v>
      </c>
    </row>
    <row r="351" spans="1:17" x14ac:dyDescent="0.3">
      <c r="A351" t="s">
        <v>804</v>
      </c>
      <c r="B351" t="s">
        <v>805</v>
      </c>
      <c r="C351" t="s">
        <v>97</v>
      </c>
      <c r="D351" s="2">
        <v>50</v>
      </c>
      <c r="E351" t="s">
        <v>128</v>
      </c>
      <c r="F351" t="s">
        <v>129</v>
      </c>
      <c r="G351" s="2" t="s">
        <v>31</v>
      </c>
      <c r="H351" s="2">
        <v>18</v>
      </c>
      <c r="I351" s="2" t="s">
        <v>103</v>
      </c>
      <c r="J351" s="2">
        <v>3.8</v>
      </c>
      <c r="K351" s="2" t="s">
        <v>23</v>
      </c>
      <c r="L351" s="2">
        <v>67</v>
      </c>
      <c r="M351" s="2" t="s">
        <v>24</v>
      </c>
      <c r="N351" s="2" t="s">
        <v>25</v>
      </c>
      <c r="O351" s="2">
        <v>14</v>
      </c>
      <c r="P351" s="2" t="str">
        <f>IF(global_freelancer_raw[[#This Row],[No of projects ]]&lt;=5,"Entry level","Well Experienced")</f>
        <v>Well Experienced</v>
      </c>
      <c r="Q351" s="2">
        <v>6</v>
      </c>
    </row>
    <row r="352" spans="1:17" x14ac:dyDescent="0.3">
      <c r="A352" t="s">
        <v>806</v>
      </c>
      <c r="B352" t="s">
        <v>807</v>
      </c>
      <c r="C352" t="s">
        <v>118</v>
      </c>
      <c r="D352" s="2">
        <v>48</v>
      </c>
      <c r="E352" t="s">
        <v>73</v>
      </c>
      <c r="F352" t="s">
        <v>30</v>
      </c>
      <c r="G352" s="2" t="s">
        <v>135</v>
      </c>
      <c r="H352" s="2">
        <v>21</v>
      </c>
      <c r="I352" s="2" t="s">
        <v>40</v>
      </c>
      <c r="J352" s="2">
        <v>4</v>
      </c>
      <c r="K352" s="2" t="s">
        <v>23</v>
      </c>
      <c r="L352" s="2">
        <v>0.78</v>
      </c>
      <c r="M352" s="2" t="s">
        <v>88</v>
      </c>
      <c r="N352" s="2" t="s">
        <v>42</v>
      </c>
      <c r="O352" s="2">
        <v>20</v>
      </c>
      <c r="P352" s="2" t="str">
        <f>IF(global_freelancer_raw[[#This Row],[No of projects ]]&lt;=5,"Entry level","Well Experienced")</f>
        <v>Well Experienced</v>
      </c>
      <c r="Q352" s="2">
        <v>7</v>
      </c>
    </row>
    <row r="353" spans="1:17" x14ac:dyDescent="0.3">
      <c r="A353" t="s">
        <v>808</v>
      </c>
      <c r="B353" t="s">
        <v>809</v>
      </c>
      <c r="C353" t="s">
        <v>118</v>
      </c>
      <c r="D353" s="2">
        <v>23</v>
      </c>
      <c r="E353" t="s">
        <v>55</v>
      </c>
      <c r="F353" t="s">
        <v>56</v>
      </c>
      <c r="G353" s="2" t="s">
        <v>110</v>
      </c>
      <c r="H353" s="2">
        <v>1</v>
      </c>
      <c r="I353" s="2" t="s">
        <v>47</v>
      </c>
      <c r="J353" s="2">
        <v>4.9000000000000004</v>
      </c>
      <c r="K353" s="2" t="s">
        <v>87</v>
      </c>
      <c r="L353" s="2">
        <v>0.78</v>
      </c>
      <c r="M353" s="2" t="s">
        <v>88</v>
      </c>
      <c r="N353" s="2" t="s">
        <v>25</v>
      </c>
      <c r="O353" s="2">
        <v>3</v>
      </c>
      <c r="P353" s="2" t="str">
        <f>IF(global_freelancer_raw[[#This Row],[No of projects ]]&lt;=5,"Entry level","Well Experienced")</f>
        <v>Entry level</v>
      </c>
      <c r="Q353" s="2">
        <v>3</v>
      </c>
    </row>
    <row r="354" spans="1:17" x14ac:dyDescent="0.3">
      <c r="A354" t="s">
        <v>810</v>
      </c>
      <c r="B354" t="s">
        <v>811</v>
      </c>
      <c r="C354" t="s">
        <v>97</v>
      </c>
      <c r="D354" s="2">
        <v>49</v>
      </c>
      <c r="E354" t="s">
        <v>149</v>
      </c>
      <c r="F354" t="s">
        <v>30</v>
      </c>
      <c r="G354" s="2" t="s">
        <v>46</v>
      </c>
      <c r="H354" s="2">
        <v>25</v>
      </c>
      <c r="I354" s="2" t="s">
        <v>58</v>
      </c>
      <c r="J354" s="2">
        <v>3.4</v>
      </c>
      <c r="K354" s="2" t="s">
        <v>23</v>
      </c>
      <c r="L354" s="2">
        <v>0.75</v>
      </c>
      <c r="M354" s="2" t="s">
        <v>60</v>
      </c>
      <c r="N354" s="2" t="s">
        <v>34</v>
      </c>
      <c r="O354" s="2">
        <v>15</v>
      </c>
      <c r="P354" s="2" t="str">
        <f>IF(global_freelancer_raw[[#This Row],[No of projects ]]&lt;=5,"Entry level","Well Experienced")</f>
        <v>Well Experienced</v>
      </c>
      <c r="Q354" s="2">
        <v>10</v>
      </c>
    </row>
    <row r="355" spans="1:17" x14ac:dyDescent="0.3">
      <c r="A355" t="s">
        <v>812</v>
      </c>
      <c r="B355" t="s">
        <v>813</v>
      </c>
      <c r="C355" t="s">
        <v>97</v>
      </c>
      <c r="D355" s="2">
        <v>47</v>
      </c>
      <c r="E355" t="s">
        <v>19</v>
      </c>
      <c r="F355" t="s">
        <v>20</v>
      </c>
      <c r="G355" s="2" t="s">
        <v>98</v>
      </c>
      <c r="H355" s="2">
        <v>12</v>
      </c>
      <c r="I355" s="2" t="s">
        <v>40</v>
      </c>
      <c r="J355" s="2">
        <v>2.1</v>
      </c>
      <c r="K355" s="2" t="s">
        <v>74</v>
      </c>
      <c r="L355" s="2">
        <v>0.67</v>
      </c>
      <c r="M355" s="2" t="s">
        <v>24</v>
      </c>
      <c r="N355" s="2" t="s">
        <v>75</v>
      </c>
      <c r="O355" s="2">
        <v>14</v>
      </c>
      <c r="P355" s="2" t="str">
        <f>IF(global_freelancer_raw[[#This Row],[No of projects ]]&lt;=5,"Entry level","Well Experienced")</f>
        <v>Well Experienced</v>
      </c>
      <c r="Q355" s="2">
        <v>10</v>
      </c>
    </row>
    <row r="356" spans="1:17" x14ac:dyDescent="0.3">
      <c r="A356" t="s">
        <v>814</v>
      </c>
      <c r="B356" t="s">
        <v>815</v>
      </c>
      <c r="C356" t="s">
        <v>97</v>
      </c>
      <c r="D356" s="2">
        <v>56</v>
      </c>
      <c r="E356" t="s">
        <v>106</v>
      </c>
      <c r="F356" t="s">
        <v>107</v>
      </c>
      <c r="G356" s="2" t="s">
        <v>39</v>
      </c>
      <c r="H356" s="2">
        <v>32</v>
      </c>
      <c r="I356" s="2" t="s">
        <v>70</v>
      </c>
      <c r="J356" s="2">
        <v>0</v>
      </c>
      <c r="K356" s="2" t="s">
        <v>33</v>
      </c>
      <c r="L356" s="2">
        <v>0.86</v>
      </c>
      <c r="M356" s="2" t="s">
        <v>60</v>
      </c>
      <c r="N356" s="2" t="s">
        <v>42</v>
      </c>
      <c r="O356" s="2">
        <v>15</v>
      </c>
      <c r="P356" s="2" t="str">
        <f>IF(global_freelancer_raw[[#This Row],[No of projects ]]&lt;=5,"Entry level","Well Experienced")</f>
        <v>Well Experienced</v>
      </c>
      <c r="Q356" s="2">
        <v>5</v>
      </c>
    </row>
    <row r="357" spans="1:17" x14ac:dyDescent="0.3">
      <c r="A357" t="s">
        <v>816</v>
      </c>
      <c r="B357" t="s">
        <v>817</v>
      </c>
      <c r="C357" t="s">
        <v>118</v>
      </c>
      <c r="D357" s="2">
        <v>58</v>
      </c>
      <c r="E357" t="s">
        <v>91</v>
      </c>
      <c r="F357" t="s">
        <v>92</v>
      </c>
      <c r="G357" s="2" t="s">
        <v>93</v>
      </c>
      <c r="H357" s="2" t="s">
        <v>2120</v>
      </c>
      <c r="I357" s="2" t="s">
        <v>22</v>
      </c>
      <c r="J357" s="2">
        <v>4.5</v>
      </c>
      <c r="K357" s="2" t="s">
        <v>181</v>
      </c>
      <c r="L357" s="2">
        <v>77</v>
      </c>
      <c r="M357" s="2" t="s">
        <v>88</v>
      </c>
      <c r="N357" s="2" t="s">
        <v>75</v>
      </c>
      <c r="O357" s="2">
        <v>3</v>
      </c>
      <c r="P357" s="2" t="str">
        <f>IF(global_freelancer_raw[[#This Row],[No of projects ]]&lt;=5,"Entry level","Well Experienced")</f>
        <v>Entry level</v>
      </c>
      <c r="Q357" s="2">
        <v>1</v>
      </c>
    </row>
    <row r="358" spans="1:17" x14ac:dyDescent="0.3">
      <c r="A358" t="s">
        <v>818</v>
      </c>
      <c r="B358" t="s">
        <v>819</v>
      </c>
      <c r="C358" t="s">
        <v>118</v>
      </c>
      <c r="D358" s="2">
        <v>32</v>
      </c>
      <c r="E358" t="s">
        <v>133</v>
      </c>
      <c r="F358" t="s">
        <v>134</v>
      </c>
      <c r="G358" s="2" t="s">
        <v>93</v>
      </c>
      <c r="H358" s="2">
        <v>10</v>
      </c>
      <c r="I358" s="2" t="s">
        <v>58</v>
      </c>
      <c r="J358" s="2">
        <v>3.8</v>
      </c>
      <c r="K358" s="2" t="s">
        <v>23</v>
      </c>
      <c r="L358" s="2">
        <v>0.61</v>
      </c>
      <c r="M358" s="2" t="s">
        <v>24</v>
      </c>
      <c r="N358" s="2" t="s">
        <v>75</v>
      </c>
      <c r="O358" s="2">
        <v>11</v>
      </c>
      <c r="P358" s="2" t="str">
        <f>IF(global_freelancer_raw[[#This Row],[No of projects ]]&lt;=5,"Entry level","Well Experienced")</f>
        <v>Well Experienced</v>
      </c>
      <c r="Q358" s="2">
        <v>5</v>
      </c>
    </row>
    <row r="359" spans="1:17" x14ac:dyDescent="0.3">
      <c r="A359" t="s">
        <v>820</v>
      </c>
      <c r="B359" t="s">
        <v>821</v>
      </c>
      <c r="C359" t="s">
        <v>97</v>
      </c>
      <c r="D359" s="2">
        <v>52</v>
      </c>
      <c r="E359" t="s">
        <v>114</v>
      </c>
      <c r="F359" t="s">
        <v>115</v>
      </c>
      <c r="G359" s="2" t="s">
        <v>93</v>
      </c>
      <c r="H359" s="2">
        <v>0</v>
      </c>
      <c r="I359" s="2" t="s">
        <v>2119</v>
      </c>
      <c r="J359" s="2">
        <v>4.3</v>
      </c>
      <c r="K359" s="2" t="s">
        <v>23</v>
      </c>
      <c r="L359" s="2">
        <v>0.9</v>
      </c>
      <c r="M359" s="2" t="s">
        <v>82</v>
      </c>
      <c r="N359" s="2" t="s">
        <v>34</v>
      </c>
      <c r="O359" s="2">
        <v>1</v>
      </c>
      <c r="P359" s="2" t="str">
        <f>IF(global_freelancer_raw[[#This Row],[No of projects ]]&lt;=5,"Entry level","Well Experienced")</f>
        <v>Entry level</v>
      </c>
      <c r="Q359" s="2">
        <v>1</v>
      </c>
    </row>
    <row r="360" spans="1:17" x14ac:dyDescent="0.3">
      <c r="A360" t="s">
        <v>822</v>
      </c>
      <c r="B360" t="s">
        <v>823</v>
      </c>
      <c r="C360" t="s">
        <v>97</v>
      </c>
      <c r="D360" s="2">
        <v>22</v>
      </c>
      <c r="E360" t="s">
        <v>197</v>
      </c>
      <c r="F360" t="s">
        <v>198</v>
      </c>
      <c r="G360" s="2" t="s">
        <v>66</v>
      </c>
      <c r="H360" s="2">
        <v>1</v>
      </c>
      <c r="I360" s="2" t="s">
        <v>40</v>
      </c>
      <c r="J360" s="2">
        <v>0</v>
      </c>
      <c r="K360" s="2" t="s">
        <v>2120</v>
      </c>
      <c r="L360" s="2">
        <v>0.98</v>
      </c>
      <c r="M360" s="2" t="s">
        <v>24</v>
      </c>
      <c r="N360" s="2" t="s">
        <v>75</v>
      </c>
      <c r="O360" s="2">
        <v>4</v>
      </c>
      <c r="P360" s="2" t="str">
        <f>IF(global_freelancer_raw[[#This Row],[No of projects ]]&lt;=5,"Entry level","Well Experienced")</f>
        <v>Entry level</v>
      </c>
      <c r="Q360" s="2">
        <v>5</v>
      </c>
    </row>
    <row r="361" spans="1:17" x14ac:dyDescent="0.3">
      <c r="A361" t="s">
        <v>824</v>
      </c>
      <c r="B361" t="s">
        <v>825</v>
      </c>
      <c r="C361" t="s">
        <v>118</v>
      </c>
      <c r="D361" s="2">
        <v>20</v>
      </c>
      <c r="E361" t="s">
        <v>114</v>
      </c>
      <c r="F361" t="s">
        <v>115</v>
      </c>
      <c r="G361" s="2" t="s">
        <v>98</v>
      </c>
      <c r="H361" s="2">
        <v>2</v>
      </c>
      <c r="I361" s="2" t="s">
        <v>52</v>
      </c>
      <c r="J361" s="2" t="s">
        <v>2120</v>
      </c>
      <c r="K361" s="2" t="s">
        <v>33</v>
      </c>
      <c r="L361" s="2">
        <v>0.99</v>
      </c>
      <c r="M361" s="2" t="s">
        <v>82</v>
      </c>
      <c r="N361" s="2" t="s">
        <v>25</v>
      </c>
      <c r="O361" s="2">
        <v>3</v>
      </c>
      <c r="P361" s="2" t="str">
        <f>IF(global_freelancer_raw[[#This Row],[No of projects ]]&lt;=5,"Entry level","Well Experienced")</f>
        <v>Entry level</v>
      </c>
      <c r="Q361" s="2">
        <v>2</v>
      </c>
    </row>
    <row r="362" spans="1:17" x14ac:dyDescent="0.3">
      <c r="A362" t="s">
        <v>826</v>
      </c>
      <c r="B362" t="s">
        <v>827</v>
      </c>
      <c r="C362" t="s">
        <v>118</v>
      </c>
      <c r="D362" s="2">
        <v>56</v>
      </c>
      <c r="E362" t="s">
        <v>55</v>
      </c>
      <c r="F362" t="s">
        <v>56</v>
      </c>
      <c r="G362" s="2" t="s">
        <v>66</v>
      </c>
      <c r="H362" s="2">
        <v>9</v>
      </c>
      <c r="I362" s="2" t="s">
        <v>70</v>
      </c>
      <c r="J362" s="2">
        <v>2.6</v>
      </c>
      <c r="K362" s="2" t="s">
        <v>23</v>
      </c>
      <c r="L362" s="2">
        <v>0.61</v>
      </c>
      <c r="M362" s="2" t="s">
        <v>82</v>
      </c>
      <c r="N362" s="2" t="s">
        <v>75</v>
      </c>
      <c r="O362" s="2">
        <v>10</v>
      </c>
      <c r="P362" s="2" t="str">
        <f>IF(global_freelancer_raw[[#This Row],[No of projects ]]&lt;=5,"Entry level","Well Experienced")</f>
        <v>Well Experienced</v>
      </c>
      <c r="Q362" s="2">
        <v>5</v>
      </c>
    </row>
    <row r="363" spans="1:17" x14ac:dyDescent="0.3">
      <c r="A363" t="s">
        <v>828</v>
      </c>
      <c r="B363" t="s">
        <v>829</v>
      </c>
      <c r="C363" t="s">
        <v>118</v>
      </c>
      <c r="D363" s="2">
        <v>41</v>
      </c>
      <c r="E363" t="s">
        <v>106</v>
      </c>
      <c r="F363" t="s">
        <v>107</v>
      </c>
      <c r="G363" s="2" t="s">
        <v>66</v>
      </c>
      <c r="H363" s="2">
        <v>22</v>
      </c>
      <c r="I363" s="2" t="s">
        <v>119</v>
      </c>
      <c r="J363" s="2">
        <v>1.6</v>
      </c>
      <c r="K363" s="2" t="s">
        <v>33</v>
      </c>
      <c r="L363" s="2">
        <v>0.61</v>
      </c>
      <c r="M363" s="2" t="s">
        <v>24</v>
      </c>
      <c r="N363" s="2" t="s">
        <v>75</v>
      </c>
      <c r="O363" s="2">
        <v>10</v>
      </c>
      <c r="P363" s="2" t="str">
        <f>IF(global_freelancer_raw[[#This Row],[No of projects ]]&lt;=5,"Entry level","Well Experienced")</f>
        <v>Well Experienced</v>
      </c>
      <c r="Q363" s="2">
        <v>10</v>
      </c>
    </row>
    <row r="364" spans="1:17" x14ac:dyDescent="0.3">
      <c r="A364" t="s">
        <v>830</v>
      </c>
      <c r="B364" t="s">
        <v>831</v>
      </c>
      <c r="C364" t="s">
        <v>118</v>
      </c>
      <c r="D364" s="2">
        <v>25</v>
      </c>
      <c r="E364" t="s">
        <v>91</v>
      </c>
      <c r="F364" t="s">
        <v>92</v>
      </c>
      <c r="G364" s="2" t="s">
        <v>21</v>
      </c>
      <c r="H364" s="2">
        <v>5</v>
      </c>
      <c r="I364" s="2" t="s">
        <v>58</v>
      </c>
      <c r="J364" s="2">
        <v>2.2999999999999998</v>
      </c>
      <c r="K364" s="2" t="s">
        <v>23</v>
      </c>
      <c r="L364" s="2">
        <v>0.91</v>
      </c>
      <c r="M364" s="2" t="s">
        <v>82</v>
      </c>
      <c r="N364" s="2" t="s">
        <v>75</v>
      </c>
      <c r="O364" s="2">
        <v>2</v>
      </c>
      <c r="P364" s="2" t="str">
        <f>IF(global_freelancer_raw[[#This Row],[No of projects ]]&lt;=5,"Entry level","Well Experienced")</f>
        <v>Entry level</v>
      </c>
      <c r="Q364" s="2">
        <v>1</v>
      </c>
    </row>
    <row r="365" spans="1:17" x14ac:dyDescent="0.3">
      <c r="A365" t="s">
        <v>832</v>
      </c>
      <c r="B365" t="s">
        <v>833</v>
      </c>
      <c r="C365" t="s">
        <v>97</v>
      </c>
      <c r="D365" s="2">
        <v>44</v>
      </c>
      <c r="E365" t="s">
        <v>149</v>
      </c>
      <c r="F365" t="s">
        <v>30</v>
      </c>
      <c r="G365" s="2" t="s">
        <v>98</v>
      </c>
      <c r="H365" s="2">
        <v>6</v>
      </c>
      <c r="I365" s="2" t="s">
        <v>103</v>
      </c>
      <c r="J365" s="2">
        <v>4.5999999999999996</v>
      </c>
      <c r="K365" s="2" t="s">
        <v>94</v>
      </c>
      <c r="L365" s="2">
        <v>72</v>
      </c>
      <c r="M365" s="2" t="s">
        <v>60</v>
      </c>
      <c r="N365" s="2" t="s">
        <v>42</v>
      </c>
      <c r="O365" s="2">
        <v>13</v>
      </c>
      <c r="P365" s="2" t="str">
        <f>IF(global_freelancer_raw[[#This Row],[No of projects ]]&lt;=5,"Entry level","Well Experienced")</f>
        <v>Well Experienced</v>
      </c>
      <c r="Q365" s="2">
        <v>1</v>
      </c>
    </row>
    <row r="366" spans="1:17" x14ac:dyDescent="0.3">
      <c r="A366" t="s">
        <v>834</v>
      </c>
      <c r="B366" t="s">
        <v>835</v>
      </c>
      <c r="C366" t="s">
        <v>97</v>
      </c>
      <c r="D366" s="2">
        <v>46</v>
      </c>
      <c r="E366" t="s">
        <v>29</v>
      </c>
      <c r="F366" t="s">
        <v>30</v>
      </c>
      <c r="G366" s="2" t="s">
        <v>46</v>
      </c>
      <c r="H366" s="2">
        <v>26</v>
      </c>
      <c r="I366" s="2" t="s">
        <v>251</v>
      </c>
      <c r="J366" s="2">
        <v>2.1</v>
      </c>
      <c r="K366" s="2" t="s">
        <v>2120</v>
      </c>
      <c r="L366" s="2" t="s">
        <v>2120</v>
      </c>
      <c r="M366" s="2" t="s">
        <v>88</v>
      </c>
      <c r="N366" s="2" t="s">
        <v>42</v>
      </c>
      <c r="O366" s="2">
        <v>15</v>
      </c>
      <c r="P366" s="2" t="str">
        <f>IF(global_freelancer_raw[[#This Row],[No of projects ]]&lt;=5,"Entry level","Well Experienced")</f>
        <v>Well Experienced</v>
      </c>
      <c r="Q366" s="2">
        <v>2</v>
      </c>
    </row>
    <row r="367" spans="1:17" x14ac:dyDescent="0.3">
      <c r="A367" t="s">
        <v>836</v>
      </c>
      <c r="B367" t="s">
        <v>837</v>
      </c>
      <c r="C367" t="s">
        <v>97</v>
      </c>
      <c r="D367" s="2">
        <v>40</v>
      </c>
      <c r="E367" t="s">
        <v>133</v>
      </c>
      <c r="F367" t="s">
        <v>134</v>
      </c>
      <c r="G367" s="2" t="s">
        <v>21</v>
      </c>
      <c r="H367" s="2" t="s">
        <v>2120</v>
      </c>
      <c r="I367" s="2" t="s">
        <v>86</v>
      </c>
      <c r="J367" s="2">
        <v>1.5</v>
      </c>
      <c r="K367" s="2" t="s">
        <v>59</v>
      </c>
      <c r="L367" s="2">
        <v>0.96</v>
      </c>
      <c r="M367" s="2" t="s">
        <v>82</v>
      </c>
      <c r="N367" s="2" t="s">
        <v>25</v>
      </c>
      <c r="O367" s="2">
        <v>4</v>
      </c>
      <c r="P367" s="2" t="str">
        <f>IF(global_freelancer_raw[[#This Row],[No of projects ]]&lt;=5,"Entry level","Well Experienced")</f>
        <v>Entry level</v>
      </c>
      <c r="Q367" s="2">
        <v>3</v>
      </c>
    </row>
    <row r="368" spans="1:17" x14ac:dyDescent="0.3">
      <c r="A368" t="s">
        <v>838</v>
      </c>
      <c r="B368" t="s">
        <v>839</v>
      </c>
      <c r="C368" t="s">
        <v>118</v>
      </c>
      <c r="D368" s="2" t="s">
        <v>2119</v>
      </c>
      <c r="E368" t="s">
        <v>197</v>
      </c>
      <c r="F368" t="s">
        <v>198</v>
      </c>
      <c r="G368" s="2" t="s">
        <v>57</v>
      </c>
      <c r="H368" s="2">
        <v>9</v>
      </c>
      <c r="I368" s="2" t="s">
        <v>70</v>
      </c>
      <c r="J368" s="2">
        <v>1.7</v>
      </c>
      <c r="K368" s="2" t="s">
        <v>33</v>
      </c>
      <c r="L368" s="2">
        <v>72</v>
      </c>
      <c r="M368" s="2" t="s">
        <v>60</v>
      </c>
      <c r="N368" s="2" t="s">
        <v>25</v>
      </c>
      <c r="O368" s="2">
        <v>9</v>
      </c>
      <c r="P368" s="2" t="str">
        <f>IF(global_freelancer_raw[[#This Row],[No of projects ]]&lt;=5,"Entry level","Well Experienced")</f>
        <v>Well Experienced</v>
      </c>
      <c r="Q368" s="2">
        <v>12</v>
      </c>
    </row>
    <row r="369" spans="1:17" x14ac:dyDescent="0.3">
      <c r="A369" t="s">
        <v>840</v>
      </c>
      <c r="B369" t="s">
        <v>841</v>
      </c>
      <c r="C369" t="s">
        <v>118</v>
      </c>
      <c r="D369" s="2">
        <v>31</v>
      </c>
      <c r="E369" t="s">
        <v>106</v>
      </c>
      <c r="F369" t="s">
        <v>107</v>
      </c>
      <c r="G369" s="2" t="s">
        <v>66</v>
      </c>
      <c r="H369" s="2">
        <v>11</v>
      </c>
      <c r="I369" s="2" t="s">
        <v>2119</v>
      </c>
      <c r="J369" s="2">
        <v>3.3</v>
      </c>
      <c r="K369" s="2" t="s">
        <v>23</v>
      </c>
      <c r="L369" s="2" t="s">
        <v>2120</v>
      </c>
      <c r="M369" s="2" t="s">
        <v>82</v>
      </c>
      <c r="N369" s="2" t="s">
        <v>42</v>
      </c>
      <c r="O369" s="2">
        <v>15</v>
      </c>
      <c r="P369" s="2" t="str">
        <f>IF(global_freelancer_raw[[#This Row],[No of projects ]]&lt;=5,"Entry level","Well Experienced")</f>
        <v>Well Experienced</v>
      </c>
      <c r="Q369" s="2">
        <v>10</v>
      </c>
    </row>
    <row r="370" spans="1:17" x14ac:dyDescent="0.3">
      <c r="A370" t="s">
        <v>842</v>
      </c>
      <c r="B370" t="s">
        <v>843</v>
      </c>
      <c r="C370" t="s">
        <v>118</v>
      </c>
      <c r="D370" s="2">
        <v>33</v>
      </c>
      <c r="E370" t="s">
        <v>133</v>
      </c>
      <c r="F370" t="s">
        <v>134</v>
      </c>
      <c r="G370" s="2" t="s">
        <v>135</v>
      </c>
      <c r="H370" s="2" t="s">
        <v>2120</v>
      </c>
      <c r="I370" s="2" t="s">
        <v>47</v>
      </c>
      <c r="J370" s="2">
        <v>4.3</v>
      </c>
      <c r="K370" s="2" t="s">
        <v>33</v>
      </c>
      <c r="L370" s="2">
        <v>0.63</v>
      </c>
      <c r="M370" s="2" t="s">
        <v>88</v>
      </c>
      <c r="N370" s="2" t="s">
        <v>25</v>
      </c>
      <c r="O370" s="2">
        <v>2</v>
      </c>
      <c r="P370" s="2" t="str">
        <f>IF(global_freelancer_raw[[#This Row],[No of projects ]]&lt;=5,"Entry level","Well Experienced")</f>
        <v>Entry level</v>
      </c>
      <c r="Q370" s="2">
        <v>4</v>
      </c>
    </row>
    <row r="371" spans="1:17" x14ac:dyDescent="0.3">
      <c r="A371" t="s">
        <v>844</v>
      </c>
      <c r="B371" t="s">
        <v>845</v>
      </c>
      <c r="C371" t="s">
        <v>97</v>
      </c>
      <c r="D371" s="2">
        <v>31</v>
      </c>
      <c r="E371" t="s">
        <v>128</v>
      </c>
      <c r="F371" t="s">
        <v>129</v>
      </c>
      <c r="G371" s="2" t="s">
        <v>135</v>
      </c>
      <c r="H371" s="2">
        <v>3</v>
      </c>
      <c r="I371" s="2" t="s">
        <v>142</v>
      </c>
      <c r="J371" s="2" t="s">
        <v>2120</v>
      </c>
      <c r="K371" s="2" t="s">
        <v>41</v>
      </c>
      <c r="L371" s="2" t="s">
        <v>2120</v>
      </c>
      <c r="M371" s="2" t="s">
        <v>60</v>
      </c>
      <c r="N371" s="2" t="s">
        <v>42</v>
      </c>
      <c r="O371" s="2">
        <v>1</v>
      </c>
      <c r="P371" s="2" t="str">
        <f>IF(global_freelancer_raw[[#This Row],[No of projects ]]&lt;=5,"Entry level","Well Experienced")</f>
        <v>Entry level</v>
      </c>
      <c r="Q371" s="2">
        <v>2</v>
      </c>
    </row>
    <row r="372" spans="1:17" x14ac:dyDescent="0.3">
      <c r="A372" t="s">
        <v>846</v>
      </c>
      <c r="B372" t="s">
        <v>847</v>
      </c>
      <c r="C372" t="s">
        <v>97</v>
      </c>
      <c r="D372" s="2">
        <v>49</v>
      </c>
      <c r="E372" t="s">
        <v>19</v>
      </c>
      <c r="F372" t="s">
        <v>20</v>
      </c>
      <c r="G372" s="2" t="s">
        <v>66</v>
      </c>
      <c r="H372" s="2">
        <v>15</v>
      </c>
      <c r="I372" s="2" t="s">
        <v>67</v>
      </c>
      <c r="J372" s="2">
        <v>2.6</v>
      </c>
      <c r="K372" s="2" t="s">
        <v>41</v>
      </c>
      <c r="L372" s="2">
        <v>0.83</v>
      </c>
      <c r="M372" s="2" t="s">
        <v>88</v>
      </c>
      <c r="N372" s="2" t="s">
        <v>34</v>
      </c>
      <c r="O372" s="2">
        <v>13</v>
      </c>
      <c r="P372" s="2" t="str">
        <f>IF(global_freelancer_raw[[#This Row],[No of projects ]]&lt;=5,"Entry level","Well Experienced")</f>
        <v>Well Experienced</v>
      </c>
      <c r="Q372" s="2">
        <v>9</v>
      </c>
    </row>
    <row r="373" spans="1:17" x14ac:dyDescent="0.3">
      <c r="A373" t="s">
        <v>848</v>
      </c>
      <c r="B373" t="s">
        <v>849</v>
      </c>
      <c r="C373" t="s">
        <v>118</v>
      </c>
      <c r="D373" s="2">
        <v>35</v>
      </c>
      <c r="E373" t="s">
        <v>201</v>
      </c>
      <c r="F373" t="s">
        <v>92</v>
      </c>
      <c r="G373" s="2" t="s">
        <v>39</v>
      </c>
      <c r="H373" s="2">
        <v>12</v>
      </c>
      <c r="I373" s="2" t="s">
        <v>336</v>
      </c>
      <c r="J373" s="2">
        <v>4.0999999999999996</v>
      </c>
      <c r="K373" s="2" t="s">
        <v>2120</v>
      </c>
      <c r="L373" s="2">
        <v>0.94</v>
      </c>
      <c r="M373" s="2" t="s">
        <v>88</v>
      </c>
      <c r="N373" s="2" t="s">
        <v>75</v>
      </c>
      <c r="O373" s="2">
        <v>8</v>
      </c>
      <c r="P373" s="2" t="str">
        <f>IF(global_freelancer_raw[[#This Row],[No of projects ]]&lt;=5,"Entry level","Well Experienced")</f>
        <v>Well Experienced</v>
      </c>
      <c r="Q373" s="2">
        <v>5</v>
      </c>
    </row>
    <row r="374" spans="1:17" x14ac:dyDescent="0.3">
      <c r="A374" t="s">
        <v>850</v>
      </c>
      <c r="B374" t="s">
        <v>851</v>
      </c>
      <c r="C374" t="s">
        <v>118</v>
      </c>
      <c r="D374" s="2">
        <v>45</v>
      </c>
      <c r="E374" t="s">
        <v>114</v>
      </c>
      <c r="F374" t="s">
        <v>115</v>
      </c>
      <c r="G374" s="2" t="s">
        <v>66</v>
      </c>
      <c r="H374" s="2">
        <v>19</v>
      </c>
      <c r="I374" s="2" t="s">
        <v>47</v>
      </c>
      <c r="J374" s="2">
        <v>2.2000000000000002</v>
      </c>
      <c r="K374" s="2" t="s">
        <v>33</v>
      </c>
      <c r="L374" s="2">
        <v>0.78</v>
      </c>
      <c r="M374" s="2" t="s">
        <v>60</v>
      </c>
      <c r="N374" s="2" t="s">
        <v>75</v>
      </c>
      <c r="O374" s="2">
        <v>10</v>
      </c>
      <c r="P374" s="2" t="str">
        <f>IF(global_freelancer_raw[[#This Row],[No of projects ]]&lt;=5,"Entry level","Well Experienced")</f>
        <v>Well Experienced</v>
      </c>
      <c r="Q374" s="2">
        <v>14</v>
      </c>
    </row>
    <row r="375" spans="1:17" x14ac:dyDescent="0.3">
      <c r="A375" t="s">
        <v>852</v>
      </c>
      <c r="B375" t="s">
        <v>853</v>
      </c>
      <c r="C375" t="s">
        <v>97</v>
      </c>
      <c r="D375" s="2">
        <v>39</v>
      </c>
      <c r="E375" t="s">
        <v>55</v>
      </c>
      <c r="F375" t="s">
        <v>56</v>
      </c>
      <c r="G375" s="2" t="s">
        <v>66</v>
      </c>
      <c r="H375" s="2">
        <v>13</v>
      </c>
      <c r="I375" s="2" t="s">
        <v>52</v>
      </c>
      <c r="J375" s="2">
        <v>1.1000000000000001</v>
      </c>
      <c r="K375" s="2" t="s">
        <v>33</v>
      </c>
      <c r="L375" s="2" t="s">
        <v>2120</v>
      </c>
      <c r="M375" s="2" t="s">
        <v>60</v>
      </c>
      <c r="N375" s="2" t="s">
        <v>25</v>
      </c>
      <c r="O375" s="2">
        <v>8</v>
      </c>
      <c r="P375" s="2" t="str">
        <f>IF(global_freelancer_raw[[#This Row],[No of projects ]]&lt;=5,"Entry level","Well Experienced")</f>
        <v>Well Experienced</v>
      </c>
      <c r="Q375" s="2">
        <v>4</v>
      </c>
    </row>
    <row r="376" spans="1:17" x14ac:dyDescent="0.3">
      <c r="A376" t="s">
        <v>854</v>
      </c>
      <c r="B376" t="s">
        <v>855</v>
      </c>
      <c r="C376" t="s">
        <v>118</v>
      </c>
      <c r="D376" s="2" t="s">
        <v>2119</v>
      </c>
      <c r="E376" t="s">
        <v>91</v>
      </c>
      <c r="F376" t="s">
        <v>92</v>
      </c>
      <c r="G376" s="2" t="s">
        <v>21</v>
      </c>
      <c r="H376" s="2" t="s">
        <v>2120</v>
      </c>
      <c r="I376" s="2" t="s">
        <v>81</v>
      </c>
      <c r="J376" s="2">
        <v>2.1</v>
      </c>
      <c r="K376" s="2" t="s">
        <v>33</v>
      </c>
      <c r="L376" s="2">
        <v>0.82</v>
      </c>
      <c r="M376" s="2" t="s">
        <v>60</v>
      </c>
      <c r="N376" s="2" t="s">
        <v>42</v>
      </c>
      <c r="O376" s="2">
        <v>1</v>
      </c>
      <c r="P376" s="2" t="str">
        <f>IF(global_freelancer_raw[[#This Row],[No of projects ]]&lt;=5,"Entry level","Well Experienced")</f>
        <v>Entry level</v>
      </c>
      <c r="Q376" s="2">
        <v>1</v>
      </c>
    </row>
    <row r="377" spans="1:17" x14ac:dyDescent="0.3">
      <c r="A377" t="s">
        <v>856</v>
      </c>
      <c r="B377" t="s">
        <v>857</v>
      </c>
      <c r="C377" t="s">
        <v>118</v>
      </c>
      <c r="D377" s="2">
        <v>24</v>
      </c>
      <c r="E377" t="s">
        <v>38</v>
      </c>
      <c r="F377" t="s">
        <v>38</v>
      </c>
      <c r="G377" s="2" t="s">
        <v>98</v>
      </c>
      <c r="H377" s="2">
        <v>3</v>
      </c>
      <c r="I377" s="2" t="s">
        <v>58</v>
      </c>
      <c r="J377" s="2">
        <v>2.2999999999999998</v>
      </c>
      <c r="K377" s="2" t="s">
        <v>59</v>
      </c>
      <c r="L377" s="2">
        <v>0.66</v>
      </c>
      <c r="M377" s="2" t="s">
        <v>24</v>
      </c>
      <c r="N377" s="2" t="s">
        <v>42</v>
      </c>
      <c r="O377" s="2">
        <v>4</v>
      </c>
      <c r="P377" s="2" t="str">
        <f>IF(global_freelancer_raw[[#This Row],[No of projects ]]&lt;=5,"Entry level","Well Experienced")</f>
        <v>Entry level</v>
      </c>
      <c r="Q377" s="2">
        <v>5</v>
      </c>
    </row>
    <row r="378" spans="1:17" x14ac:dyDescent="0.3">
      <c r="A378" t="s">
        <v>858</v>
      </c>
      <c r="B378" t="s">
        <v>859</v>
      </c>
      <c r="C378" t="s">
        <v>118</v>
      </c>
      <c r="D378" s="2">
        <v>50</v>
      </c>
      <c r="E378" t="s">
        <v>29</v>
      </c>
      <c r="F378" t="s">
        <v>30</v>
      </c>
      <c r="G378" s="2" t="s">
        <v>39</v>
      </c>
      <c r="H378" s="2">
        <v>26</v>
      </c>
      <c r="I378" s="2" t="s">
        <v>2119</v>
      </c>
      <c r="J378" s="2">
        <v>3.6</v>
      </c>
      <c r="K378" s="2" t="s">
        <v>33</v>
      </c>
      <c r="L378" s="2">
        <v>82</v>
      </c>
      <c r="M378" s="2" t="s">
        <v>60</v>
      </c>
      <c r="N378" s="2" t="s">
        <v>25</v>
      </c>
      <c r="O378" s="2">
        <v>11</v>
      </c>
      <c r="P378" s="2" t="str">
        <f>IF(global_freelancer_raw[[#This Row],[No of projects ]]&lt;=5,"Entry level","Well Experienced")</f>
        <v>Well Experienced</v>
      </c>
      <c r="Q378" s="2">
        <v>9</v>
      </c>
    </row>
    <row r="379" spans="1:17" x14ac:dyDescent="0.3">
      <c r="A379" t="s">
        <v>860</v>
      </c>
      <c r="B379" t="s">
        <v>861</v>
      </c>
      <c r="C379" t="s">
        <v>97</v>
      </c>
      <c r="D379" s="2">
        <v>23</v>
      </c>
      <c r="E379" t="s">
        <v>38</v>
      </c>
      <c r="F379" t="s">
        <v>38</v>
      </c>
      <c r="G379" s="2" t="s">
        <v>135</v>
      </c>
      <c r="H379" s="2">
        <v>4</v>
      </c>
      <c r="I379" s="2" t="s">
        <v>336</v>
      </c>
      <c r="J379" s="2">
        <v>4.7</v>
      </c>
      <c r="K379" s="2" t="s">
        <v>74</v>
      </c>
      <c r="L379" s="2">
        <v>0.84</v>
      </c>
      <c r="M379" s="2" t="s">
        <v>60</v>
      </c>
      <c r="N379" s="2" t="s">
        <v>42</v>
      </c>
      <c r="O379" s="2">
        <v>4</v>
      </c>
      <c r="P379" s="2" t="str">
        <f>IF(global_freelancer_raw[[#This Row],[No of projects ]]&lt;=5,"Entry level","Well Experienced")</f>
        <v>Entry level</v>
      </c>
      <c r="Q379" s="2">
        <v>4</v>
      </c>
    </row>
    <row r="380" spans="1:17" x14ac:dyDescent="0.3">
      <c r="A380" t="s">
        <v>862</v>
      </c>
      <c r="B380" t="s">
        <v>863</v>
      </c>
      <c r="C380" t="s">
        <v>118</v>
      </c>
      <c r="D380" s="2">
        <v>27</v>
      </c>
      <c r="E380" t="s">
        <v>149</v>
      </c>
      <c r="F380" t="s">
        <v>30</v>
      </c>
      <c r="G380" s="2" t="s">
        <v>98</v>
      </c>
      <c r="H380" s="2">
        <v>8</v>
      </c>
      <c r="I380" s="2" t="s">
        <v>162</v>
      </c>
      <c r="J380" s="2">
        <v>4.8</v>
      </c>
      <c r="K380" s="2" t="s">
        <v>41</v>
      </c>
      <c r="L380" s="2">
        <v>0.81</v>
      </c>
      <c r="M380" s="2" t="s">
        <v>60</v>
      </c>
      <c r="N380" s="2" t="s">
        <v>34</v>
      </c>
      <c r="O380" s="2">
        <v>6</v>
      </c>
      <c r="P380" s="2" t="str">
        <f>IF(global_freelancer_raw[[#This Row],[No of projects ]]&lt;=5,"Entry level","Well Experienced")</f>
        <v>Well Experienced</v>
      </c>
      <c r="Q380" s="2">
        <v>8</v>
      </c>
    </row>
    <row r="381" spans="1:17" x14ac:dyDescent="0.3">
      <c r="A381" t="s">
        <v>864</v>
      </c>
      <c r="B381" t="s">
        <v>865</v>
      </c>
      <c r="C381" t="s">
        <v>118</v>
      </c>
      <c r="D381" s="2">
        <v>58</v>
      </c>
      <c r="E381" t="s">
        <v>175</v>
      </c>
      <c r="F381" t="s">
        <v>176</v>
      </c>
      <c r="G381" s="2" t="s">
        <v>57</v>
      </c>
      <c r="H381" s="2">
        <v>10</v>
      </c>
      <c r="I381" s="2" t="s">
        <v>103</v>
      </c>
      <c r="J381" s="2">
        <v>4.2</v>
      </c>
      <c r="K381" s="2" t="s">
        <v>41</v>
      </c>
      <c r="L381" s="2">
        <v>71</v>
      </c>
      <c r="M381" s="2" t="s">
        <v>60</v>
      </c>
      <c r="N381" s="2" t="s">
        <v>75</v>
      </c>
      <c r="O381" s="2">
        <v>7</v>
      </c>
      <c r="P381" s="2" t="str">
        <f>IF(global_freelancer_raw[[#This Row],[No of projects ]]&lt;=5,"Entry level","Well Experienced")</f>
        <v>Well Experienced</v>
      </c>
      <c r="Q381" s="2">
        <v>5</v>
      </c>
    </row>
    <row r="382" spans="1:17" x14ac:dyDescent="0.3">
      <c r="A382" t="s">
        <v>866</v>
      </c>
      <c r="B382" t="s">
        <v>867</v>
      </c>
      <c r="C382" t="s">
        <v>118</v>
      </c>
      <c r="D382" s="2">
        <v>37</v>
      </c>
      <c r="E382" t="s">
        <v>19</v>
      </c>
      <c r="F382" t="s">
        <v>20</v>
      </c>
      <c r="G382" s="2" t="s">
        <v>135</v>
      </c>
      <c r="H382" s="2">
        <v>5</v>
      </c>
      <c r="I382" s="2" t="s">
        <v>2119</v>
      </c>
      <c r="J382" s="2">
        <v>4.8</v>
      </c>
      <c r="K382" s="2" t="s">
        <v>33</v>
      </c>
      <c r="L382" s="2">
        <v>0.61</v>
      </c>
      <c r="M382" s="2" t="s">
        <v>82</v>
      </c>
      <c r="N382" s="2" t="s">
        <v>25</v>
      </c>
      <c r="O382" s="2">
        <v>2</v>
      </c>
      <c r="P382" s="2" t="str">
        <f>IF(global_freelancer_raw[[#This Row],[No of projects ]]&lt;=5,"Entry level","Well Experienced")</f>
        <v>Entry level</v>
      </c>
      <c r="Q382" s="2">
        <v>1</v>
      </c>
    </row>
    <row r="383" spans="1:17" x14ac:dyDescent="0.3">
      <c r="A383" t="s">
        <v>868</v>
      </c>
      <c r="B383" t="s">
        <v>869</v>
      </c>
      <c r="C383" t="s">
        <v>118</v>
      </c>
      <c r="D383" s="2">
        <v>39</v>
      </c>
      <c r="E383" t="s">
        <v>212</v>
      </c>
      <c r="F383" t="s">
        <v>92</v>
      </c>
      <c r="G383" s="2" t="s">
        <v>21</v>
      </c>
      <c r="H383" s="2">
        <v>18</v>
      </c>
      <c r="I383" s="2" t="s">
        <v>103</v>
      </c>
      <c r="J383" s="2">
        <v>4</v>
      </c>
      <c r="K383" s="2" t="s">
        <v>33</v>
      </c>
      <c r="L383" s="2">
        <v>0.66</v>
      </c>
      <c r="M383" s="2" t="s">
        <v>24</v>
      </c>
      <c r="N383" s="2" t="s">
        <v>25</v>
      </c>
      <c r="O383" s="2">
        <v>10</v>
      </c>
      <c r="P383" s="2" t="str">
        <f>IF(global_freelancer_raw[[#This Row],[No of projects ]]&lt;=5,"Entry level","Well Experienced")</f>
        <v>Well Experienced</v>
      </c>
      <c r="Q383" s="2">
        <v>8</v>
      </c>
    </row>
    <row r="384" spans="1:17" x14ac:dyDescent="0.3">
      <c r="A384" t="s">
        <v>870</v>
      </c>
      <c r="B384" t="s">
        <v>871</v>
      </c>
      <c r="C384" t="s">
        <v>97</v>
      </c>
      <c r="D384" s="2">
        <v>46</v>
      </c>
      <c r="E384" t="s">
        <v>160</v>
      </c>
      <c r="F384" t="s">
        <v>161</v>
      </c>
      <c r="G384" s="2" t="s">
        <v>66</v>
      </c>
      <c r="H384" s="2">
        <v>10</v>
      </c>
      <c r="I384" s="2" t="s">
        <v>142</v>
      </c>
      <c r="J384" s="2">
        <v>2.5</v>
      </c>
      <c r="K384" s="2" t="s">
        <v>74</v>
      </c>
      <c r="L384" s="2">
        <v>0.97</v>
      </c>
      <c r="M384" s="2" t="s">
        <v>88</v>
      </c>
      <c r="N384" s="2" t="s">
        <v>42</v>
      </c>
      <c r="O384" s="2">
        <v>13</v>
      </c>
      <c r="P384" s="2" t="str">
        <f>IF(global_freelancer_raw[[#This Row],[No of projects ]]&lt;=5,"Entry level","Well Experienced")</f>
        <v>Well Experienced</v>
      </c>
      <c r="Q384" s="2">
        <v>2</v>
      </c>
    </row>
    <row r="385" spans="1:17" x14ac:dyDescent="0.3">
      <c r="A385" t="s">
        <v>872</v>
      </c>
      <c r="B385" t="s">
        <v>873</v>
      </c>
      <c r="C385" t="s">
        <v>97</v>
      </c>
      <c r="D385" s="2" t="s">
        <v>2119</v>
      </c>
      <c r="E385" t="s">
        <v>85</v>
      </c>
      <c r="F385" t="s">
        <v>30</v>
      </c>
      <c r="G385" s="2" t="s">
        <v>93</v>
      </c>
      <c r="H385" s="2">
        <v>0</v>
      </c>
      <c r="I385" s="2" t="s">
        <v>336</v>
      </c>
      <c r="J385" s="2">
        <v>4.8</v>
      </c>
      <c r="K385" s="2" t="s">
        <v>23</v>
      </c>
      <c r="L385" s="2">
        <v>0.74</v>
      </c>
      <c r="M385" s="2" t="s">
        <v>60</v>
      </c>
      <c r="N385" s="2" t="s">
        <v>25</v>
      </c>
      <c r="O385" s="2">
        <v>2</v>
      </c>
      <c r="P385" s="2" t="str">
        <f>IF(global_freelancer_raw[[#This Row],[No of projects ]]&lt;=5,"Entry level","Well Experienced")</f>
        <v>Entry level</v>
      </c>
      <c r="Q385" s="2">
        <v>1</v>
      </c>
    </row>
    <row r="386" spans="1:17" x14ac:dyDescent="0.3">
      <c r="A386" t="s">
        <v>874</v>
      </c>
      <c r="B386" t="s">
        <v>875</v>
      </c>
      <c r="C386" t="s">
        <v>97</v>
      </c>
      <c r="D386" s="2">
        <v>39</v>
      </c>
      <c r="E386" t="s">
        <v>201</v>
      </c>
      <c r="F386" t="s">
        <v>92</v>
      </c>
      <c r="G386" s="2" t="s">
        <v>21</v>
      </c>
      <c r="H386" s="2">
        <v>21</v>
      </c>
      <c r="I386" s="2" t="s">
        <v>52</v>
      </c>
      <c r="J386" s="2">
        <v>4.7</v>
      </c>
      <c r="K386" s="2" t="s">
        <v>59</v>
      </c>
      <c r="L386" s="2">
        <v>0.61</v>
      </c>
      <c r="M386" s="2" t="s">
        <v>82</v>
      </c>
      <c r="N386" s="2" t="s">
        <v>34</v>
      </c>
      <c r="O386" s="2">
        <v>15</v>
      </c>
      <c r="P386" s="2" t="str">
        <f>IF(global_freelancer_raw[[#This Row],[No of projects ]]&lt;=5,"Entry level","Well Experienced")</f>
        <v>Well Experienced</v>
      </c>
      <c r="Q386" s="2">
        <v>6</v>
      </c>
    </row>
    <row r="387" spans="1:17" x14ac:dyDescent="0.3">
      <c r="A387" t="s">
        <v>876</v>
      </c>
      <c r="B387" t="s">
        <v>877</v>
      </c>
      <c r="C387" t="s">
        <v>118</v>
      </c>
      <c r="D387" s="2">
        <v>59</v>
      </c>
      <c r="E387" t="s">
        <v>160</v>
      </c>
      <c r="F387" t="s">
        <v>161</v>
      </c>
      <c r="G387" s="2" t="s">
        <v>21</v>
      </c>
      <c r="H387" s="2">
        <v>25</v>
      </c>
      <c r="I387" s="2" t="s">
        <v>162</v>
      </c>
      <c r="J387" s="2">
        <v>4</v>
      </c>
      <c r="K387" s="2" t="s">
        <v>23</v>
      </c>
      <c r="L387" s="2">
        <v>0.9</v>
      </c>
      <c r="M387" s="2" t="s">
        <v>82</v>
      </c>
      <c r="N387" s="2" t="s">
        <v>42</v>
      </c>
      <c r="O387" s="2">
        <v>15</v>
      </c>
      <c r="P387" s="2" t="str">
        <f>IF(global_freelancer_raw[[#This Row],[No of projects ]]&lt;=5,"Entry level","Well Experienced")</f>
        <v>Well Experienced</v>
      </c>
      <c r="Q387" s="2">
        <v>9</v>
      </c>
    </row>
    <row r="388" spans="1:17" x14ac:dyDescent="0.3">
      <c r="A388" t="s">
        <v>878</v>
      </c>
      <c r="B388" t="s">
        <v>879</v>
      </c>
      <c r="C388" t="s">
        <v>118</v>
      </c>
      <c r="D388" s="2">
        <v>21</v>
      </c>
      <c r="E388" t="s">
        <v>55</v>
      </c>
      <c r="F388" t="s">
        <v>56</v>
      </c>
      <c r="G388" s="2" t="s">
        <v>110</v>
      </c>
      <c r="H388" s="2">
        <v>0</v>
      </c>
      <c r="I388" s="2" t="s">
        <v>47</v>
      </c>
      <c r="J388" s="2">
        <v>4.0999999999999996</v>
      </c>
      <c r="K388" s="2" t="s">
        <v>94</v>
      </c>
      <c r="L388" s="2">
        <v>0.97</v>
      </c>
      <c r="M388" s="2" t="s">
        <v>82</v>
      </c>
      <c r="N388" s="2" t="s">
        <v>42</v>
      </c>
      <c r="O388" s="2">
        <v>4</v>
      </c>
      <c r="P388" s="2" t="str">
        <f>IF(global_freelancer_raw[[#This Row],[No of projects ]]&lt;=5,"Entry level","Well Experienced")</f>
        <v>Entry level</v>
      </c>
      <c r="Q388" s="2">
        <v>1</v>
      </c>
    </row>
    <row r="389" spans="1:17" x14ac:dyDescent="0.3">
      <c r="A389" t="s">
        <v>880</v>
      </c>
      <c r="B389" t="s">
        <v>881</v>
      </c>
      <c r="C389" t="s">
        <v>97</v>
      </c>
      <c r="D389" s="2">
        <v>23</v>
      </c>
      <c r="E389" t="s">
        <v>149</v>
      </c>
      <c r="F389" t="s">
        <v>30</v>
      </c>
      <c r="G389" s="2" t="s">
        <v>110</v>
      </c>
      <c r="H389" s="2">
        <v>5</v>
      </c>
      <c r="I389" s="2" t="s">
        <v>22</v>
      </c>
      <c r="J389" s="2">
        <v>3.2</v>
      </c>
      <c r="K389" s="2" t="s">
        <v>33</v>
      </c>
      <c r="L389" s="2" t="s">
        <v>2120</v>
      </c>
      <c r="M389" s="2" t="s">
        <v>88</v>
      </c>
      <c r="N389" s="2" t="s">
        <v>42</v>
      </c>
      <c r="O389" s="2">
        <v>5</v>
      </c>
      <c r="P389" s="2" t="str">
        <f>IF(global_freelancer_raw[[#This Row],[No of projects ]]&lt;=5,"Entry level","Well Experienced")</f>
        <v>Entry level</v>
      </c>
      <c r="Q389" s="2">
        <v>5</v>
      </c>
    </row>
    <row r="390" spans="1:17" x14ac:dyDescent="0.3">
      <c r="A390" t="s">
        <v>882</v>
      </c>
      <c r="B390" t="s">
        <v>883</v>
      </c>
      <c r="C390" t="s">
        <v>118</v>
      </c>
      <c r="D390" s="2">
        <v>27</v>
      </c>
      <c r="E390" t="s">
        <v>160</v>
      </c>
      <c r="F390" t="s">
        <v>161</v>
      </c>
      <c r="G390" s="2" t="s">
        <v>46</v>
      </c>
      <c r="H390" s="2">
        <v>1</v>
      </c>
      <c r="I390" s="2" t="s">
        <v>162</v>
      </c>
      <c r="J390" s="2">
        <v>4.3</v>
      </c>
      <c r="K390" s="2" t="s">
        <v>41</v>
      </c>
      <c r="L390" s="2">
        <v>0.76</v>
      </c>
      <c r="M390" s="2" t="s">
        <v>60</v>
      </c>
      <c r="N390" s="2" t="s">
        <v>42</v>
      </c>
      <c r="O390" s="2">
        <v>4</v>
      </c>
      <c r="P390" s="2" t="str">
        <f>IF(global_freelancer_raw[[#This Row],[No of projects ]]&lt;=5,"Entry level","Well Experienced")</f>
        <v>Entry level</v>
      </c>
      <c r="Q390" s="2">
        <v>3</v>
      </c>
    </row>
    <row r="391" spans="1:17" x14ac:dyDescent="0.3">
      <c r="A391" t="s">
        <v>884</v>
      </c>
      <c r="B391" t="s">
        <v>885</v>
      </c>
      <c r="C391" t="s">
        <v>118</v>
      </c>
      <c r="D391" s="2">
        <v>27</v>
      </c>
      <c r="E391" t="s">
        <v>197</v>
      </c>
      <c r="F391" t="s">
        <v>198</v>
      </c>
      <c r="G391" s="2" t="s">
        <v>98</v>
      </c>
      <c r="H391" s="2">
        <v>4</v>
      </c>
      <c r="I391" s="2" t="s">
        <v>86</v>
      </c>
      <c r="J391" s="2">
        <v>4.4000000000000004</v>
      </c>
      <c r="K391" s="2" t="s">
        <v>23</v>
      </c>
      <c r="L391" s="2">
        <v>0.92</v>
      </c>
      <c r="M391" s="2" t="s">
        <v>24</v>
      </c>
      <c r="N391" s="2" t="s">
        <v>34</v>
      </c>
      <c r="O391" s="2">
        <v>4</v>
      </c>
      <c r="P391" s="2" t="str">
        <f>IF(global_freelancer_raw[[#This Row],[No of projects ]]&lt;=5,"Entry level","Well Experienced")</f>
        <v>Entry level</v>
      </c>
      <c r="Q391" s="2">
        <v>4</v>
      </c>
    </row>
    <row r="392" spans="1:17" x14ac:dyDescent="0.3">
      <c r="A392" t="s">
        <v>886</v>
      </c>
      <c r="B392" t="s">
        <v>887</v>
      </c>
      <c r="C392" t="s">
        <v>97</v>
      </c>
      <c r="D392" s="2">
        <v>48</v>
      </c>
      <c r="E392" t="s">
        <v>175</v>
      </c>
      <c r="F392" t="s">
        <v>176</v>
      </c>
      <c r="G392" s="2" t="s">
        <v>66</v>
      </c>
      <c r="H392" s="2">
        <v>21</v>
      </c>
      <c r="I392" s="2" t="s">
        <v>86</v>
      </c>
      <c r="J392" s="2">
        <v>2.2999999999999998</v>
      </c>
      <c r="K392" s="2" t="s">
        <v>23</v>
      </c>
      <c r="L392" s="2" t="s">
        <v>2120</v>
      </c>
      <c r="M392" s="2" t="s">
        <v>24</v>
      </c>
      <c r="N392" s="2" t="s">
        <v>42</v>
      </c>
      <c r="O392" s="2">
        <v>14</v>
      </c>
      <c r="P392" s="2" t="str">
        <f>IF(global_freelancer_raw[[#This Row],[No of projects ]]&lt;=5,"Entry level","Well Experienced")</f>
        <v>Well Experienced</v>
      </c>
      <c r="Q392" s="2">
        <v>10</v>
      </c>
    </row>
    <row r="393" spans="1:17" x14ac:dyDescent="0.3">
      <c r="A393" t="s">
        <v>888</v>
      </c>
      <c r="B393" t="s">
        <v>889</v>
      </c>
      <c r="C393" t="s">
        <v>118</v>
      </c>
      <c r="D393" s="2">
        <v>21</v>
      </c>
      <c r="E393" t="s">
        <v>175</v>
      </c>
      <c r="F393" t="s">
        <v>176</v>
      </c>
      <c r="G393" s="2" t="s">
        <v>57</v>
      </c>
      <c r="H393" s="2">
        <v>1</v>
      </c>
      <c r="I393" s="2" t="s">
        <v>142</v>
      </c>
      <c r="J393" s="2">
        <v>2.4</v>
      </c>
      <c r="K393" s="2" t="s">
        <v>33</v>
      </c>
      <c r="L393" s="2">
        <v>0.66</v>
      </c>
      <c r="M393" s="2" t="s">
        <v>82</v>
      </c>
      <c r="N393" s="2" t="s">
        <v>25</v>
      </c>
      <c r="O393" s="2">
        <v>4</v>
      </c>
      <c r="P393" s="2" t="str">
        <f>IF(global_freelancer_raw[[#This Row],[No of projects ]]&lt;=5,"Entry level","Well Experienced")</f>
        <v>Entry level</v>
      </c>
      <c r="Q393" s="2">
        <v>4</v>
      </c>
    </row>
    <row r="394" spans="1:17" x14ac:dyDescent="0.3">
      <c r="A394" t="s">
        <v>890</v>
      </c>
      <c r="B394" t="s">
        <v>891</v>
      </c>
      <c r="C394" t="s">
        <v>118</v>
      </c>
      <c r="D394" s="2">
        <v>37</v>
      </c>
      <c r="E394" t="s">
        <v>19</v>
      </c>
      <c r="F394" t="s">
        <v>20</v>
      </c>
      <c r="G394" s="2" t="s">
        <v>110</v>
      </c>
      <c r="H394" s="2" t="s">
        <v>2120</v>
      </c>
      <c r="I394" s="2" t="s">
        <v>40</v>
      </c>
      <c r="J394" s="2">
        <v>4.5999999999999996</v>
      </c>
      <c r="K394" s="2" t="s">
        <v>23</v>
      </c>
      <c r="L394" s="2">
        <v>0.83</v>
      </c>
      <c r="M394" s="2" t="s">
        <v>88</v>
      </c>
      <c r="N394" s="2" t="s">
        <v>34</v>
      </c>
      <c r="O394" s="2">
        <v>1</v>
      </c>
      <c r="P394" s="2" t="str">
        <f>IF(global_freelancer_raw[[#This Row],[No of projects ]]&lt;=5,"Entry level","Well Experienced")</f>
        <v>Entry level</v>
      </c>
      <c r="Q394" s="2">
        <v>1</v>
      </c>
    </row>
    <row r="395" spans="1:17" x14ac:dyDescent="0.3">
      <c r="A395" t="s">
        <v>892</v>
      </c>
      <c r="B395" t="s">
        <v>893</v>
      </c>
      <c r="C395" t="s">
        <v>97</v>
      </c>
      <c r="D395" s="2">
        <v>31</v>
      </c>
      <c r="E395" t="s">
        <v>38</v>
      </c>
      <c r="F395" t="s">
        <v>38</v>
      </c>
      <c r="G395" s="2" t="s">
        <v>93</v>
      </c>
      <c r="H395" s="2">
        <v>10</v>
      </c>
      <c r="I395" s="2" t="s">
        <v>40</v>
      </c>
      <c r="J395" s="2">
        <v>0</v>
      </c>
      <c r="K395" s="2" t="s">
        <v>181</v>
      </c>
      <c r="L395" s="2" t="s">
        <v>2120</v>
      </c>
      <c r="M395" s="2" t="s">
        <v>88</v>
      </c>
      <c r="N395" s="2" t="s">
        <v>75</v>
      </c>
      <c r="O395" s="2">
        <v>10</v>
      </c>
      <c r="P395" s="2" t="str">
        <f>IF(global_freelancer_raw[[#This Row],[No of projects ]]&lt;=5,"Entry level","Well Experienced")</f>
        <v>Well Experienced</v>
      </c>
      <c r="Q395" s="2">
        <v>4</v>
      </c>
    </row>
    <row r="396" spans="1:17" x14ac:dyDescent="0.3">
      <c r="A396" t="s">
        <v>894</v>
      </c>
      <c r="B396" t="s">
        <v>895</v>
      </c>
      <c r="C396" t="s">
        <v>97</v>
      </c>
      <c r="D396" s="2">
        <v>41</v>
      </c>
      <c r="E396" t="s">
        <v>160</v>
      </c>
      <c r="F396" t="s">
        <v>161</v>
      </c>
      <c r="G396" s="2" t="s">
        <v>21</v>
      </c>
      <c r="H396" s="2">
        <v>21</v>
      </c>
      <c r="I396" s="2" t="s">
        <v>2119</v>
      </c>
      <c r="J396" s="2">
        <v>0</v>
      </c>
      <c r="K396" s="2" t="s">
        <v>94</v>
      </c>
      <c r="L396" s="2" t="s">
        <v>2120</v>
      </c>
      <c r="M396" s="2" t="s">
        <v>88</v>
      </c>
      <c r="N396" s="2" t="s">
        <v>75</v>
      </c>
      <c r="O396" s="2">
        <v>10</v>
      </c>
      <c r="P396" s="2" t="str">
        <f>IF(global_freelancer_raw[[#This Row],[No of projects ]]&lt;=5,"Entry level","Well Experienced")</f>
        <v>Well Experienced</v>
      </c>
      <c r="Q396" s="2">
        <v>9</v>
      </c>
    </row>
    <row r="397" spans="1:17" x14ac:dyDescent="0.3">
      <c r="A397" t="s">
        <v>896</v>
      </c>
      <c r="B397" t="s">
        <v>897</v>
      </c>
      <c r="C397" t="s">
        <v>118</v>
      </c>
      <c r="D397" s="2">
        <v>31</v>
      </c>
      <c r="E397" t="s">
        <v>145</v>
      </c>
      <c r="F397" t="s">
        <v>146</v>
      </c>
      <c r="G397" s="2" t="s">
        <v>98</v>
      </c>
      <c r="H397" s="2">
        <v>0</v>
      </c>
      <c r="I397" s="2" t="s">
        <v>142</v>
      </c>
      <c r="J397" s="2">
        <v>4.2</v>
      </c>
      <c r="K397" s="2" t="s">
        <v>94</v>
      </c>
      <c r="L397" s="2">
        <v>82</v>
      </c>
      <c r="M397" s="2" t="s">
        <v>24</v>
      </c>
      <c r="N397" s="2" t="s">
        <v>25</v>
      </c>
      <c r="O397" s="2">
        <v>5</v>
      </c>
      <c r="P397" s="2" t="str">
        <f>IF(global_freelancer_raw[[#This Row],[No of projects ]]&lt;=5,"Entry level","Well Experienced")</f>
        <v>Entry level</v>
      </c>
      <c r="Q397" s="2">
        <v>1</v>
      </c>
    </row>
    <row r="398" spans="1:17" x14ac:dyDescent="0.3">
      <c r="A398" t="s">
        <v>898</v>
      </c>
      <c r="B398" t="s">
        <v>899</v>
      </c>
      <c r="C398" t="s">
        <v>97</v>
      </c>
      <c r="D398" s="2">
        <v>58</v>
      </c>
      <c r="E398" t="s">
        <v>91</v>
      </c>
      <c r="F398" t="s">
        <v>92</v>
      </c>
      <c r="G398" s="2" t="s">
        <v>66</v>
      </c>
      <c r="H398" s="2">
        <v>0</v>
      </c>
      <c r="I398" s="2" t="s">
        <v>40</v>
      </c>
      <c r="J398" s="2">
        <v>2.2999999999999998</v>
      </c>
      <c r="K398" s="2" t="s">
        <v>23</v>
      </c>
      <c r="L398" s="2">
        <v>0.77</v>
      </c>
      <c r="M398" s="2" t="s">
        <v>82</v>
      </c>
      <c r="N398" s="2" t="s">
        <v>25</v>
      </c>
      <c r="O398" s="2">
        <v>5</v>
      </c>
      <c r="P398" s="2" t="str">
        <f>IF(global_freelancer_raw[[#This Row],[No of projects ]]&lt;=5,"Entry level","Well Experienced")</f>
        <v>Entry level</v>
      </c>
      <c r="Q398" s="2">
        <v>2</v>
      </c>
    </row>
    <row r="399" spans="1:17" x14ac:dyDescent="0.3">
      <c r="A399" t="s">
        <v>900</v>
      </c>
      <c r="B399" t="s">
        <v>901</v>
      </c>
      <c r="C399" t="s">
        <v>97</v>
      </c>
      <c r="D399" s="2">
        <v>45</v>
      </c>
      <c r="E399" t="s">
        <v>55</v>
      </c>
      <c r="F399" t="s">
        <v>56</v>
      </c>
      <c r="G399" s="2" t="s">
        <v>66</v>
      </c>
      <c r="H399" s="2">
        <v>17</v>
      </c>
      <c r="I399" s="2" t="s">
        <v>81</v>
      </c>
      <c r="J399" s="2">
        <v>4.7</v>
      </c>
      <c r="K399" s="2" t="s">
        <v>33</v>
      </c>
      <c r="L399" s="2">
        <v>0.73</v>
      </c>
      <c r="M399" s="2" t="s">
        <v>60</v>
      </c>
      <c r="N399" s="2" t="s">
        <v>34</v>
      </c>
      <c r="O399" s="2">
        <v>15</v>
      </c>
      <c r="P399" s="2" t="str">
        <f>IF(global_freelancer_raw[[#This Row],[No of projects ]]&lt;=5,"Entry level","Well Experienced")</f>
        <v>Well Experienced</v>
      </c>
      <c r="Q399" s="2">
        <v>11</v>
      </c>
    </row>
    <row r="400" spans="1:17" x14ac:dyDescent="0.3">
      <c r="A400" t="s">
        <v>902</v>
      </c>
      <c r="B400" t="s">
        <v>903</v>
      </c>
      <c r="C400" t="s">
        <v>118</v>
      </c>
      <c r="D400" s="2">
        <v>51</v>
      </c>
      <c r="E400" t="s">
        <v>133</v>
      </c>
      <c r="F400" t="s">
        <v>134</v>
      </c>
      <c r="G400" s="2" t="s">
        <v>98</v>
      </c>
      <c r="H400" s="2">
        <v>5</v>
      </c>
      <c r="I400" s="2" t="s">
        <v>2119</v>
      </c>
      <c r="J400" s="2">
        <v>3</v>
      </c>
      <c r="K400" s="2" t="s">
        <v>33</v>
      </c>
      <c r="L400" s="2">
        <v>0.88</v>
      </c>
      <c r="M400" s="2" t="s">
        <v>24</v>
      </c>
      <c r="N400" s="2" t="s">
        <v>75</v>
      </c>
      <c r="O400" s="2">
        <v>2</v>
      </c>
      <c r="P400" s="2" t="str">
        <f>IF(global_freelancer_raw[[#This Row],[No of projects ]]&lt;=5,"Entry level","Well Experienced")</f>
        <v>Entry level</v>
      </c>
      <c r="Q400" s="2">
        <v>4</v>
      </c>
    </row>
    <row r="401" spans="1:17" x14ac:dyDescent="0.3">
      <c r="A401" t="s">
        <v>904</v>
      </c>
      <c r="B401" t="s">
        <v>905</v>
      </c>
      <c r="C401" t="s">
        <v>118</v>
      </c>
      <c r="D401" s="2">
        <v>54</v>
      </c>
      <c r="E401" t="s">
        <v>73</v>
      </c>
      <c r="F401" t="s">
        <v>30</v>
      </c>
      <c r="G401" s="2" t="s">
        <v>93</v>
      </c>
      <c r="H401" s="2">
        <v>3</v>
      </c>
      <c r="I401" s="2" t="s">
        <v>130</v>
      </c>
      <c r="J401" s="2">
        <v>2.4</v>
      </c>
      <c r="K401" s="2" t="s">
        <v>23</v>
      </c>
      <c r="L401" s="2">
        <v>0.81</v>
      </c>
      <c r="M401" s="2" t="s">
        <v>82</v>
      </c>
      <c r="N401" s="2" t="s">
        <v>75</v>
      </c>
      <c r="O401" s="2">
        <v>2</v>
      </c>
      <c r="P401" s="2" t="str">
        <f>IF(global_freelancer_raw[[#This Row],[No of projects ]]&lt;=5,"Entry level","Well Experienced")</f>
        <v>Entry level</v>
      </c>
      <c r="Q401" s="2">
        <v>3</v>
      </c>
    </row>
    <row r="402" spans="1:17" x14ac:dyDescent="0.3">
      <c r="A402" t="s">
        <v>906</v>
      </c>
      <c r="B402" t="s">
        <v>907</v>
      </c>
      <c r="C402" t="s">
        <v>118</v>
      </c>
      <c r="D402" s="2">
        <v>22</v>
      </c>
      <c r="E402" t="s">
        <v>145</v>
      </c>
      <c r="F402" t="s">
        <v>146</v>
      </c>
      <c r="G402" s="2" t="s">
        <v>66</v>
      </c>
      <c r="H402" s="2">
        <v>1</v>
      </c>
      <c r="I402" s="2" t="s">
        <v>162</v>
      </c>
      <c r="J402" s="2">
        <v>1.7</v>
      </c>
      <c r="K402" s="2" t="s">
        <v>41</v>
      </c>
      <c r="L402" s="2">
        <v>0.78</v>
      </c>
      <c r="M402" s="2" t="s">
        <v>82</v>
      </c>
      <c r="N402" s="2" t="s">
        <v>75</v>
      </c>
      <c r="O402" s="2">
        <v>1</v>
      </c>
      <c r="P402" s="2" t="str">
        <f>IF(global_freelancer_raw[[#This Row],[No of projects ]]&lt;=5,"Entry level","Well Experienced")</f>
        <v>Entry level</v>
      </c>
      <c r="Q402" s="2">
        <v>2</v>
      </c>
    </row>
    <row r="403" spans="1:17" x14ac:dyDescent="0.3">
      <c r="A403" t="s">
        <v>908</v>
      </c>
      <c r="B403" t="s">
        <v>909</v>
      </c>
      <c r="C403" t="s">
        <v>118</v>
      </c>
      <c r="D403" s="2">
        <v>36</v>
      </c>
      <c r="E403" t="s">
        <v>79</v>
      </c>
      <c r="F403" t="s">
        <v>80</v>
      </c>
      <c r="G403" s="2" t="s">
        <v>98</v>
      </c>
      <c r="H403" s="2">
        <v>2</v>
      </c>
      <c r="I403" s="2" t="s">
        <v>103</v>
      </c>
      <c r="J403" s="2">
        <v>0</v>
      </c>
      <c r="K403" s="2" t="s">
        <v>59</v>
      </c>
      <c r="L403" s="2">
        <v>0.92</v>
      </c>
      <c r="M403" s="2" t="s">
        <v>60</v>
      </c>
      <c r="N403" s="2" t="s">
        <v>75</v>
      </c>
      <c r="O403" s="2">
        <v>5</v>
      </c>
      <c r="P403" s="2" t="str">
        <f>IF(global_freelancer_raw[[#This Row],[No of projects ]]&lt;=5,"Entry level","Well Experienced")</f>
        <v>Entry level</v>
      </c>
      <c r="Q403" s="2">
        <v>1</v>
      </c>
    </row>
    <row r="404" spans="1:17" x14ac:dyDescent="0.3">
      <c r="A404" t="s">
        <v>910</v>
      </c>
      <c r="B404" t="s">
        <v>911</v>
      </c>
      <c r="C404" t="s">
        <v>118</v>
      </c>
      <c r="D404" s="2">
        <v>50</v>
      </c>
      <c r="E404" t="s">
        <v>38</v>
      </c>
      <c r="F404" t="s">
        <v>38</v>
      </c>
      <c r="G404" s="2" t="s">
        <v>110</v>
      </c>
      <c r="H404" s="2">
        <v>32</v>
      </c>
      <c r="I404" s="2" t="s">
        <v>58</v>
      </c>
      <c r="J404" s="2" t="s">
        <v>2120</v>
      </c>
      <c r="K404" s="2" t="s">
        <v>23</v>
      </c>
      <c r="L404" s="2">
        <v>0.64</v>
      </c>
      <c r="M404" s="2" t="s">
        <v>60</v>
      </c>
      <c r="N404" s="2" t="s">
        <v>75</v>
      </c>
      <c r="O404" s="2">
        <v>12</v>
      </c>
      <c r="P404" s="2" t="str">
        <f>IF(global_freelancer_raw[[#This Row],[No of projects ]]&lt;=5,"Entry level","Well Experienced")</f>
        <v>Well Experienced</v>
      </c>
      <c r="Q404" s="2">
        <v>15</v>
      </c>
    </row>
    <row r="405" spans="1:17" x14ac:dyDescent="0.3">
      <c r="A405" t="s">
        <v>912</v>
      </c>
      <c r="B405" t="s">
        <v>913</v>
      </c>
      <c r="C405" t="s">
        <v>97</v>
      </c>
      <c r="D405" s="2">
        <v>41</v>
      </c>
      <c r="E405" t="s">
        <v>29</v>
      </c>
      <c r="F405" t="s">
        <v>30</v>
      </c>
      <c r="G405" s="2" t="s">
        <v>21</v>
      </c>
      <c r="H405" s="2">
        <v>14</v>
      </c>
      <c r="I405" s="2" t="s">
        <v>52</v>
      </c>
      <c r="J405" s="2">
        <v>0</v>
      </c>
      <c r="K405" s="2" t="s">
        <v>94</v>
      </c>
      <c r="L405" s="2">
        <v>0.78</v>
      </c>
      <c r="M405" s="2" t="s">
        <v>60</v>
      </c>
      <c r="N405" s="2" t="s">
        <v>42</v>
      </c>
      <c r="O405" s="2">
        <v>7</v>
      </c>
      <c r="P405" s="2" t="str">
        <f>IF(global_freelancer_raw[[#This Row],[No of projects ]]&lt;=5,"Entry level","Well Experienced")</f>
        <v>Well Experienced</v>
      </c>
      <c r="Q405" s="2">
        <v>10</v>
      </c>
    </row>
    <row r="406" spans="1:17" x14ac:dyDescent="0.3">
      <c r="A406" t="s">
        <v>914</v>
      </c>
      <c r="B406" t="s">
        <v>915</v>
      </c>
      <c r="C406" t="s">
        <v>118</v>
      </c>
      <c r="D406" s="2" t="s">
        <v>2119</v>
      </c>
      <c r="E406" t="s">
        <v>175</v>
      </c>
      <c r="F406" t="s">
        <v>176</v>
      </c>
      <c r="G406" s="2" t="s">
        <v>46</v>
      </c>
      <c r="H406" s="2">
        <v>10</v>
      </c>
      <c r="I406" s="2" t="s">
        <v>162</v>
      </c>
      <c r="J406" s="2">
        <v>1.8</v>
      </c>
      <c r="K406" s="2" t="s">
        <v>87</v>
      </c>
      <c r="L406" s="2">
        <v>85</v>
      </c>
      <c r="M406" s="2" t="s">
        <v>88</v>
      </c>
      <c r="N406" s="2" t="s">
        <v>25</v>
      </c>
      <c r="O406" s="2">
        <v>6</v>
      </c>
      <c r="P406" s="2" t="str">
        <f>IF(global_freelancer_raw[[#This Row],[No of projects ]]&lt;=5,"Entry level","Well Experienced")</f>
        <v>Well Experienced</v>
      </c>
      <c r="Q406" s="2">
        <v>4</v>
      </c>
    </row>
    <row r="407" spans="1:17" x14ac:dyDescent="0.3">
      <c r="A407" t="s">
        <v>916</v>
      </c>
      <c r="B407" t="s">
        <v>917</v>
      </c>
      <c r="C407" t="s">
        <v>97</v>
      </c>
      <c r="D407" s="2">
        <v>51</v>
      </c>
      <c r="E407" t="s">
        <v>55</v>
      </c>
      <c r="F407" t="s">
        <v>56</v>
      </c>
      <c r="G407" s="2" t="s">
        <v>98</v>
      </c>
      <c r="H407" s="2">
        <v>27</v>
      </c>
      <c r="I407" s="2" t="s">
        <v>81</v>
      </c>
      <c r="J407" s="2">
        <v>0</v>
      </c>
      <c r="K407" s="2" t="s">
        <v>181</v>
      </c>
      <c r="L407" s="2">
        <v>0.78</v>
      </c>
      <c r="M407" s="2" t="s">
        <v>60</v>
      </c>
      <c r="N407" s="2" t="s">
        <v>42</v>
      </c>
      <c r="O407" s="2">
        <v>14</v>
      </c>
      <c r="P407" s="2" t="str">
        <f>IF(global_freelancer_raw[[#This Row],[No of projects ]]&lt;=5,"Entry level","Well Experienced")</f>
        <v>Well Experienced</v>
      </c>
      <c r="Q407" s="2">
        <v>11</v>
      </c>
    </row>
    <row r="408" spans="1:17" x14ac:dyDescent="0.3">
      <c r="A408" t="s">
        <v>918</v>
      </c>
      <c r="B408" t="s">
        <v>919</v>
      </c>
      <c r="C408" t="s">
        <v>118</v>
      </c>
      <c r="D408" s="2">
        <v>21</v>
      </c>
      <c r="E408" t="s">
        <v>156</v>
      </c>
      <c r="F408" t="s">
        <v>157</v>
      </c>
      <c r="G408" s="2" t="s">
        <v>57</v>
      </c>
      <c r="H408" s="2">
        <v>2</v>
      </c>
      <c r="I408" s="2" t="s">
        <v>58</v>
      </c>
      <c r="J408" s="2">
        <v>3.8</v>
      </c>
      <c r="K408" s="2" t="s">
        <v>33</v>
      </c>
      <c r="L408" s="2">
        <v>0.98</v>
      </c>
      <c r="M408" s="2" t="s">
        <v>82</v>
      </c>
      <c r="N408" s="2" t="s">
        <v>75</v>
      </c>
      <c r="O408" s="2">
        <v>2</v>
      </c>
      <c r="P408" s="2" t="str">
        <f>IF(global_freelancer_raw[[#This Row],[No of projects ]]&lt;=5,"Entry level","Well Experienced")</f>
        <v>Entry level</v>
      </c>
      <c r="Q408" s="2">
        <v>1</v>
      </c>
    </row>
    <row r="409" spans="1:17" x14ac:dyDescent="0.3">
      <c r="A409" t="s">
        <v>920</v>
      </c>
      <c r="B409" t="s">
        <v>921</v>
      </c>
      <c r="C409" t="s">
        <v>118</v>
      </c>
      <c r="D409" s="2">
        <v>51</v>
      </c>
      <c r="E409" t="s">
        <v>106</v>
      </c>
      <c r="F409" t="s">
        <v>107</v>
      </c>
      <c r="G409" s="2" t="s">
        <v>57</v>
      </c>
      <c r="H409" s="2">
        <v>33</v>
      </c>
      <c r="I409" s="2" t="s">
        <v>70</v>
      </c>
      <c r="J409" s="2">
        <v>0</v>
      </c>
      <c r="K409" s="2" t="s">
        <v>94</v>
      </c>
      <c r="L409" s="2">
        <v>0.63</v>
      </c>
      <c r="M409" s="2" t="s">
        <v>60</v>
      </c>
      <c r="N409" s="2" t="s">
        <v>34</v>
      </c>
      <c r="O409" s="2">
        <v>16</v>
      </c>
      <c r="P409" s="2" t="str">
        <f>IF(global_freelancer_raw[[#This Row],[No of projects ]]&lt;=5,"Entry level","Well Experienced")</f>
        <v>Well Experienced</v>
      </c>
      <c r="Q409" s="2">
        <v>14</v>
      </c>
    </row>
    <row r="410" spans="1:17" x14ac:dyDescent="0.3">
      <c r="A410" t="s">
        <v>922</v>
      </c>
      <c r="B410" t="s">
        <v>923</v>
      </c>
      <c r="C410" t="s">
        <v>97</v>
      </c>
      <c r="D410" s="2">
        <v>37</v>
      </c>
      <c r="E410" t="s">
        <v>64</v>
      </c>
      <c r="F410" t="s">
        <v>65</v>
      </c>
      <c r="G410" s="2" t="s">
        <v>39</v>
      </c>
      <c r="H410" s="2">
        <v>11</v>
      </c>
      <c r="I410" s="2" t="s">
        <v>70</v>
      </c>
      <c r="J410" s="2">
        <v>3.6</v>
      </c>
      <c r="K410" s="2" t="s">
        <v>41</v>
      </c>
      <c r="L410" s="2">
        <v>0.73</v>
      </c>
      <c r="M410" s="2" t="s">
        <v>82</v>
      </c>
      <c r="N410" s="2" t="s">
        <v>34</v>
      </c>
      <c r="O410" s="2">
        <v>14</v>
      </c>
      <c r="P410" s="2" t="str">
        <f>IF(global_freelancer_raw[[#This Row],[No of projects ]]&lt;=5,"Entry level","Well Experienced")</f>
        <v>Well Experienced</v>
      </c>
      <c r="Q410" s="2">
        <v>7</v>
      </c>
    </row>
    <row r="411" spans="1:17" x14ac:dyDescent="0.3">
      <c r="A411" t="s">
        <v>924</v>
      </c>
      <c r="B411" t="s">
        <v>925</v>
      </c>
      <c r="C411" t="s">
        <v>97</v>
      </c>
      <c r="D411" s="2">
        <v>20</v>
      </c>
      <c r="E411" t="s">
        <v>212</v>
      </c>
      <c r="F411" t="s">
        <v>92</v>
      </c>
      <c r="G411" s="2" t="s">
        <v>39</v>
      </c>
      <c r="H411" s="2">
        <v>2</v>
      </c>
      <c r="I411" s="2" t="s">
        <v>52</v>
      </c>
      <c r="J411" s="2">
        <v>0</v>
      </c>
      <c r="K411" s="2" t="s">
        <v>23</v>
      </c>
      <c r="L411" s="2">
        <v>0.94</v>
      </c>
      <c r="M411" s="2" t="s">
        <v>24</v>
      </c>
      <c r="N411" s="2" t="s">
        <v>75</v>
      </c>
      <c r="O411" s="2">
        <v>2</v>
      </c>
      <c r="P411" s="2" t="str">
        <f>IF(global_freelancer_raw[[#This Row],[No of projects ]]&lt;=5,"Entry level","Well Experienced")</f>
        <v>Entry level</v>
      </c>
      <c r="Q411" s="2">
        <v>4</v>
      </c>
    </row>
    <row r="412" spans="1:17" x14ac:dyDescent="0.3">
      <c r="A412" t="s">
        <v>926</v>
      </c>
      <c r="B412" t="s">
        <v>927</v>
      </c>
      <c r="C412" t="s">
        <v>97</v>
      </c>
      <c r="D412" s="2">
        <v>50</v>
      </c>
      <c r="E412" t="s">
        <v>29</v>
      </c>
      <c r="F412" t="s">
        <v>30</v>
      </c>
      <c r="G412" s="2" t="s">
        <v>46</v>
      </c>
      <c r="H412" s="2">
        <v>31</v>
      </c>
      <c r="I412" s="2" t="s">
        <v>81</v>
      </c>
      <c r="J412" s="2">
        <v>4.0999999999999996</v>
      </c>
      <c r="K412" s="2" t="s">
        <v>2120</v>
      </c>
      <c r="L412" s="2">
        <v>0.81</v>
      </c>
      <c r="M412" s="2" t="s">
        <v>88</v>
      </c>
      <c r="N412" s="2" t="s">
        <v>75</v>
      </c>
      <c r="O412" s="2">
        <v>11</v>
      </c>
      <c r="P412" s="2" t="str">
        <f>IF(global_freelancer_raw[[#This Row],[No of projects ]]&lt;=5,"Entry level","Well Experienced")</f>
        <v>Well Experienced</v>
      </c>
      <c r="Q412" s="2">
        <v>3</v>
      </c>
    </row>
    <row r="413" spans="1:17" x14ac:dyDescent="0.3">
      <c r="A413" t="s">
        <v>928</v>
      </c>
      <c r="B413" t="s">
        <v>929</v>
      </c>
      <c r="C413" t="s">
        <v>97</v>
      </c>
      <c r="D413" s="2">
        <v>58</v>
      </c>
      <c r="E413" t="s">
        <v>79</v>
      </c>
      <c r="F413" t="s">
        <v>80</v>
      </c>
      <c r="G413" s="2" t="s">
        <v>39</v>
      </c>
      <c r="H413" s="2">
        <v>17</v>
      </c>
      <c r="I413" s="2" t="s">
        <v>81</v>
      </c>
      <c r="J413" s="2">
        <v>2.6</v>
      </c>
      <c r="K413" s="2" t="s">
        <v>33</v>
      </c>
      <c r="L413" s="2">
        <v>0.61</v>
      </c>
      <c r="M413" s="2" t="s">
        <v>24</v>
      </c>
      <c r="N413" s="2" t="s">
        <v>34</v>
      </c>
      <c r="O413" s="2">
        <v>20</v>
      </c>
      <c r="P413" s="2" t="str">
        <f>IF(global_freelancer_raw[[#This Row],[No of projects ]]&lt;=5,"Entry level","Well Experienced")</f>
        <v>Well Experienced</v>
      </c>
      <c r="Q413" s="2">
        <v>1</v>
      </c>
    </row>
    <row r="414" spans="1:17" x14ac:dyDescent="0.3">
      <c r="A414" t="s">
        <v>930</v>
      </c>
      <c r="B414" t="s">
        <v>931</v>
      </c>
      <c r="C414" t="s">
        <v>97</v>
      </c>
      <c r="D414" s="2">
        <v>40</v>
      </c>
      <c r="E414" t="s">
        <v>128</v>
      </c>
      <c r="F414" t="s">
        <v>129</v>
      </c>
      <c r="G414" s="2" t="s">
        <v>93</v>
      </c>
      <c r="H414" s="2">
        <v>2</v>
      </c>
      <c r="I414" s="2" t="s">
        <v>251</v>
      </c>
      <c r="J414" s="2">
        <v>0</v>
      </c>
      <c r="K414" s="2" t="s">
        <v>23</v>
      </c>
      <c r="L414" s="2" t="s">
        <v>2120</v>
      </c>
      <c r="M414" s="2" t="s">
        <v>24</v>
      </c>
      <c r="N414" s="2" t="s">
        <v>42</v>
      </c>
      <c r="O414" s="2">
        <v>3</v>
      </c>
      <c r="P414" s="2" t="str">
        <f>IF(global_freelancer_raw[[#This Row],[No of projects ]]&lt;=5,"Entry level","Well Experienced")</f>
        <v>Entry level</v>
      </c>
      <c r="Q414" s="2">
        <v>5</v>
      </c>
    </row>
    <row r="415" spans="1:17" x14ac:dyDescent="0.3">
      <c r="A415" t="s">
        <v>932</v>
      </c>
      <c r="B415" t="s">
        <v>933</v>
      </c>
      <c r="C415" t="s">
        <v>97</v>
      </c>
      <c r="D415" s="2">
        <v>26</v>
      </c>
      <c r="E415" t="s">
        <v>160</v>
      </c>
      <c r="F415" t="s">
        <v>161</v>
      </c>
      <c r="G415" s="2" t="s">
        <v>46</v>
      </c>
      <c r="H415" s="2">
        <v>2</v>
      </c>
      <c r="I415" s="2" t="s">
        <v>162</v>
      </c>
      <c r="J415" s="2">
        <v>1.3</v>
      </c>
      <c r="K415" s="2" t="s">
        <v>181</v>
      </c>
      <c r="L415" s="2">
        <v>0.83</v>
      </c>
      <c r="M415" s="2" t="s">
        <v>82</v>
      </c>
      <c r="N415" s="2" t="s">
        <v>42</v>
      </c>
      <c r="O415" s="2">
        <v>1</v>
      </c>
      <c r="P415" s="2" t="str">
        <f>IF(global_freelancer_raw[[#This Row],[No of projects ]]&lt;=5,"Entry level","Well Experienced")</f>
        <v>Entry level</v>
      </c>
      <c r="Q415" s="2">
        <v>5</v>
      </c>
    </row>
    <row r="416" spans="1:17" x14ac:dyDescent="0.3">
      <c r="A416" t="s">
        <v>934</v>
      </c>
      <c r="B416" t="s">
        <v>935</v>
      </c>
      <c r="C416" t="s">
        <v>97</v>
      </c>
      <c r="D416" s="2">
        <v>44</v>
      </c>
      <c r="E416" t="s">
        <v>133</v>
      </c>
      <c r="F416" t="s">
        <v>134</v>
      </c>
      <c r="G416" s="2" t="s">
        <v>98</v>
      </c>
      <c r="H416" s="2">
        <v>22</v>
      </c>
      <c r="I416" s="2" t="s">
        <v>52</v>
      </c>
      <c r="J416" s="2">
        <v>4.0999999999999996</v>
      </c>
      <c r="K416" s="2" t="s">
        <v>94</v>
      </c>
      <c r="L416" s="2" t="s">
        <v>2120</v>
      </c>
      <c r="M416" s="2" t="s">
        <v>24</v>
      </c>
      <c r="N416" s="2" t="s">
        <v>75</v>
      </c>
      <c r="O416" s="2">
        <v>15</v>
      </c>
      <c r="P416" s="2" t="str">
        <f>IF(global_freelancer_raw[[#This Row],[No of projects ]]&lt;=5,"Entry level","Well Experienced")</f>
        <v>Well Experienced</v>
      </c>
      <c r="Q416" s="2">
        <v>5</v>
      </c>
    </row>
    <row r="417" spans="1:17" x14ac:dyDescent="0.3">
      <c r="A417" t="s">
        <v>936</v>
      </c>
      <c r="B417" t="s">
        <v>937</v>
      </c>
      <c r="C417" t="s">
        <v>118</v>
      </c>
      <c r="D417" s="2">
        <v>42</v>
      </c>
      <c r="E417" t="s">
        <v>201</v>
      </c>
      <c r="F417" t="s">
        <v>92</v>
      </c>
      <c r="G417" s="2" t="s">
        <v>135</v>
      </c>
      <c r="H417" s="2">
        <v>8</v>
      </c>
      <c r="I417" s="2" t="s">
        <v>81</v>
      </c>
      <c r="J417" s="2">
        <v>2.4</v>
      </c>
      <c r="K417" s="2" t="s">
        <v>181</v>
      </c>
      <c r="L417" s="2">
        <v>0.68</v>
      </c>
      <c r="M417" s="2" t="s">
        <v>82</v>
      </c>
      <c r="N417" s="2" t="s">
        <v>42</v>
      </c>
      <c r="O417" s="2">
        <v>7</v>
      </c>
      <c r="P417" s="2" t="str">
        <f>IF(global_freelancer_raw[[#This Row],[No of projects ]]&lt;=5,"Entry level","Well Experienced")</f>
        <v>Well Experienced</v>
      </c>
      <c r="Q417" s="2">
        <v>11</v>
      </c>
    </row>
    <row r="418" spans="1:17" x14ac:dyDescent="0.3">
      <c r="A418" t="s">
        <v>938</v>
      </c>
      <c r="B418" t="s">
        <v>358</v>
      </c>
      <c r="C418" t="s">
        <v>118</v>
      </c>
      <c r="D418" s="2">
        <v>38</v>
      </c>
      <c r="E418" t="s">
        <v>201</v>
      </c>
      <c r="F418" t="s">
        <v>92</v>
      </c>
      <c r="G418" s="2" t="s">
        <v>66</v>
      </c>
      <c r="H418" s="2">
        <v>9</v>
      </c>
      <c r="I418" s="2" t="s">
        <v>81</v>
      </c>
      <c r="J418" s="2">
        <v>0</v>
      </c>
      <c r="K418" s="2" t="s">
        <v>23</v>
      </c>
      <c r="L418" s="2">
        <v>0.74</v>
      </c>
      <c r="M418" s="2" t="s">
        <v>60</v>
      </c>
      <c r="N418" s="2" t="s">
        <v>34</v>
      </c>
      <c r="O418" s="2">
        <v>9</v>
      </c>
      <c r="P418" s="2" t="str">
        <f>IF(global_freelancer_raw[[#This Row],[No of projects ]]&lt;=5,"Entry level","Well Experienced")</f>
        <v>Well Experienced</v>
      </c>
      <c r="Q418" s="2">
        <v>9</v>
      </c>
    </row>
    <row r="419" spans="1:17" x14ac:dyDescent="0.3">
      <c r="A419" t="s">
        <v>939</v>
      </c>
      <c r="B419" t="s">
        <v>940</v>
      </c>
      <c r="C419" t="s">
        <v>118</v>
      </c>
      <c r="D419" s="2">
        <v>51</v>
      </c>
      <c r="E419" t="s">
        <v>160</v>
      </c>
      <c r="F419" t="s">
        <v>161</v>
      </c>
      <c r="G419" s="2" t="s">
        <v>46</v>
      </c>
      <c r="H419" s="2">
        <v>32</v>
      </c>
      <c r="I419" s="2" t="s">
        <v>22</v>
      </c>
      <c r="J419" s="2">
        <v>4.4000000000000004</v>
      </c>
      <c r="K419" s="2" t="s">
        <v>59</v>
      </c>
      <c r="L419" s="2">
        <v>91</v>
      </c>
      <c r="M419" s="2" t="s">
        <v>60</v>
      </c>
      <c r="N419" s="2" t="s">
        <v>42</v>
      </c>
      <c r="O419" s="2">
        <v>14</v>
      </c>
      <c r="P419" s="2" t="str">
        <f>IF(global_freelancer_raw[[#This Row],[No of projects ]]&lt;=5,"Entry level","Well Experienced")</f>
        <v>Well Experienced</v>
      </c>
      <c r="Q419" s="2">
        <v>15</v>
      </c>
    </row>
    <row r="420" spans="1:17" x14ac:dyDescent="0.3">
      <c r="A420" t="s">
        <v>941</v>
      </c>
      <c r="B420" t="s">
        <v>942</v>
      </c>
      <c r="C420" t="s">
        <v>97</v>
      </c>
      <c r="D420" s="2">
        <v>36</v>
      </c>
      <c r="E420" t="s">
        <v>156</v>
      </c>
      <c r="F420" t="s">
        <v>157</v>
      </c>
      <c r="G420" s="2" t="s">
        <v>57</v>
      </c>
      <c r="H420" s="2">
        <v>8</v>
      </c>
      <c r="I420" s="2" t="s">
        <v>32</v>
      </c>
      <c r="J420" s="2">
        <v>2.2000000000000002</v>
      </c>
      <c r="K420" s="2" t="s">
        <v>33</v>
      </c>
      <c r="L420" s="2">
        <v>0.97</v>
      </c>
      <c r="M420" s="2" t="s">
        <v>82</v>
      </c>
      <c r="N420" s="2" t="s">
        <v>75</v>
      </c>
      <c r="O420" s="2">
        <v>10</v>
      </c>
      <c r="P420" s="2" t="str">
        <f>IF(global_freelancer_raw[[#This Row],[No of projects ]]&lt;=5,"Entry level","Well Experienced")</f>
        <v>Well Experienced</v>
      </c>
      <c r="Q420" s="2">
        <v>5</v>
      </c>
    </row>
    <row r="421" spans="1:17" x14ac:dyDescent="0.3">
      <c r="A421" t="s">
        <v>943</v>
      </c>
      <c r="B421" t="s">
        <v>944</v>
      </c>
      <c r="C421" t="s">
        <v>97</v>
      </c>
      <c r="D421" s="2">
        <v>37</v>
      </c>
      <c r="E421" t="s">
        <v>29</v>
      </c>
      <c r="F421" t="s">
        <v>30</v>
      </c>
      <c r="G421" s="2" t="s">
        <v>31</v>
      </c>
      <c r="H421" s="2">
        <v>10</v>
      </c>
      <c r="I421" s="2" t="s">
        <v>52</v>
      </c>
      <c r="J421" s="2">
        <v>0</v>
      </c>
      <c r="K421" s="2" t="s">
        <v>23</v>
      </c>
      <c r="L421" s="2">
        <v>0.96</v>
      </c>
      <c r="M421" s="2" t="s">
        <v>60</v>
      </c>
      <c r="N421" s="2" t="s">
        <v>34</v>
      </c>
      <c r="O421" s="2">
        <v>15</v>
      </c>
      <c r="P421" s="2" t="str">
        <f>IF(global_freelancer_raw[[#This Row],[No of projects ]]&lt;=5,"Entry level","Well Experienced")</f>
        <v>Well Experienced</v>
      </c>
      <c r="Q421" s="2">
        <v>12</v>
      </c>
    </row>
    <row r="422" spans="1:17" x14ac:dyDescent="0.3">
      <c r="A422" t="s">
        <v>945</v>
      </c>
      <c r="B422" t="s">
        <v>946</v>
      </c>
      <c r="C422" t="s">
        <v>118</v>
      </c>
      <c r="D422" s="2">
        <v>31</v>
      </c>
      <c r="E422" t="s">
        <v>175</v>
      </c>
      <c r="F422" t="s">
        <v>176</v>
      </c>
      <c r="G422" s="2" t="s">
        <v>110</v>
      </c>
      <c r="H422" s="2">
        <v>0</v>
      </c>
      <c r="I422" s="2" t="s">
        <v>40</v>
      </c>
      <c r="J422" s="2">
        <v>1.1000000000000001</v>
      </c>
      <c r="K422" s="2" t="s">
        <v>94</v>
      </c>
      <c r="L422" s="2">
        <v>0.73</v>
      </c>
      <c r="M422" s="2" t="s">
        <v>88</v>
      </c>
      <c r="N422" s="2" t="s">
        <v>42</v>
      </c>
      <c r="O422" s="2">
        <v>2</v>
      </c>
      <c r="P422" s="2" t="str">
        <f>IF(global_freelancer_raw[[#This Row],[No of projects ]]&lt;=5,"Entry level","Well Experienced")</f>
        <v>Entry level</v>
      </c>
      <c r="Q422" s="2">
        <v>1</v>
      </c>
    </row>
    <row r="423" spans="1:17" x14ac:dyDescent="0.3">
      <c r="A423" t="s">
        <v>947</v>
      </c>
      <c r="B423" t="s">
        <v>948</v>
      </c>
      <c r="C423" t="s">
        <v>97</v>
      </c>
      <c r="D423" s="2">
        <v>47</v>
      </c>
      <c r="E423" t="s">
        <v>114</v>
      </c>
      <c r="F423" t="s">
        <v>115</v>
      </c>
      <c r="G423" s="2" t="s">
        <v>98</v>
      </c>
      <c r="H423" s="2">
        <v>22</v>
      </c>
      <c r="I423" s="2" t="s">
        <v>2119</v>
      </c>
      <c r="J423" s="2">
        <v>1.4</v>
      </c>
      <c r="K423" s="2" t="s">
        <v>87</v>
      </c>
      <c r="L423" s="2">
        <v>0.72</v>
      </c>
      <c r="M423" s="2" t="s">
        <v>24</v>
      </c>
      <c r="N423" s="2" t="s">
        <v>25</v>
      </c>
      <c r="O423" s="2">
        <v>19</v>
      </c>
      <c r="P423" s="2" t="str">
        <f>IF(global_freelancer_raw[[#This Row],[No of projects ]]&lt;=5,"Entry level","Well Experienced")</f>
        <v>Well Experienced</v>
      </c>
      <c r="Q423" s="2">
        <v>2</v>
      </c>
    </row>
    <row r="424" spans="1:17" x14ac:dyDescent="0.3">
      <c r="A424" t="s">
        <v>949</v>
      </c>
      <c r="B424" t="s">
        <v>950</v>
      </c>
      <c r="C424" t="s">
        <v>97</v>
      </c>
      <c r="D424" s="2">
        <v>60</v>
      </c>
      <c r="E424" t="s">
        <v>201</v>
      </c>
      <c r="F424" t="s">
        <v>92</v>
      </c>
      <c r="G424" s="2" t="s">
        <v>93</v>
      </c>
      <c r="H424" s="2">
        <v>34</v>
      </c>
      <c r="I424" s="2" t="s">
        <v>251</v>
      </c>
      <c r="J424" s="2">
        <v>0</v>
      </c>
      <c r="K424" s="2" t="s">
        <v>74</v>
      </c>
      <c r="L424" s="2">
        <v>0.74</v>
      </c>
      <c r="M424" s="2" t="s">
        <v>88</v>
      </c>
      <c r="N424" s="2" t="s">
        <v>34</v>
      </c>
      <c r="O424" s="2">
        <v>19</v>
      </c>
      <c r="P424" s="2" t="str">
        <f>IF(global_freelancer_raw[[#This Row],[No of projects ]]&lt;=5,"Entry level","Well Experienced")</f>
        <v>Well Experienced</v>
      </c>
      <c r="Q424" s="2">
        <v>14</v>
      </c>
    </row>
    <row r="425" spans="1:17" x14ac:dyDescent="0.3">
      <c r="A425" t="s">
        <v>951</v>
      </c>
      <c r="B425" t="s">
        <v>952</v>
      </c>
      <c r="C425" t="s">
        <v>97</v>
      </c>
      <c r="D425" s="2">
        <v>48</v>
      </c>
      <c r="E425" t="s">
        <v>91</v>
      </c>
      <c r="F425" t="s">
        <v>92</v>
      </c>
      <c r="G425" s="2" t="s">
        <v>31</v>
      </c>
      <c r="H425" s="2">
        <v>5</v>
      </c>
      <c r="I425" s="2" t="s">
        <v>52</v>
      </c>
      <c r="J425" s="2">
        <v>1.5</v>
      </c>
      <c r="K425" s="2" t="s">
        <v>41</v>
      </c>
      <c r="L425" s="2" t="s">
        <v>2120</v>
      </c>
      <c r="M425" s="2" t="s">
        <v>24</v>
      </c>
      <c r="N425" s="2" t="s">
        <v>34</v>
      </c>
      <c r="O425" s="2">
        <v>4</v>
      </c>
      <c r="P425" s="2" t="str">
        <f>IF(global_freelancer_raw[[#This Row],[No of projects ]]&lt;=5,"Entry level","Well Experienced")</f>
        <v>Entry level</v>
      </c>
      <c r="Q425" s="2">
        <v>2</v>
      </c>
    </row>
    <row r="426" spans="1:17" x14ac:dyDescent="0.3">
      <c r="A426" t="s">
        <v>953</v>
      </c>
      <c r="B426" t="s">
        <v>954</v>
      </c>
      <c r="C426" t="s">
        <v>97</v>
      </c>
      <c r="D426" s="2">
        <v>24</v>
      </c>
      <c r="E426" t="s">
        <v>114</v>
      </c>
      <c r="F426" t="s">
        <v>115</v>
      </c>
      <c r="G426" s="2" t="s">
        <v>57</v>
      </c>
      <c r="H426" s="2">
        <v>3</v>
      </c>
      <c r="I426" s="2" t="s">
        <v>162</v>
      </c>
      <c r="J426" s="2">
        <v>0</v>
      </c>
      <c r="K426" s="2" t="s">
        <v>33</v>
      </c>
      <c r="L426" s="2" t="s">
        <v>2120</v>
      </c>
      <c r="M426" s="2" t="s">
        <v>60</v>
      </c>
      <c r="N426" s="2" t="s">
        <v>25</v>
      </c>
      <c r="O426" s="2">
        <v>2</v>
      </c>
      <c r="P426" s="2" t="str">
        <f>IF(global_freelancer_raw[[#This Row],[No of projects ]]&lt;=5,"Entry level","Well Experienced")</f>
        <v>Entry level</v>
      </c>
      <c r="Q426" s="2">
        <v>1</v>
      </c>
    </row>
    <row r="427" spans="1:17" x14ac:dyDescent="0.3">
      <c r="A427" t="s">
        <v>955</v>
      </c>
      <c r="B427" t="s">
        <v>956</v>
      </c>
      <c r="C427" t="s">
        <v>97</v>
      </c>
      <c r="D427" s="2">
        <v>35</v>
      </c>
      <c r="E427" t="s">
        <v>55</v>
      </c>
      <c r="F427" t="s">
        <v>56</v>
      </c>
      <c r="G427" s="2" t="s">
        <v>135</v>
      </c>
      <c r="H427" s="2">
        <v>10</v>
      </c>
      <c r="I427" s="2" t="s">
        <v>103</v>
      </c>
      <c r="J427" s="2">
        <v>0</v>
      </c>
      <c r="K427" s="2" t="s">
        <v>2120</v>
      </c>
      <c r="L427" s="2">
        <v>0.74</v>
      </c>
      <c r="M427" s="2" t="s">
        <v>88</v>
      </c>
      <c r="N427" s="2" t="s">
        <v>25</v>
      </c>
      <c r="O427" s="2">
        <v>8</v>
      </c>
      <c r="P427" s="2" t="str">
        <f>IF(global_freelancer_raw[[#This Row],[No of projects ]]&lt;=5,"Entry level","Well Experienced")</f>
        <v>Well Experienced</v>
      </c>
      <c r="Q427" s="2">
        <v>9</v>
      </c>
    </row>
    <row r="428" spans="1:17" x14ac:dyDescent="0.3">
      <c r="A428" t="s">
        <v>957</v>
      </c>
      <c r="B428" t="s">
        <v>958</v>
      </c>
      <c r="C428" t="s">
        <v>118</v>
      </c>
      <c r="D428" s="2">
        <v>35</v>
      </c>
      <c r="E428" t="s">
        <v>73</v>
      </c>
      <c r="F428" t="s">
        <v>30</v>
      </c>
      <c r="G428" s="2" t="s">
        <v>110</v>
      </c>
      <c r="H428" s="2" t="s">
        <v>2120</v>
      </c>
      <c r="I428" s="2" t="s">
        <v>22</v>
      </c>
      <c r="J428" s="2">
        <v>3.5</v>
      </c>
      <c r="K428" s="2" t="s">
        <v>94</v>
      </c>
      <c r="L428" s="2">
        <v>0.71</v>
      </c>
      <c r="M428" s="2" t="s">
        <v>60</v>
      </c>
      <c r="N428" s="2" t="s">
        <v>34</v>
      </c>
      <c r="O428" s="2">
        <v>2</v>
      </c>
      <c r="P428" s="2" t="str">
        <f>IF(global_freelancer_raw[[#This Row],[No of projects ]]&lt;=5,"Entry level","Well Experienced")</f>
        <v>Entry level</v>
      </c>
      <c r="Q428" s="2">
        <v>1</v>
      </c>
    </row>
    <row r="429" spans="1:17" x14ac:dyDescent="0.3">
      <c r="A429" t="s">
        <v>959</v>
      </c>
      <c r="B429" t="s">
        <v>960</v>
      </c>
      <c r="C429" t="s">
        <v>97</v>
      </c>
      <c r="D429" s="2">
        <v>29</v>
      </c>
      <c r="E429" t="s">
        <v>55</v>
      </c>
      <c r="F429" t="s">
        <v>56</v>
      </c>
      <c r="G429" s="2" t="s">
        <v>93</v>
      </c>
      <c r="H429" s="2">
        <v>6</v>
      </c>
      <c r="I429" s="2" t="s">
        <v>2119</v>
      </c>
      <c r="J429" s="2">
        <v>4.8</v>
      </c>
      <c r="K429" s="2" t="s">
        <v>41</v>
      </c>
      <c r="L429" s="2">
        <v>0.83</v>
      </c>
      <c r="M429" s="2" t="s">
        <v>24</v>
      </c>
      <c r="N429" s="2" t="s">
        <v>25</v>
      </c>
      <c r="O429" s="2">
        <v>14</v>
      </c>
      <c r="P429" s="2" t="str">
        <f>IF(global_freelancer_raw[[#This Row],[No of projects ]]&lt;=5,"Entry level","Well Experienced")</f>
        <v>Well Experienced</v>
      </c>
      <c r="Q429" s="2">
        <v>2</v>
      </c>
    </row>
    <row r="430" spans="1:17" x14ac:dyDescent="0.3">
      <c r="A430" t="s">
        <v>961</v>
      </c>
      <c r="B430" t="s">
        <v>962</v>
      </c>
      <c r="C430" t="s">
        <v>97</v>
      </c>
      <c r="D430" s="2">
        <v>36</v>
      </c>
      <c r="E430" t="s">
        <v>19</v>
      </c>
      <c r="F430" t="s">
        <v>20</v>
      </c>
      <c r="G430" s="2" t="s">
        <v>135</v>
      </c>
      <c r="H430" s="2">
        <v>1</v>
      </c>
      <c r="I430" s="2" t="s">
        <v>192</v>
      </c>
      <c r="J430" s="2" t="s">
        <v>2120</v>
      </c>
      <c r="K430" s="2" t="s">
        <v>2120</v>
      </c>
      <c r="L430" s="2">
        <v>0.63</v>
      </c>
      <c r="M430" s="2" t="s">
        <v>82</v>
      </c>
      <c r="N430" s="2" t="s">
        <v>75</v>
      </c>
      <c r="O430" s="2">
        <v>4</v>
      </c>
      <c r="P430" s="2" t="str">
        <f>IF(global_freelancer_raw[[#This Row],[No of projects ]]&lt;=5,"Entry level","Well Experienced")</f>
        <v>Entry level</v>
      </c>
      <c r="Q430" s="2">
        <v>2</v>
      </c>
    </row>
    <row r="431" spans="1:17" x14ac:dyDescent="0.3">
      <c r="A431" t="s">
        <v>963</v>
      </c>
      <c r="B431" t="s">
        <v>964</v>
      </c>
      <c r="C431" t="s">
        <v>97</v>
      </c>
      <c r="D431" s="2">
        <v>44</v>
      </c>
      <c r="E431" t="s">
        <v>149</v>
      </c>
      <c r="F431" t="s">
        <v>30</v>
      </c>
      <c r="G431" s="2" t="s">
        <v>57</v>
      </c>
      <c r="H431" s="2">
        <v>0</v>
      </c>
      <c r="I431" s="2" t="s">
        <v>2119</v>
      </c>
      <c r="J431" s="2">
        <v>4.8</v>
      </c>
      <c r="K431" s="2" t="s">
        <v>2120</v>
      </c>
      <c r="L431" s="2">
        <v>0.84</v>
      </c>
      <c r="M431" s="2" t="s">
        <v>82</v>
      </c>
      <c r="N431" s="2" t="s">
        <v>75</v>
      </c>
      <c r="O431" s="2">
        <v>4</v>
      </c>
      <c r="P431" s="2" t="str">
        <f>IF(global_freelancer_raw[[#This Row],[No of projects ]]&lt;=5,"Entry level","Well Experienced")</f>
        <v>Entry level</v>
      </c>
      <c r="Q431" s="2">
        <v>1</v>
      </c>
    </row>
    <row r="432" spans="1:17" x14ac:dyDescent="0.3">
      <c r="A432" t="s">
        <v>965</v>
      </c>
      <c r="B432" t="s">
        <v>966</v>
      </c>
      <c r="C432" t="s">
        <v>118</v>
      </c>
      <c r="D432" s="2">
        <v>44</v>
      </c>
      <c r="E432" t="s">
        <v>175</v>
      </c>
      <c r="F432" t="s">
        <v>176</v>
      </c>
      <c r="G432" s="2" t="s">
        <v>46</v>
      </c>
      <c r="H432" s="2" t="s">
        <v>2120</v>
      </c>
      <c r="I432" s="2" t="s">
        <v>2119</v>
      </c>
      <c r="J432" s="2">
        <v>1.4</v>
      </c>
      <c r="K432" s="2" t="s">
        <v>23</v>
      </c>
      <c r="L432" s="2">
        <v>0.93</v>
      </c>
      <c r="M432" s="2" t="s">
        <v>88</v>
      </c>
      <c r="N432" s="2" t="s">
        <v>75</v>
      </c>
      <c r="O432" s="2">
        <v>3</v>
      </c>
      <c r="P432" s="2" t="str">
        <f>IF(global_freelancer_raw[[#This Row],[No of projects ]]&lt;=5,"Entry level","Well Experienced")</f>
        <v>Entry level</v>
      </c>
      <c r="Q432" s="2">
        <v>1</v>
      </c>
    </row>
    <row r="433" spans="1:17" x14ac:dyDescent="0.3">
      <c r="A433" t="s">
        <v>967</v>
      </c>
      <c r="B433" t="s">
        <v>968</v>
      </c>
      <c r="C433" t="s">
        <v>118</v>
      </c>
      <c r="D433" s="2">
        <v>40</v>
      </c>
      <c r="E433" t="s">
        <v>114</v>
      </c>
      <c r="F433" t="s">
        <v>115</v>
      </c>
      <c r="G433" s="2" t="s">
        <v>57</v>
      </c>
      <c r="H433" s="2">
        <v>13</v>
      </c>
      <c r="I433" s="2" t="s">
        <v>32</v>
      </c>
      <c r="J433" s="2">
        <v>1.1000000000000001</v>
      </c>
      <c r="K433" s="2" t="s">
        <v>33</v>
      </c>
      <c r="L433" s="2" t="s">
        <v>2120</v>
      </c>
      <c r="M433" s="2" t="s">
        <v>60</v>
      </c>
      <c r="N433" s="2" t="s">
        <v>34</v>
      </c>
      <c r="O433" s="2">
        <v>13</v>
      </c>
      <c r="P433" s="2" t="str">
        <f>IF(global_freelancer_raw[[#This Row],[No of projects ]]&lt;=5,"Entry level","Well Experienced")</f>
        <v>Well Experienced</v>
      </c>
      <c r="Q433" s="2">
        <v>9</v>
      </c>
    </row>
    <row r="434" spans="1:17" x14ac:dyDescent="0.3">
      <c r="A434" t="s">
        <v>969</v>
      </c>
      <c r="B434" t="s">
        <v>970</v>
      </c>
      <c r="C434" t="s">
        <v>97</v>
      </c>
      <c r="D434" s="2">
        <v>53</v>
      </c>
      <c r="E434" t="s">
        <v>55</v>
      </c>
      <c r="F434" t="s">
        <v>56</v>
      </c>
      <c r="G434" s="2" t="s">
        <v>135</v>
      </c>
      <c r="H434" s="2">
        <v>13</v>
      </c>
      <c r="I434" s="2" t="s">
        <v>81</v>
      </c>
      <c r="J434" s="2">
        <v>3.3</v>
      </c>
      <c r="K434" s="2" t="s">
        <v>94</v>
      </c>
      <c r="L434" s="2">
        <v>0.93</v>
      </c>
      <c r="M434" s="2" t="s">
        <v>60</v>
      </c>
      <c r="N434" s="2" t="s">
        <v>25</v>
      </c>
      <c r="O434" s="2">
        <v>10</v>
      </c>
      <c r="P434" s="2" t="str">
        <f>IF(global_freelancer_raw[[#This Row],[No of projects ]]&lt;=5,"Entry level","Well Experienced")</f>
        <v>Well Experienced</v>
      </c>
      <c r="Q434" s="2">
        <v>10</v>
      </c>
    </row>
    <row r="435" spans="1:17" x14ac:dyDescent="0.3">
      <c r="A435" t="s">
        <v>971</v>
      </c>
      <c r="B435" t="s">
        <v>972</v>
      </c>
      <c r="C435" t="s">
        <v>97</v>
      </c>
      <c r="D435" s="2">
        <v>35</v>
      </c>
      <c r="E435" t="s">
        <v>38</v>
      </c>
      <c r="F435" t="s">
        <v>38</v>
      </c>
      <c r="G435" s="2" t="s">
        <v>21</v>
      </c>
      <c r="H435" s="2">
        <v>0</v>
      </c>
      <c r="I435" s="2" t="s">
        <v>130</v>
      </c>
      <c r="J435" s="2">
        <v>4.5999999999999996</v>
      </c>
      <c r="K435" s="2" t="s">
        <v>2120</v>
      </c>
      <c r="L435" s="2">
        <v>0.97</v>
      </c>
      <c r="M435" s="2" t="s">
        <v>88</v>
      </c>
      <c r="N435" s="2" t="s">
        <v>25</v>
      </c>
      <c r="O435" s="2">
        <v>1</v>
      </c>
      <c r="P435" s="2" t="str">
        <f>IF(global_freelancer_raw[[#This Row],[No of projects ]]&lt;=5,"Entry level","Well Experienced")</f>
        <v>Entry level</v>
      </c>
      <c r="Q435" s="2">
        <v>1</v>
      </c>
    </row>
    <row r="436" spans="1:17" x14ac:dyDescent="0.3">
      <c r="A436" t="s">
        <v>973</v>
      </c>
      <c r="B436" t="s">
        <v>974</v>
      </c>
      <c r="C436" t="s">
        <v>97</v>
      </c>
      <c r="D436" s="2">
        <v>27</v>
      </c>
      <c r="E436" t="s">
        <v>91</v>
      </c>
      <c r="F436" t="s">
        <v>92</v>
      </c>
      <c r="G436" s="2" t="s">
        <v>135</v>
      </c>
      <c r="H436" s="2">
        <v>7</v>
      </c>
      <c r="I436" s="2" t="s">
        <v>67</v>
      </c>
      <c r="J436" s="2">
        <v>2.8</v>
      </c>
      <c r="K436" s="2" t="s">
        <v>33</v>
      </c>
      <c r="L436" s="2">
        <v>0.92</v>
      </c>
      <c r="M436" s="2" t="s">
        <v>82</v>
      </c>
      <c r="N436" s="2" t="s">
        <v>42</v>
      </c>
      <c r="O436" s="2">
        <v>7</v>
      </c>
      <c r="P436" s="2" t="str">
        <f>IF(global_freelancer_raw[[#This Row],[No of projects ]]&lt;=5,"Entry level","Well Experienced")</f>
        <v>Well Experienced</v>
      </c>
      <c r="Q436" s="2">
        <v>4</v>
      </c>
    </row>
    <row r="437" spans="1:17" x14ac:dyDescent="0.3">
      <c r="A437" t="s">
        <v>975</v>
      </c>
      <c r="B437" t="s">
        <v>976</v>
      </c>
      <c r="C437" t="s">
        <v>118</v>
      </c>
      <c r="D437" s="2">
        <v>34</v>
      </c>
      <c r="E437" t="s">
        <v>29</v>
      </c>
      <c r="F437" t="s">
        <v>30</v>
      </c>
      <c r="G437" s="2" t="s">
        <v>110</v>
      </c>
      <c r="H437" s="2">
        <v>6</v>
      </c>
      <c r="I437" s="2" t="s">
        <v>40</v>
      </c>
      <c r="J437" s="2">
        <v>5</v>
      </c>
      <c r="K437" s="2" t="s">
        <v>94</v>
      </c>
      <c r="L437" s="2">
        <v>0.92</v>
      </c>
      <c r="M437" s="2" t="s">
        <v>24</v>
      </c>
      <c r="N437" s="2" t="s">
        <v>42</v>
      </c>
      <c r="O437" s="2">
        <v>8</v>
      </c>
      <c r="P437" s="2" t="str">
        <f>IF(global_freelancer_raw[[#This Row],[No of projects ]]&lt;=5,"Entry level","Well Experienced")</f>
        <v>Well Experienced</v>
      </c>
      <c r="Q437" s="2">
        <v>3</v>
      </c>
    </row>
    <row r="438" spans="1:17" x14ac:dyDescent="0.3">
      <c r="A438" t="s">
        <v>977</v>
      </c>
      <c r="B438" t="s">
        <v>978</v>
      </c>
      <c r="C438" t="s">
        <v>118</v>
      </c>
      <c r="D438" s="2">
        <v>24</v>
      </c>
      <c r="E438" t="s">
        <v>114</v>
      </c>
      <c r="F438" t="s">
        <v>115</v>
      </c>
      <c r="G438" s="2" t="s">
        <v>98</v>
      </c>
      <c r="H438" s="2">
        <v>2</v>
      </c>
      <c r="I438" s="2" t="s">
        <v>103</v>
      </c>
      <c r="J438" s="2">
        <v>4.7</v>
      </c>
      <c r="K438" s="2" t="s">
        <v>181</v>
      </c>
      <c r="L438" s="2">
        <v>0.68</v>
      </c>
      <c r="M438" s="2" t="s">
        <v>88</v>
      </c>
      <c r="N438" s="2" t="s">
        <v>25</v>
      </c>
      <c r="O438" s="2">
        <v>1</v>
      </c>
      <c r="P438" s="2" t="str">
        <f>IF(global_freelancer_raw[[#This Row],[No of projects ]]&lt;=5,"Entry level","Well Experienced")</f>
        <v>Entry level</v>
      </c>
      <c r="Q438" s="2">
        <v>2</v>
      </c>
    </row>
    <row r="439" spans="1:17" x14ac:dyDescent="0.3">
      <c r="A439" t="s">
        <v>979</v>
      </c>
      <c r="B439" t="s">
        <v>980</v>
      </c>
      <c r="C439" t="s">
        <v>118</v>
      </c>
      <c r="D439" s="2">
        <v>57</v>
      </c>
      <c r="E439" t="s">
        <v>73</v>
      </c>
      <c r="F439" t="s">
        <v>30</v>
      </c>
      <c r="G439" s="2" t="s">
        <v>93</v>
      </c>
      <c r="H439" s="2">
        <v>13</v>
      </c>
      <c r="I439" s="2" t="s">
        <v>22</v>
      </c>
      <c r="J439" s="2">
        <v>3.5</v>
      </c>
      <c r="K439" s="2" t="s">
        <v>181</v>
      </c>
      <c r="L439" s="2">
        <v>0.95</v>
      </c>
      <c r="M439" s="2" t="s">
        <v>24</v>
      </c>
      <c r="N439" s="2" t="s">
        <v>25</v>
      </c>
      <c r="O439" s="2">
        <v>13</v>
      </c>
      <c r="P439" s="2" t="str">
        <f>IF(global_freelancer_raw[[#This Row],[No of projects ]]&lt;=5,"Entry level","Well Experienced")</f>
        <v>Well Experienced</v>
      </c>
      <c r="Q439" s="2">
        <v>3</v>
      </c>
    </row>
    <row r="440" spans="1:17" x14ac:dyDescent="0.3">
      <c r="A440" t="s">
        <v>981</v>
      </c>
      <c r="B440" t="s">
        <v>982</v>
      </c>
      <c r="C440" t="s">
        <v>118</v>
      </c>
      <c r="D440" s="2">
        <v>28</v>
      </c>
      <c r="E440" t="s">
        <v>133</v>
      </c>
      <c r="F440" t="s">
        <v>134</v>
      </c>
      <c r="G440" s="2" t="s">
        <v>93</v>
      </c>
      <c r="H440" s="2">
        <v>7</v>
      </c>
      <c r="I440" s="2" t="s">
        <v>251</v>
      </c>
      <c r="J440" s="2">
        <v>4.3</v>
      </c>
      <c r="K440" s="2" t="s">
        <v>59</v>
      </c>
      <c r="L440" s="2">
        <v>0.76</v>
      </c>
      <c r="M440" s="2" t="s">
        <v>82</v>
      </c>
      <c r="N440" s="2" t="s">
        <v>25</v>
      </c>
      <c r="O440" s="2">
        <v>7</v>
      </c>
      <c r="P440" s="2" t="str">
        <f>IF(global_freelancer_raw[[#This Row],[No of projects ]]&lt;=5,"Entry level","Well Experienced")</f>
        <v>Well Experienced</v>
      </c>
      <c r="Q440" s="2">
        <v>12</v>
      </c>
    </row>
    <row r="441" spans="1:17" x14ac:dyDescent="0.3">
      <c r="A441" t="s">
        <v>983</v>
      </c>
      <c r="B441" t="s">
        <v>984</v>
      </c>
      <c r="C441" t="s">
        <v>97</v>
      </c>
      <c r="D441" s="2">
        <v>26</v>
      </c>
      <c r="E441" t="s">
        <v>19</v>
      </c>
      <c r="F441" t="s">
        <v>20</v>
      </c>
      <c r="G441" s="2" t="s">
        <v>110</v>
      </c>
      <c r="H441" s="2">
        <v>7</v>
      </c>
      <c r="I441" s="2" t="s">
        <v>32</v>
      </c>
      <c r="J441" s="2">
        <v>3.3</v>
      </c>
      <c r="K441" s="2" t="s">
        <v>87</v>
      </c>
      <c r="L441" s="2">
        <v>0.66</v>
      </c>
      <c r="M441" s="2" t="s">
        <v>60</v>
      </c>
      <c r="N441" s="2" t="s">
        <v>34</v>
      </c>
      <c r="O441" s="2">
        <v>14</v>
      </c>
      <c r="P441" s="2" t="str">
        <f>IF(global_freelancer_raw[[#This Row],[No of projects ]]&lt;=5,"Entry level","Well Experienced")</f>
        <v>Well Experienced</v>
      </c>
      <c r="Q441" s="2">
        <v>9</v>
      </c>
    </row>
    <row r="442" spans="1:17" x14ac:dyDescent="0.3">
      <c r="A442" t="s">
        <v>985</v>
      </c>
      <c r="B442" t="s">
        <v>986</v>
      </c>
      <c r="C442" t="s">
        <v>118</v>
      </c>
      <c r="D442" s="2">
        <v>34</v>
      </c>
      <c r="E442" t="s">
        <v>91</v>
      </c>
      <c r="F442" t="s">
        <v>92</v>
      </c>
      <c r="G442" s="2" t="s">
        <v>31</v>
      </c>
      <c r="H442" s="2">
        <v>15</v>
      </c>
      <c r="I442" s="2" t="s">
        <v>103</v>
      </c>
      <c r="J442" s="2" t="s">
        <v>2120</v>
      </c>
      <c r="K442" s="2" t="s">
        <v>23</v>
      </c>
      <c r="L442" s="2">
        <v>0.73</v>
      </c>
      <c r="M442" s="2" t="s">
        <v>82</v>
      </c>
      <c r="N442" s="2" t="s">
        <v>25</v>
      </c>
      <c r="O442" s="2">
        <v>14</v>
      </c>
      <c r="P442" s="2" t="str">
        <f>IF(global_freelancer_raw[[#This Row],[No of projects ]]&lt;=5,"Entry level","Well Experienced")</f>
        <v>Well Experienced</v>
      </c>
      <c r="Q442" s="2">
        <v>8</v>
      </c>
    </row>
    <row r="443" spans="1:17" x14ac:dyDescent="0.3">
      <c r="A443" t="s">
        <v>987</v>
      </c>
      <c r="B443" t="s">
        <v>988</v>
      </c>
      <c r="C443" t="s">
        <v>118</v>
      </c>
      <c r="D443" s="2">
        <v>43</v>
      </c>
      <c r="E443" t="s">
        <v>106</v>
      </c>
      <c r="F443" t="s">
        <v>107</v>
      </c>
      <c r="G443" s="2" t="s">
        <v>57</v>
      </c>
      <c r="H443" s="2" t="s">
        <v>2120</v>
      </c>
      <c r="I443" s="2" t="s">
        <v>336</v>
      </c>
      <c r="J443" s="2">
        <v>2.8</v>
      </c>
      <c r="K443" s="2" t="s">
        <v>2120</v>
      </c>
      <c r="L443" s="2">
        <v>0.99</v>
      </c>
      <c r="M443" s="2" t="s">
        <v>88</v>
      </c>
      <c r="N443" s="2" t="s">
        <v>42</v>
      </c>
      <c r="O443" s="2">
        <v>4</v>
      </c>
      <c r="P443" s="2" t="str">
        <f>IF(global_freelancer_raw[[#This Row],[No of projects ]]&lt;=5,"Entry level","Well Experienced")</f>
        <v>Entry level</v>
      </c>
      <c r="Q443" s="2">
        <v>1</v>
      </c>
    </row>
    <row r="444" spans="1:17" x14ac:dyDescent="0.3">
      <c r="A444" t="s">
        <v>989</v>
      </c>
      <c r="B444" t="s">
        <v>990</v>
      </c>
      <c r="C444" t="s">
        <v>118</v>
      </c>
      <c r="D444" s="2">
        <v>31</v>
      </c>
      <c r="E444" t="s">
        <v>197</v>
      </c>
      <c r="F444" t="s">
        <v>198</v>
      </c>
      <c r="G444" s="2" t="s">
        <v>39</v>
      </c>
      <c r="H444" s="2">
        <v>5</v>
      </c>
      <c r="I444" s="2" t="s">
        <v>2119</v>
      </c>
      <c r="J444" s="2">
        <v>2.7</v>
      </c>
      <c r="K444" s="2" t="s">
        <v>33</v>
      </c>
      <c r="L444" s="2">
        <v>94</v>
      </c>
      <c r="M444" s="2" t="s">
        <v>60</v>
      </c>
      <c r="N444" s="2" t="s">
        <v>34</v>
      </c>
      <c r="O444" s="2">
        <v>4</v>
      </c>
      <c r="P444" s="2" t="str">
        <f>IF(global_freelancer_raw[[#This Row],[No of projects ]]&lt;=5,"Entry level","Well Experienced")</f>
        <v>Entry level</v>
      </c>
      <c r="Q444" s="2">
        <v>1</v>
      </c>
    </row>
    <row r="445" spans="1:17" x14ac:dyDescent="0.3">
      <c r="A445" t="s">
        <v>991</v>
      </c>
      <c r="B445" t="s">
        <v>992</v>
      </c>
      <c r="C445" t="s">
        <v>97</v>
      </c>
      <c r="D445" s="2">
        <v>34</v>
      </c>
      <c r="E445" t="s">
        <v>197</v>
      </c>
      <c r="F445" t="s">
        <v>198</v>
      </c>
      <c r="G445" s="2" t="s">
        <v>21</v>
      </c>
      <c r="H445" s="2" t="s">
        <v>2120</v>
      </c>
      <c r="I445" s="2" t="s">
        <v>81</v>
      </c>
      <c r="J445" s="2">
        <v>0</v>
      </c>
      <c r="K445" s="2" t="s">
        <v>59</v>
      </c>
      <c r="L445" s="2">
        <v>84</v>
      </c>
      <c r="M445" s="2" t="s">
        <v>88</v>
      </c>
      <c r="N445" s="2" t="s">
        <v>25</v>
      </c>
      <c r="O445" s="2">
        <v>5</v>
      </c>
      <c r="P445" s="2" t="str">
        <f>IF(global_freelancer_raw[[#This Row],[No of projects ]]&lt;=5,"Entry level","Well Experienced")</f>
        <v>Entry level</v>
      </c>
      <c r="Q445" s="2">
        <v>1</v>
      </c>
    </row>
    <row r="446" spans="1:17" x14ac:dyDescent="0.3">
      <c r="A446" t="s">
        <v>993</v>
      </c>
      <c r="B446" t="s">
        <v>994</v>
      </c>
      <c r="C446" t="s">
        <v>97</v>
      </c>
      <c r="D446" s="2">
        <v>32</v>
      </c>
      <c r="E446" t="s">
        <v>145</v>
      </c>
      <c r="F446" t="s">
        <v>146</v>
      </c>
      <c r="G446" s="2" t="s">
        <v>98</v>
      </c>
      <c r="H446" s="2">
        <v>10</v>
      </c>
      <c r="I446" s="2" t="s">
        <v>142</v>
      </c>
      <c r="J446" s="2" t="s">
        <v>2120</v>
      </c>
      <c r="K446" s="2" t="s">
        <v>94</v>
      </c>
      <c r="L446" s="2">
        <v>0.92</v>
      </c>
      <c r="M446" s="2" t="s">
        <v>88</v>
      </c>
      <c r="N446" s="2" t="s">
        <v>42</v>
      </c>
      <c r="O446" s="2">
        <v>12</v>
      </c>
      <c r="P446" s="2" t="str">
        <f>IF(global_freelancer_raw[[#This Row],[No of projects ]]&lt;=5,"Entry level","Well Experienced")</f>
        <v>Well Experienced</v>
      </c>
      <c r="Q446" s="2">
        <v>4</v>
      </c>
    </row>
    <row r="447" spans="1:17" x14ac:dyDescent="0.3">
      <c r="A447" t="s">
        <v>995</v>
      </c>
      <c r="B447" t="s">
        <v>996</v>
      </c>
      <c r="C447" t="s">
        <v>118</v>
      </c>
      <c r="D447" s="2">
        <v>24</v>
      </c>
      <c r="E447" t="s">
        <v>160</v>
      </c>
      <c r="F447" t="s">
        <v>161</v>
      </c>
      <c r="G447" s="2" t="s">
        <v>110</v>
      </c>
      <c r="H447" s="2">
        <v>6</v>
      </c>
      <c r="I447" s="2" t="s">
        <v>192</v>
      </c>
      <c r="J447" s="2">
        <v>4.3</v>
      </c>
      <c r="K447" s="2" t="s">
        <v>87</v>
      </c>
      <c r="L447" s="2" t="s">
        <v>2120</v>
      </c>
      <c r="M447" s="2" t="s">
        <v>82</v>
      </c>
      <c r="N447" s="2" t="s">
        <v>34</v>
      </c>
      <c r="O447" s="2">
        <v>14</v>
      </c>
      <c r="P447" s="2" t="str">
        <f>IF(global_freelancer_raw[[#This Row],[No of projects ]]&lt;=5,"Entry level","Well Experienced")</f>
        <v>Well Experienced</v>
      </c>
      <c r="Q447" s="2">
        <v>4</v>
      </c>
    </row>
    <row r="448" spans="1:17" x14ac:dyDescent="0.3">
      <c r="A448" t="s">
        <v>997</v>
      </c>
      <c r="B448" t="s">
        <v>998</v>
      </c>
      <c r="C448" t="s">
        <v>118</v>
      </c>
      <c r="D448" s="2">
        <v>35</v>
      </c>
      <c r="E448" t="s">
        <v>85</v>
      </c>
      <c r="F448" t="s">
        <v>30</v>
      </c>
      <c r="G448" s="2" t="s">
        <v>57</v>
      </c>
      <c r="H448" s="2">
        <v>8</v>
      </c>
      <c r="I448" s="2" t="s">
        <v>119</v>
      </c>
      <c r="J448" s="2" t="s">
        <v>2120</v>
      </c>
      <c r="K448" s="2" t="s">
        <v>181</v>
      </c>
      <c r="L448" s="2">
        <v>90</v>
      </c>
      <c r="M448" s="2" t="s">
        <v>88</v>
      </c>
      <c r="N448" s="2" t="s">
        <v>25</v>
      </c>
      <c r="O448" s="2">
        <v>6</v>
      </c>
      <c r="P448" s="2" t="str">
        <f>IF(global_freelancer_raw[[#This Row],[No of projects ]]&lt;=5,"Entry level","Well Experienced")</f>
        <v>Well Experienced</v>
      </c>
      <c r="Q448" s="2">
        <v>5</v>
      </c>
    </row>
    <row r="449" spans="1:17" x14ac:dyDescent="0.3">
      <c r="A449" t="s">
        <v>999</v>
      </c>
      <c r="B449" t="s">
        <v>1000</v>
      </c>
      <c r="C449" t="s">
        <v>97</v>
      </c>
      <c r="D449" s="2">
        <v>22</v>
      </c>
      <c r="E449" t="s">
        <v>29</v>
      </c>
      <c r="F449" t="s">
        <v>30</v>
      </c>
      <c r="G449" s="2" t="s">
        <v>31</v>
      </c>
      <c r="H449" s="2">
        <v>4</v>
      </c>
      <c r="I449" s="2" t="s">
        <v>162</v>
      </c>
      <c r="J449" s="2" t="s">
        <v>2120</v>
      </c>
      <c r="K449" s="2" t="s">
        <v>23</v>
      </c>
      <c r="L449" s="2">
        <v>0.73</v>
      </c>
      <c r="M449" s="2" t="s">
        <v>82</v>
      </c>
      <c r="N449" s="2" t="s">
        <v>25</v>
      </c>
      <c r="O449" s="2">
        <v>1</v>
      </c>
      <c r="P449" s="2" t="str">
        <f>IF(global_freelancer_raw[[#This Row],[No of projects ]]&lt;=5,"Entry level","Well Experienced")</f>
        <v>Entry level</v>
      </c>
      <c r="Q449" s="2">
        <v>1</v>
      </c>
    </row>
    <row r="450" spans="1:17" x14ac:dyDescent="0.3">
      <c r="A450" t="s">
        <v>1001</v>
      </c>
      <c r="B450" t="s">
        <v>1002</v>
      </c>
      <c r="C450" t="s">
        <v>97</v>
      </c>
      <c r="D450" s="2">
        <v>55</v>
      </c>
      <c r="E450" t="s">
        <v>160</v>
      </c>
      <c r="F450" t="s">
        <v>161</v>
      </c>
      <c r="G450" s="2" t="s">
        <v>57</v>
      </c>
      <c r="H450" s="2">
        <v>3</v>
      </c>
      <c r="I450" s="2" t="s">
        <v>22</v>
      </c>
      <c r="J450" s="2" t="s">
        <v>2120</v>
      </c>
      <c r="K450" s="2" t="s">
        <v>33</v>
      </c>
      <c r="L450" s="2">
        <v>0.73</v>
      </c>
      <c r="M450" s="2" t="s">
        <v>60</v>
      </c>
      <c r="N450" s="2" t="s">
        <v>25</v>
      </c>
      <c r="O450" s="2">
        <v>1</v>
      </c>
      <c r="P450" s="2" t="str">
        <f>IF(global_freelancer_raw[[#This Row],[No of projects ]]&lt;=5,"Entry level","Well Experienced")</f>
        <v>Entry level</v>
      </c>
      <c r="Q450" s="2">
        <v>2</v>
      </c>
    </row>
    <row r="451" spans="1:17" x14ac:dyDescent="0.3">
      <c r="A451" t="s">
        <v>1003</v>
      </c>
      <c r="B451" t="s">
        <v>1004</v>
      </c>
      <c r="C451" t="s">
        <v>97</v>
      </c>
      <c r="D451" s="2">
        <v>54</v>
      </c>
      <c r="E451" t="s">
        <v>91</v>
      </c>
      <c r="F451" t="s">
        <v>92</v>
      </c>
      <c r="G451" s="2" t="s">
        <v>135</v>
      </c>
      <c r="H451" s="2" t="s">
        <v>2120</v>
      </c>
      <c r="I451" s="2" t="s">
        <v>52</v>
      </c>
      <c r="J451" s="2">
        <v>2.9</v>
      </c>
      <c r="K451" s="2" t="s">
        <v>74</v>
      </c>
      <c r="L451" s="2">
        <v>0.78</v>
      </c>
      <c r="M451" s="2" t="s">
        <v>82</v>
      </c>
      <c r="N451" s="2" t="s">
        <v>34</v>
      </c>
      <c r="O451" s="2">
        <v>3</v>
      </c>
      <c r="P451" s="2" t="str">
        <f>IF(global_freelancer_raw[[#This Row],[No of projects ]]&lt;=5,"Entry level","Well Experienced")</f>
        <v>Entry level</v>
      </c>
      <c r="Q451" s="2">
        <v>3</v>
      </c>
    </row>
    <row r="452" spans="1:17" x14ac:dyDescent="0.3">
      <c r="A452" t="s">
        <v>1005</v>
      </c>
      <c r="B452" t="s">
        <v>1006</v>
      </c>
      <c r="C452" t="s">
        <v>97</v>
      </c>
      <c r="D452" s="2">
        <v>36</v>
      </c>
      <c r="E452" t="s">
        <v>55</v>
      </c>
      <c r="F452" t="s">
        <v>56</v>
      </c>
      <c r="G452" s="2" t="s">
        <v>98</v>
      </c>
      <c r="H452" s="2">
        <v>11</v>
      </c>
      <c r="I452" s="2" t="s">
        <v>58</v>
      </c>
      <c r="J452" s="2">
        <v>0</v>
      </c>
      <c r="K452" s="2" t="s">
        <v>74</v>
      </c>
      <c r="L452" s="2">
        <v>0.63</v>
      </c>
      <c r="M452" s="2" t="s">
        <v>60</v>
      </c>
      <c r="N452" s="2" t="s">
        <v>42</v>
      </c>
      <c r="O452" s="2">
        <v>9</v>
      </c>
      <c r="P452" s="2" t="str">
        <f>IF(global_freelancer_raw[[#This Row],[No of projects ]]&lt;=5,"Entry level","Well Experienced")</f>
        <v>Well Experienced</v>
      </c>
      <c r="Q452" s="2">
        <v>14</v>
      </c>
    </row>
    <row r="453" spans="1:17" x14ac:dyDescent="0.3">
      <c r="A453" t="s">
        <v>1007</v>
      </c>
      <c r="B453" t="s">
        <v>1008</v>
      </c>
      <c r="C453" t="s">
        <v>97</v>
      </c>
      <c r="D453" s="2">
        <v>36</v>
      </c>
      <c r="E453" t="s">
        <v>55</v>
      </c>
      <c r="F453" t="s">
        <v>56</v>
      </c>
      <c r="G453" s="2" t="s">
        <v>57</v>
      </c>
      <c r="H453" s="2">
        <v>17</v>
      </c>
      <c r="I453" s="2" t="s">
        <v>40</v>
      </c>
      <c r="J453" s="2">
        <v>1.3</v>
      </c>
      <c r="K453" s="2" t="s">
        <v>2120</v>
      </c>
      <c r="L453" s="2">
        <v>0.64</v>
      </c>
      <c r="M453" s="2" t="s">
        <v>82</v>
      </c>
      <c r="N453" s="2" t="s">
        <v>42</v>
      </c>
      <c r="O453" s="2">
        <v>18</v>
      </c>
      <c r="P453" s="2" t="str">
        <f>IF(global_freelancer_raw[[#This Row],[No of projects ]]&lt;=5,"Entry level","Well Experienced")</f>
        <v>Well Experienced</v>
      </c>
      <c r="Q453" s="2">
        <v>7</v>
      </c>
    </row>
    <row r="454" spans="1:17" x14ac:dyDescent="0.3">
      <c r="A454" t="s">
        <v>1009</v>
      </c>
      <c r="B454" t="s">
        <v>1010</v>
      </c>
      <c r="C454" t="s">
        <v>97</v>
      </c>
      <c r="D454" s="2">
        <v>25</v>
      </c>
      <c r="E454" t="s">
        <v>91</v>
      </c>
      <c r="F454" t="s">
        <v>92</v>
      </c>
      <c r="G454" s="2" t="s">
        <v>46</v>
      </c>
      <c r="H454" s="2">
        <v>1</v>
      </c>
      <c r="I454" s="2" t="s">
        <v>103</v>
      </c>
      <c r="J454" s="2">
        <v>0</v>
      </c>
      <c r="K454" s="2" t="s">
        <v>33</v>
      </c>
      <c r="L454" s="2" t="s">
        <v>2120</v>
      </c>
      <c r="M454" s="2" t="s">
        <v>24</v>
      </c>
      <c r="N454" s="2" t="s">
        <v>75</v>
      </c>
      <c r="O454" s="2">
        <v>2</v>
      </c>
      <c r="P454" s="2" t="str">
        <f>IF(global_freelancer_raw[[#This Row],[No of projects ]]&lt;=5,"Entry level","Well Experienced")</f>
        <v>Entry level</v>
      </c>
      <c r="Q454" s="2">
        <v>3</v>
      </c>
    </row>
    <row r="455" spans="1:17" x14ac:dyDescent="0.3">
      <c r="A455" t="s">
        <v>1011</v>
      </c>
      <c r="B455" t="s">
        <v>1012</v>
      </c>
      <c r="C455" t="s">
        <v>118</v>
      </c>
      <c r="D455" s="2">
        <v>46</v>
      </c>
      <c r="E455" t="s">
        <v>64</v>
      </c>
      <c r="F455" t="s">
        <v>65</v>
      </c>
      <c r="G455" s="2" t="s">
        <v>57</v>
      </c>
      <c r="H455" s="2">
        <v>16</v>
      </c>
      <c r="I455" s="2" t="s">
        <v>162</v>
      </c>
      <c r="J455" s="2">
        <v>4.8</v>
      </c>
      <c r="K455" s="2" t="s">
        <v>33</v>
      </c>
      <c r="L455" s="2">
        <v>0.86</v>
      </c>
      <c r="M455" s="2" t="s">
        <v>24</v>
      </c>
      <c r="N455" s="2" t="s">
        <v>25</v>
      </c>
      <c r="O455" s="2">
        <v>12</v>
      </c>
      <c r="P455" s="2" t="str">
        <f>IF(global_freelancer_raw[[#This Row],[No of projects ]]&lt;=5,"Entry level","Well Experienced")</f>
        <v>Well Experienced</v>
      </c>
      <c r="Q455" s="2">
        <v>8</v>
      </c>
    </row>
    <row r="456" spans="1:17" x14ac:dyDescent="0.3">
      <c r="A456" t="s">
        <v>1013</v>
      </c>
      <c r="B456" t="s">
        <v>1014</v>
      </c>
      <c r="C456" t="s">
        <v>118</v>
      </c>
      <c r="D456" s="2">
        <v>41</v>
      </c>
      <c r="E456" t="s">
        <v>91</v>
      </c>
      <c r="F456" t="s">
        <v>92</v>
      </c>
      <c r="G456" s="2" t="s">
        <v>135</v>
      </c>
      <c r="H456" s="2">
        <v>11</v>
      </c>
      <c r="I456" s="2" t="s">
        <v>47</v>
      </c>
      <c r="J456" s="2">
        <v>2.4</v>
      </c>
      <c r="K456" s="2" t="s">
        <v>59</v>
      </c>
      <c r="L456" s="2" t="s">
        <v>2120</v>
      </c>
      <c r="M456" s="2" t="s">
        <v>88</v>
      </c>
      <c r="N456" s="2" t="s">
        <v>75</v>
      </c>
      <c r="O456" s="2">
        <v>9</v>
      </c>
      <c r="P456" s="2" t="str">
        <f>IF(global_freelancer_raw[[#This Row],[No of projects ]]&lt;=5,"Entry level","Well Experienced")</f>
        <v>Well Experienced</v>
      </c>
      <c r="Q456" s="2">
        <v>2</v>
      </c>
    </row>
    <row r="457" spans="1:17" x14ac:dyDescent="0.3">
      <c r="A457" t="s">
        <v>1015</v>
      </c>
      <c r="B457" t="s">
        <v>1016</v>
      </c>
      <c r="C457" t="s">
        <v>97</v>
      </c>
      <c r="D457" s="2">
        <v>21</v>
      </c>
      <c r="E457" t="s">
        <v>145</v>
      </c>
      <c r="F457" t="s">
        <v>146</v>
      </c>
      <c r="G457" s="2" t="s">
        <v>31</v>
      </c>
      <c r="H457" s="2">
        <v>3</v>
      </c>
      <c r="I457" s="2" t="s">
        <v>251</v>
      </c>
      <c r="J457" s="2">
        <v>4.7</v>
      </c>
      <c r="K457" s="2" t="s">
        <v>41</v>
      </c>
      <c r="L457" s="2">
        <v>0.96</v>
      </c>
      <c r="M457" s="2" t="s">
        <v>82</v>
      </c>
      <c r="N457" s="2" t="s">
        <v>75</v>
      </c>
      <c r="O457" s="2">
        <v>2</v>
      </c>
      <c r="P457" s="2" t="str">
        <f>IF(global_freelancer_raw[[#This Row],[No of projects ]]&lt;=5,"Entry level","Well Experienced")</f>
        <v>Entry level</v>
      </c>
      <c r="Q457" s="2">
        <v>1</v>
      </c>
    </row>
    <row r="458" spans="1:17" x14ac:dyDescent="0.3">
      <c r="A458" t="s">
        <v>1017</v>
      </c>
      <c r="B458" t="s">
        <v>1018</v>
      </c>
      <c r="C458" t="s">
        <v>118</v>
      </c>
      <c r="D458" s="2">
        <v>29</v>
      </c>
      <c r="E458" t="s">
        <v>73</v>
      </c>
      <c r="F458" t="s">
        <v>30</v>
      </c>
      <c r="G458" s="2" t="s">
        <v>39</v>
      </c>
      <c r="H458" s="2" t="s">
        <v>2120</v>
      </c>
      <c r="I458" s="2" t="s">
        <v>192</v>
      </c>
      <c r="J458" s="2">
        <v>2</v>
      </c>
      <c r="K458" s="2" t="s">
        <v>23</v>
      </c>
      <c r="L458" s="2" t="s">
        <v>2120</v>
      </c>
      <c r="M458" s="2" t="s">
        <v>82</v>
      </c>
      <c r="N458" s="2" t="s">
        <v>42</v>
      </c>
      <c r="O458" s="2">
        <v>4</v>
      </c>
      <c r="P458" s="2" t="str">
        <f>IF(global_freelancer_raw[[#This Row],[No of projects ]]&lt;=5,"Entry level","Well Experienced")</f>
        <v>Entry level</v>
      </c>
      <c r="Q458" s="2">
        <v>3</v>
      </c>
    </row>
    <row r="459" spans="1:17" x14ac:dyDescent="0.3">
      <c r="A459" t="s">
        <v>1019</v>
      </c>
      <c r="B459" t="s">
        <v>1020</v>
      </c>
      <c r="C459" t="s">
        <v>97</v>
      </c>
      <c r="D459" s="2">
        <v>44</v>
      </c>
      <c r="E459" t="s">
        <v>73</v>
      </c>
      <c r="F459" t="s">
        <v>30</v>
      </c>
      <c r="G459" s="2" t="s">
        <v>31</v>
      </c>
      <c r="H459" s="2">
        <v>3</v>
      </c>
      <c r="I459" s="2" t="s">
        <v>81</v>
      </c>
      <c r="J459" s="2">
        <v>2.2000000000000002</v>
      </c>
      <c r="K459" s="2" t="s">
        <v>23</v>
      </c>
      <c r="L459" s="2">
        <v>0.77</v>
      </c>
      <c r="M459" s="2" t="s">
        <v>60</v>
      </c>
      <c r="N459" s="2" t="s">
        <v>34</v>
      </c>
      <c r="O459" s="2">
        <v>4</v>
      </c>
      <c r="P459" s="2" t="str">
        <f>IF(global_freelancer_raw[[#This Row],[No of projects ]]&lt;=5,"Entry level","Well Experienced")</f>
        <v>Entry level</v>
      </c>
      <c r="Q459" s="2">
        <v>1</v>
      </c>
    </row>
    <row r="460" spans="1:17" x14ac:dyDescent="0.3">
      <c r="A460" t="s">
        <v>1021</v>
      </c>
      <c r="B460" t="s">
        <v>1022</v>
      </c>
      <c r="C460" t="s">
        <v>118</v>
      </c>
      <c r="D460" s="2">
        <v>40</v>
      </c>
      <c r="E460" t="s">
        <v>149</v>
      </c>
      <c r="F460" t="s">
        <v>30</v>
      </c>
      <c r="G460" s="2" t="s">
        <v>135</v>
      </c>
      <c r="H460" s="2">
        <v>1</v>
      </c>
      <c r="I460" s="2" t="s">
        <v>22</v>
      </c>
      <c r="J460" s="2">
        <v>2.1</v>
      </c>
      <c r="K460" s="2" t="s">
        <v>33</v>
      </c>
      <c r="L460" s="2" t="s">
        <v>2120</v>
      </c>
      <c r="M460" s="2" t="s">
        <v>88</v>
      </c>
      <c r="N460" s="2" t="s">
        <v>34</v>
      </c>
      <c r="O460" s="2">
        <v>4</v>
      </c>
      <c r="P460" s="2" t="str">
        <f>IF(global_freelancer_raw[[#This Row],[No of projects ]]&lt;=5,"Entry level","Well Experienced")</f>
        <v>Entry level</v>
      </c>
      <c r="Q460" s="2">
        <v>1</v>
      </c>
    </row>
    <row r="461" spans="1:17" x14ac:dyDescent="0.3">
      <c r="A461" t="s">
        <v>1023</v>
      </c>
      <c r="B461" t="s">
        <v>1024</v>
      </c>
      <c r="C461" t="s">
        <v>97</v>
      </c>
      <c r="D461" s="2">
        <v>27</v>
      </c>
      <c r="E461" t="s">
        <v>160</v>
      </c>
      <c r="F461" t="s">
        <v>161</v>
      </c>
      <c r="G461" s="2" t="s">
        <v>66</v>
      </c>
      <c r="H461" s="2">
        <v>1</v>
      </c>
      <c r="I461" s="2" t="s">
        <v>52</v>
      </c>
      <c r="J461" s="2">
        <v>1.7</v>
      </c>
      <c r="K461" s="2" t="s">
        <v>59</v>
      </c>
      <c r="L461" s="2">
        <v>0.65</v>
      </c>
      <c r="M461" s="2" t="s">
        <v>82</v>
      </c>
      <c r="N461" s="2" t="s">
        <v>42</v>
      </c>
      <c r="O461" s="2">
        <v>5</v>
      </c>
      <c r="P461" s="2" t="str">
        <f>IF(global_freelancer_raw[[#This Row],[No of projects ]]&lt;=5,"Entry level","Well Experienced")</f>
        <v>Entry level</v>
      </c>
      <c r="Q461" s="2">
        <v>4</v>
      </c>
    </row>
    <row r="462" spans="1:17" x14ac:dyDescent="0.3">
      <c r="A462" t="s">
        <v>1025</v>
      </c>
      <c r="B462" t="s">
        <v>1026</v>
      </c>
      <c r="C462" t="s">
        <v>118</v>
      </c>
      <c r="D462" s="2">
        <v>53</v>
      </c>
      <c r="E462" t="s">
        <v>156</v>
      </c>
      <c r="F462" t="s">
        <v>157</v>
      </c>
      <c r="G462" s="2" t="s">
        <v>31</v>
      </c>
      <c r="H462" s="2">
        <v>35</v>
      </c>
      <c r="I462" s="2" t="s">
        <v>2119</v>
      </c>
      <c r="J462" s="2">
        <v>5</v>
      </c>
      <c r="K462" s="2" t="s">
        <v>33</v>
      </c>
      <c r="L462" s="2">
        <v>0.62</v>
      </c>
      <c r="M462" s="2" t="s">
        <v>88</v>
      </c>
      <c r="N462" s="2" t="s">
        <v>34</v>
      </c>
      <c r="O462" s="2">
        <v>14</v>
      </c>
      <c r="P462" s="2" t="str">
        <f>IF(global_freelancer_raw[[#This Row],[No of projects ]]&lt;=5,"Entry level","Well Experienced")</f>
        <v>Well Experienced</v>
      </c>
      <c r="Q462" s="2">
        <v>9</v>
      </c>
    </row>
    <row r="463" spans="1:17" x14ac:dyDescent="0.3">
      <c r="A463" t="s">
        <v>1027</v>
      </c>
      <c r="B463" t="s">
        <v>1028</v>
      </c>
      <c r="C463" t="s">
        <v>118</v>
      </c>
      <c r="D463" s="2">
        <v>20</v>
      </c>
      <c r="E463" t="s">
        <v>79</v>
      </c>
      <c r="F463" t="s">
        <v>80</v>
      </c>
      <c r="G463" s="2" t="s">
        <v>66</v>
      </c>
      <c r="H463" s="2">
        <v>1</v>
      </c>
      <c r="I463" s="2" t="s">
        <v>40</v>
      </c>
      <c r="J463" s="2">
        <v>2.9</v>
      </c>
      <c r="K463" s="2" t="s">
        <v>181</v>
      </c>
      <c r="L463" s="2">
        <v>0.81</v>
      </c>
      <c r="M463" s="2" t="s">
        <v>24</v>
      </c>
      <c r="N463" s="2" t="s">
        <v>75</v>
      </c>
      <c r="O463" s="2">
        <v>1</v>
      </c>
      <c r="P463" s="2" t="str">
        <f>IF(global_freelancer_raw[[#This Row],[No of projects ]]&lt;=5,"Entry level","Well Experienced")</f>
        <v>Entry level</v>
      </c>
      <c r="Q463" s="2">
        <v>1</v>
      </c>
    </row>
    <row r="464" spans="1:17" x14ac:dyDescent="0.3">
      <c r="A464" t="s">
        <v>1029</v>
      </c>
      <c r="B464" t="s">
        <v>1030</v>
      </c>
      <c r="C464" t="s">
        <v>97</v>
      </c>
      <c r="D464" s="2" t="s">
        <v>2119</v>
      </c>
      <c r="E464" t="s">
        <v>106</v>
      </c>
      <c r="F464" t="s">
        <v>107</v>
      </c>
      <c r="G464" s="2" t="s">
        <v>110</v>
      </c>
      <c r="H464" s="2">
        <v>12</v>
      </c>
      <c r="I464" s="2" t="s">
        <v>81</v>
      </c>
      <c r="J464" s="2">
        <v>4.0999999999999996</v>
      </c>
      <c r="K464" s="2" t="s">
        <v>94</v>
      </c>
      <c r="L464" s="2">
        <v>0.62</v>
      </c>
      <c r="M464" s="2" t="s">
        <v>82</v>
      </c>
      <c r="N464" s="2" t="s">
        <v>25</v>
      </c>
      <c r="O464" s="2">
        <v>7</v>
      </c>
      <c r="P464" s="2" t="str">
        <f>IF(global_freelancer_raw[[#This Row],[No of projects ]]&lt;=5,"Entry level","Well Experienced")</f>
        <v>Well Experienced</v>
      </c>
      <c r="Q464" s="2">
        <v>4</v>
      </c>
    </row>
    <row r="465" spans="1:17" x14ac:dyDescent="0.3">
      <c r="A465" t="s">
        <v>1031</v>
      </c>
      <c r="B465" t="s">
        <v>1032</v>
      </c>
      <c r="C465" t="s">
        <v>118</v>
      </c>
      <c r="D465" s="2">
        <v>26</v>
      </c>
      <c r="E465" t="s">
        <v>201</v>
      </c>
      <c r="F465" t="s">
        <v>92</v>
      </c>
      <c r="G465" s="2" t="s">
        <v>46</v>
      </c>
      <c r="H465" s="2">
        <v>8</v>
      </c>
      <c r="I465" s="2" t="s">
        <v>86</v>
      </c>
      <c r="J465" s="2">
        <v>4.9000000000000004</v>
      </c>
      <c r="K465" s="2" t="s">
        <v>41</v>
      </c>
      <c r="L465" s="2">
        <v>0.87</v>
      </c>
      <c r="M465" s="2" t="s">
        <v>82</v>
      </c>
      <c r="N465" s="2" t="s">
        <v>42</v>
      </c>
      <c r="O465" s="2">
        <v>9</v>
      </c>
      <c r="P465" s="2" t="str">
        <f>IF(global_freelancer_raw[[#This Row],[No of projects ]]&lt;=5,"Entry level","Well Experienced")</f>
        <v>Well Experienced</v>
      </c>
      <c r="Q465" s="2">
        <v>4</v>
      </c>
    </row>
    <row r="466" spans="1:17" x14ac:dyDescent="0.3">
      <c r="A466" t="s">
        <v>1033</v>
      </c>
      <c r="B466" t="s">
        <v>1034</v>
      </c>
      <c r="C466" t="s">
        <v>97</v>
      </c>
      <c r="D466" s="2">
        <v>49</v>
      </c>
      <c r="E466" t="s">
        <v>128</v>
      </c>
      <c r="F466" t="s">
        <v>129</v>
      </c>
      <c r="G466" s="2" t="s">
        <v>135</v>
      </c>
      <c r="H466" s="2">
        <v>13</v>
      </c>
      <c r="I466" s="2" t="s">
        <v>251</v>
      </c>
      <c r="J466" s="2">
        <v>2.5</v>
      </c>
      <c r="K466" s="2" t="s">
        <v>59</v>
      </c>
      <c r="L466" s="2" t="s">
        <v>2120</v>
      </c>
      <c r="M466" s="2" t="s">
        <v>88</v>
      </c>
      <c r="N466" s="2" t="s">
        <v>25</v>
      </c>
      <c r="O466" s="2">
        <v>6</v>
      </c>
      <c r="P466" s="2" t="str">
        <f>IF(global_freelancer_raw[[#This Row],[No of projects ]]&lt;=5,"Entry level","Well Experienced")</f>
        <v>Well Experienced</v>
      </c>
      <c r="Q466" s="2">
        <v>2</v>
      </c>
    </row>
    <row r="467" spans="1:17" x14ac:dyDescent="0.3">
      <c r="A467" t="s">
        <v>1035</v>
      </c>
      <c r="B467" t="s">
        <v>1036</v>
      </c>
      <c r="C467" t="s">
        <v>97</v>
      </c>
      <c r="D467" s="2">
        <v>20</v>
      </c>
      <c r="E467" t="s">
        <v>160</v>
      </c>
      <c r="F467" t="s">
        <v>161</v>
      </c>
      <c r="G467" s="2" t="s">
        <v>66</v>
      </c>
      <c r="H467" s="2">
        <v>0</v>
      </c>
      <c r="I467" s="2" t="s">
        <v>130</v>
      </c>
      <c r="J467" s="2">
        <v>0</v>
      </c>
      <c r="K467" s="2" t="s">
        <v>33</v>
      </c>
      <c r="L467" s="2">
        <v>76</v>
      </c>
      <c r="M467" s="2" t="s">
        <v>82</v>
      </c>
      <c r="N467" s="2" t="s">
        <v>34</v>
      </c>
      <c r="O467" s="2">
        <v>5</v>
      </c>
      <c r="P467" s="2" t="str">
        <f>IF(global_freelancer_raw[[#This Row],[No of projects ]]&lt;=5,"Entry level","Well Experienced")</f>
        <v>Entry level</v>
      </c>
      <c r="Q467" s="2">
        <v>3</v>
      </c>
    </row>
    <row r="468" spans="1:17" x14ac:dyDescent="0.3">
      <c r="A468" t="s">
        <v>1037</v>
      </c>
      <c r="B468" t="s">
        <v>1038</v>
      </c>
      <c r="C468" t="s">
        <v>97</v>
      </c>
      <c r="D468" s="2">
        <v>39</v>
      </c>
      <c r="E468" t="s">
        <v>197</v>
      </c>
      <c r="F468" t="s">
        <v>198</v>
      </c>
      <c r="G468" s="2" t="s">
        <v>21</v>
      </c>
      <c r="H468" s="2">
        <v>11</v>
      </c>
      <c r="I468" s="2" t="s">
        <v>22</v>
      </c>
      <c r="J468" s="2">
        <v>2.8</v>
      </c>
      <c r="K468" s="2" t="s">
        <v>2120</v>
      </c>
      <c r="L468" s="2">
        <v>70</v>
      </c>
      <c r="M468" s="2" t="s">
        <v>88</v>
      </c>
      <c r="N468" s="2" t="s">
        <v>25</v>
      </c>
      <c r="O468" s="2">
        <v>9</v>
      </c>
      <c r="P468" s="2" t="str">
        <f>IF(global_freelancer_raw[[#This Row],[No of projects ]]&lt;=5,"Entry level","Well Experienced")</f>
        <v>Well Experienced</v>
      </c>
      <c r="Q468" s="2">
        <v>10</v>
      </c>
    </row>
    <row r="469" spans="1:17" x14ac:dyDescent="0.3">
      <c r="A469" t="s">
        <v>1039</v>
      </c>
      <c r="B469" t="s">
        <v>1040</v>
      </c>
      <c r="C469" t="s">
        <v>97</v>
      </c>
      <c r="D469" s="2">
        <v>41</v>
      </c>
      <c r="E469" t="s">
        <v>197</v>
      </c>
      <c r="F469" t="s">
        <v>198</v>
      </c>
      <c r="G469" s="2" t="s">
        <v>135</v>
      </c>
      <c r="H469" s="2">
        <v>19</v>
      </c>
      <c r="I469" s="2" t="s">
        <v>22</v>
      </c>
      <c r="J469" s="2">
        <v>3.8</v>
      </c>
      <c r="K469" s="2" t="s">
        <v>87</v>
      </c>
      <c r="L469" s="2">
        <v>0.71</v>
      </c>
      <c r="M469" s="2" t="s">
        <v>82</v>
      </c>
      <c r="N469" s="2" t="s">
        <v>34</v>
      </c>
      <c r="O469" s="2">
        <v>16</v>
      </c>
      <c r="P469" s="2" t="str">
        <f>IF(global_freelancer_raw[[#This Row],[No of projects ]]&lt;=5,"Entry level","Well Experienced")</f>
        <v>Well Experienced</v>
      </c>
      <c r="Q469" s="2">
        <v>5</v>
      </c>
    </row>
    <row r="470" spans="1:17" x14ac:dyDescent="0.3">
      <c r="A470" t="s">
        <v>1041</v>
      </c>
      <c r="B470" t="s">
        <v>1042</v>
      </c>
      <c r="C470" t="s">
        <v>118</v>
      </c>
      <c r="D470" s="2">
        <v>59</v>
      </c>
      <c r="E470" t="s">
        <v>149</v>
      </c>
      <c r="F470" t="s">
        <v>30</v>
      </c>
      <c r="G470" s="2" t="s">
        <v>31</v>
      </c>
      <c r="H470" s="2">
        <v>30</v>
      </c>
      <c r="I470" s="2" t="s">
        <v>130</v>
      </c>
      <c r="J470" s="2">
        <v>4.3</v>
      </c>
      <c r="K470" s="2" t="s">
        <v>33</v>
      </c>
      <c r="L470" s="2">
        <v>0.83</v>
      </c>
      <c r="M470" s="2" t="s">
        <v>60</v>
      </c>
      <c r="N470" s="2" t="s">
        <v>34</v>
      </c>
      <c r="O470" s="2">
        <v>11</v>
      </c>
      <c r="P470" s="2" t="str">
        <f>IF(global_freelancer_raw[[#This Row],[No of projects ]]&lt;=5,"Entry level","Well Experienced")</f>
        <v>Well Experienced</v>
      </c>
      <c r="Q470" s="2">
        <v>3</v>
      </c>
    </row>
    <row r="471" spans="1:17" x14ac:dyDescent="0.3">
      <c r="A471" t="s">
        <v>1043</v>
      </c>
      <c r="B471" t="s">
        <v>1044</v>
      </c>
      <c r="C471" t="s">
        <v>97</v>
      </c>
      <c r="D471" s="2">
        <v>45</v>
      </c>
      <c r="E471" t="s">
        <v>29</v>
      </c>
      <c r="F471" t="s">
        <v>30</v>
      </c>
      <c r="G471" s="2" t="s">
        <v>21</v>
      </c>
      <c r="H471" s="2">
        <v>8</v>
      </c>
      <c r="I471" s="2" t="s">
        <v>86</v>
      </c>
      <c r="J471" s="2">
        <v>0</v>
      </c>
      <c r="K471" s="2" t="s">
        <v>23</v>
      </c>
      <c r="L471" s="2">
        <v>78</v>
      </c>
      <c r="M471" s="2" t="s">
        <v>88</v>
      </c>
      <c r="N471" s="2" t="s">
        <v>75</v>
      </c>
      <c r="O471" s="2">
        <v>7</v>
      </c>
      <c r="P471" s="2" t="str">
        <f>IF(global_freelancer_raw[[#This Row],[No of projects ]]&lt;=5,"Entry level","Well Experienced")</f>
        <v>Well Experienced</v>
      </c>
      <c r="Q471" s="2">
        <v>9</v>
      </c>
    </row>
    <row r="472" spans="1:17" x14ac:dyDescent="0.3">
      <c r="A472" t="s">
        <v>1045</v>
      </c>
      <c r="B472" t="s">
        <v>1046</v>
      </c>
      <c r="C472" t="s">
        <v>118</v>
      </c>
      <c r="D472" s="2">
        <v>22</v>
      </c>
      <c r="E472" t="s">
        <v>64</v>
      </c>
      <c r="F472" t="s">
        <v>65</v>
      </c>
      <c r="G472" s="2" t="s">
        <v>98</v>
      </c>
      <c r="H472" s="2">
        <v>0</v>
      </c>
      <c r="I472" s="2" t="s">
        <v>86</v>
      </c>
      <c r="J472" s="2">
        <v>1.3</v>
      </c>
      <c r="K472" s="2" t="s">
        <v>33</v>
      </c>
      <c r="L472" s="2">
        <v>0.78</v>
      </c>
      <c r="M472" s="2" t="s">
        <v>82</v>
      </c>
      <c r="N472" s="2" t="s">
        <v>34</v>
      </c>
      <c r="O472" s="2">
        <v>2</v>
      </c>
      <c r="P472" s="2" t="str">
        <f>IF(global_freelancer_raw[[#This Row],[No of projects ]]&lt;=5,"Entry level","Well Experienced")</f>
        <v>Entry level</v>
      </c>
      <c r="Q472" s="2">
        <v>1</v>
      </c>
    </row>
    <row r="473" spans="1:17" x14ac:dyDescent="0.3">
      <c r="A473" t="s">
        <v>1047</v>
      </c>
      <c r="B473" t="s">
        <v>1048</v>
      </c>
      <c r="C473" t="s">
        <v>97</v>
      </c>
      <c r="D473" s="2">
        <v>48</v>
      </c>
      <c r="E473" t="s">
        <v>114</v>
      </c>
      <c r="F473" t="s">
        <v>115</v>
      </c>
      <c r="G473" s="2" t="s">
        <v>31</v>
      </c>
      <c r="H473" s="2">
        <v>7</v>
      </c>
      <c r="I473" s="2" t="s">
        <v>40</v>
      </c>
      <c r="J473" s="2">
        <v>4.7</v>
      </c>
      <c r="K473" s="2" t="s">
        <v>94</v>
      </c>
      <c r="L473" s="2">
        <v>0.6</v>
      </c>
      <c r="M473" s="2" t="s">
        <v>24</v>
      </c>
      <c r="N473" s="2" t="s">
        <v>75</v>
      </c>
      <c r="O473" s="2">
        <v>13</v>
      </c>
      <c r="P473" s="2" t="str">
        <f>IF(global_freelancer_raw[[#This Row],[No of projects ]]&lt;=5,"Entry level","Well Experienced")</f>
        <v>Well Experienced</v>
      </c>
      <c r="Q473" s="2">
        <v>10</v>
      </c>
    </row>
    <row r="474" spans="1:17" x14ac:dyDescent="0.3">
      <c r="A474" t="s">
        <v>1049</v>
      </c>
      <c r="B474" t="s">
        <v>1050</v>
      </c>
      <c r="C474" t="s">
        <v>118</v>
      </c>
      <c r="D474" s="2">
        <v>36</v>
      </c>
      <c r="E474" t="s">
        <v>156</v>
      </c>
      <c r="F474" t="s">
        <v>157</v>
      </c>
      <c r="G474" s="2" t="s">
        <v>21</v>
      </c>
      <c r="H474" s="2">
        <v>11</v>
      </c>
      <c r="I474" s="2" t="s">
        <v>47</v>
      </c>
      <c r="J474" s="2">
        <v>1.3</v>
      </c>
      <c r="K474" s="2" t="s">
        <v>74</v>
      </c>
      <c r="L474" s="2" t="s">
        <v>2120</v>
      </c>
      <c r="M474" s="2" t="s">
        <v>82</v>
      </c>
      <c r="N474" s="2" t="s">
        <v>75</v>
      </c>
      <c r="O474" s="2">
        <v>15</v>
      </c>
      <c r="P474" s="2" t="str">
        <f>IF(global_freelancer_raw[[#This Row],[No of projects ]]&lt;=5,"Entry level","Well Experienced")</f>
        <v>Well Experienced</v>
      </c>
      <c r="Q474" s="2">
        <v>4</v>
      </c>
    </row>
    <row r="475" spans="1:17" x14ac:dyDescent="0.3">
      <c r="A475" t="s">
        <v>1051</v>
      </c>
      <c r="B475" t="s">
        <v>1052</v>
      </c>
      <c r="C475" t="s">
        <v>97</v>
      </c>
      <c r="D475" s="2">
        <v>57</v>
      </c>
      <c r="E475" t="s">
        <v>197</v>
      </c>
      <c r="F475" t="s">
        <v>198</v>
      </c>
      <c r="G475" s="2" t="s">
        <v>21</v>
      </c>
      <c r="H475" s="2" t="s">
        <v>2120</v>
      </c>
      <c r="I475" s="2" t="s">
        <v>103</v>
      </c>
      <c r="J475" s="2">
        <v>4.8</v>
      </c>
      <c r="K475" s="2" t="s">
        <v>33</v>
      </c>
      <c r="L475" s="2" t="s">
        <v>2120</v>
      </c>
      <c r="M475" s="2" t="s">
        <v>24</v>
      </c>
      <c r="N475" s="2" t="s">
        <v>75</v>
      </c>
      <c r="O475" s="2">
        <v>1</v>
      </c>
      <c r="P475" s="2" t="str">
        <f>IF(global_freelancer_raw[[#This Row],[No of projects ]]&lt;=5,"Entry level","Well Experienced")</f>
        <v>Entry level</v>
      </c>
      <c r="Q475" s="2">
        <v>2</v>
      </c>
    </row>
    <row r="476" spans="1:17" x14ac:dyDescent="0.3">
      <c r="A476" t="s">
        <v>1053</v>
      </c>
      <c r="B476" t="s">
        <v>1054</v>
      </c>
      <c r="C476" t="s">
        <v>118</v>
      </c>
      <c r="D476" s="2">
        <v>42</v>
      </c>
      <c r="E476" t="s">
        <v>73</v>
      </c>
      <c r="F476" t="s">
        <v>30</v>
      </c>
      <c r="G476" s="2" t="s">
        <v>93</v>
      </c>
      <c r="H476" s="2">
        <v>14</v>
      </c>
      <c r="I476" s="2" t="s">
        <v>58</v>
      </c>
      <c r="J476" s="2">
        <v>1.3</v>
      </c>
      <c r="K476" s="2" t="s">
        <v>23</v>
      </c>
      <c r="L476" s="2">
        <v>0.94</v>
      </c>
      <c r="M476" s="2" t="s">
        <v>24</v>
      </c>
      <c r="N476" s="2" t="s">
        <v>42</v>
      </c>
      <c r="O476" s="2">
        <v>6</v>
      </c>
      <c r="P476" s="2" t="str">
        <f>IF(global_freelancer_raw[[#This Row],[No of projects ]]&lt;=5,"Entry level","Well Experienced")</f>
        <v>Well Experienced</v>
      </c>
      <c r="Q476" s="2">
        <v>1</v>
      </c>
    </row>
    <row r="477" spans="1:17" x14ac:dyDescent="0.3">
      <c r="A477" t="s">
        <v>1055</v>
      </c>
      <c r="B477" t="s">
        <v>1056</v>
      </c>
      <c r="C477" t="s">
        <v>118</v>
      </c>
      <c r="D477" s="2">
        <v>31</v>
      </c>
      <c r="E477" t="s">
        <v>64</v>
      </c>
      <c r="F477" t="s">
        <v>65</v>
      </c>
      <c r="G477" s="2" t="s">
        <v>98</v>
      </c>
      <c r="H477" s="2">
        <v>11</v>
      </c>
      <c r="I477" s="2" t="s">
        <v>81</v>
      </c>
      <c r="J477" s="2">
        <v>4.3</v>
      </c>
      <c r="K477" s="2" t="s">
        <v>23</v>
      </c>
      <c r="L477" s="2">
        <v>62</v>
      </c>
      <c r="M477" s="2" t="s">
        <v>60</v>
      </c>
      <c r="N477" s="2" t="s">
        <v>42</v>
      </c>
      <c r="O477" s="2">
        <v>7</v>
      </c>
      <c r="P477" s="2" t="str">
        <f>IF(global_freelancer_raw[[#This Row],[No of projects ]]&lt;=5,"Entry level","Well Experienced")</f>
        <v>Well Experienced</v>
      </c>
      <c r="Q477" s="2">
        <v>14</v>
      </c>
    </row>
    <row r="478" spans="1:17" x14ac:dyDescent="0.3">
      <c r="A478" t="s">
        <v>1057</v>
      </c>
      <c r="B478" t="s">
        <v>1058</v>
      </c>
      <c r="C478" t="s">
        <v>118</v>
      </c>
      <c r="D478" s="2">
        <v>52</v>
      </c>
      <c r="E478" t="s">
        <v>212</v>
      </c>
      <c r="F478" t="s">
        <v>92</v>
      </c>
      <c r="G478" s="2" t="s">
        <v>98</v>
      </c>
      <c r="H478" s="2">
        <v>31</v>
      </c>
      <c r="I478" s="2" t="s">
        <v>52</v>
      </c>
      <c r="J478" s="2" t="s">
        <v>2120</v>
      </c>
      <c r="K478" s="2" t="s">
        <v>33</v>
      </c>
      <c r="L478" s="2" t="s">
        <v>2120</v>
      </c>
      <c r="M478" s="2" t="s">
        <v>88</v>
      </c>
      <c r="N478" s="2" t="s">
        <v>34</v>
      </c>
      <c r="O478" s="2">
        <v>14</v>
      </c>
      <c r="P478" s="2" t="str">
        <f>IF(global_freelancer_raw[[#This Row],[No of projects ]]&lt;=5,"Entry level","Well Experienced")</f>
        <v>Well Experienced</v>
      </c>
      <c r="Q478" s="2">
        <v>3</v>
      </c>
    </row>
    <row r="479" spans="1:17" x14ac:dyDescent="0.3">
      <c r="A479" t="s">
        <v>1059</v>
      </c>
      <c r="B479" t="s">
        <v>1060</v>
      </c>
      <c r="C479" t="s">
        <v>118</v>
      </c>
      <c r="D479" s="2">
        <v>56</v>
      </c>
      <c r="E479" t="s">
        <v>55</v>
      </c>
      <c r="F479" t="s">
        <v>56</v>
      </c>
      <c r="G479" s="2" t="s">
        <v>110</v>
      </c>
      <c r="H479" s="2">
        <v>16</v>
      </c>
      <c r="I479" s="2" t="s">
        <v>130</v>
      </c>
      <c r="J479" s="2">
        <v>0</v>
      </c>
      <c r="K479" s="2" t="s">
        <v>87</v>
      </c>
      <c r="L479" s="2" t="s">
        <v>2120</v>
      </c>
      <c r="M479" s="2" t="s">
        <v>82</v>
      </c>
      <c r="N479" s="2" t="s">
        <v>75</v>
      </c>
      <c r="O479" s="2">
        <v>12</v>
      </c>
      <c r="P479" s="2" t="str">
        <f>IF(global_freelancer_raw[[#This Row],[No of projects ]]&lt;=5,"Entry level","Well Experienced")</f>
        <v>Well Experienced</v>
      </c>
      <c r="Q479" s="2">
        <v>10</v>
      </c>
    </row>
    <row r="480" spans="1:17" x14ac:dyDescent="0.3">
      <c r="A480" t="s">
        <v>1061</v>
      </c>
      <c r="B480" t="s">
        <v>1062</v>
      </c>
      <c r="C480" t="s">
        <v>97</v>
      </c>
      <c r="D480" s="2">
        <v>24</v>
      </c>
      <c r="E480" t="s">
        <v>55</v>
      </c>
      <c r="F480" t="s">
        <v>56</v>
      </c>
      <c r="G480" s="2" t="s">
        <v>110</v>
      </c>
      <c r="H480" s="2">
        <v>6</v>
      </c>
      <c r="I480" s="2" t="s">
        <v>52</v>
      </c>
      <c r="J480" s="2">
        <v>0</v>
      </c>
      <c r="K480" s="2" t="s">
        <v>87</v>
      </c>
      <c r="L480" s="2">
        <v>0.84</v>
      </c>
      <c r="M480" s="2" t="s">
        <v>60</v>
      </c>
      <c r="N480" s="2" t="s">
        <v>42</v>
      </c>
      <c r="O480" s="2">
        <v>6</v>
      </c>
      <c r="P480" s="2" t="str">
        <f>IF(global_freelancer_raw[[#This Row],[No of projects ]]&lt;=5,"Entry level","Well Experienced")</f>
        <v>Well Experienced</v>
      </c>
      <c r="Q480" s="2">
        <v>4</v>
      </c>
    </row>
    <row r="481" spans="1:17" x14ac:dyDescent="0.3">
      <c r="A481" t="s">
        <v>1063</v>
      </c>
      <c r="B481" t="s">
        <v>1064</v>
      </c>
      <c r="C481" t="s">
        <v>118</v>
      </c>
      <c r="D481" s="2">
        <v>48</v>
      </c>
      <c r="E481" t="s">
        <v>149</v>
      </c>
      <c r="F481" t="s">
        <v>30</v>
      </c>
      <c r="G481" s="2" t="s">
        <v>110</v>
      </c>
      <c r="H481" s="2">
        <v>21</v>
      </c>
      <c r="I481" s="2" t="s">
        <v>103</v>
      </c>
      <c r="J481" s="2">
        <v>2.7</v>
      </c>
      <c r="K481" s="2" t="s">
        <v>33</v>
      </c>
      <c r="L481" s="2" t="s">
        <v>2120</v>
      </c>
      <c r="M481" s="2" t="s">
        <v>82</v>
      </c>
      <c r="N481" s="2" t="s">
        <v>75</v>
      </c>
      <c r="O481" s="2">
        <v>17</v>
      </c>
      <c r="P481" s="2" t="str">
        <f>IF(global_freelancer_raw[[#This Row],[No of projects ]]&lt;=5,"Entry level","Well Experienced")</f>
        <v>Well Experienced</v>
      </c>
      <c r="Q481" s="2">
        <v>8</v>
      </c>
    </row>
    <row r="482" spans="1:17" x14ac:dyDescent="0.3">
      <c r="A482" t="s">
        <v>1065</v>
      </c>
      <c r="B482" t="s">
        <v>1066</v>
      </c>
      <c r="C482" t="s">
        <v>118</v>
      </c>
      <c r="D482" s="2">
        <v>59</v>
      </c>
      <c r="E482" t="s">
        <v>156</v>
      </c>
      <c r="F482" t="s">
        <v>157</v>
      </c>
      <c r="G482" s="2" t="s">
        <v>98</v>
      </c>
      <c r="H482" s="2">
        <v>13</v>
      </c>
      <c r="I482" s="2" t="s">
        <v>86</v>
      </c>
      <c r="J482" s="2">
        <v>2.4</v>
      </c>
      <c r="K482" s="2" t="s">
        <v>181</v>
      </c>
      <c r="L482" s="2">
        <v>65</v>
      </c>
      <c r="M482" s="2" t="s">
        <v>24</v>
      </c>
      <c r="N482" s="2" t="s">
        <v>25</v>
      </c>
      <c r="O482" s="2">
        <v>13</v>
      </c>
      <c r="P482" s="2" t="str">
        <f>IF(global_freelancer_raw[[#This Row],[No of projects ]]&lt;=5,"Entry level","Well Experienced")</f>
        <v>Well Experienced</v>
      </c>
      <c r="Q482" s="2">
        <v>4</v>
      </c>
    </row>
    <row r="483" spans="1:17" x14ac:dyDescent="0.3">
      <c r="A483" t="s">
        <v>1067</v>
      </c>
      <c r="B483" t="s">
        <v>1068</v>
      </c>
      <c r="C483" t="s">
        <v>118</v>
      </c>
      <c r="D483" s="2" t="s">
        <v>2119</v>
      </c>
      <c r="E483" t="s">
        <v>85</v>
      </c>
      <c r="F483" t="s">
        <v>30</v>
      </c>
      <c r="G483" s="2" t="s">
        <v>46</v>
      </c>
      <c r="H483" s="2" t="s">
        <v>2120</v>
      </c>
      <c r="I483" s="2" t="s">
        <v>86</v>
      </c>
      <c r="J483" s="2">
        <v>1.9</v>
      </c>
      <c r="K483" s="2" t="s">
        <v>33</v>
      </c>
      <c r="L483" s="2">
        <v>0.94</v>
      </c>
      <c r="M483" s="2" t="s">
        <v>88</v>
      </c>
      <c r="N483" s="2" t="s">
        <v>25</v>
      </c>
      <c r="O483" s="2">
        <v>4</v>
      </c>
      <c r="P483" s="2" t="str">
        <f>IF(global_freelancer_raw[[#This Row],[No of projects ]]&lt;=5,"Entry level","Well Experienced")</f>
        <v>Entry level</v>
      </c>
      <c r="Q483" s="2">
        <v>3</v>
      </c>
    </row>
    <row r="484" spans="1:17" x14ac:dyDescent="0.3">
      <c r="A484" t="s">
        <v>1069</v>
      </c>
      <c r="B484" t="s">
        <v>1070</v>
      </c>
      <c r="C484" t="s">
        <v>97</v>
      </c>
      <c r="D484" s="2" t="s">
        <v>2119</v>
      </c>
      <c r="E484" t="s">
        <v>55</v>
      </c>
      <c r="F484" t="s">
        <v>56</v>
      </c>
      <c r="G484" s="2" t="s">
        <v>31</v>
      </c>
      <c r="H484" s="2">
        <v>11</v>
      </c>
      <c r="I484" s="2" t="s">
        <v>142</v>
      </c>
      <c r="J484" s="2">
        <v>3.6</v>
      </c>
      <c r="K484" s="2" t="s">
        <v>181</v>
      </c>
      <c r="L484" s="2">
        <v>0.69</v>
      </c>
      <c r="M484" s="2" t="s">
        <v>82</v>
      </c>
      <c r="N484" s="2" t="s">
        <v>25</v>
      </c>
      <c r="O484" s="2">
        <v>15</v>
      </c>
      <c r="P484" s="2" t="str">
        <f>IF(global_freelancer_raw[[#This Row],[No of projects ]]&lt;=5,"Entry level","Well Experienced")</f>
        <v>Well Experienced</v>
      </c>
      <c r="Q484" s="2">
        <v>6</v>
      </c>
    </row>
    <row r="485" spans="1:17" x14ac:dyDescent="0.3">
      <c r="A485" t="s">
        <v>1071</v>
      </c>
      <c r="B485" t="s">
        <v>1072</v>
      </c>
      <c r="C485" t="s">
        <v>118</v>
      </c>
      <c r="D485" s="2">
        <v>25</v>
      </c>
      <c r="E485" t="s">
        <v>55</v>
      </c>
      <c r="F485" t="s">
        <v>56</v>
      </c>
      <c r="G485" s="2" t="s">
        <v>31</v>
      </c>
      <c r="H485" s="2">
        <v>0</v>
      </c>
      <c r="I485" s="2" t="s">
        <v>40</v>
      </c>
      <c r="J485" s="2">
        <v>2.9</v>
      </c>
      <c r="K485" s="2" t="s">
        <v>87</v>
      </c>
      <c r="L485" s="2">
        <v>0.65</v>
      </c>
      <c r="M485" s="2" t="s">
        <v>82</v>
      </c>
      <c r="N485" s="2" t="s">
        <v>34</v>
      </c>
      <c r="O485" s="2">
        <v>2</v>
      </c>
      <c r="P485" s="2" t="str">
        <f>IF(global_freelancer_raw[[#This Row],[No of projects ]]&lt;=5,"Entry level","Well Experienced")</f>
        <v>Entry level</v>
      </c>
      <c r="Q485" s="2">
        <v>1</v>
      </c>
    </row>
    <row r="486" spans="1:17" x14ac:dyDescent="0.3">
      <c r="A486" t="s">
        <v>1073</v>
      </c>
      <c r="B486" t="s">
        <v>1074</v>
      </c>
      <c r="C486" t="s">
        <v>118</v>
      </c>
      <c r="D486" s="2">
        <v>31</v>
      </c>
      <c r="E486" t="s">
        <v>160</v>
      </c>
      <c r="F486" t="s">
        <v>161</v>
      </c>
      <c r="G486" s="2" t="s">
        <v>31</v>
      </c>
      <c r="H486" s="2">
        <v>2</v>
      </c>
      <c r="I486" s="2" t="s">
        <v>192</v>
      </c>
      <c r="J486" s="2">
        <v>2.8</v>
      </c>
      <c r="K486" s="2" t="s">
        <v>59</v>
      </c>
      <c r="L486" s="2">
        <v>0.6</v>
      </c>
      <c r="M486" s="2" t="s">
        <v>24</v>
      </c>
      <c r="N486" s="2" t="s">
        <v>75</v>
      </c>
      <c r="O486" s="2">
        <v>5</v>
      </c>
      <c r="P486" s="2" t="str">
        <f>IF(global_freelancer_raw[[#This Row],[No of projects ]]&lt;=5,"Entry level","Well Experienced")</f>
        <v>Entry level</v>
      </c>
      <c r="Q486" s="2">
        <v>1</v>
      </c>
    </row>
    <row r="487" spans="1:17" x14ac:dyDescent="0.3">
      <c r="A487" t="s">
        <v>1075</v>
      </c>
      <c r="B487" t="s">
        <v>1076</v>
      </c>
      <c r="C487" t="s">
        <v>118</v>
      </c>
      <c r="D487" s="2">
        <v>40</v>
      </c>
      <c r="E487" t="s">
        <v>79</v>
      </c>
      <c r="F487" t="s">
        <v>80</v>
      </c>
      <c r="G487" s="2" t="s">
        <v>110</v>
      </c>
      <c r="H487" s="2">
        <v>12</v>
      </c>
      <c r="I487" s="2" t="s">
        <v>103</v>
      </c>
      <c r="J487" s="2">
        <v>2.6</v>
      </c>
      <c r="K487" s="2" t="s">
        <v>59</v>
      </c>
      <c r="L487" s="2" t="s">
        <v>2120</v>
      </c>
      <c r="M487" s="2" t="s">
        <v>82</v>
      </c>
      <c r="N487" s="2" t="s">
        <v>25</v>
      </c>
      <c r="O487" s="2">
        <v>13</v>
      </c>
      <c r="P487" s="2" t="str">
        <f>IF(global_freelancer_raw[[#This Row],[No of projects ]]&lt;=5,"Entry level","Well Experienced")</f>
        <v>Well Experienced</v>
      </c>
      <c r="Q487" s="2">
        <v>13</v>
      </c>
    </row>
    <row r="488" spans="1:17" x14ac:dyDescent="0.3">
      <c r="A488" t="s">
        <v>1077</v>
      </c>
      <c r="B488" t="s">
        <v>697</v>
      </c>
      <c r="C488" t="s">
        <v>97</v>
      </c>
      <c r="D488" s="2">
        <v>48</v>
      </c>
      <c r="E488" t="s">
        <v>145</v>
      </c>
      <c r="F488" t="s">
        <v>146</v>
      </c>
      <c r="G488" s="2" t="s">
        <v>21</v>
      </c>
      <c r="H488" s="2">
        <v>13</v>
      </c>
      <c r="I488" s="2" t="s">
        <v>251</v>
      </c>
      <c r="J488" s="2">
        <v>2.7</v>
      </c>
      <c r="K488" s="2" t="s">
        <v>2120</v>
      </c>
      <c r="L488" s="2">
        <v>0.62</v>
      </c>
      <c r="M488" s="2" t="s">
        <v>82</v>
      </c>
      <c r="N488" s="2" t="s">
        <v>42</v>
      </c>
      <c r="O488" s="2">
        <v>8</v>
      </c>
      <c r="P488" s="2" t="str">
        <f>IF(global_freelancer_raw[[#This Row],[No of projects ]]&lt;=5,"Entry level","Well Experienced")</f>
        <v>Well Experienced</v>
      </c>
      <c r="Q488" s="2">
        <v>4</v>
      </c>
    </row>
    <row r="489" spans="1:17" x14ac:dyDescent="0.3">
      <c r="A489" t="s">
        <v>1078</v>
      </c>
      <c r="B489" t="s">
        <v>1079</v>
      </c>
      <c r="C489" t="s">
        <v>97</v>
      </c>
      <c r="D489" s="2">
        <v>24</v>
      </c>
      <c r="E489" t="s">
        <v>175</v>
      </c>
      <c r="F489" t="s">
        <v>176</v>
      </c>
      <c r="G489" s="2" t="s">
        <v>31</v>
      </c>
      <c r="H489" s="2">
        <v>6</v>
      </c>
      <c r="I489" s="2" t="s">
        <v>52</v>
      </c>
      <c r="J489" s="2">
        <v>1.1000000000000001</v>
      </c>
      <c r="K489" s="2" t="s">
        <v>87</v>
      </c>
      <c r="L489" s="2" t="s">
        <v>2120</v>
      </c>
      <c r="M489" s="2" t="s">
        <v>24</v>
      </c>
      <c r="N489" s="2" t="s">
        <v>25</v>
      </c>
      <c r="O489" s="2">
        <v>9</v>
      </c>
      <c r="P489" s="2" t="str">
        <f>IF(global_freelancer_raw[[#This Row],[No of projects ]]&lt;=5,"Entry level","Well Experienced")</f>
        <v>Well Experienced</v>
      </c>
      <c r="Q489" s="2">
        <v>9</v>
      </c>
    </row>
    <row r="490" spans="1:17" x14ac:dyDescent="0.3">
      <c r="A490" t="s">
        <v>1080</v>
      </c>
      <c r="B490" t="s">
        <v>1081</v>
      </c>
      <c r="C490" t="s">
        <v>118</v>
      </c>
      <c r="D490" s="2">
        <v>33</v>
      </c>
      <c r="E490" t="s">
        <v>64</v>
      </c>
      <c r="F490" t="s">
        <v>65</v>
      </c>
      <c r="G490" s="2" t="s">
        <v>46</v>
      </c>
      <c r="H490" s="2">
        <v>10</v>
      </c>
      <c r="I490" s="2" t="s">
        <v>130</v>
      </c>
      <c r="J490" s="2">
        <v>0</v>
      </c>
      <c r="K490" s="2" t="s">
        <v>87</v>
      </c>
      <c r="L490" s="2">
        <v>0.89</v>
      </c>
      <c r="M490" s="2" t="s">
        <v>60</v>
      </c>
      <c r="N490" s="2" t="s">
        <v>25</v>
      </c>
      <c r="O490" s="2">
        <v>11</v>
      </c>
      <c r="P490" s="2" t="str">
        <f>IF(global_freelancer_raw[[#This Row],[No of projects ]]&lt;=5,"Entry level","Well Experienced")</f>
        <v>Well Experienced</v>
      </c>
      <c r="Q490" s="2">
        <v>10</v>
      </c>
    </row>
    <row r="491" spans="1:17" x14ac:dyDescent="0.3">
      <c r="A491" t="s">
        <v>1082</v>
      </c>
      <c r="B491" t="s">
        <v>1083</v>
      </c>
      <c r="C491" t="s">
        <v>97</v>
      </c>
      <c r="D491" s="2">
        <v>43</v>
      </c>
      <c r="E491" t="s">
        <v>128</v>
      </c>
      <c r="F491" t="s">
        <v>129</v>
      </c>
      <c r="G491" s="2" t="s">
        <v>93</v>
      </c>
      <c r="H491" s="2">
        <v>2</v>
      </c>
      <c r="I491" s="2" t="s">
        <v>47</v>
      </c>
      <c r="J491" s="2">
        <v>0</v>
      </c>
      <c r="K491" s="2" t="s">
        <v>87</v>
      </c>
      <c r="L491" s="2">
        <v>0.89</v>
      </c>
      <c r="M491" s="2" t="s">
        <v>24</v>
      </c>
      <c r="N491" s="2" t="s">
        <v>25</v>
      </c>
      <c r="O491" s="2">
        <v>5</v>
      </c>
      <c r="P491" s="2" t="str">
        <f>IF(global_freelancer_raw[[#This Row],[No of projects ]]&lt;=5,"Entry level","Well Experienced")</f>
        <v>Entry level</v>
      </c>
      <c r="Q491" s="2">
        <v>1</v>
      </c>
    </row>
    <row r="492" spans="1:17" x14ac:dyDescent="0.3">
      <c r="A492" t="s">
        <v>1084</v>
      </c>
      <c r="B492" t="s">
        <v>1085</v>
      </c>
      <c r="C492" t="s">
        <v>118</v>
      </c>
      <c r="D492" s="2">
        <v>43</v>
      </c>
      <c r="E492" t="s">
        <v>212</v>
      </c>
      <c r="F492" t="s">
        <v>92</v>
      </c>
      <c r="G492" s="2" t="s">
        <v>21</v>
      </c>
      <c r="H492" s="2">
        <v>4</v>
      </c>
      <c r="I492" s="2" t="s">
        <v>40</v>
      </c>
      <c r="J492" s="2">
        <v>0</v>
      </c>
      <c r="K492" s="2" t="s">
        <v>74</v>
      </c>
      <c r="L492" s="2">
        <v>1</v>
      </c>
      <c r="M492" s="2" t="s">
        <v>60</v>
      </c>
      <c r="N492" s="2" t="s">
        <v>34</v>
      </c>
      <c r="O492" s="2">
        <v>2</v>
      </c>
      <c r="P492" s="2" t="str">
        <f>IF(global_freelancer_raw[[#This Row],[No of projects ]]&lt;=5,"Entry level","Well Experienced")</f>
        <v>Entry level</v>
      </c>
      <c r="Q492" s="2">
        <v>1</v>
      </c>
    </row>
    <row r="493" spans="1:17" x14ac:dyDescent="0.3">
      <c r="A493" t="s">
        <v>1086</v>
      </c>
      <c r="B493" t="s">
        <v>1087</v>
      </c>
      <c r="C493" t="s">
        <v>97</v>
      </c>
      <c r="D493" s="2">
        <v>33</v>
      </c>
      <c r="E493" t="s">
        <v>29</v>
      </c>
      <c r="F493" t="s">
        <v>30</v>
      </c>
      <c r="G493" s="2" t="s">
        <v>46</v>
      </c>
      <c r="H493" s="2">
        <v>11</v>
      </c>
      <c r="I493" s="2" t="s">
        <v>2119</v>
      </c>
      <c r="J493" s="2">
        <v>4.5999999999999996</v>
      </c>
      <c r="K493" s="2" t="s">
        <v>87</v>
      </c>
      <c r="L493" s="2" t="s">
        <v>2120</v>
      </c>
      <c r="M493" s="2" t="s">
        <v>88</v>
      </c>
      <c r="N493" s="2" t="s">
        <v>42</v>
      </c>
      <c r="O493" s="2">
        <v>15</v>
      </c>
      <c r="P493" s="2" t="str">
        <f>IF(global_freelancer_raw[[#This Row],[No of projects ]]&lt;=5,"Entry level","Well Experienced")</f>
        <v>Well Experienced</v>
      </c>
      <c r="Q493" s="2">
        <v>2</v>
      </c>
    </row>
    <row r="494" spans="1:17" x14ac:dyDescent="0.3">
      <c r="A494" t="s">
        <v>1088</v>
      </c>
      <c r="B494" t="s">
        <v>1089</v>
      </c>
      <c r="C494" t="s">
        <v>97</v>
      </c>
      <c r="D494" s="2">
        <v>49</v>
      </c>
      <c r="E494" t="s">
        <v>145</v>
      </c>
      <c r="F494" t="s">
        <v>146</v>
      </c>
      <c r="G494" s="2" t="s">
        <v>93</v>
      </c>
      <c r="H494" s="2">
        <v>14</v>
      </c>
      <c r="I494" s="2" t="s">
        <v>86</v>
      </c>
      <c r="J494" s="2">
        <v>1.5</v>
      </c>
      <c r="K494" s="2" t="s">
        <v>2120</v>
      </c>
      <c r="L494" s="2">
        <v>0.6</v>
      </c>
      <c r="M494" s="2" t="s">
        <v>60</v>
      </c>
      <c r="N494" s="2" t="s">
        <v>75</v>
      </c>
      <c r="O494" s="2">
        <v>15</v>
      </c>
      <c r="P494" s="2" t="str">
        <f>IF(global_freelancer_raw[[#This Row],[No of projects ]]&lt;=5,"Entry level","Well Experienced")</f>
        <v>Well Experienced</v>
      </c>
      <c r="Q494" s="2">
        <v>10</v>
      </c>
    </row>
    <row r="495" spans="1:17" x14ac:dyDescent="0.3">
      <c r="A495" t="s">
        <v>1090</v>
      </c>
      <c r="B495" t="s">
        <v>1091</v>
      </c>
      <c r="C495" t="s">
        <v>118</v>
      </c>
      <c r="D495" s="2">
        <v>55</v>
      </c>
      <c r="E495" t="s">
        <v>149</v>
      </c>
      <c r="F495" t="s">
        <v>30</v>
      </c>
      <c r="G495" s="2" t="s">
        <v>93</v>
      </c>
      <c r="H495" s="2">
        <v>10</v>
      </c>
      <c r="I495" s="2" t="s">
        <v>86</v>
      </c>
      <c r="J495" s="2">
        <v>2</v>
      </c>
      <c r="K495" s="2" t="s">
        <v>181</v>
      </c>
      <c r="L495" s="2">
        <v>0.85</v>
      </c>
      <c r="M495" s="2" t="s">
        <v>60</v>
      </c>
      <c r="N495" s="2" t="s">
        <v>42</v>
      </c>
      <c r="O495" s="2">
        <v>7</v>
      </c>
      <c r="P495" s="2" t="str">
        <f>IF(global_freelancer_raw[[#This Row],[No of projects ]]&lt;=5,"Entry level","Well Experienced")</f>
        <v>Well Experienced</v>
      </c>
      <c r="Q495" s="2">
        <v>6</v>
      </c>
    </row>
    <row r="496" spans="1:17" x14ac:dyDescent="0.3">
      <c r="A496" t="s">
        <v>1092</v>
      </c>
      <c r="B496" t="s">
        <v>1093</v>
      </c>
      <c r="C496" t="s">
        <v>97</v>
      </c>
      <c r="D496" s="2">
        <v>33</v>
      </c>
      <c r="E496" t="s">
        <v>133</v>
      </c>
      <c r="F496" t="s">
        <v>134</v>
      </c>
      <c r="G496" s="2" t="s">
        <v>39</v>
      </c>
      <c r="H496" s="2">
        <v>3</v>
      </c>
      <c r="I496" s="2" t="s">
        <v>47</v>
      </c>
      <c r="J496" s="2">
        <v>1.6</v>
      </c>
      <c r="K496" s="2" t="s">
        <v>2120</v>
      </c>
      <c r="L496" s="2">
        <v>0.83</v>
      </c>
      <c r="M496" s="2" t="s">
        <v>88</v>
      </c>
      <c r="N496" s="2" t="s">
        <v>75</v>
      </c>
      <c r="O496" s="2">
        <v>4</v>
      </c>
      <c r="P496" s="2" t="str">
        <f>IF(global_freelancer_raw[[#This Row],[No of projects ]]&lt;=5,"Entry level","Well Experienced")</f>
        <v>Entry level</v>
      </c>
      <c r="Q496" s="2">
        <v>2</v>
      </c>
    </row>
    <row r="497" spans="1:17" x14ac:dyDescent="0.3">
      <c r="A497" t="s">
        <v>1094</v>
      </c>
      <c r="B497" t="s">
        <v>1095</v>
      </c>
      <c r="C497" t="s">
        <v>118</v>
      </c>
      <c r="D497" s="2">
        <v>32</v>
      </c>
      <c r="E497" t="s">
        <v>91</v>
      </c>
      <c r="F497" t="s">
        <v>92</v>
      </c>
      <c r="G497" s="2" t="s">
        <v>57</v>
      </c>
      <c r="H497" s="2">
        <v>3</v>
      </c>
      <c r="I497" s="2" t="s">
        <v>58</v>
      </c>
      <c r="J497" s="2">
        <v>1.5</v>
      </c>
      <c r="K497" s="2" t="s">
        <v>41</v>
      </c>
      <c r="L497" s="2">
        <v>0.96</v>
      </c>
      <c r="M497" s="2" t="s">
        <v>60</v>
      </c>
      <c r="N497" s="2" t="s">
        <v>34</v>
      </c>
      <c r="O497" s="2">
        <v>5</v>
      </c>
      <c r="P497" s="2" t="str">
        <f>IF(global_freelancer_raw[[#This Row],[No of projects ]]&lt;=5,"Entry level","Well Experienced")</f>
        <v>Entry level</v>
      </c>
      <c r="Q497" s="2">
        <v>1</v>
      </c>
    </row>
    <row r="498" spans="1:17" x14ac:dyDescent="0.3">
      <c r="A498" t="s">
        <v>1096</v>
      </c>
      <c r="B498" t="s">
        <v>1097</v>
      </c>
      <c r="C498" t="s">
        <v>118</v>
      </c>
      <c r="D498" s="2">
        <v>58</v>
      </c>
      <c r="E498" t="s">
        <v>55</v>
      </c>
      <c r="F498" t="s">
        <v>56</v>
      </c>
      <c r="G498" s="2" t="s">
        <v>21</v>
      </c>
      <c r="H498" s="2">
        <v>33</v>
      </c>
      <c r="I498" s="2" t="s">
        <v>2119</v>
      </c>
      <c r="J498" s="2">
        <v>4.0999999999999996</v>
      </c>
      <c r="K498" s="2" t="s">
        <v>94</v>
      </c>
      <c r="L498" s="2">
        <v>0.83</v>
      </c>
      <c r="M498" s="2" t="s">
        <v>24</v>
      </c>
      <c r="N498" s="2" t="s">
        <v>34</v>
      </c>
      <c r="O498" s="2">
        <v>19</v>
      </c>
      <c r="P498" s="2" t="str">
        <f>IF(global_freelancer_raw[[#This Row],[No of projects ]]&lt;=5,"Entry level","Well Experienced")</f>
        <v>Well Experienced</v>
      </c>
      <c r="Q498" s="2">
        <v>3</v>
      </c>
    </row>
    <row r="499" spans="1:17" x14ac:dyDescent="0.3">
      <c r="A499" t="s">
        <v>1098</v>
      </c>
      <c r="B499" t="s">
        <v>1099</v>
      </c>
      <c r="C499" t="s">
        <v>118</v>
      </c>
      <c r="D499" s="2">
        <v>49</v>
      </c>
      <c r="E499" t="s">
        <v>64</v>
      </c>
      <c r="F499" t="s">
        <v>65</v>
      </c>
      <c r="G499" s="2" t="s">
        <v>66</v>
      </c>
      <c r="H499" s="2">
        <v>24</v>
      </c>
      <c r="I499" s="2" t="s">
        <v>22</v>
      </c>
      <c r="J499" s="2">
        <v>4.7</v>
      </c>
      <c r="K499" s="2" t="s">
        <v>23</v>
      </c>
      <c r="L499" s="2">
        <v>0.6</v>
      </c>
      <c r="M499" s="2" t="s">
        <v>60</v>
      </c>
      <c r="N499" s="2" t="s">
        <v>34</v>
      </c>
      <c r="O499" s="2">
        <v>20</v>
      </c>
      <c r="P499" s="2" t="str">
        <f>IF(global_freelancer_raw[[#This Row],[No of projects ]]&lt;=5,"Entry level","Well Experienced")</f>
        <v>Well Experienced</v>
      </c>
      <c r="Q499" s="2">
        <v>3</v>
      </c>
    </row>
    <row r="500" spans="1:17" x14ac:dyDescent="0.3">
      <c r="A500" t="s">
        <v>1100</v>
      </c>
      <c r="B500" t="s">
        <v>1101</v>
      </c>
      <c r="C500" t="s">
        <v>97</v>
      </c>
      <c r="D500" s="2">
        <v>22</v>
      </c>
      <c r="E500" t="s">
        <v>145</v>
      </c>
      <c r="F500" t="s">
        <v>146</v>
      </c>
      <c r="G500" s="2" t="s">
        <v>93</v>
      </c>
      <c r="H500" s="2">
        <v>3</v>
      </c>
      <c r="I500" s="2" t="s">
        <v>32</v>
      </c>
      <c r="J500" s="2">
        <v>3.6</v>
      </c>
      <c r="K500" s="2" t="s">
        <v>33</v>
      </c>
      <c r="L500" s="2">
        <v>0.78</v>
      </c>
      <c r="M500" s="2" t="s">
        <v>88</v>
      </c>
      <c r="N500" s="2" t="s">
        <v>34</v>
      </c>
      <c r="O500" s="2">
        <v>3</v>
      </c>
      <c r="P500" s="2" t="str">
        <f>IF(global_freelancer_raw[[#This Row],[No of projects ]]&lt;=5,"Entry level","Well Experienced")</f>
        <v>Entry level</v>
      </c>
      <c r="Q500" s="2">
        <v>4</v>
      </c>
    </row>
    <row r="501" spans="1:17" x14ac:dyDescent="0.3">
      <c r="A501" t="s">
        <v>1102</v>
      </c>
      <c r="B501" t="s">
        <v>1103</v>
      </c>
      <c r="C501" t="s">
        <v>97</v>
      </c>
      <c r="D501" s="2">
        <v>40</v>
      </c>
      <c r="E501" t="s">
        <v>160</v>
      </c>
      <c r="F501" t="s">
        <v>161</v>
      </c>
      <c r="G501" s="2" t="s">
        <v>46</v>
      </c>
      <c r="H501" s="2">
        <v>11</v>
      </c>
      <c r="I501" s="2" t="s">
        <v>142</v>
      </c>
      <c r="J501" s="2">
        <v>1.8</v>
      </c>
      <c r="K501" s="2" t="s">
        <v>33</v>
      </c>
      <c r="L501" s="2">
        <v>0.9</v>
      </c>
      <c r="M501" s="2" t="s">
        <v>24</v>
      </c>
      <c r="N501" s="2" t="s">
        <v>75</v>
      </c>
      <c r="O501" s="2">
        <v>13</v>
      </c>
      <c r="P501" s="2" t="str">
        <f>IF(global_freelancer_raw[[#This Row],[No of projects ]]&lt;=5,"Entry level","Well Experienced")</f>
        <v>Well Experienced</v>
      </c>
      <c r="Q501" s="2">
        <v>10</v>
      </c>
    </row>
    <row r="502" spans="1:17" x14ac:dyDescent="0.3">
      <c r="A502" t="s">
        <v>1104</v>
      </c>
      <c r="B502" t="s">
        <v>1105</v>
      </c>
      <c r="C502" t="s">
        <v>118</v>
      </c>
      <c r="D502" s="2">
        <v>55</v>
      </c>
      <c r="E502" t="s">
        <v>29</v>
      </c>
      <c r="F502" t="s">
        <v>30</v>
      </c>
      <c r="G502" s="2" t="s">
        <v>66</v>
      </c>
      <c r="H502" s="2">
        <v>7</v>
      </c>
      <c r="I502" s="2" t="s">
        <v>32</v>
      </c>
      <c r="J502" s="2">
        <v>2.1</v>
      </c>
      <c r="K502" s="2" t="s">
        <v>23</v>
      </c>
      <c r="L502" s="2">
        <v>0.66</v>
      </c>
      <c r="M502" s="2" t="s">
        <v>88</v>
      </c>
      <c r="N502" s="2" t="s">
        <v>25</v>
      </c>
      <c r="O502" s="2">
        <v>8</v>
      </c>
      <c r="P502" s="2" t="str">
        <f>IF(global_freelancer_raw[[#This Row],[No of projects ]]&lt;=5,"Entry level","Well Experienced")</f>
        <v>Well Experienced</v>
      </c>
      <c r="Q502" s="2">
        <v>9</v>
      </c>
    </row>
    <row r="503" spans="1:17" x14ac:dyDescent="0.3">
      <c r="A503" t="s">
        <v>1106</v>
      </c>
      <c r="B503" t="s">
        <v>1107</v>
      </c>
      <c r="C503" t="s">
        <v>118</v>
      </c>
      <c r="D503" s="2">
        <v>32</v>
      </c>
      <c r="E503" t="s">
        <v>201</v>
      </c>
      <c r="F503" t="s">
        <v>92</v>
      </c>
      <c r="G503" s="2" t="s">
        <v>110</v>
      </c>
      <c r="H503" s="2">
        <v>1</v>
      </c>
      <c r="I503" s="2" t="s">
        <v>81</v>
      </c>
      <c r="J503" s="2" t="s">
        <v>2120</v>
      </c>
      <c r="K503" s="2" t="s">
        <v>87</v>
      </c>
      <c r="L503" s="2">
        <v>0.7</v>
      </c>
      <c r="M503" s="2" t="s">
        <v>88</v>
      </c>
      <c r="N503" s="2" t="s">
        <v>75</v>
      </c>
      <c r="O503" s="2">
        <v>4</v>
      </c>
      <c r="P503" s="2" t="str">
        <f>IF(global_freelancer_raw[[#This Row],[No of projects ]]&lt;=5,"Entry level","Well Experienced")</f>
        <v>Entry level</v>
      </c>
      <c r="Q503" s="2">
        <v>5</v>
      </c>
    </row>
    <row r="504" spans="1:17" x14ac:dyDescent="0.3">
      <c r="A504" t="s">
        <v>1108</v>
      </c>
      <c r="B504" t="s">
        <v>1109</v>
      </c>
      <c r="C504" t="s">
        <v>97</v>
      </c>
      <c r="D504" s="2">
        <v>21</v>
      </c>
      <c r="E504" t="s">
        <v>106</v>
      </c>
      <c r="F504" t="s">
        <v>107</v>
      </c>
      <c r="G504" s="2" t="s">
        <v>93</v>
      </c>
      <c r="H504" s="2">
        <v>0</v>
      </c>
      <c r="I504" s="2" t="s">
        <v>130</v>
      </c>
      <c r="J504" s="2">
        <v>4.2</v>
      </c>
      <c r="K504" s="2" t="s">
        <v>87</v>
      </c>
      <c r="L504" s="2">
        <v>0.79</v>
      </c>
      <c r="M504" s="2" t="s">
        <v>82</v>
      </c>
      <c r="N504" s="2" t="s">
        <v>42</v>
      </c>
      <c r="O504" s="2">
        <v>3</v>
      </c>
      <c r="P504" s="2" t="str">
        <f>IF(global_freelancer_raw[[#This Row],[No of projects ]]&lt;=5,"Entry level","Well Experienced")</f>
        <v>Entry level</v>
      </c>
      <c r="Q504" s="2">
        <v>2</v>
      </c>
    </row>
    <row r="505" spans="1:17" x14ac:dyDescent="0.3">
      <c r="A505" t="s">
        <v>1110</v>
      </c>
      <c r="B505" t="s">
        <v>1111</v>
      </c>
      <c r="C505" t="s">
        <v>118</v>
      </c>
      <c r="D505" s="2">
        <v>23</v>
      </c>
      <c r="E505" t="s">
        <v>133</v>
      </c>
      <c r="F505" t="s">
        <v>134</v>
      </c>
      <c r="G505" s="2" t="s">
        <v>21</v>
      </c>
      <c r="H505" s="2">
        <v>1</v>
      </c>
      <c r="I505" s="2" t="s">
        <v>86</v>
      </c>
      <c r="J505" s="2">
        <v>0</v>
      </c>
      <c r="K505" s="2" t="s">
        <v>23</v>
      </c>
      <c r="L505" s="2">
        <v>0.64</v>
      </c>
      <c r="M505" s="2" t="s">
        <v>82</v>
      </c>
      <c r="N505" s="2" t="s">
        <v>34</v>
      </c>
      <c r="O505" s="2">
        <v>2</v>
      </c>
      <c r="P505" s="2" t="str">
        <f>IF(global_freelancer_raw[[#This Row],[No of projects ]]&lt;=5,"Entry level","Well Experienced")</f>
        <v>Entry level</v>
      </c>
      <c r="Q505" s="2">
        <v>3</v>
      </c>
    </row>
    <row r="506" spans="1:17" x14ac:dyDescent="0.3">
      <c r="A506" t="s">
        <v>1112</v>
      </c>
      <c r="B506" t="s">
        <v>1113</v>
      </c>
      <c r="C506" t="s">
        <v>118</v>
      </c>
      <c r="D506" s="2">
        <v>21</v>
      </c>
      <c r="E506" t="s">
        <v>85</v>
      </c>
      <c r="F506" t="s">
        <v>30</v>
      </c>
      <c r="G506" s="2" t="s">
        <v>31</v>
      </c>
      <c r="H506" s="2">
        <v>1</v>
      </c>
      <c r="I506" s="2" t="s">
        <v>130</v>
      </c>
      <c r="J506" s="2">
        <v>1</v>
      </c>
      <c r="K506" s="2" t="s">
        <v>41</v>
      </c>
      <c r="L506" s="2">
        <v>0.81</v>
      </c>
      <c r="M506" s="2" t="s">
        <v>88</v>
      </c>
      <c r="N506" s="2" t="s">
        <v>34</v>
      </c>
      <c r="O506" s="2">
        <v>1</v>
      </c>
      <c r="P506" s="2" t="str">
        <f>IF(global_freelancer_raw[[#This Row],[No of projects ]]&lt;=5,"Entry level","Well Experienced")</f>
        <v>Entry level</v>
      </c>
      <c r="Q506" s="2">
        <v>3</v>
      </c>
    </row>
    <row r="507" spans="1:17" x14ac:dyDescent="0.3">
      <c r="A507" t="s">
        <v>1114</v>
      </c>
      <c r="B507" t="s">
        <v>1115</v>
      </c>
      <c r="C507" t="s">
        <v>118</v>
      </c>
      <c r="D507" s="2">
        <v>31</v>
      </c>
      <c r="E507" t="s">
        <v>91</v>
      </c>
      <c r="F507" t="s">
        <v>92</v>
      </c>
      <c r="G507" s="2" t="s">
        <v>57</v>
      </c>
      <c r="H507" s="2">
        <v>7</v>
      </c>
      <c r="I507" s="2" t="s">
        <v>103</v>
      </c>
      <c r="J507" s="2">
        <v>4.4000000000000004</v>
      </c>
      <c r="K507" s="2" t="s">
        <v>23</v>
      </c>
      <c r="L507" s="2">
        <v>0.83</v>
      </c>
      <c r="M507" s="2" t="s">
        <v>88</v>
      </c>
      <c r="N507" s="2" t="s">
        <v>42</v>
      </c>
      <c r="O507" s="2">
        <v>12</v>
      </c>
      <c r="P507" s="2" t="str">
        <f>IF(global_freelancer_raw[[#This Row],[No of projects ]]&lt;=5,"Entry level","Well Experienced")</f>
        <v>Well Experienced</v>
      </c>
      <c r="Q507" s="2">
        <v>6</v>
      </c>
    </row>
    <row r="508" spans="1:17" x14ac:dyDescent="0.3">
      <c r="A508" t="s">
        <v>1116</v>
      </c>
      <c r="B508" t="s">
        <v>1117</v>
      </c>
      <c r="C508" t="s">
        <v>118</v>
      </c>
      <c r="D508" s="2">
        <v>21</v>
      </c>
      <c r="E508" t="s">
        <v>201</v>
      </c>
      <c r="F508" t="s">
        <v>92</v>
      </c>
      <c r="G508" s="2" t="s">
        <v>21</v>
      </c>
      <c r="H508" s="2" t="s">
        <v>2120</v>
      </c>
      <c r="I508" s="2" t="s">
        <v>86</v>
      </c>
      <c r="J508" s="2">
        <v>4</v>
      </c>
      <c r="K508" s="2" t="s">
        <v>23</v>
      </c>
      <c r="L508" s="2">
        <v>0.91</v>
      </c>
      <c r="M508" s="2" t="s">
        <v>88</v>
      </c>
      <c r="N508" s="2" t="s">
        <v>75</v>
      </c>
      <c r="O508" s="2">
        <v>2</v>
      </c>
      <c r="P508" s="2" t="str">
        <f>IF(global_freelancer_raw[[#This Row],[No of projects ]]&lt;=5,"Entry level","Well Experienced")</f>
        <v>Entry level</v>
      </c>
      <c r="Q508" s="2">
        <v>1</v>
      </c>
    </row>
    <row r="509" spans="1:17" x14ac:dyDescent="0.3">
      <c r="A509" t="s">
        <v>1118</v>
      </c>
      <c r="B509" t="s">
        <v>1119</v>
      </c>
      <c r="C509" t="s">
        <v>118</v>
      </c>
      <c r="D509" s="2">
        <v>33</v>
      </c>
      <c r="E509" t="s">
        <v>85</v>
      </c>
      <c r="F509" t="s">
        <v>30</v>
      </c>
      <c r="G509" s="2" t="s">
        <v>98</v>
      </c>
      <c r="H509" s="2">
        <v>6</v>
      </c>
      <c r="I509" s="2" t="s">
        <v>119</v>
      </c>
      <c r="J509" s="2">
        <v>3.1</v>
      </c>
      <c r="K509" s="2" t="s">
        <v>41</v>
      </c>
      <c r="L509" s="2" t="s">
        <v>2120</v>
      </c>
      <c r="M509" s="2" t="s">
        <v>82</v>
      </c>
      <c r="N509" s="2" t="s">
        <v>25</v>
      </c>
      <c r="O509" s="2">
        <v>15</v>
      </c>
      <c r="P509" s="2" t="str">
        <f>IF(global_freelancer_raw[[#This Row],[No of projects ]]&lt;=5,"Entry level","Well Experienced")</f>
        <v>Well Experienced</v>
      </c>
      <c r="Q509" s="2">
        <v>9</v>
      </c>
    </row>
    <row r="510" spans="1:17" x14ac:dyDescent="0.3">
      <c r="A510" t="s">
        <v>1120</v>
      </c>
      <c r="B510" t="s">
        <v>1121</v>
      </c>
      <c r="C510" t="s">
        <v>118</v>
      </c>
      <c r="D510" s="2">
        <v>57</v>
      </c>
      <c r="E510" t="s">
        <v>128</v>
      </c>
      <c r="F510" t="s">
        <v>129</v>
      </c>
      <c r="G510" s="2" t="s">
        <v>46</v>
      </c>
      <c r="H510" s="2">
        <v>5</v>
      </c>
      <c r="I510" s="2" t="s">
        <v>103</v>
      </c>
      <c r="J510" s="2">
        <v>1.1000000000000001</v>
      </c>
      <c r="K510" s="2" t="s">
        <v>74</v>
      </c>
      <c r="L510" s="2">
        <v>0.77</v>
      </c>
      <c r="M510" s="2" t="s">
        <v>82</v>
      </c>
      <c r="N510" s="2" t="s">
        <v>25</v>
      </c>
      <c r="O510" s="2">
        <v>2</v>
      </c>
      <c r="P510" s="2" t="str">
        <f>IF(global_freelancer_raw[[#This Row],[No of projects ]]&lt;=5,"Entry level","Well Experienced")</f>
        <v>Entry level</v>
      </c>
      <c r="Q510" s="2">
        <v>3</v>
      </c>
    </row>
    <row r="511" spans="1:17" x14ac:dyDescent="0.3">
      <c r="A511" t="s">
        <v>1122</v>
      </c>
      <c r="B511" t="s">
        <v>1123</v>
      </c>
      <c r="C511" t="s">
        <v>118</v>
      </c>
      <c r="D511" s="2">
        <v>52</v>
      </c>
      <c r="E511" t="s">
        <v>73</v>
      </c>
      <c r="F511" t="s">
        <v>30</v>
      </c>
      <c r="G511" s="2" t="s">
        <v>110</v>
      </c>
      <c r="H511" s="2">
        <v>17</v>
      </c>
      <c r="I511" s="2" t="s">
        <v>67</v>
      </c>
      <c r="J511" s="2">
        <v>0</v>
      </c>
      <c r="K511" s="2" t="s">
        <v>23</v>
      </c>
      <c r="L511" s="2">
        <v>0.94</v>
      </c>
      <c r="M511" s="2" t="s">
        <v>60</v>
      </c>
      <c r="N511" s="2" t="s">
        <v>42</v>
      </c>
      <c r="O511" s="2">
        <v>18</v>
      </c>
      <c r="P511" s="2" t="str">
        <f>IF(global_freelancer_raw[[#This Row],[No of projects ]]&lt;=5,"Entry level","Well Experienced")</f>
        <v>Well Experienced</v>
      </c>
      <c r="Q511" s="2">
        <v>6</v>
      </c>
    </row>
    <row r="512" spans="1:17" x14ac:dyDescent="0.3">
      <c r="A512" t="s">
        <v>1124</v>
      </c>
      <c r="B512" t="s">
        <v>1125</v>
      </c>
      <c r="C512" t="s">
        <v>97</v>
      </c>
      <c r="D512" s="2">
        <v>21</v>
      </c>
      <c r="E512" t="s">
        <v>38</v>
      </c>
      <c r="F512" t="s">
        <v>38</v>
      </c>
      <c r="G512" s="2" t="s">
        <v>46</v>
      </c>
      <c r="H512" s="2">
        <v>0</v>
      </c>
      <c r="I512" s="2" t="s">
        <v>142</v>
      </c>
      <c r="J512" s="2">
        <v>3.8</v>
      </c>
      <c r="K512" s="2" t="s">
        <v>33</v>
      </c>
      <c r="L512" s="2">
        <v>0.61</v>
      </c>
      <c r="M512" s="2" t="s">
        <v>60</v>
      </c>
      <c r="N512" s="2" t="s">
        <v>25</v>
      </c>
      <c r="O512" s="2">
        <v>5</v>
      </c>
      <c r="P512" s="2" t="str">
        <f>IF(global_freelancer_raw[[#This Row],[No of projects ]]&lt;=5,"Entry level","Well Experienced")</f>
        <v>Entry level</v>
      </c>
      <c r="Q512" s="2">
        <v>2</v>
      </c>
    </row>
    <row r="513" spans="1:17" x14ac:dyDescent="0.3">
      <c r="A513" t="s">
        <v>1126</v>
      </c>
      <c r="B513" t="s">
        <v>1127</v>
      </c>
      <c r="C513" t="s">
        <v>97</v>
      </c>
      <c r="D513" s="2">
        <v>36</v>
      </c>
      <c r="E513" t="s">
        <v>91</v>
      </c>
      <c r="F513" t="s">
        <v>92</v>
      </c>
      <c r="G513" s="2" t="s">
        <v>93</v>
      </c>
      <c r="H513" s="2">
        <v>8</v>
      </c>
      <c r="I513" s="2" t="s">
        <v>22</v>
      </c>
      <c r="J513" s="2">
        <v>1.7</v>
      </c>
      <c r="K513" s="2" t="s">
        <v>41</v>
      </c>
      <c r="L513" s="2">
        <v>0.68</v>
      </c>
      <c r="M513" s="2" t="s">
        <v>88</v>
      </c>
      <c r="N513" s="2" t="s">
        <v>75</v>
      </c>
      <c r="O513" s="2">
        <v>9</v>
      </c>
      <c r="P513" s="2" t="str">
        <f>IF(global_freelancer_raw[[#This Row],[No of projects ]]&lt;=5,"Entry level","Well Experienced")</f>
        <v>Well Experienced</v>
      </c>
      <c r="Q513" s="2">
        <v>5</v>
      </c>
    </row>
    <row r="514" spans="1:17" x14ac:dyDescent="0.3">
      <c r="A514" t="s">
        <v>1128</v>
      </c>
      <c r="B514" t="s">
        <v>1129</v>
      </c>
      <c r="C514" t="s">
        <v>118</v>
      </c>
      <c r="D514" s="2">
        <v>33</v>
      </c>
      <c r="E514" t="s">
        <v>212</v>
      </c>
      <c r="F514" t="s">
        <v>92</v>
      </c>
      <c r="G514" s="2" t="s">
        <v>135</v>
      </c>
      <c r="H514" s="2">
        <v>13</v>
      </c>
      <c r="I514" s="2" t="s">
        <v>40</v>
      </c>
      <c r="J514" s="2">
        <v>2.2000000000000002</v>
      </c>
      <c r="K514" s="2" t="s">
        <v>41</v>
      </c>
      <c r="L514" s="2">
        <v>0.7</v>
      </c>
      <c r="M514" s="2" t="s">
        <v>24</v>
      </c>
      <c r="N514" s="2" t="s">
        <v>75</v>
      </c>
      <c r="O514" s="2">
        <v>8</v>
      </c>
      <c r="P514" s="2" t="str">
        <f>IF(global_freelancer_raw[[#This Row],[No of projects ]]&lt;=5,"Entry level","Well Experienced")</f>
        <v>Well Experienced</v>
      </c>
      <c r="Q514" s="2">
        <v>10</v>
      </c>
    </row>
    <row r="515" spans="1:17" x14ac:dyDescent="0.3">
      <c r="A515" t="s">
        <v>1130</v>
      </c>
      <c r="B515" t="s">
        <v>1131</v>
      </c>
      <c r="C515" t="s">
        <v>97</v>
      </c>
      <c r="D515" s="2">
        <v>54</v>
      </c>
      <c r="E515" t="s">
        <v>85</v>
      </c>
      <c r="F515" t="s">
        <v>30</v>
      </c>
      <c r="G515" s="2" t="s">
        <v>66</v>
      </c>
      <c r="H515" s="2">
        <v>15</v>
      </c>
      <c r="I515" s="2" t="s">
        <v>86</v>
      </c>
      <c r="J515" s="2">
        <v>4.0999999999999996</v>
      </c>
      <c r="K515" s="2" t="s">
        <v>74</v>
      </c>
      <c r="L515" s="2">
        <v>71</v>
      </c>
      <c r="M515" s="2" t="s">
        <v>24</v>
      </c>
      <c r="N515" s="2" t="s">
        <v>42</v>
      </c>
      <c r="O515" s="2">
        <v>14</v>
      </c>
      <c r="P515" s="2" t="str">
        <f>IF(global_freelancer_raw[[#This Row],[No of projects ]]&lt;=5,"Entry level","Well Experienced")</f>
        <v>Well Experienced</v>
      </c>
      <c r="Q515" s="2">
        <v>6</v>
      </c>
    </row>
    <row r="516" spans="1:17" x14ac:dyDescent="0.3">
      <c r="A516" t="s">
        <v>1132</v>
      </c>
      <c r="B516" t="s">
        <v>1133</v>
      </c>
      <c r="C516" t="s">
        <v>97</v>
      </c>
      <c r="D516" s="2">
        <v>33</v>
      </c>
      <c r="E516" t="s">
        <v>73</v>
      </c>
      <c r="F516" t="s">
        <v>30</v>
      </c>
      <c r="G516" s="2" t="s">
        <v>21</v>
      </c>
      <c r="H516" s="2">
        <v>2</v>
      </c>
      <c r="I516" s="2" t="s">
        <v>32</v>
      </c>
      <c r="J516" s="2">
        <v>3.8</v>
      </c>
      <c r="K516" s="2" t="s">
        <v>59</v>
      </c>
      <c r="L516" s="2" t="s">
        <v>2120</v>
      </c>
      <c r="M516" s="2" t="s">
        <v>82</v>
      </c>
      <c r="N516" s="2" t="s">
        <v>75</v>
      </c>
      <c r="O516" s="2">
        <v>1</v>
      </c>
      <c r="P516" s="2" t="str">
        <f>IF(global_freelancer_raw[[#This Row],[No of projects ]]&lt;=5,"Entry level","Well Experienced")</f>
        <v>Entry level</v>
      </c>
      <c r="Q516" s="2">
        <v>1</v>
      </c>
    </row>
    <row r="517" spans="1:17" x14ac:dyDescent="0.3">
      <c r="A517" t="s">
        <v>1134</v>
      </c>
      <c r="B517" t="s">
        <v>1135</v>
      </c>
      <c r="C517" t="s">
        <v>97</v>
      </c>
      <c r="D517" s="2">
        <v>36</v>
      </c>
      <c r="E517" t="s">
        <v>106</v>
      </c>
      <c r="F517" t="s">
        <v>107</v>
      </c>
      <c r="G517" s="2" t="s">
        <v>135</v>
      </c>
      <c r="H517" s="2">
        <v>9</v>
      </c>
      <c r="I517" s="2" t="s">
        <v>58</v>
      </c>
      <c r="J517" s="2">
        <v>0</v>
      </c>
      <c r="K517" s="2" t="s">
        <v>87</v>
      </c>
      <c r="L517" s="2">
        <v>0.78</v>
      </c>
      <c r="M517" s="2" t="s">
        <v>82</v>
      </c>
      <c r="N517" s="2" t="s">
        <v>34</v>
      </c>
      <c r="O517" s="2">
        <v>12</v>
      </c>
      <c r="P517" s="2" t="str">
        <f>IF(global_freelancer_raw[[#This Row],[No of projects ]]&lt;=5,"Entry level","Well Experienced")</f>
        <v>Well Experienced</v>
      </c>
      <c r="Q517" s="2">
        <v>1</v>
      </c>
    </row>
    <row r="518" spans="1:17" x14ac:dyDescent="0.3">
      <c r="A518" t="s">
        <v>1136</v>
      </c>
      <c r="B518" t="s">
        <v>1137</v>
      </c>
      <c r="C518" t="s">
        <v>97</v>
      </c>
      <c r="D518" s="2">
        <v>36</v>
      </c>
      <c r="E518" t="s">
        <v>79</v>
      </c>
      <c r="F518" t="s">
        <v>80</v>
      </c>
      <c r="G518" s="2" t="s">
        <v>57</v>
      </c>
      <c r="H518" s="2">
        <v>3</v>
      </c>
      <c r="I518" s="2" t="s">
        <v>119</v>
      </c>
      <c r="J518" s="2">
        <v>0</v>
      </c>
      <c r="K518" s="2" t="s">
        <v>181</v>
      </c>
      <c r="L518" s="2">
        <v>75</v>
      </c>
      <c r="M518" s="2" t="s">
        <v>82</v>
      </c>
      <c r="N518" s="2" t="s">
        <v>42</v>
      </c>
      <c r="O518" s="2">
        <v>2</v>
      </c>
      <c r="P518" s="2" t="str">
        <f>IF(global_freelancer_raw[[#This Row],[No of projects ]]&lt;=5,"Entry level","Well Experienced")</f>
        <v>Entry level</v>
      </c>
      <c r="Q518" s="2">
        <v>3</v>
      </c>
    </row>
    <row r="519" spans="1:17" x14ac:dyDescent="0.3">
      <c r="A519" t="s">
        <v>1138</v>
      </c>
      <c r="B519" t="s">
        <v>1139</v>
      </c>
      <c r="C519" t="s">
        <v>97</v>
      </c>
      <c r="D519" s="2">
        <v>43</v>
      </c>
      <c r="E519" t="s">
        <v>197</v>
      </c>
      <c r="F519" t="s">
        <v>198</v>
      </c>
      <c r="G519" s="2" t="s">
        <v>57</v>
      </c>
      <c r="H519" s="2">
        <v>15</v>
      </c>
      <c r="I519" s="2" t="s">
        <v>142</v>
      </c>
      <c r="J519" s="2">
        <v>4.2</v>
      </c>
      <c r="K519" s="2" t="s">
        <v>74</v>
      </c>
      <c r="L519" s="2">
        <v>0.91</v>
      </c>
      <c r="M519" s="2" t="s">
        <v>88</v>
      </c>
      <c r="N519" s="2" t="s">
        <v>75</v>
      </c>
      <c r="O519" s="2">
        <v>6</v>
      </c>
      <c r="P519" s="2" t="str">
        <f>IF(global_freelancer_raw[[#This Row],[No of projects ]]&lt;=5,"Entry level","Well Experienced")</f>
        <v>Well Experienced</v>
      </c>
      <c r="Q519" s="2">
        <v>9</v>
      </c>
    </row>
    <row r="520" spans="1:17" x14ac:dyDescent="0.3">
      <c r="A520" t="s">
        <v>1140</v>
      </c>
      <c r="B520" t="s">
        <v>1141</v>
      </c>
      <c r="C520" t="s">
        <v>118</v>
      </c>
      <c r="D520" s="2">
        <v>52</v>
      </c>
      <c r="E520" t="s">
        <v>85</v>
      </c>
      <c r="F520" t="s">
        <v>30</v>
      </c>
      <c r="G520" s="2" t="s">
        <v>66</v>
      </c>
      <c r="H520" s="2">
        <v>21</v>
      </c>
      <c r="I520" s="2" t="s">
        <v>67</v>
      </c>
      <c r="J520" s="2">
        <v>2.2000000000000002</v>
      </c>
      <c r="K520" s="2" t="s">
        <v>33</v>
      </c>
      <c r="L520" s="2">
        <v>0.66</v>
      </c>
      <c r="M520" s="2" t="s">
        <v>24</v>
      </c>
      <c r="N520" s="2" t="s">
        <v>42</v>
      </c>
      <c r="O520" s="2">
        <v>20</v>
      </c>
      <c r="P520" s="2" t="str">
        <f>IF(global_freelancer_raw[[#This Row],[No of projects ]]&lt;=5,"Entry level","Well Experienced")</f>
        <v>Well Experienced</v>
      </c>
      <c r="Q520" s="2">
        <v>9</v>
      </c>
    </row>
    <row r="521" spans="1:17" x14ac:dyDescent="0.3">
      <c r="A521" t="s">
        <v>1142</v>
      </c>
      <c r="B521" t="s">
        <v>1143</v>
      </c>
      <c r="C521" t="s">
        <v>97</v>
      </c>
      <c r="D521" s="2">
        <v>28</v>
      </c>
      <c r="E521" t="s">
        <v>64</v>
      </c>
      <c r="F521" t="s">
        <v>65</v>
      </c>
      <c r="G521" s="2" t="s">
        <v>98</v>
      </c>
      <c r="H521" s="2">
        <v>2</v>
      </c>
      <c r="I521" s="2" t="s">
        <v>67</v>
      </c>
      <c r="J521" s="2">
        <v>1.5</v>
      </c>
      <c r="K521" s="2" t="s">
        <v>33</v>
      </c>
      <c r="L521" s="2">
        <v>0.68</v>
      </c>
      <c r="M521" s="2" t="s">
        <v>60</v>
      </c>
      <c r="N521" s="2" t="s">
        <v>25</v>
      </c>
      <c r="O521" s="2">
        <v>4</v>
      </c>
      <c r="P521" s="2" t="str">
        <f>IF(global_freelancer_raw[[#This Row],[No of projects ]]&lt;=5,"Entry level","Well Experienced")</f>
        <v>Entry level</v>
      </c>
      <c r="Q521" s="2">
        <v>2</v>
      </c>
    </row>
    <row r="522" spans="1:17" x14ac:dyDescent="0.3">
      <c r="A522" t="s">
        <v>1144</v>
      </c>
      <c r="B522" t="s">
        <v>1145</v>
      </c>
      <c r="C522" t="s">
        <v>97</v>
      </c>
      <c r="D522" s="2">
        <v>47</v>
      </c>
      <c r="E522" t="s">
        <v>197</v>
      </c>
      <c r="F522" t="s">
        <v>198</v>
      </c>
      <c r="G522" s="2" t="s">
        <v>98</v>
      </c>
      <c r="H522" s="2">
        <v>21</v>
      </c>
      <c r="I522" s="2" t="s">
        <v>251</v>
      </c>
      <c r="J522" s="2">
        <v>0</v>
      </c>
      <c r="K522" s="2" t="s">
        <v>41</v>
      </c>
      <c r="L522" s="2" t="s">
        <v>2120</v>
      </c>
      <c r="M522" s="2" t="s">
        <v>88</v>
      </c>
      <c r="N522" s="2" t="s">
        <v>75</v>
      </c>
      <c r="O522" s="2">
        <v>18</v>
      </c>
      <c r="P522" s="2" t="str">
        <f>IF(global_freelancer_raw[[#This Row],[No of projects ]]&lt;=5,"Entry level","Well Experienced")</f>
        <v>Well Experienced</v>
      </c>
      <c r="Q522" s="2">
        <v>3</v>
      </c>
    </row>
    <row r="523" spans="1:17" x14ac:dyDescent="0.3">
      <c r="A523" t="s">
        <v>1146</v>
      </c>
      <c r="B523" t="s">
        <v>1147</v>
      </c>
      <c r="C523" t="s">
        <v>97</v>
      </c>
      <c r="D523" s="2">
        <v>30</v>
      </c>
      <c r="E523" t="s">
        <v>156</v>
      </c>
      <c r="F523" t="s">
        <v>157</v>
      </c>
      <c r="G523" s="2" t="s">
        <v>110</v>
      </c>
      <c r="H523" s="2">
        <v>0</v>
      </c>
      <c r="I523" s="2" t="s">
        <v>32</v>
      </c>
      <c r="J523" s="2">
        <v>4.0999999999999996</v>
      </c>
      <c r="K523" s="2" t="s">
        <v>23</v>
      </c>
      <c r="L523" s="2">
        <v>0.62</v>
      </c>
      <c r="M523" s="2" t="s">
        <v>60</v>
      </c>
      <c r="N523" s="2" t="s">
        <v>34</v>
      </c>
      <c r="O523" s="2">
        <v>3</v>
      </c>
      <c r="P523" s="2" t="str">
        <f>IF(global_freelancer_raw[[#This Row],[No of projects ]]&lt;=5,"Entry level","Well Experienced")</f>
        <v>Entry level</v>
      </c>
      <c r="Q523" s="2">
        <v>1</v>
      </c>
    </row>
    <row r="524" spans="1:17" x14ac:dyDescent="0.3">
      <c r="A524" t="s">
        <v>1148</v>
      </c>
      <c r="B524" t="s">
        <v>1149</v>
      </c>
      <c r="C524" t="s">
        <v>118</v>
      </c>
      <c r="D524" s="2">
        <v>36</v>
      </c>
      <c r="E524" t="s">
        <v>160</v>
      </c>
      <c r="F524" t="s">
        <v>161</v>
      </c>
      <c r="G524" s="2" t="s">
        <v>21</v>
      </c>
      <c r="H524" s="2">
        <v>4</v>
      </c>
      <c r="I524" s="2" t="s">
        <v>86</v>
      </c>
      <c r="J524" s="2">
        <v>2.6</v>
      </c>
      <c r="K524" s="2" t="s">
        <v>181</v>
      </c>
      <c r="L524" s="2">
        <v>0.9</v>
      </c>
      <c r="M524" s="2" t="s">
        <v>60</v>
      </c>
      <c r="N524" s="2" t="s">
        <v>75</v>
      </c>
      <c r="O524" s="2">
        <v>2</v>
      </c>
      <c r="P524" s="2" t="str">
        <f>IF(global_freelancer_raw[[#This Row],[No of projects ]]&lt;=5,"Entry level","Well Experienced")</f>
        <v>Entry level</v>
      </c>
      <c r="Q524" s="2">
        <v>4</v>
      </c>
    </row>
    <row r="525" spans="1:17" x14ac:dyDescent="0.3">
      <c r="A525" t="s">
        <v>1150</v>
      </c>
      <c r="B525" t="s">
        <v>1151</v>
      </c>
      <c r="C525" t="s">
        <v>97</v>
      </c>
      <c r="D525" s="2">
        <v>45</v>
      </c>
      <c r="E525" t="s">
        <v>73</v>
      </c>
      <c r="F525" t="s">
        <v>30</v>
      </c>
      <c r="G525" s="2" t="s">
        <v>93</v>
      </c>
      <c r="H525" s="2">
        <v>23</v>
      </c>
      <c r="I525" s="2" t="s">
        <v>22</v>
      </c>
      <c r="J525" s="2">
        <v>2.4</v>
      </c>
      <c r="K525" s="2" t="s">
        <v>59</v>
      </c>
      <c r="L525" s="2">
        <v>0.96</v>
      </c>
      <c r="M525" s="2" t="s">
        <v>88</v>
      </c>
      <c r="N525" s="2" t="s">
        <v>42</v>
      </c>
      <c r="O525" s="2">
        <v>14</v>
      </c>
      <c r="P525" s="2" t="str">
        <f>IF(global_freelancer_raw[[#This Row],[No of projects ]]&lt;=5,"Entry level","Well Experienced")</f>
        <v>Well Experienced</v>
      </c>
      <c r="Q525" s="2">
        <v>1</v>
      </c>
    </row>
    <row r="526" spans="1:17" x14ac:dyDescent="0.3">
      <c r="A526" t="s">
        <v>1152</v>
      </c>
      <c r="B526" t="s">
        <v>1153</v>
      </c>
      <c r="C526" t="s">
        <v>97</v>
      </c>
      <c r="D526" s="2">
        <v>51</v>
      </c>
      <c r="E526" t="s">
        <v>73</v>
      </c>
      <c r="F526" t="s">
        <v>30</v>
      </c>
      <c r="G526" s="2" t="s">
        <v>21</v>
      </c>
      <c r="H526" s="2">
        <v>25</v>
      </c>
      <c r="I526" s="2" t="s">
        <v>40</v>
      </c>
      <c r="J526" s="2">
        <v>1.4</v>
      </c>
      <c r="K526" s="2" t="s">
        <v>94</v>
      </c>
      <c r="L526" s="2">
        <v>0.6</v>
      </c>
      <c r="M526" s="2" t="s">
        <v>60</v>
      </c>
      <c r="N526" s="2" t="s">
        <v>42</v>
      </c>
      <c r="O526" s="2">
        <v>17</v>
      </c>
      <c r="P526" s="2" t="str">
        <f>IF(global_freelancer_raw[[#This Row],[No of projects ]]&lt;=5,"Entry level","Well Experienced")</f>
        <v>Well Experienced</v>
      </c>
      <c r="Q526" s="2">
        <v>7</v>
      </c>
    </row>
    <row r="527" spans="1:17" x14ac:dyDescent="0.3">
      <c r="A527" t="s">
        <v>1154</v>
      </c>
      <c r="B527" t="s">
        <v>1155</v>
      </c>
      <c r="C527" t="s">
        <v>118</v>
      </c>
      <c r="D527" s="2">
        <v>46</v>
      </c>
      <c r="E527" t="s">
        <v>79</v>
      </c>
      <c r="F527" t="s">
        <v>80</v>
      </c>
      <c r="G527" s="2" t="s">
        <v>31</v>
      </c>
      <c r="H527" s="2">
        <v>10</v>
      </c>
      <c r="I527" s="2" t="s">
        <v>2119</v>
      </c>
      <c r="J527" s="2">
        <v>4.5999999999999996</v>
      </c>
      <c r="K527" s="2" t="s">
        <v>94</v>
      </c>
      <c r="L527" s="2">
        <v>0.62</v>
      </c>
      <c r="M527" s="2" t="s">
        <v>24</v>
      </c>
      <c r="N527" s="2" t="s">
        <v>75</v>
      </c>
      <c r="O527" s="2">
        <v>6</v>
      </c>
      <c r="P527" s="2" t="str">
        <f>IF(global_freelancer_raw[[#This Row],[No of projects ]]&lt;=5,"Entry level","Well Experienced")</f>
        <v>Well Experienced</v>
      </c>
      <c r="Q527" s="2">
        <v>1</v>
      </c>
    </row>
    <row r="528" spans="1:17" x14ac:dyDescent="0.3">
      <c r="A528" t="s">
        <v>1156</v>
      </c>
      <c r="B528" t="s">
        <v>1157</v>
      </c>
      <c r="C528" t="s">
        <v>97</v>
      </c>
      <c r="D528" s="2">
        <v>38</v>
      </c>
      <c r="E528" t="s">
        <v>19</v>
      </c>
      <c r="F528" t="s">
        <v>20</v>
      </c>
      <c r="G528" s="2" t="s">
        <v>66</v>
      </c>
      <c r="H528" s="2">
        <v>18</v>
      </c>
      <c r="I528" s="2" t="s">
        <v>70</v>
      </c>
      <c r="J528" s="2">
        <v>4.9000000000000004</v>
      </c>
      <c r="K528" s="2" t="s">
        <v>59</v>
      </c>
      <c r="L528" s="2">
        <v>0.74</v>
      </c>
      <c r="M528" s="2" t="s">
        <v>60</v>
      </c>
      <c r="N528" s="2" t="s">
        <v>34</v>
      </c>
      <c r="O528" s="2">
        <v>11</v>
      </c>
      <c r="P528" s="2" t="str">
        <f>IF(global_freelancer_raw[[#This Row],[No of projects ]]&lt;=5,"Entry level","Well Experienced")</f>
        <v>Well Experienced</v>
      </c>
      <c r="Q528" s="2">
        <v>11</v>
      </c>
    </row>
    <row r="529" spans="1:17" x14ac:dyDescent="0.3">
      <c r="A529" t="s">
        <v>1158</v>
      </c>
      <c r="B529" t="s">
        <v>1159</v>
      </c>
      <c r="C529" t="s">
        <v>118</v>
      </c>
      <c r="D529" s="2">
        <v>26</v>
      </c>
      <c r="E529" t="s">
        <v>212</v>
      </c>
      <c r="F529" t="s">
        <v>92</v>
      </c>
      <c r="G529" s="2" t="s">
        <v>21</v>
      </c>
      <c r="H529" s="2">
        <v>1</v>
      </c>
      <c r="I529" s="2" t="s">
        <v>142</v>
      </c>
      <c r="J529" s="2">
        <v>0</v>
      </c>
      <c r="K529" s="2" t="s">
        <v>33</v>
      </c>
      <c r="L529" s="2" t="s">
        <v>2120</v>
      </c>
      <c r="M529" s="2" t="s">
        <v>24</v>
      </c>
      <c r="N529" s="2" t="s">
        <v>34</v>
      </c>
      <c r="O529" s="2">
        <v>1</v>
      </c>
      <c r="P529" s="2" t="str">
        <f>IF(global_freelancer_raw[[#This Row],[No of projects ]]&lt;=5,"Entry level","Well Experienced")</f>
        <v>Entry level</v>
      </c>
      <c r="Q529" s="2">
        <v>1</v>
      </c>
    </row>
    <row r="530" spans="1:17" x14ac:dyDescent="0.3">
      <c r="A530" t="s">
        <v>1160</v>
      </c>
      <c r="B530" t="s">
        <v>1161</v>
      </c>
      <c r="C530" t="s">
        <v>97</v>
      </c>
      <c r="D530" s="2">
        <v>40</v>
      </c>
      <c r="E530" t="s">
        <v>85</v>
      </c>
      <c r="F530" t="s">
        <v>30</v>
      </c>
      <c r="G530" s="2" t="s">
        <v>110</v>
      </c>
      <c r="H530" s="2">
        <v>12</v>
      </c>
      <c r="I530" s="2" t="s">
        <v>52</v>
      </c>
      <c r="J530" s="2">
        <v>3.5</v>
      </c>
      <c r="K530" s="2" t="s">
        <v>2120</v>
      </c>
      <c r="L530" s="2">
        <v>0.98</v>
      </c>
      <c r="M530" s="2" t="s">
        <v>24</v>
      </c>
      <c r="N530" s="2" t="s">
        <v>34</v>
      </c>
      <c r="O530" s="2">
        <v>12</v>
      </c>
      <c r="P530" s="2" t="str">
        <f>IF(global_freelancer_raw[[#This Row],[No of projects ]]&lt;=5,"Entry level","Well Experienced")</f>
        <v>Well Experienced</v>
      </c>
      <c r="Q530" s="2">
        <v>9</v>
      </c>
    </row>
    <row r="531" spans="1:17" x14ac:dyDescent="0.3">
      <c r="A531" t="s">
        <v>1162</v>
      </c>
      <c r="B531" t="s">
        <v>1163</v>
      </c>
      <c r="C531" t="s">
        <v>118</v>
      </c>
      <c r="D531" s="2">
        <v>37</v>
      </c>
      <c r="E531" t="s">
        <v>38</v>
      </c>
      <c r="F531" t="s">
        <v>38</v>
      </c>
      <c r="G531" s="2" t="s">
        <v>135</v>
      </c>
      <c r="H531" s="2" t="s">
        <v>2120</v>
      </c>
      <c r="I531" s="2" t="s">
        <v>2119</v>
      </c>
      <c r="J531" s="2">
        <v>1.7</v>
      </c>
      <c r="K531" s="2" t="s">
        <v>87</v>
      </c>
      <c r="L531" s="2">
        <v>0.63</v>
      </c>
      <c r="M531" s="2" t="s">
        <v>24</v>
      </c>
      <c r="N531" s="2" t="s">
        <v>42</v>
      </c>
      <c r="O531" s="2">
        <v>2</v>
      </c>
      <c r="P531" s="2" t="str">
        <f>IF(global_freelancer_raw[[#This Row],[No of projects ]]&lt;=5,"Entry level","Well Experienced")</f>
        <v>Entry level</v>
      </c>
      <c r="Q531" s="2">
        <v>1</v>
      </c>
    </row>
    <row r="532" spans="1:17" x14ac:dyDescent="0.3">
      <c r="A532" t="s">
        <v>1164</v>
      </c>
      <c r="B532" t="s">
        <v>1165</v>
      </c>
      <c r="C532" t="s">
        <v>118</v>
      </c>
      <c r="D532" s="2">
        <v>28</v>
      </c>
      <c r="E532" t="s">
        <v>149</v>
      </c>
      <c r="F532" t="s">
        <v>30</v>
      </c>
      <c r="G532" s="2" t="s">
        <v>21</v>
      </c>
      <c r="H532" s="2">
        <v>5</v>
      </c>
      <c r="I532" s="2" t="s">
        <v>81</v>
      </c>
      <c r="J532" s="2">
        <v>0</v>
      </c>
      <c r="K532" s="2" t="s">
        <v>87</v>
      </c>
      <c r="L532" s="2">
        <v>96</v>
      </c>
      <c r="M532" s="2" t="s">
        <v>82</v>
      </c>
      <c r="N532" s="2" t="s">
        <v>75</v>
      </c>
      <c r="O532" s="2">
        <v>2</v>
      </c>
      <c r="P532" s="2" t="str">
        <f>IF(global_freelancer_raw[[#This Row],[No of projects ]]&lt;=5,"Entry level","Well Experienced")</f>
        <v>Entry level</v>
      </c>
      <c r="Q532" s="2">
        <v>2</v>
      </c>
    </row>
    <row r="533" spans="1:17" x14ac:dyDescent="0.3">
      <c r="A533" t="s">
        <v>1166</v>
      </c>
      <c r="B533" t="s">
        <v>1167</v>
      </c>
      <c r="C533" t="s">
        <v>97</v>
      </c>
      <c r="D533" s="2">
        <v>48</v>
      </c>
      <c r="E533" t="s">
        <v>114</v>
      </c>
      <c r="F533" t="s">
        <v>115</v>
      </c>
      <c r="G533" s="2" t="s">
        <v>31</v>
      </c>
      <c r="H533" s="2">
        <v>28</v>
      </c>
      <c r="I533" s="2" t="s">
        <v>336</v>
      </c>
      <c r="J533" s="2">
        <v>0</v>
      </c>
      <c r="K533" s="2" t="s">
        <v>23</v>
      </c>
      <c r="L533" s="2">
        <v>0.88</v>
      </c>
      <c r="M533" s="2" t="s">
        <v>60</v>
      </c>
      <c r="N533" s="2" t="s">
        <v>25</v>
      </c>
      <c r="O533" s="2">
        <v>18</v>
      </c>
      <c r="P533" s="2" t="str">
        <f>IF(global_freelancer_raw[[#This Row],[No of projects ]]&lt;=5,"Entry level","Well Experienced")</f>
        <v>Well Experienced</v>
      </c>
      <c r="Q533" s="2">
        <v>8</v>
      </c>
    </row>
    <row r="534" spans="1:17" x14ac:dyDescent="0.3">
      <c r="A534" t="s">
        <v>1168</v>
      </c>
      <c r="B534" t="s">
        <v>1169</v>
      </c>
      <c r="C534" t="s">
        <v>118</v>
      </c>
      <c r="D534" s="2">
        <v>22</v>
      </c>
      <c r="E534" t="s">
        <v>114</v>
      </c>
      <c r="F534" t="s">
        <v>115</v>
      </c>
      <c r="G534" s="2" t="s">
        <v>57</v>
      </c>
      <c r="H534" s="2">
        <v>0</v>
      </c>
      <c r="I534" s="2" t="s">
        <v>2119</v>
      </c>
      <c r="J534" s="2">
        <v>4.5999999999999996</v>
      </c>
      <c r="K534" s="2" t="s">
        <v>59</v>
      </c>
      <c r="L534" s="2" t="s">
        <v>2120</v>
      </c>
      <c r="M534" s="2" t="s">
        <v>88</v>
      </c>
      <c r="N534" s="2" t="s">
        <v>42</v>
      </c>
      <c r="O534" s="2">
        <v>4</v>
      </c>
      <c r="P534" s="2" t="str">
        <f>IF(global_freelancer_raw[[#This Row],[No of projects ]]&lt;=5,"Entry level","Well Experienced")</f>
        <v>Entry level</v>
      </c>
      <c r="Q534" s="2">
        <v>1</v>
      </c>
    </row>
    <row r="535" spans="1:17" x14ac:dyDescent="0.3">
      <c r="A535" t="s">
        <v>1170</v>
      </c>
      <c r="B535" t="s">
        <v>1171</v>
      </c>
      <c r="C535" t="s">
        <v>97</v>
      </c>
      <c r="D535" s="2">
        <v>41</v>
      </c>
      <c r="E535" t="s">
        <v>38</v>
      </c>
      <c r="F535" t="s">
        <v>38</v>
      </c>
      <c r="G535" s="2" t="s">
        <v>46</v>
      </c>
      <c r="H535" s="2">
        <v>14</v>
      </c>
      <c r="I535" s="2" t="s">
        <v>86</v>
      </c>
      <c r="J535" s="2">
        <v>1.1000000000000001</v>
      </c>
      <c r="K535" s="2" t="s">
        <v>74</v>
      </c>
      <c r="L535" s="2">
        <v>0.73</v>
      </c>
      <c r="M535" s="2" t="s">
        <v>88</v>
      </c>
      <c r="N535" s="2" t="s">
        <v>34</v>
      </c>
      <c r="O535" s="2">
        <v>7</v>
      </c>
      <c r="P535" s="2" t="str">
        <f>IF(global_freelancer_raw[[#This Row],[No of projects ]]&lt;=5,"Entry level","Well Experienced")</f>
        <v>Well Experienced</v>
      </c>
      <c r="Q535" s="2">
        <v>5</v>
      </c>
    </row>
    <row r="536" spans="1:17" x14ac:dyDescent="0.3">
      <c r="A536" t="s">
        <v>1172</v>
      </c>
      <c r="B536" t="s">
        <v>1173</v>
      </c>
      <c r="C536" t="s">
        <v>118</v>
      </c>
      <c r="D536" s="2">
        <v>38</v>
      </c>
      <c r="E536" t="s">
        <v>73</v>
      </c>
      <c r="F536" t="s">
        <v>30</v>
      </c>
      <c r="G536" s="2" t="s">
        <v>39</v>
      </c>
      <c r="H536" s="2">
        <v>15</v>
      </c>
      <c r="I536" s="2" t="s">
        <v>2119</v>
      </c>
      <c r="J536" s="2">
        <v>4.2</v>
      </c>
      <c r="K536" s="2" t="s">
        <v>23</v>
      </c>
      <c r="L536" s="2">
        <v>0.88</v>
      </c>
      <c r="M536" s="2" t="s">
        <v>60</v>
      </c>
      <c r="N536" s="2" t="s">
        <v>75</v>
      </c>
      <c r="O536" s="2">
        <v>15</v>
      </c>
      <c r="P536" s="2" t="str">
        <f>IF(global_freelancer_raw[[#This Row],[No of projects ]]&lt;=5,"Entry level","Well Experienced")</f>
        <v>Well Experienced</v>
      </c>
      <c r="Q536" s="2">
        <v>4</v>
      </c>
    </row>
    <row r="537" spans="1:17" x14ac:dyDescent="0.3">
      <c r="A537" t="s">
        <v>1174</v>
      </c>
      <c r="B537" t="s">
        <v>1175</v>
      </c>
      <c r="C537" t="s">
        <v>97</v>
      </c>
      <c r="D537" s="2">
        <v>31</v>
      </c>
      <c r="E537" t="s">
        <v>175</v>
      </c>
      <c r="F537" t="s">
        <v>176</v>
      </c>
      <c r="G537" s="2" t="s">
        <v>93</v>
      </c>
      <c r="H537" s="2">
        <v>9</v>
      </c>
      <c r="I537" s="2" t="s">
        <v>2119</v>
      </c>
      <c r="J537" s="2">
        <v>0</v>
      </c>
      <c r="K537" s="2" t="s">
        <v>59</v>
      </c>
      <c r="L537" s="2">
        <v>0.91</v>
      </c>
      <c r="M537" s="2" t="s">
        <v>82</v>
      </c>
      <c r="N537" s="2" t="s">
        <v>34</v>
      </c>
      <c r="O537" s="2">
        <v>10</v>
      </c>
      <c r="P537" s="2" t="str">
        <f>IF(global_freelancer_raw[[#This Row],[No of projects ]]&lt;=5,"Entry level","Well Experienced")</f>
        <v>Well Experienced</v>
      </c>
      <c r="Q537" s="2">
        <v>5</v>
      </c>
    </row>
    <row r="538" spans="1:17" x14ac:dyDescent="0.3">
      <c r="A538" t="s">
        <v>1176</v>
      </c>
      <c r="B538" t="s">
        <v>1177</v>
      </c>
      <c r="C538" t="s">
        <v>97</v>
      </c>
      <c r="D538" s="2">
        <v>30</v>
      </c>
      <c r="E538" t="s">
        <v>197</v>
      </c>
      <c r="F538" t="s">
        <v>198</v>
      </c>
      <c r="G538" s="2" t="s">
        <v>31</v>
      </c>
      <c r="H538" s="2">
        <v>9</v>
      </c>
      <c r="I538" s="2" t="s">
        <v>58</v>
      </c>
      <c r="J538" s="2">
        <v>3.9</v>
      </c>
      <c r="K538" s="2" t="s">
        <v>181</v>
      </c>
      <c r="L538" s="2">
        <v>0.65</v>
      </c>
      <c r="M538" s="2" t="s">
        <v>82</v>
      </c>
      <c r="N538" s="2" t="s">
        <v>25</v>
      </c>
      <c r="O538" s="2">
        <v>15</v>
      </c>
      <c r="P538" s="2" t="str">
        <f>IF(global_freelancer_raw[[#This Row],[No of projects ]]&lt;=5,"Entry level","Well Experienced")</f>
        <v>Well Experienced</v>
      </c>
      <c r="Q538" s="2">
        <v>13</v>
      </c>
    </row>
    <row r="539" spans="1:17" x14ac:dyDescent="0.3">
      <c r="A539" t="s">
        <v>1178</v>
      </c>
      <c r="B539" t="s">
        <v>1179</v>
      </c>
      <c r="C539" t="s">
        <v>118</v>
      </c>
      <c r="D539" s="2">
        <v>51</v>
      </c>
      <c r="E539" t="s">
        <v>201</v>
      </c>
      <c r="F539" t="s">
        <v>92</v>
      </c>
      <c r="G539" s="2" t="s">
        <v>93</v>
      </c>
      <c r="H539" s="2">
        <v>22</v>
      </c>
      <c r="I539" s="2" t="s">
        <v>162</v>
      </c>
      <c r="J539" s="2">
        <v>3.4</v>
      </c>
      <c r="K539" s="2" t="s">
        <v>74</v>
      </c>
      <c r="L539" s="2">
        <v>90</v>
      </c>
      <c r="M539" s="2" t="s">
        <v>24</v>
      </c>
      <c r="N539" s="2" t="s">
        <v>34</v>
      </c>
      <c r="O539" s="2">
        <v>15</v>
      </c>
      <c r="P539" s="2" t="str">
        <f>IF(global_freelancer_raw[[#This Row],[No of projects ]]&lt;=5,"Entry level","Well Experienced")</f>
        <v>Well Experienced</v>
      </c>
      <c r="Q539" s="2">
        <v>15</v>
      </c>
    </row>
    <row r="540" spans="1:17" x14ac:dyDescent="0.3">
      <c r="A540" t="s">
        <v>1180</v>
      </c>
      <c r="B540" t="s">
        <v>1181</v>
      </c>
      <c r="C540" t="s">
        <v>97</v>
      </c>
      <c r="D540" s="2">
        <v>21</v>
      </c>
      <c r="E540" t="s">
        <v>38</v>
      </c>
      <c r="F540" t="s">
        <v>38</v>
      </c>
      <c r="G540" s="2" t="s">
        <v>110</v>
      </c>
      <c r="H540" s="2">
        <v>0</v>
      </c>
      <c r="I540" s="2" t="s">
        <v>142</v>
      </c>
      <c r="J540" s="2">
        <v>2.6</v>
      </c>
      <c r="K540" s="2" t="s">
        <v>41</v>
      </c>
      <c r="L540" s="2">
        <v>0.72</v>
      </c>
      <c r="M540" s="2" t="s">
        <v>60</v>
      </c>
      <c r="N540" s="2" t="s">
        <v>34</v>
      </c>
      <c r="O540" s="2">
        <v>2</v>
      </c>
      <c r="P540" s="2" t="str">
        <f>IF(global_freelancer_raw[[#This Row],[No of projects ]]&lt;=5,"Entry level","Well Experienced")</f>
        <v>Entry level</v>
      </c>
      <c r="Q540" s="2">
        <v>5</v>
      </c>
    </row>
    <row r="541" spans="1:17" x14ac:dyDescent="0.3">
      <c r="A541" t="s">
        <v>1182</v>
      </c>
      <c r="B541" t="s">
        <v>1183</v>
      </c>
      <c r="C541" t="s">
        <v>97</v>
      </c>
      <c r="D541" s="2">
        <v>20</v>
      </c>
      <c r="E541" t="s">
        <v>19</v>
      </c>
      <c r="F541" t="s">
        <v>20</v>
      </c>
      <c r="G541" s="2" t="s">
        <v>110</v>
      </c>
      <c r="H541" s="2">
        <v>1</v>
      </c>
      <c r="I541" s="2" t="s">
        <v>70</v>
      </c>
      <c r="J541" s="2">
        <v>2.2999999999999998</v>
      </c>
      <c r="K541" s="2" t="s">
        <v>33</v>
      </c>
      <c r="L541" s="2">
        <v>0.72</v>
      </c>
      <c r="M541" s="2" t="s">
        <v>60</v>
      </c>
      <c r="N541" s="2" t="s">
        <v>25</v>
      </c>
      <c r="O541" s="2">
        <v>1</v>
      </c>
      <c r="P541" s="2" t="str">
        <f>IF(global_freelancer_raw[[#This Row],[No of projects ]]&lt;=5,"Entry level","Well Experienced")</f>
        <v>Entry level</v>
      </c>
      <c r="Q541" s="2">
        <v>2</v>
      </c>
    </row>
    <row r="542" spans="1:17" x14ac:dyDescent="0.3">
      <c r="A542" t="s">
        <v>1184</v>
      </c>
      <c r="B542" t="s">
        <v>1185</v>
      </c>
      <c r="C542" t="s">
        <v>118</v>
      </c>
      <c r="D542" s="2">
        <v>30</v>
      </c>
      <c r="E542" t="s">
        <v>106</v>
      </c>
      <c r="F542" t="s">
        <v>107</v>
      </c>
      <c r="G542" s="2" t="s">
        <v>21</v>
      </c>
      <c r="H542" s="2">
        <v>5</v>
      </c>
      <c r="I542" s="2" t="s">
        <v>58</v>
      </c>
      <c r="J542" s="2">
        <v>4.8</v>
      </c>
      <c r="K542" s="2" t="s">
        <v>41</v>
      </c>
      <c r="L542" s="2" t="s">
        <v>2120</v>
      </c>
      <c r="M542" s="2" t="s">
        <v>88</v>
      </c>
      <c r="N542" s="2" t="s">
        <v>75</v>
      </c>
      <c r="O542" s="2">
        <v>1</v>
      </c>
      <c r="P542" s="2" t="str">
        <f>IF(global_freelancer_raw[[#This Row],[No of projects ]]&lt;=5,"Entry level","Well Experienced")</f>
        <v>Entry level</v>
      </c>
      <c r="Q542" s="2">
        <v>2</v>
      </c>
    </row>
    <row r="543" spans="1:17" x14ac:dyDescent="0.3">
      <c r="A543" t="s">
        <v>1186</v>
      </c>
      <c r="B543" t="s">
        <v>1187</v>
      </c>
      <c r="C543" t="s">
        <v>118</v>
      </c>
      <c r="D543" s="2">
        <v>41</v>
      </c>
      <c r="E543" t="s">
        <v>197</v>
      </c>
      <c r="F543" t="s">
        <v>198</v>
      </c>
      <c r="G543" s="2" t="s">
        <v>66</v>
      </c>
      <c r="H543" s="2">
        <v>0</v>
      </c>
      <c r="I543" s="2" t="s">
        <v>70</v>
      </c>
      <c r="J543" s="2">
        <v>4.5</v>
      </c>
      <c r="K543" s="2" t="s">
        <v>41</v>
      </c>
      <c r="L543" s="2">
        <v>0.68</v>
      </c>
      <c r="M543" s="2" t="s">
        <v>60</v>
      </c>
      <c r="N543" s="2" t="s">
        <v>42</v>
      </c>
      <c r="O543" s="2">
        <v>3</v>
      </c>
      <c r="P543" s="2" t="str">
        <f>IF(global_freelancer_raw[[#This Row],[No of projects ]]&lt;=5,"Entry level","Well Experienced")</f>
        <v>Entry level</v>
      </c>
      <c r="Q543" s="2">
        <v>2</v>
      </c>
    </row>
    <row r="544" spans="1:17" x14ac:dyDescent="0.3">
      <c r="A544" t="s">
        <v>1188</v>
      </c>
      <c r="B544" t="s">
        <v>1189</v>
      </c>
      <c r="C544" t="s">
        <v>118</v>
      </c>
      <c r="D544" s="2">
        <v>22</v>
      </c>
      <c r="E544" t="s">
        <v>212</v>
      </c>
      <c r="F544" t="s">
        <v>92</v>
      </c>
      <c r="G544" s="2" t="s">
        <v>21</v>
      </c>
      <c r="H544" s="2">
        <v>0</v>
      </c>
      <c r="I544" s="2" t="s">
        <v>58</v>
      </c>
      <c r="J544" s="2">
        <v>0</v>
      </c>
      <c r="K544" s="2" t="s">
        <v>23</v>
      </c>
      <c r="L544" s="2">
        <v>0.87</v>
      </c>
      <c r="M544" s="2" t="s">
        <v>82</v>
      </c>
      <c r="N544" s="2" t="s">
        <v>75</v>
      </c>
      <c r="O544" s="2">
        <v>5</v>
      </c>
      <c r="P544" s="2" t="str">
        <f>IF(global_freelancer_raw[[#This Row],[No of projects ]]&lt;=5,"Entry level","Well Experienced")</f>
        <v>Entry level</v>
      </c>
      <c r="Q544" s="2">
        <v>3</v>
      </c>
    </row>
    <row r="545" spans="1:17" x14ac:dyDescent="0.3">
      <c r="A545" t="s">
        <v>1190</v>
      </c>
      <c r="B545" t="s">
        <v>1191</v>
      </c>
      <c r="C545" t="s">
        <v>118</v>
      </c>
      <c r="D545" s="2">
        <v>45</v>
      </c>
      <c r="E545" t="s">
        <v>201</v>
      </c>
      <c r="F545" t="s">
        <v>92</v>
      </c>
      <c r="G545" s="2" t="s">
        <v>98</v>
      </c>
      <c r="H545" s="2">
        <v>19</v>
      </c>
      <c r="I545" s="2" t="s">
        <v>103</v>
      </c>
      <c r="J545" s="2">
        <v>0</v>
      </c>
      <c r="K545" s="2" t="s">
        <v>181</v>
      </c>
      <c r="L545" s="2">
        <v>0.72</v>
      </c>
      <c r="M545" s="2" t="s">
        <v>60</v>
      </c>
      <c r="N545" s="2" t="s">
        <v>25</v>
      </c>
      <c r="O545" s="2">
        <v>14</v>
      </c>
      <c r="P545" s="2" t="str">
        <f>IF(global_freelancer_raw[[#This Row],[No of projects ]]&lt;=5,"Entry level","Well Experienced")</f>
        <v>Well Experienced</v>
      </c>
      <c r="Q545" s="2">
        <v>20</v>
      </c>
    </row>
    <row r="546" spans="1:17" x14ac:dyDescent="0.3">
      <c r="A546" t="s">
        <v>1192</v>
      </c>
      <c r="B546" t="s">
        <v>1193</v>
      </c>
      <c r="C546" t="s">
        <v>97</v>
      </c>
      <c r="D546" s="2">
        <v>22</v>
      </c>
      <c r="E546" t="s">
        <v>29</v>
      </c>
      <c r="F546" t="s">
        <v>30</v>
      </c>
      <c r="G546" s="2" t="s">
        <v>66</v>
      </c>
      <c r="H546" s="2">
        <v>2</v>
      </c>
      <c r="I546" s="2" t="s">
        <v>86</v>
      </c>
      <c r="J546" s="2">
        <v>1.1000000000000001</v>
      </c>
      <c r="K546" s="2" t="s">
        <v>181</v>
      </c>
      <c r="L546" s="2">
        <v>0.76</v>
      </c>
      <c r="M546" s="2" t="s">
        <v>88</v>
      </c>
      <c r="N546" s="2" t="s">
        <v>34</v>
      </c>
      <c r="O546" s="2">
        <v>4</v>
      </c>
      <c r="P546" s="2" t="str">
        <f>IF(global_freelancer_raw[[#This Row],[No of projects ]]&lt;=5,"Entry level","Well Experienced")</f>
        <v>Entry level</v>
      </c>
      <c r="Q546" s="2">
        <v>1</v>
      </c>
    </row>
    <row r="547" spans="1:17" x14ac:dyDescent="0.3">
      <c r="A547" t="s">
        <v>1194</v>
      </c>
      <c r="B547" t="s">
        <v>1195</v>
      </c>
      <c r="C547" t="s">
        <v>97</v>
      </c>
      <c r="D547" s="2">
        <v>20</v>
      </c>
      <c r="E547" t="s">
        <v>79</v>
      </c>
      <c r="F547" t="s">
        <v>80</v>
      </c>
      <c r="G547" s="2" t="s">
        <v>31</v>
      </c>
      <c r="H547" s="2">
        <v>0</v>
      </c>
      <c r="I547" s="2" t="s">
        <v>22</v>
      </c>
      <c r="J547" s="2">
        <v>0</v>
      </c>
      <c r="K547" s="2" t="s">
        <v>23</v>
      </c>
      <c r="L547" s="2">
        <v>63</v>
      </c>
      <c r="M547" s="2" t="s">
        <v>24</v>
      </c>
      <c r="N547" s="2" t="s">
        <v>75</v>
      </c>
      <c r="O547" s="2">
        <v>1</v>
      </c>
      <c r="P547" s="2" t="str">
        <f>IF(global_freelancer_raw[[#This Row],[No of projects ]]&lt;=5,"Entry level","Well Experienced")</f>
        <v>Entry level</v>
      </c>
      <c r="Q547" s="2">
        <v>3</v>
      </c>
    </row>
    <row r="548" spans="1:17" x14ac:dyDescent="0.3">
      <c r="A548" t="s">
        <v>1196</v>
      </c>
      <c r="B548" t="s">
        <v>1197</v>
      </c>
      <c r="C548" t="s">
        <v>97</v>
      </c>
      <c r="D548" s="2">
        <v>20</v>
      </c>
      <c r="E548" t="s">
        <v>149</v>
      </c>
      <c r="F548" t="s">
        <v>30</v>
      </c>
      <c r="G548" s="2" t="s">
        <v>66</v>
      </c>
      <c r="H548" s="2">
        <v>2</v>
      </c>
      <c r="I548" s="2" t="s">
        <v>86</v>
      </c>
      <c r="J548" s="2" t="s">
        <v>2120</v>
      </c>
      <c r="K548" s="2" t="s">
        <v>33</v>
      </c>
      <c r="L548" s="2">
        <v>0.91</v>
      </c>
      <c r="M548" s="2" t="s">
        <v>88</v>
      </c>
      <c r="N548" s="2" t="s">
        <v>42</v>
      </c>
      <c r="O548" s="2">
        <v>1</v>
      </c>
      <c r="P548" s="2" t="str">
        <f>IF(global_freelancer_raw[[#This Row],[No of projects ]]&lt;=5,"Entry level","Well Experienced")</f>
        <v>Entry level</v>
      </c>
      <c r="Q548" s="2">
        <v>1</v>
      </c>
    </row>
    <row r="549" spans="1:17" x14ac:dyDescent="0.3">
      <c r="A549" t="s">
        <v>1198</v>
      </c>
      <c r="B549" t="s">
        <v>1199</v>
      </c>
      <c r="C549" t="s">
        <v>118</v>
      </c>
      <c r="D549" s="2">
        <v>21</v>
      </c>
      <c r="E549" t="s">
        <v>85</v>
      </c>
      <c r="F549" t="s">
        <v>30</v>
      </c>
      <c r="G549" s="2" t="s">
        <v>57</v>
      </c>
      <c r="H549" s="2">
        <v>0</v>
      </c>
      <c r="I549" s="2" t="s">
        <v>22</v>
      </c>
      <c r="J549" s="2" t="s">
        <v>2120</v>
      </c>
      <c r="K549" s="2" t="s">
        <v>23</v>
      </c>
      <c r="L549" s="2">
        <v>0.73</v>
      </c>
      <c r="M549" s="2" t="s">
        <v>88</v>
      </c>
      <c r="N549" s="2" t="s">
        <v>25</v>
      </c>
      <c r="O549" s="2">
        <v>1</v>
      </c>
      <c r="P549" s="2" t="str">
        <f>IF(global_freelancer_raw[[#This Row],[No of projects ]]&lt;=5,"Entry level","Well Experienced")</f>
        <v>Entry level</v>
      </c>
      <c r="Q549" s="2">
        <v>1</v>
      </c>
    </row>
    <row r="550" spans="1:17" x14ac:dyDescent="0.3">
      <c r="A550" t="s">
        <v>1200</v>
      </c>
      <c r="B550" t="s">
        <v>1201</v>
      </c>
      <c r="C550" t="s">
        <v>118</v>
      </c>
      <c r="D550" s="2">
        <v>22</v>
      </c>
      <c r="E550" t="s">
        <v>55</v>
      </c>
      <c r="F550" t="s">
        <v>56</v>
      </c>
      <c r="G550" s="2" t="s">
        <v>98</v>
      </c>
      <c r="H550" s="2">
        <v>1</v>
      </c>
      <c r="I550" s="2" t="s">
        <v>86</v>
      </c>
      <c r="J550" s="2">
        <v>0</v>
      </c>
      <c r="K550" s="2" t="s">
        <v>23</v>
      </c>
      <c r="L550" s="2">
        <v>0.63</v>
      </c>
      <c r="M550" s="2" t="s">
        <v>24</v>
      </c>
      <c r="N550" s="2" t="s">
        <v>75</v>
      </c>
      <c r="O550" s="2">
        <v>5</v>
      </c>
      <c r="P550" s="2" t="str">
        <f>IF(global_freelancer_raw[[#This Row],[No of projects ]]&lt;=5,"Entry level","Well Experienced")</f>
        <v>Entry level</v>
      </c>
      <c r="Q550" s="2">
        <v>1</v>
      </c>
    </row>
    <row r="551" spans="1:17" x14ac:dyDescent="0.3">
      <c r="A551" t="s">
        <v>1202</v>
      </c>
      <c r="B551" t="s">
        <v>1203</v>
      </c>
      <c r="C551" t="s">
        <v>97</v>
      </c>
      <c r="D551" s="2">
        <v>28</v>
      </c>
      <c r="E551" t="s">
        <v>85</v>
      </c>
      <c r="F551" t="s">
        <v>30</v>
      </c>
      <c r="G551" s="2" t="s">
        <v>110</v>
      </c>
      <c r="H551" s="2">
        <v>3</v>
      </c>
      <c r="I551" s="2" t="s">
        <v>336</v>
      </c>
      <c r="J551" s="2" t="s">
        <v>2120</v>
      </c>
      <c r="K551" s="2" t="s">
        <v>33</v>
      </c>
      <c r="L551" s="2">
        <v>0.79</v>
      </c>
      <c r="M551" s="2" t="s">
        <v>88</v>
      </c>
      <c r="N551" s="2" t="s">
        <v>42</v>
      </c>
      <c r="O551" s="2">
        <v>2</v>
      </c>
      <c r="P551" s="2" t="str">
        <f>IF(global_freelancer_raw[[#This Row],[No of projects ]]&lt;=5,"Entry level","Well Experienced")</f>
        <v>Entry level</v>
      </c>
      <c r="Q551" s="2">
        <v>1</v>
      </c>
    </row>
    <row r="552" spans="1:17" x14ac:dyDescent="0.3">
      <c r="A552" t="s">
        <v>1204</v>
      </c>
      <c r="B552" t="s">
        <v>1205</v>
      </c>
      <c r="C552" t="s">
        <v>97</v>
      </c>
      <c r="D552" s="2">
        <v>59</v>
      </c>
      <c r="E552" t="s">
        <v>91</v>
      </c>
      <c r="F552" t="s">
        <v>92</v>
      </c>
      <c r="G552" s="2" t="s">
        <v>57</v>
      </c>
      <c r="H552" s="2" t="s">
        <v>2120</v>
      </c>
      <c r="I552" s="2" t="s">
        <v>162</v>
      </c>
      <c r="J552" s="2">
        <v>4.0999999999999996</v>
      </c>
      <c r="K552" s="2" t="s">
        <v>23</v>
      </c>
      <c r="L552" s="2">
        <v>75</v>
      </c>
      <c r="M552" s="2" t="s">
        <v>88</v>
      </c>
      <c r="N552" s="2" t="s">
        <v>25</v>
      </c>
      <c r="O552" s="2">
        <v>2</v>
      </c>
      <c r="P552" s="2" t="str">
        <f>IF(global_freelancer_raw[[#This Row],[No of projects ]]&lt;=5,"Entry level","Well Experienced")</f>
        <v>Entry level</v>
      </c>
      <c r="Q552" s="2">
        <v>2</v>
      </c>
    </row>
    <row r="553" spans="1:17" x14ac:dyDescent="0.3">
      <c r="A553" t="s">
        <v>1206</v>
      </c>
      <c r="B553" t="s">
        <v>1207</v>
      </c>
      <c r="C553" t="s">
        <v>97</v>
      </c>
      <c r="D553" s="2">
        <v>28</v>
      </c>
      <c r="E553" t="s">
        <v>156</v>
      </c>
      <c r="F553" t="s">
        <v>157</v>
      </c>
      <c r="G553" s="2" t="s">
        <v>46</v>
      </c>
      <c r="H553" s="2">
        <v>1</v>
      </c>
      <c r="I553" s="2" t="s">
        <v>2119</v>
      </c>
      <c r="J553" s="2">
        <v>0</v>
      </c>
      <c r="K553" s="2" t="s">
        <v>23</v>
      </c>
      <c r="L553" s="2">
        <v>0.7</v>
      </c>
      <c r="M553" s="2" t="s">
        <v>60</v>
      </c>
      <c r="N553" s="2" t="s">
        <v>42</v>
      </c>
      <c r="O553" s="2">
        <v>1</v>
      </c>
      <c r="P553" s="2" t="str">
        <f>IF(global_freelancer_raw[[#This Row],[No of projects ]]&lt;=5,"Entry level","Well Experienced")</f>
        <v>Entry level</v>
      </c>
      <c r="Q553" s="2">
        <v>2</v>
      </c>
    </row>
    <row r="554" spans="1:17" x14ac:dyDescent="0.3">
      <c r="A554" t="s">
        <v>1208</v>
      </c>
      <c r="B554" t="s">
        <v>1209</v>
      </c>
      <c r="C554" t="s">
        <v>97</v>
      </c>
      <c r="D554" s="2">
        <v>40</v>
      </c>
      <c r="E554" t="s">
        <v>29</v>
      </c>
      <c r="F554" t="s">
        <v>30</v>
      </c>
      <c r="G554" s="2" t="s">
        <v>110</v>
      </c>
      <c r="H554" s="2">
        <v>0</v>
      </c>
      <c r="I554" s="2" t="s">
        <v>251</v>
      </c>
      <c r="J554" s="2">
        <v>1.2</v>
      </c>
      <c r="K554" s="2" t="s">
        <v>2120</v>
      </c>
      <c r="L554" s="2">
        <v>0.87</v>
      </c>
      <c r="M554" s="2" t="s">
        <v>60</v>
      </c>
      <c r="N554" s="2" t="s">
        <v>25</v>
      </c>
      <c r="O554" s="2">
        <v>1</v>
      </c>
      <c r="P554" s="2" t="str">
        <f>IF(global_freelancer_raw[[#This Row],[No of projects ]]&lt;=5,"Entry level","Well Experienced")</f>
        <v>Entry level</v>
      </c>
      <c r="Q554" s="2">
        <v>1</v>
      </c>
    </row>
    <row r="555" spans="1:17" x14ac:dyDescent="0.3">
      <c r="A555" t="s">
        <v>1210</v>
      </c>
      <c r="B555" t="s">
        <v>1211</v>
      </c>
      <c r="C555" t="s">
        <v>118</v>
      </c>
      <c r="D555" s="2">
        <v>57</v>
      </c>
      <c r="E555" t="s">
        <v>19</v>
      </c>
      <c r="F555" t="s">
        <v>20</v>
      </c>
      <c r="G555" s="2" t="s">
        <v>21</v>
      </c>
      <c r="H555" s="2">
        <v>7</v>
      </c>
      <c r="I555" s="2" t="s">
        <v>52</v>
      </c>
      <c r="J555" s="2">
        <v>1.6</v>
      </c>
      <c r="K555" s="2" t="s">
        <v>181</v>
      </c>
      <c r="L555" s="2" t="s">
        <v>2120</v>
      </c>
      <c r="M555" s="2" t="s">
        <v>24</v>
      </c>
      <c r="N555" s="2" t="s">
        <v>34</v>
      </c>
      <c r="O555" s="2">
        <v>13</v>
      </c>
      <c r="P555" s="2" t="str">
        <f>IF(global_freelancer_raw[[#This Row],[No of projects ]]&lt;=5,"Entry level","Well Experienced")</f>
        <v>Well Experienced</v>
      </c>
      <c r="Q555" s="2">
        <v>5</v>
      </c>
    </row>
    <row r="556" spans="1:17" x14ac:dyDescent="0.3">
      <c r="A556" t="s">
        <v>1212</v>
      </c>
      <c r="B556" t="s">
        <v>1213</v>
      </c>
      <c r="C556" t="s">
        <v>118</v>
      </c>
      <c r="D556" s="2">
        <v>47</v>
      </c>
      <c r="E556" t="s">
        <v>79</v>
      </c>
      <c r="F556" t="s">
        <v>80</v>
      </c>
      <c r="G556" s="2" t="s">
        <v>110</v>
      </c>
      <c r="H556" s="2">
        <v>1</v>
      </c>
      <c r="I556" s="2" t="s">
        <v>40</v>
      </c>
      <c r="J556" s="2">
        <v>3.9</v>
      </c>
      <c r="K556" s="2" t="s">
        <v>94</v>
      </c>
      <c r="L556" s="2">
        <v>0.88</v>
      </c>
      <c r="M556" s="2" t="s">
        <v>60</v>
      </c>
      <c r="N556" s="2" t="s">
        <v>75</v>
      </c>
      <c r="O556" s="2">
        <v>5</v>
      </c>
      <c r="P556" s="2" t="str">
        <f>IF(global_freelancer_raw[[#This Row],[No of projects ]]&lt;=5,"Entry level","Well Experienced")</f>
        <v>Entry level</v>
      </c>
      <c r="Q556" s="2">
        <v>3</v>
      </c>
    </row>
    <row r="557" spans="1:17" x14ac:dyDescent="0.3">
      <c r="A557" t="s">
        <v>1214</v>
      </c>
      <c r="B557" t="s">
        <v>1215</v>
      </c>
      <c r="C557" t="s">
        <v>118</v>
      </c>
      <c r="D557" s="2">
        <v>48</v>
      </c>
      <c r="E557" t="s">
        <v>133</v>
      </c>
      <c r="F557" t="s">
        <v>134</v>
      </c>
      <c r="G557" s="2" t="s">
        <v>98</v>
      </c>
      <c r="H557" s="2">
        <v>21</v>
      </c>
      <c r="I557" s="2" t="s">
        <v>86</v>
      </c>
      <c r="J557" s="2">
        <v>0</v>
      </c>
      <c r="K557" s="2" t="s">
        <v>33</v>
      </c>
      <c r="L557" s="2" t="s">
        <v>2120</v>
      </c>
      <c r="M557" s="2" t="s">
        <v>60</v>
      </c>
      <c r="N557" s="2" t="s">
        <v>42</v>
      </c>
      <c r="O557" s="2">
        <v>15</v>
      </c>
      <c r="P557" s="2" t="str">
        <f>IF(global_freelancer_raw[[#This Row],[No of projects ]]&lt;=5,"Entry level","Well Experienced")</f>
        <v>Well Experienced</v>
      </c>
      <c r="Q557" s="2">
        <v>11</v>
      </c>
    </row>
    <row r="558" spans="1:17" x14ac:dyDescent="0.3">
      <c r="A558" t="s">
        <v>1216</v>
      </c>
      <c r="B558" t="s">
        <v>1217</v>
      </c>
      <c r="C558" t="s">
        <v>118</v>
      </c>
      <c r="D558" s="2">
        <v>28</v>
      </c>
      <c r="E558" t="s">
        <v>73</v>
      </c>
      <c r="F558" t="s">
        <v>30</v>
      </c>
      <c r="G558" s="2" t="s">
        <v>93</v>
      </c>
      <c r="H558" s="2">
        <v>1</v>
      </c>
      <c r="I558" s="2" t="s">
        <v>336</v>
      </c>
      <c r="J558" s="2">
        <v>4.7</v>
      </c>
      <c r="K558" s="2" t="s">
        <v>59</v>
      </c>
      <c r="L558" s="2">
        <v>0.93</v>
      </c>
      <c r="M558" s="2" t="s">
        <v>88</v>
      </c>
      <c r="N558" s="2" t="s">
        <v>25</v>
      </c>
      <c r="O558" s="2">
        <v>5</v>
      </c>
      <c r="P558" s="2" t="str">
        <f>IF(global_freelancer_raw[[#This Row],[No of projects ]]&lt;=5,"Entry level","Well Experienced")</f>
        <v>Entry level</v>
      </c>
      <c r="Q558" s="2">
        <v>3</v>
      </c>
    </row>
    <row r="559" spans="1:17" x14ac:dyDescent="0.3">
      <c r="A559" t="s">
        <v>1218</v>
      </c>
      <c r="B559" t="s">
        <v>1219</v>
      </c>
      <c r="C559" t="s">
        <v>118</v>
      </c>
      <c r="D559" s="2">
        <v>41</v>
      </c>
      <c r="E559" t="s">
        <v>79</v>
      </c>
      <c r="F559" t="s">
        <v>80</v>
      </c>
      <c r="G559" s="2" t="s">
        <v>39</v>
      </c>
      <c r="H559" s="2">
        <v>15</v>
      </c>
      <c r="I559" s="2" t="s">
        <v>2119</v>
      </c>
      <c r="J559" s="2">
        <v>3.8</v>
      </c>
      <c r="K559" s="2" t="s">
        <v>33</v>
      </c>
      <c r="L559" s="2" t="s">
        <v>2120</v>
      </c>
      <c r="M559" s="2" t="s">
        <v>82</v>
      </c>
      <c r="N559" s="2" t="s">
        <v>42</v>
      </c>
      <c r="O559" s="2">
        <v>13</v>
      </c>
      <c r="P559" s="2" t="str">
        <f>IF(global_freelancer_raw[[#This Row],[No of projects ]]&lt;=5,"Entry level","Well Experienced")</f>
        <v>Well Experienced</v>
      </c>
      <c r="Q559" s="2">
        <v>5</v>
      </c>
    </row>
    <row r="560" spans="1:17" x14ac:dyDescent="0.3">
      <c r="A560" t="s">
        <v>1220</v>
      </c>
      <c r="B560" t="s">
        <v>1221</v>
      </c>
      <c r="C560" t="s">
        <v>97</v>
      </c>
      <c r="D560" s="2">
        <v>57</v>
      </c>
      <c r="E560" t="s">
        <v>175</v>
      </c>
      <c r="F560" t="s">
        <v>176</v>
      </c>
      <c r="G560" s="2" t="s">
        <v>98</v>
      </c>
      <c r="H560" s="2">
        <v>33</v>
      </c>
      <c r="I560" s="2" t="s">
        <v>22</v>
      </c>
      <c r="J560" s="2">
        <v>3.5</v>
      </c>
      <c r="K560" s="2" t="s">
        <v>181</v>
      </c>
      <c r="L560" s="2">
        <v>0.74</v>
      </c>
      <c r="M560" s="2" t="s">
        <v>60</v>
      </c>
      <c r="N560" s="2" t="s">
        <v>42</v>
      </c>
      <c r="O560" s="2">
        <v>19</v>
      </c>
      <c r="P560" s="2" t="str">
        <f>IF(global_freelancer_raw[[#This Row],[No of projects ]]&lt;=5,"Entry level","Well Experienced")</f>
        <v>Well Experienced</v>
      </c>
      <c r="Q560" s="2">
        <v>17</v>
      </c>
    </row>
    <row r="561" spans="1:17" x14ac:dyDescent="0.3">
      <c r="A561" t="s">
        <v>1222</v>
      </c>
      <c r="B561" t="s">
        <v>1223</v>
      </c>
      <c r="C561" t="s">
        <v>118</v>
      </c>
      <c r="D561" s="2">
        <v>60</v>
      </c>
      <c r="E561" t="s">
        <v>91</v>
      </c>
      <c r="F561" t="s">
        <v>92</v>
      </c>
      <c r="G561" s="2" t="s">
        <v>39</v>
      </c>
      <c r="H561" s="2">
        <v>39</v>
      </c>
      <c r="I561" s="2" t="s">
        <v>67</v>
      </c>
      <c r="J561" s="2">
        <v>4</v>
      </c>
      <c r="K561" s="2" t="s">
        <v>2120</v>
      </c>
      <c r="L561" s="2">
        <v>0.7</v>
      </c>
      <c r="M561" s="2" t="s">
        <v>82</v>
      </c>
      <c r="N561" s="2" t="s">
        <v>75</v>
      </c>
      <c r="O561" s="2">
        <v>15</v>
      </c>
      <c r="P561" s="2" t="str">
        <f>IF(global_freelancer_raw[[#This Row],[No of projects ]]&lt;=5,"Entry level","Well Experienced")</f>
        <v>Well Experienced</v>
      </c>
      <c r="Q561" s="2">
        <v>15</v>
      </c>
    </row>
    <row r="562" spans="1:17" x14ac:dyDescent="0.3">
      <c r="A562" t="s">
        <v>1224</v>
      </c>
      <c r="B562" t="s">
        <v>1225</v>
      </c>
      <c r="C562" t="s">
        <v>97</v>
      </c>
      <c r="D562" s="2">
        <v>48</v>
      </c>
      <c r="E562" t="s">
        <v>160</v>
      </c>
      <c r="F562" t="s">
        <v>161</v>
      </c>
      <c r="G562" s="2" t="s">
        <v>39</v>
      </c>
      <c r="H562" s="2">
        <v>21</v>
      </c>
      <c r="I562" s="2" t="s">
        <v>52</v>
      </c>
      <c r="J562" s="2">
        <v>1.6</v>
      </c>
      <c r="K562" s="2" t="s">
        <v>94</v>
      </c>
      <c r="L562" s="2">
        <v>0.67</v>
      </c>
      <c r="M562" s="2" t="s">
        <v>60</v>
      </c>
      <c r="N562" s="2" t="s">
        <v>34</v>
      </c>
      <c r="O562" s="2">
        <v>15</v>
      </c>
      <c r="P562" s="2" t="str">
        <f>IF(global_freelancer_raw[[#This Row],[No of projects ]]&lt;=5,"Entry level","Well Experienced")</f>
        <v>Well Experienced</v>
      </c>
      <c r="Q562" s="2">
        <v>5</v>
      </c>
    </row>
    <row r="563" spans="1:17" x14ac:dyDescent="0.3">
      <c r="A563" t="s">
        <v>1226</v>
      </c>
      <c r="B563" t="s">
        <v>1227</v>
      </c>
      <c r="C563" t="s">
        <v>97</v>
      </c>
      <c r="D563" s="2">
        <v>24</v>
      </c>
      <c r="E563" t="s">
        <v>156</v>
      </c>
      <c r="F563" t="s">
        <v>157</v>
      </c>
      <c r="G563" s="2" t="s">
        <v>98</v>
      </c>
      <c r="H563" s="2">
        <v>5</v>
      </c>
      <c r="I563" s="2" t="s">
        <v>86</v>
      </c>
      <c r="J563" s="2">
        <v>3</v>
      </c>
      <c r="K563" s="2" t="s">
        <v>181</v>
      </c>
      <c r="L563" s="2">
        <v>0.86</v>
      </c>
      <c r="M563" s="2" t="s">
        <v>60</v>
      </c>
      <c r="N563" s="2" t="s">
        <v>42</v>
      </c>
      <c r="O563" s="2">
        <v>1</v>
      </c>
      <c r="P563" s="2" t="str">
        <f>IF(global_freelancer_raw[[#This Row],[No of projects ]]&lt;=5,"Entry level","Well Experienced")</f>
        <v>Entry level</v>
      </c>
      <c r="Q563" s="2">
        <v>1</v>
      </c>
    </row>
    <row r="564" spans="1:17" x14ac:dyDescent="0.3">
      <c r="A564" t="s">
        <v>1228</v>
      </c>
      <c r="B564" t="s">
        <v>1229</v>
      </c>
      <c r="C564" t="s">
        <v>97</v>
      </c>
      <c r="D564" s="2">
        <v>33</v>
      </c>
      <c r="E564" t="s">
        <v>201</v>
      </c>
      <c r="F564" t="s">
        <v>92</v>
      </c>
      <c r="G564" s="2" t="s">
        <v>110</v>
      </c>
      <c r="H564" s="2">
        <v>11</v>
      </c>
      <c r="I564" s="2" t="s">
        <v>40</v>
      </c>
      <c r="J564" s="2">
        <v>5</v>
      </c>
      <c r="K564" s="2" t="s">
        <v>87</v>
      </c>
      <c r="L564" s="2">
        <v>0.69</v>
      </c>
      <c r="M564" s="2" t="s">
        <v>24</v>
      </c>
      <c r="N564" s="2" t="s">
        <v>25</v>
      </c>
      <c r="O564" s="2">
        <v>8</v>
      </c>
      <c r="P564" s="2" t="str">
        <f>IF(global_freelancer_raw[[#This Row],[No of projects ]]&lt;=5,"Entry level","Well Experienced")</f>
        <v>Well Experienced</v>
      </c>
      <c r="Q564" s="2">
        <v>9</v>
      </c>
    </row>
    <row r="565" spans="1:17" x14ac:dyDescent="0.3">
      <c r="A565" t="s">
        <v>1230</v>
      </c>
      <c r="B565" t="s">
        <v>1231</v>
      </c>
      <c r="C565" t="s">
        <v>97</v>
      </c>
      <c r="D565" s="2">
        <v>20</v>
      </c>
      <c r="E565" t="s">
        <v>79</v>
      </c>
      <c r="F565" t="s">
        <v>80</v>
      </c>
      <c r="G565" s="2" t="s">
        <v>39</v>
      </c>
      <c r="H565" s="2">
        <v>0</v>
      </c>
      <c r="I565" s="2" t="s">
        <v>52</v>
      </c>
      <c r="J565" s="2">
        <v>4.8</v>
      </c>
      <c r="K565" s="2" t="s">
        <v>87</v>
      </c>
      <c r="L565" s="2">
        <v>0.68</v>
      </c>
      <c r="M565" s="2" t="s">
        <v>24</v>
      </c>
      <c r="N565" s="2" t="s">
        <v>25</v>
      </c>
      <c r="O565" s="2">
        <v>5</v>
      </c>
      <c r="P565" s="2" t="str">
        <f>IF(global_freelancer_raw[[#This Row],[No of projects ]]&lt;=5,"Entry level","Well Experienced")</f>
        <v>Entry level</v>
      </c>
      <c r="Q565" s="2">
        <v>3</v>
      </c>
    </row>
    <row r="566" spans="1:17" x14ac:dyDescent="0.3">
      <c r="A566" t="s">
        <v>1232</v>
      </c>
      <c r="B566" t="s">
        <v>1233</v>
      </c>
      <c r="C566" t="s">
        <v>118</v>
      </c>
      <c r="D566" s="2">
        <v>59</v>
      </c>
      <c r="E566" t="s">
        <v>85</v>
      </c>
      <c r="F566" t="s">
        <v>30</v>
      </c>
      <c r="G566" s="2" t="s">
        <v>110</v>
      </c>
      <c r="H566" s="2">
        <v>15</v>
      </c>
      <c r="I566" s="2" t="s">
        <v>81</v>
      </c>
      <c r="J566" s="2" t="s">
        <v>2120</v>
      </c>
      <c r="K566" s="2" t="s">
        <v>181</v>
      </c>
      <c r="L566" s="2" t="s">
        <v>2120</v>
      </c>
      <c r="M566" s="2" t="s">
        <v>24</v>
      </c>
      <c r="N566" s="2" t="s">
        <v>34</v>
      </c>
      <c r="O566" s="2">
        <v>7</v>
      </c>
      <c r="P566" s="2" t="str">
        <f>IF(global_freelancer_raw[[#This Row],[No of projects ]]&lt;=5,"Entry level","Well Experienced")</f>
        <v>Well Experienced</v>
      </c>
      <c r="Q566" s="2">
        <v>8</v>
      </c>
    </row>
    <row r="567" spans="1:17" x14ac:dyDescent="0.3">
      <c r="A567" t="s">
        <v>1234</v>
      </c>
      <c r="B567" t="s">
        <v>1235</v>
      </c>
      <c r="C567" t="s">
        <v>97</v>
      </c>
      <c r="D567" s="2">
        <v>42</v>
      </c>
      <c r="E567" t="s">
        <v>197</v>
      </c>
      <c r="F567" t="s">
        <v>198</v>
      </c>
      <c r="G567" s="2" t="s">
        <v>110</v>
      </c>
      <c r="H567" s="2">
        <v>22</v>
      </c>
      <c r="I567" s="2" t="s">
        <v>2119</v>
      </c>
      <c r="J567" s="2">
        <v>2.9</v>
      </c>
      <c r="K567" s="2" t="s">
        <v>23</v>
      </c>
      <c r="L567" s="2">
        <v>0.61</v>
      </c>
      <c r="M567" s="2" t="s">
        <v>82</v>
      </c>
      <c r="N567" s="2" t="s">
        <v>25</v>
      </c>
      <c r="O567" s="2">
        <v>14</v>
      </c>
      <c r="P567" s="2" t="str">
        <f>IF(global_freelancer_raw[[#This Row],[No of projects ]]&lt;=5,"Entry level","Well Experienced")</f>
        <v>Well Experienced</v>
      </c>
      <c r="Q567" s="2">
        <v>9</v>
      </c>
    </row>
    <row r="568" spans="1:17" x14ac:dyDescent="0.3">
      <c r="A568" t="s">
        <v>1236</v>
      </c>
      <c r="B568" t="s">
        <v>1237</v>
      </c>
      <c r="C568" t="s">
        <v>97</v>
      </c>
      <c r="D568" s="2">
        <v>22</v>
      </c>
      <c r="E568" t="s">
        <v>79</v>
      </c>
      <c r="F568" t="s">
        <v>80</v>
      </c>
      <c r="G568" s="2" t="s">
        <v>93</v>
      </c>
      <c r="H568" s="2">
        <v>3</v>
      </c>
      <c r="I568" s="2" t="s">
        <v>2119</v>
      </c>
      <c r="J568" s="2">
        <v>3</v>
      </c>
      <c r="K568" s="2" t="s">
        <v>74</v>
      </c>
      <c r="L568" s="2">
        <v>0.96</v>
      </c>
      <c r="M568" s="2" t="s">
        <v>88</v>
      </c>
      <c r="N568" s="2" t="s">
        <v>34</v>
      </c>
      <c r="O568" s="2">
        <v>1</v>
      </c>
      <c r="P568" s="2" t="str">
        <f>IF(global_freelancer_raw[[#This Row],[No of projects ]]&lt;=5,"Entry level","Well Experienced")</f>
        <v>Entry level</v>
      </c>
      <c r="Q568" s="2">
        <v>2</v>
      </c>
    </row>
    <row r="569" spans="1:17" x14ac:dyDescent="0.3">
      <c r="A569" t="s">
        <v>1238</v>
      </c>
      <c r="B569" t="s">
        <v>1239</v>
      </c>
      <c r="C569" t="s">
        <v>118</v>
      </c>
      <c r="D569" s="2">
        <v>41</v>
      </c>
      <c r="E569" t="s">
        <v>149</v>
      </c>
      <c r="F569" t="s">
        <v>30</v>
      </c>
      <c r="G569" s="2" t="s">
        <v>98</v>
      </c>
      <c r="H569" s="2">
        <v>11</v>
      </c>
      <c r="I569" s="2" t="s">
        <v>40</v>
      </c>
      <c r="J569" s="2">
        <v>3.5</v>
      </c>
      <c r="K569" s="2" t="s">
        <v>33</v>
      </c>
      <c r="L569" s="2">
        <v>0.68</v>
      </c>
      <c r="M569" s="2" t="s">
        <v>60</v>
      </c>
      <c r="N569" s="2" t="s">
        <v>25</v>
      </c>
      <c r="O569" s="2">
        <v>12</v>
      </c>
      <c r="P569" s="2" t="str">
        <f>IF(global_freelancer_raw[[#This Row],[No of projects ]]&lt;=5,"Entry level","Well Experienced")</f>
        <v>Well Experienced</v>
      </c>
      <c r="Q569" s="2">
        <v>1</v>
      </c>
    </row>
    <row r="570" spans="1:17" x14ac:dyDescent="0.3">
      <c r="A570" t="s">
        <v>1240</v>
      </c>
      <c r="B570" t="s">
        <v>1241</v>
      </c>
      <c r="C570" t="s">
        <v>97</v>
      </c>
      <c r="D570" s="2">
        <v>25</v>
      </c>
      <c r="E570" t="s">
        <v>91</v>
      </c>
      <c r="F570" t="s">
        <v>92</v>
      </c>
      <c r="G570" s="2" t="s">
        <v>46</v>
      </c>
      <c r="H570" s="2">
        <v>5</v>
      </c>
      <c r="I570" s="2" t="s">
        <v>86</v>
      </c>
      <c r="J570" s="2" t="s">
        <v>2120</v>
      </c>
      <c r="K570" s="2" t="s">
        <v>74</v>
      </c>
      <c r="L570" s="2">
        <v>0.75</v>
      </c>
      <c r="M570" s="2" t="s">
        <v>60</v>
      </c>
      <c r="N570" s="2" t="s">
        <v>75</v>
      </c>
      <c r="O570" s="2">
        <v>4</v>
      </c>
      <c r="P570" s="2" t="str">
        <f>IF(global_freelancer_raw[[#This Row],[No of projects ]]&lt;=5,"Entry level","Well Experienced")</f>
        <v>Entry level</v>
      </c>
      <c r="Q570" s="2">
        <v>1</v>
      </c>
    </row>
    <row r="571" spans="1:17" x14ac:dyDescent="0.3">
      <c r="A571" t="s">
        <v>1242</v>
      </c>
      <c r="B571" t="s">
        <v>1243</v>
      </c>
      <c r="C571" t="s">
        <v>97</v>
      </c>
      <c r="D571" s="2">
        <v>38</v>
      </c>
      <c r="E571" t="s">
        <v>149</v>
      </c>
      <c r="F571" t="s">
        <v>30</v>
      </c>
      <c r="G571" s="2" t="s">
        <v>93</v>
      </c>
      <c r="H571" s="2">
        <v>3</v>
      </c>
      <c r="I571" s="2" t="s">
        <v>86</v>
      </c>
      <c r="J571" s="2">
        <v>4.7</v>
      </c>
      <c r="K571" s="2" t="s">
        <v>23</v>
      </c>
      <c r="L571" s="2">
        <v>0.69</v>
      </c>
      <c r="M571" s="2" t="s">
        <v>60</v>
      </c>
      <c r="N571" s="2" t="s">
        <v>42</v>
      </c>
      <c r="O571" s="2">
        <v>4</v>
      </c>
      <c r="P571" s="2" t="str">
        <f>IF(global_freelancer_raw[[#This Row],[No of projects ]]&lt;=5,"Entry level","Well Experienced")</f>
        <v>Entry level</v>
      </c>
      <c r="Q571" s="2">
        <v>2</v>
      </c>
    </row>
    <row r="572" spans="1:17" x14ac:dyDescent="0.3">
      <c r="A572" t="s">
        <v>1244</v>
      </c>
      <c r="B572" t="s">
        <v>1245</v>
      </c>
      <c r="C572" t="s">
        <v>97</v>
      </c>
      <c r="D572" s="2">
        <v>43</v>
      </c>
      <c r="E572" t="s">
        <v>73</v>
      </c>
      <c r="F572" t="s">
        <v>30</v>
      </c>
      <c r="G572" s="2" t="s">
        <v>110</v>
      </c>
      <c r="H572" s="2">
        <v>1</v>
      </c>
      <c r="I572" s="2" t="s">
        <v>2119</v>
      </c>
      <c r="J572" s="2">
        <v>2.9</v>
      </c>
      <c r="K572" s="2" t="s">
        <v>181</v>
      </c>
      <c r="L572" s="2">
        <v>0.78</v>
      </c>
      <c r="M572" s="2" t="s">
        <v>82</v>
      </c>
      <c r="N572" s="2" t="s">
        <v>75</v>
      </c>
      <c r="O572" s="2">
        <v>5</v>
      </c>
      <c r="P572" s="2" t="str">
        <f>IF(global_freelancer_raw[[#This Row],[No of projects ]]&lt;=5,"Entry level","Well Experienced")</f>
        <v>Entry level</v>
      </c>
      <c r="Q572" s="2">
        <v>2</v>
      </c>
    </row>
    <row r="573" spans="1:17" x14ac:dyDescent="0.3">
      <c r="A573" t="s">
        <v>1246</v>
      </c>
      <c r="B573" t="s">
        <v>1247</v>
      </c>
      <c r="C573" t="s">
        <v>97</v>
      </c>
      <c r="D573" s="2">
        <v>54</v>
      </c>
      <c r="E573" t="s">
        <v>201</v>
      </c>
      <c r="F573" t="s">
        <v>92</v>
      </c>
      <c r="G573" s="2" t="s">
        <v>57</v>
      </c>
      <c r="H573" s="2">
        <v>1</v>
      </c>
      <c r="I573" s="2" t="s">
        <v>103</v>
      </c>
      <c r="J573" s="2">
        <v>4.4000000000000004</v>
      </c>
      <c r="K573" s="2" t="s">
        <v>94</v>
      </c>
      <c r="L573" s="2" t="s">
        <v>2120</v>
      </c>
      <c r="M573" s="2" t="s">
        <v>24</v>
      </c>
      <c r="N573" s="2" t="s">
        <v>42</v>
      </c>
      <c r="O573" s="2">
        <v>4</v>
      </c>
      <c r="P573" s="2" t="str">
        <f>IF(global_freelancer_raw[[#This Row],[No of projects ]]&lt;=5,"Entry level","Well Experienced")</f>
        <v>Entry level</v>
      </c>
      <c r="Q573" s="2">
        <v>5</v>
      </c>
    </row>
    <row r="574" spans="1:17" x14ac:dyDescent="0.3">
      <c r="A574" t="s">
        <v>1248</v>
      </c>
      <c r="B574" t="s">
        <v>1249</v>
      </c>
      <c r="C574" t="s">
        <v>97</v>
      </c>
      <c r="D574" s="2">
        <v>31</v>
      </c>
      <c r="E574" t="s">
        <v>64</v>
      </c>
      <c r="F574" t="s">
        <v>65</v>
      </c>
      <c r="G574" s="2" t="s">
        <v>31</v>
      </c>
      <c r="H574" s="2">
        <v>2</v>
      </c>
      <c r="I574" s="2" t="s">
        <v>86</v>
      </c>
      <c r="J574" s="2">
        <v>2.2999999999999998</v>
      </c>
      <c r="K574" s="2" t="s">
        <v>41</v>
      </c>
      <c r="L574" s="2">
        <v>0.98</v>
      </c>
      <c r="M574" s="2" t="s">
        <v>88</v>
      </c>
      <c r="N574" s="2" t="s">
        <v>42</v>
      </c>
      <c r="O574" s="2">
        <v>5</v>
      </c>
      <c r="P574" s="2" t="str">
        <f>IF(global_freelancer_raw[[#This Row],[No of projects ]]&lt;=5,"Entry level","Well Experienced")</f>
        <v>Entry level</v>
      </c>
      <c r="Q574" s="2">
        <v>1</v>
      </c>
    </row>
    <row r="575" spans="1:17" x14ac:dyDescent="0.3">
      <c r="A575" t="s">
        <v>1250</v>
      </c>
      <c r="B575" t="s">
        <v>1251</v>
      </c>
      <c r="C575" t="s">
        <v>97</v>
      </c>
      <c r="D575" s="2">
        <v>56</v>
      </c>
      <c r="E575" t="s">
        <v>201</v>
      </c>
      <c r="F575" t="s">
        <v>92</v>
      </c>
      <c r="G575" s="2" t="s">
        <v>57</v>
      </c>
      <c r="H575" s="2">
        <v>3</v>
      </c>
      <c r="I575" s="2" t="s">
        <v>58</v>
      </c>
      <c r="J575" s="2">
        <v>3.7</v>
      </c>
      <c r="K575" s="2" t="s">
        <v>2120</v>
      </c>
      <c r="L575" s="2">
        <v>0.83</v>
      </c>
      <c r="M575" s="2" t="s">
        <v>82</v>
      </c>
      <c r="N575" s="2" t="s">
        <v>42</v>
      </c>
      <c r="O575" s="2">
        <v>4</v>
      </c>
      <c r="P575" s="2" t="str">
        <f>IF(global_freelancer_raw[[#This Row],[No of projects ]]&lt;=5,"Entry level","Well Experienced")</f>
        <v>Entry level</v>
      </c>
      <c r="Q575" s="2">
        <v>2</v>
      </c>
    </row>
    <row r="576" spans="1:17" x14ac:dyDescent="0.3">
      <c r="A576" t="s">
        <v>1252</v>
      </c>
      <c r="B576" t="s">
        <v>1253</v>
      </c>
      <c r="C576" t="s">
        <v>118</v>
      </c>
      <c r="D576" s="2">
        <v>46</v>
      </c>
      <c r="E576" t="s">
        <v>201</v>
      </c>
      <c r="F576" t="s">
        <v>92</v>
      </c>
      <c r="G576" s="2" t="s">
        <v>39</v>
      </c>
      <c r="H576" s="2">
        <v>11</v>
      </c>
      <c r="I576" s="2" t="s">
        <v>2119</v>
      </c>
      <c r="J576" s="2">
        <v>1.8</v>
      </c>
      <c r="K576" s="2" t="s">
        <v>33</v>
      </c>
      <c r="L576" s="2">
        <v>0.91</v>
      </c>
      <c r="M576" s="2" t="s">
        <v>24</v>
      </c>
      <c r="N576" s="2" t="s">
        <v>75</v>
      </c>
      <c r="O576" s="2">
        <v>8</v>
      </c>
      <c r="P576" s="2" t="str">
        <f>IF(global_freelancer_raw[[#This Row],[No of projects ]]&lt;=5,"Entry level","Well Experienced")</f>
        <v>Well Experienced</v>
      </c>
      <c r="Q576" s="2">
        <v>9</v>
      </c>
    </row>
    <row r="577" spans="1:17" x14ac:dyDescent="0.3">
      <c r="A577" t="s">
        <v>1254</v>
      </c>
      <c r="B577" t="s">
        <v>1255</v>
      </c>
      <c r="C577" t="s">
        <v>118</v>
      </c>
      <c r="D577" s="2">
        <v>60</v>
      </c>
      <c r="E577" t="s">
        <v>160</v>
      </c>
      <c r="F577" t="s">
        <v>161</v>
      </c>
      <c r="G577" s="2" t="s">
        <v>57</v>
      </c>
      <c r="H577" s="2" t="s">
        <v>2120</v>
      </c>
      <c r="I577" s="2" t="s">
        <v>22</v>
      </c>
      <c r="J577" s="2">
        <v>0</v>
      </c>
      <c r="K577" s="2" t="s">
        <v>33</v>
      </c>
      <c r="L577" s="2">
        <v>0.96</v>
      </c>
      <c r="M577" s="2" t="s">
        <v>82</v>
      </c>
      <c r="N577" s="2" t="s">
        <v>42</v>
      </c>
      <c r="O577" s="2">
        <v>5</v>
      </c>
      <c r="P577" s="2" t="str">
        <f>IF(global_freelancer_raw[[#This Row],[No of projects ]]&lt;=5,"Entry level","Well Experienced")</f>
        <v>Entry level</v>
      </c>
      <c r="Q577" s="2">
        <v>1</v>
      </c>
    </row>
    <row r="578" spans="1:17" x14ac:dyDescent="0.3">
      <c r="A578" t="s">
        <v>1256</v>
      </c>
      <c r="B578" t="s">
        <v>1257</v>
      </c>
      <c r="C578" t="s">
        <v>97</v>
      </c>
      <c r="D578" s="2">
        <v>28</v>
      </c>
      <c r="E578" t="s">
        <v>133</v>
      </c>
      <c r="F578" t="s">
        <v>134</v>
      </c>
      <c r="G578" s="2" t="s">
        <v>39</v>
      </c>
      <c r="H578" s="2">
        <v>2</v>
      </c>
      <c r="I578" s="2" t="s">
        <v>119</v>
      </c>
      <c r="J578" s="2" t="s">
        <v>2120</v>
      </c>
      <c r="K578" s="2" t="s">
        <v>33</v>
      </c>
      <c r="L578" s="2">
        <v>0.85</v>
      </c>
      <c r="M578" s="2" t="s">
        <v>88</v>
      </c>
      <c r="N578" s="2" t="s">
        <v>75</v>
      </c>
      <c r="O578" s="2">
        <v>3</v>
      </c>
      <c r="P578" s="2" t="str">
        <f>IF(global_freelancer_raw[[#This Row],[No of projects ]]&lt;=5,"Entry level","Well Experienced")</f>
        <v>Entry level</v>
      </c>
      <c r="Q578" s="2">
        <v>2</v>
      </c>
    </row>
    <row r="579" spans="1:17" x14ac:dyDescent="0.3">
      <c r="A579" t="s">
        <v>1258</v>
      </c>
      <c r="B579" t="s">
        <v>1259</v>
      </c>
      <c r="C579" t="s">
        <v>97</v>
      </c>
      <c r="D579" s="2">
        <v>43</v>
      </c>
      <c r="E579" t="s">
        <v>64</v>
      </c>
      <c r="F579" t="s">
        <v>65</v>
      </c>
      <c r="G579" s="2" t="s">
        <v>46</v>
      </c>
      <c r="H579" s="2">
        <v>20</v>
      </c>
      <c r="I579" s="2" t="s">
        <v>130</v>
      </c>
      <c r="J579" s="2">
        <v>2.7</v>
      </c>
      <c r="K579" s="2" t="s">
        <v>59</v>
      </c>
      <c r="L579" s="2">
        <v>0.72</v>
      </c>
      <c r="M579" s="2" t="s">
        <v>24</v>
      </c>
      <c r="N579" s="2" t="s">
        <v>34</v>
      </c>
      <c r="O579" s="2">
        <v>14</v>
      </c>
      <c r="P579" s="2" t="str">
        <f>IF(global_freelancer_raw[[#This Row],[No of projects ]]&lt;=5,"Entry level","Well Experienced")</f>
        <v>Well Experienced</v>
      </c>
      <c r="Q579" s="2">
        <v>2</v>
      </c>
    </row>
    <row r="580" spans="1:17" x14ac:dyDescent="0.3">
      <c r="A580" t="s">
        <v>1260</v>
      </c>
      <c r="B580" t="s">
        <v>1261</v>
      </c>
      <c r="C580" t="s">
        <v>118</v>
      </c>
      <c r="D580" s="2">
        <v>41</v>
      </c>
      <c r="E580" t="s">
        <v>156</v>
      </c>
      <c r="F580" t="s">
        <v>157</v>
      </c>
      <c r="G580" s="2" t="s">
        <v>46</v>
      </c>
      <c r="H580" s="2">
        <v>11</v>
      </c>
      <c r="I580" s="2" t="s">
        <v>142</v>
      </c>
      <c r="J580" s="2">
        <v>4.7</v>
      </c>
      <c r="K580" s="2" t="s">
        <v>2120</v>
      </c>
      <c r="L580" s="2">
        <v>0.69</v>
      </c>
      <c r="M580" s="2" t="s">
        <v>82</v>
      </c>
      <c r="N580" s="2" t="s">
        <v>25</v>
      </c>
      <c r="O580" s="2">
        <v>10</v>
      </c>
      <c r="P580" s="2" t="str">
        <f>IF(global_freelancer_raw[[#This Row],[No of projects ]]&lt;=5,"Entry level","Well Experienced")</f>
        <v>Well Experienced</v>
      </c>
      <c r="Q580" s="2">
        <v>4</v>
      </c>
    </row>
    <row r="581" spans="1:17" x14ac:dyDescent="0.3">
      <c r="A581" t="s">
        <v>1262</v>
      </c>
      <c r="B581" t="s">
        <v>1263</v>
      </c>
      <c r="C581" t="s">
        <v>118</v>
      </c>
      <c r="D581" s="2">
        <v>41</v>
      </c>
      <c r="E581" t="s">
        <v>85</v>
      </c>
      <c r="F581" t="s">
        <v>30</v>
      </c>
      <c r="G581" s="2" t="s">
        <v>110</v>
      </c>
      <c r="H581" s="2">
        <v>0</v>
      </c>
      <c r="I581" s="2" t="s">
        <v>142</v>
      </c>
      <c r="J581" s="2">
        <v>3.1</v>
      </c>
      <c r="K581" s="2" t="s">
        <v>23</v>
      </c>
      <c r="L581" s="2">
        <v>90</v>
      </c>
      <c r="M581" s="2" t="s">
        <v>88</v>
      </c>
      <c r="N581" s="2" t="s">
        <v>25</v>
      </c>
      <c r="O581" s="2">
        <v>4</v>
      </c>
      <c r="P581" s="2" t="str">
        <f>IF(global_freelancer_raw[[#This Row],[No of projects ]]&lt;=5,"Entry level","Well Experienced")</f>
        <v>Entry level</v>
      </c>
      <c r="Q581" s="2">
        <v>1</v>
      </c>
    </row>
    <row r="582" spans="1:17" x14ac:dyDescent="0.3">
      <c r="A582" t="s">
        <v>1264</v>
      </c>
      <c r="B582" t="s">
        <v>1265</v>
      </c>
      <c r="C582" t="s">
        <v>97</v>
      </c>
      <c r="D582" s="2">
        <v>40</v>
      </c>
      <c r="E582" t="s">
        <v>85</v>
      </c>
      <c r="F582" t="s">
        <v>30</v>
      </c>
      <c r="G582" s="2" t="s">
        <v>31</v>
      </c>
      <c r="H582" s="2">
        <v>20</v>
      </c>
      <c r="I582" s="2" t="s">
        <v>162</v>
      </c>
      <c r="J582" s="2">
        <v>2.2999999999999998</v>
      </c>
      <c r="K582" s="2" t="s">
        <v>23</v>
      </c>
      <c r="L582" s="2">
        <v>0.92</v>
      </c>
      <c r="M582" s="2" t="s">
        <v>60</v>
      </c>
      <c r="N582" s="2" t="s">
        <v>42</v>
      </c>
      <c r="O582" s="2">
        <v>14</v>
      </c>
      <c r="P582" s="2" t="str">
        <f>IF(global_freelancer_raw[[#This Row],[No of projects ]]&lt;=5,"Entry level","Well Experienced")</f>
        <v>Well Experienced</v>
      </c>
      <c r="Q582" s="2">
        <v>10</v>
      </c>
    </row>
    <row r="583" spans="1:17" x14ac:dyDescent="0.3">
      <c r="A583" t="s">
        <v>1266</v>
      </c>
      <c r="B583" t="s">
        <v>1267</v>
      </c>
      <c r="C583" t="s">
        <v>118</v>
      </c>
      <c r="D583" s="2">
        <v>45</v>
      </c>
      <c r="E583" t="s">
        <v>38</v>
      </c>
      <c r="F583" t="s">
        <v>38</v>
      </c>
      <c r="G583" s="2" t="s">
        <v>110</v>
      </c>
      <c r="H583" s="2">
        <v>3</v>
      </c>
      <c r="I583" s="2" t="s">
        <v>336</v>
      </c>
      <c r="J583" s="2">
        <v>1.3</v>
      </c>
      <c r="K583" s="2" t="s">
        <v>94</v>
      </c>
      <c r="L583" s="2">
        <v>0.91</v>
      </c>
      <c r="M583" s="2" t="s">
        <v>88</v>
      </c>
      <c r="N583" s="2" t="s">
        <v>75</v>
      </c>
      <c r="O583" s="2">
        <v>5</v>
      </c>
      <c r="P583" s="2" t="str">
        <f>IF(global_freelancer_raw[[#This Row],[No of projects ]]&lt;=5,"Entry level","Well Experienced")</f>
        <v>Entry level</v>
      </c>
      <c r="Q583" s="2">
        <v>1</v>
      </c>
    </row>
    <row r="584" spans="1:17" x14ac:dyDescent="0.3">
      <c r="A584" t="s">
        <v>1268</v>
      </c>
      <c r="B584" t="s">
        <v>1269</v>
      </c>
      <c r="C584" t="s">
        <v>118</v>
      </c>
      <c r="D584" s="2">
        <v>47</v>
      </c>
      <c r="E584" t="s">
        <v>160</v>
      </c>
      <c r="F584" t="s">
        <v>161</v>
      </c>
      <c r="G584" s="2" t="s">
        <v>110</v>
      </c>
      <c r="H584" s="2">
        <v>28</v>
      </c>
      <c r="I584" s="2" t="s">
        <v>119</v>
      </c>
      <c r="J584" s="2">
        <v>2.9</v>
      </c>
      <c r="K584" s="2" t="s">
        <v>74</v>
      </c>
      <c r="L584" s="2" t="s">
        <v>2120</v>
      </c>
      <c r="M584" s="2" t="s">
        <v>60</v>
      </c>
      <c r="N584" s="2" t="s">
        <v>25</v>
      </c>
      <c r="O584" s="2">
        <v>18</v>
      </c>
      <c r="P584" s="2" t="str">
        <f>IF(global_freelancer_raw[[#This Row],[No of projects ]]&lt;=5,"Entry level","Well Experienced")</f>
        <v>Well Experienced</v>
      </c>
      <c r="Q584" s="2">
        <v>13</v>
      </c>
    </row>
    <row r="585" spans="1:17" x14ac:dyDescent="0.3">
      <c r="A585" t="s">
        <v>1270</v>
      </c>
      <c r="B585" t="s">
        <v>1271</v>
      </c>
      <c r="C585" t="s">
        <v>118</v>
      </c>
      <c r="D585" s="2">
        <v>34</v>
      </c>
      <c r="E585" t="s">
        <v>114</v>
      </c>
      <c r="F585" t="s">
        <v>115</v>
      </c>
      <c r="G585" s="2" t="s">
        <v>66</v>
      </c>
      <c r="H585" s="2">
        <v>0</v>
      </c>
      <c r="I585" s="2" t="s">
        <v>86</v>
      </c>
      <c r="J585" s="2">
        <v>3.3</v>
      </c>
      <c r="K585" s="2" t="s">
        <v>23</v>
      </c>
      <c r="L585" s="2">
        <v>0.98</v>
      </c>
      <c r="M585" s="2" t="s">
        <v>82</v>
      </c>
      <c r="N585" s="2" t="s">
        <v>75</v>
      </c>
      <c r="O585" s="2">
        <v>1</v>
      </c>
      <c r="P585" s="2" t="str">
        <f>IF(global_freelancer_raw[[#This Row],[No of projects ]]&lt;=5,"Entry level","Well Experienced")</f>
        <v>Entry level</v>
      </c>
      <c r="Q585" s="2">
        <v>3</v>
      </c>
    </row>
    <row r="586" spans="1:17" x14ac:dyDescent="0.3">
      <c r="A586" t="s">
        <v>1272</v>
      </c>
      <c r="B586" t="s">
        <v>1273</v>
      </c>
      <c r="C586" t="s">
        <v>118</v>
      </c>
      <c r="D586" s="2">
        <v>47</v>
      </c>
      <c r="E586" t="s">
        <v>73</v>
      </c>
      <c r="F586" t="s">
        <v>30</v>
      </c>
      <c r="G586" s="2" t="s">
        <v>93</v>
      </c>
      <c r="H586" s="2">
        <v>4</v>
      </c>
      <c r="I586" s="2" t="s">
        <v>336</v>
      </c>
      <c r="J586" s="2">
        <v>4.2</v>
      </c>
      <c r="K586" s="2" t="s">
        <v>2120</v>
      </c>
      <c r="L586" s="2">
        <v>0.82</v>
      </c>
      <c r="M586" s="2" t="s">
        <v>24</v>
      </c>
      <c r="N586" s="2" t="s">
        <v>75</v>
      </c>
      <c r="O586" s="2">
        <v>5</v>
      </c>
      <c r="P586" s="2" t="str">
        <f>IF(global_freelancer_raw[[#This Row],[No of projects ]]&lt;=5,"Entry level","Well Experienced")</f>
        <v>Entry level</v>
      </c>
      <c r="Q586" s="2">
        <v>2</v>
      </c>
    </row>
    <row r="587" spans="1:17" x14ac:dyDescent="0.3">
      <c r="A587" t="s">
        <v>1274</v>
      </c>
      <c r="B587" t="s">
        <v>1275</v>
      </c>
      <c r="C587" t="s">
        <v>118</v>
      </c>
      <c r="D587" s="2">
        <v>32</v>
      </c>
      <c r="E587" t="s">
        <v>201</v>
      </c>
      <c r="F587" t="s">
        <v>92</v>
      </c>
      <c r="G587" s="2" t="s">
        <v>93</v>
      </c>
      <c r="H587" s="2">
        <v>9</v>
      </c>
      <c r="I587" s="2" t="s">
        <v>70</v>
      </c>
      <c r="J587" s="2">
        <v>1.3</v>
      </c>
      <c r="K587" s="2" t="s">
        <v>74</v>
      </c>
      <c r="L587" s="2">
        <v>0.83</v>
      </c>
      <c r="M587" s="2" t="s">
        <v>24</v>
      </c>
      <c r="N587" s="2" t="s">
        <v>42</v>
      </c>
      <c r="O587" s="2">
        <v>10</v>
      </c>
      <c r="P587" s="2" t="str">
        <f>IF(global_freelancer_raw[[#This Row],[No of projects ]]&lt;=5,"Entry level","Well Experienced")</f>
        <v>Well Experienced</v>
      </c>
      <c r="Q587" s="2">
        <v>4</v>
      </c>
    </row>
    <row r="588" spans="1:17" x14ac:dyDescent="0.3">
      <c r="A588" t="s">
        <v>1276</v>
      </c>
      <c r="B588" t="s">
        <v>1277</v>
      </c>
      <c r="C588" t="s">
        <v>118</v>
      </c>
      <c r="D588" s="2">
        <v>28</v>
      </c>
      <c r="E588" t="s">
        <v>85</v>
      </c>
      <c r="F588" t="s">
        <v>30</v>
      </c>
      <c r="G588" s="2" t="s">
        <v>31</v>
      </c>
      <c r="H588" s="2">
        <v>2</v>
      </c>
      <c r="I588" s="2" t="s">
        <v>251</v>
      </c>
      <c r="J588" s="2">
        <v>4.4000000000000004</v>
      </c>
      <c r="K588" s="2" t="s">
        <v>74</v>
      </c>
      <c r="L588" s="2" t="s">
        <v>2120</v>
      </c>
      <c r="M588" s="2" t="s">
        <v>82</v>
      </c>
      <c r="N588" s="2" t="s">
        <v>25</v>
      </c>
      <c r="O588" s="2">
        <v>5</v>
      </c>
      <c r="P588" s="2" t="str">
        <f>IF(global_freelancer_raw[[#This Row],[No of projects ]]&lt;=5,"Entry level","Well Experienced")</f>
        <v>Entry level</v>
      </c>
      <c r="Q588" s="2">
        <v>2</v>
      </c>
    </row>
    <row r="589" spans="1:17" x14ac:dyDescent="0.3">
      <c r="A589" t="s">
        <v>1278</v>
      </c>
      <c r="B589" t="s">
        <v>1279</v>
      </c>
      <c r="C589" t="s">
        <v>118</v>
      </c>
      <c r="D589" s="2">
        <v>32</v>
      </c>
      <c r="E589" t="s">
        <v>29</v>
      </c>
      <c r="F589" t="s">
        <v>30</v>
      </c>
      <c r="G589" s="2" t="s">
        <v>110</v>
      </c>
      <c r="H589" s="2">
        <v>1</v>
      </c>
      <c r="I589" s="2" t="s">
        <v>22</v>
      </c>
      <c r="J589" s="2">
        <v>3.4</v>
      </c>
      <c r="K589" s="2" t="s">
        <v>74</v>
      </c>
      <c r="L589" s="2" t="s">
        <v>2120</v>
      </c>
      <c r="M589" s="2" t="s">
        <v>24</v>
      </c>
      <c r="N589" s="2" t="s">
        <v>42</v>
      </c>
      <c r="O589" s="2">
        <v>3</v>
      </c>
      <c r="P589" s="2" t="str">
        <f>IF(global_freelancer_raw[[#This Row],[No of projects ]]&lt;=5,"Entry level","Well Experienced")</f>
        <v>Entry level</v>
      </c>
      <c r="Q589" s="2">
        <v>1</v>
      </c>
    </row>
    <row r="590" spans="1:17" x14ac:dyDescent="0.3">
      <c r="A590" t="s">
        <v>1280</v>
      </c>
      <c r="B590" t="s">
        <v>1281</v>
      </c>
      <c r="C590" t="s">
        <v>97</v>
      </c>
      <c r="D590" s="2">
        <v>49</v>
      </c>
      <c r="E590" t="s">
        <v>55</v>
      </c>
      <c r="F590" t="s">
        <v>56</v>
      </c>
      <c r="G590" s="2" t="s">
        <v>57</v>
      </c>
      <c r="H590" s="2">
        <v>2</v>
      </c>
      <c r="I590" s="2" t="s">
        <v>251</v>
      </c>
      <c r="J590" s="2">
        <v>3.4</v>
      </c>
      <c r="K590" s="2" t="s">
        <v>33</v>
      </c>
      <c r="L590" s="2">
        <v>0.85</v>
      </c>
      <c r="M590" s="2" t="s">
        <v>24</v>
      </c>
      <c r="N590" s="2" t="s">
        <v>42</v>
      </c>
      <c r="O590" s="2">
        <v>5</v>
      </c>
      <c r="P590" s="2" t="str">
        <f>IF(global_freelancer_raw[[#This Row],[No of projects ]]&lt;=5,"Entry level","Well Experienced")</f>
        <v>Entry level</v>
      </c>
      <c r="Q590" s="2">
        <v>1</v>
      </c>
    </row>
    <row r="591" spans="1:17" x14ac:dyDescent="0.3">
      <c r="A591" t="s">
        <v>1282</v>
      </c>
      <c r="B591" t="s">
        <v>1283</v>
      </c>
      <c r="C591" t="s">
        <v>97</v>
      </c>
      <c r="D591" s="2">
        <v>36</v>
      </c>
      <c r="E591" t="s">
        <v>91</v>
      </c>
      <c r="F591" t="s">
        <v>92</v>
      </c>
      <c r="G591" s="2" t="s">
        <v>31</v>
      </c>
      <c r="H591" s="2">
        <v>16</v>
      </c>
      <c r="I591" s="2" t="s">
        <v>336</v>
      </c>
      <c r="J591" s="2">
        <v>3.2</v>
      </c>
      <c r="K591" s="2" t="s">
        <v>2120</v>
      </c>
      <c r="L591" s="2" t="s">
        <v>2120</v>
      </c>
      <c r="M591" s="2" t="s">
        <v>60</v>
      </c>
      <c r="N591" s="2" t="s">
        <v>25</v>
      </c>
      <c r="O591" s="2">
        <v>18</v>
      </c>
      <c r="P591" s="2" t="str">
        <f>IF(global_freelancer_raw[[#This Row],[No of projects ]]&lt;=5,"Entry level","Well Experienced")</f>
        <v>Well Experienced</v>
      </c>
      <c r="Q591" s="2">
        <v>2</v>
      </c>
    </row>
    <row r="592" spans="1:17" x14ac:dyDescent="0.3">
      <c r="A592" t="s">
        <v>1284</v>
      </c>
      <c r="B592" t="s">
        <v>1285</v>
      </c>
      <c r="C592" t="s">
        <v>118</v>
      </c>
      <c r="D592" s="2">
        <v>59</v>
      </c>
      <c r="E592" t="s">
        <v>201</v>
      </c>
      <c r="F592" t="s">
        <v>92</v>
      </c>
      <c r="G592" s="2" t="s">
        <v>21</v>
      </c>
      <c r="H592" s="2">
        <v>22</v>
      </c>
      <c r="I592" s="2" t="s">
        <v>336</v>
      </c>
      <c r="J592" s="2">
        <v>3.6</v>
      </c>
      <c r="K592" s="2" t="s">
        <v>41</v>
      </c>
      <c r="L592" s="2">
        <v>0.63</v>
      </c>
      <c r="M592" s="2" t="s">
        <v>82</v>
      </c>
      <c r="N592" s="2" t="s">
        <v>25</v>
      </c>
      <c r="O592" s="2">
        <v>16</v>
      </c>
      <c r="P592" s="2" t="str">
        <f>IF(global_freelancer_raw[[#This Row],[No of projects ]]&lt;=5,"Entry level","Well Experienced")</f>
        <v>Well Experienced</v>
      </c>
      <c r="Q592" s="2">
        <v>6</v>
      </c>
    </row>
    <row r="593" spans="1:17" x14ac:dyDescent="0.3">
      <c r="A593" t="s">
        <v>1286</v>
      </c>
      <c r="B593" t="s">
        <v>1287</v>
      </c>
      <c r="C593" t="s">
        <v>97</v>
      </c>
      <c r="D593" s="2">
        <v>52</v>
      </c>
      <c r="E593" t="s">
        <v>149</v>
      </c>
      <c r="F593" t="s">
        <v>30</v>
      </c>
      <c r="G593" s="2" t="s">
        <v>98</v>
      </c>
      <c r="H593" s="2">
        <v>22</v>
      </c>
      <c r="I593" s="2" t="s">
        <v>142</v>
      </c>
      <c r="J593" s="2">
        <v>0</v>
      </c>
      <c r="K593" s="2" t="s">
        <v>23</v>
      </c>
      <c r="L593" s="2" t="s">
        <v>2120</v>
      </c>
      <c r="M593" s="2" t="s">
        <v>88</v>
      </c>
      <c r="N593" s="2" t="s">
        <v>34</v>
      </c>
      <c r="O593" s="2">
        <v>14</v>
      </c>
      <c r="P593" s="2" t="str">
        <f>IF(global_freelancer_raw[[#This Row],[No of projects ]]&lt;=5,"Entry level","Well Experienced")</f>
        <v>Well Experienced</v>
      </c>
      <c r="Q593" s="2">
        <v>10</v>
      </c>
    </row>
    <row r="594" spans="1:17" x14ac:dyDescent="0.3">
      <c r="A594" t="s">
        <v>1288</v>
      </c>
      <c r="B594" t="s">
        <v>1289</v>
      </c>
      <c r="C594" t="s">
        <v>97</v>
      </c>
      <c r="D594" s="2">
        <v>24</v>
      </c>
      <c r="E594" t="s">
        <v>197</v>
      </c>
      <c r="F594" t="s">
        <v>198</v>
      </c>
      <c r="G594" s="2" t="s">
        <v>21</v>
      </c>
      <c r="H594" s="2">
        <v>5</v>
      </c>
      <c r="I594" s="2" t="s">
        <v>86</v>
      </c>
      <c r="J594" s="2">
        <v>1.8</v>
      </c>
      <c r="K594" s="2" t="s">
        <v>33</v>
      </c>
      <c r="L594" s="2">
        <v>0.86</v>
      </c>
      <c r="M594" s="2" t="s">
        <v>60</v>
      </c>
      <c r="N594" s="2" t="s">
        <v>34</v>
      </c>
      <c r="O594" s="2">
        <v>4</v>
      </c>
      <c r="P594" s="2" t="str">
        <f>IF(global_freelancer_raw[[#This Row],[No of projects ]]&lt;=5,"Entry level","Well Experienced")</f>
        <v>Entry level</v>
      </c>
      <c r="Q594" s="2">
        <v>2</v>
      </c>
    </row>
    <row r="595" spans="1:17" x14ac:dyDescent="0.3">
      <c r="A595" t="s">
        <v>1290</v>
      </c>
      <c r="B595" t="s">
        <v>1291</v>
      </c>
      <c r="C595" t="s">
        <v>97</v>
      </c>
      <c r="D595" s="2">
        <v>26</v>
      </c>
      <c r="E595" t="s">
        <v>29</v>
      </c>
      <c r="F595" t="s">
        <v>30</v>
      </c>
      <c r="G595" s="2" t="s">
        <v>39</v>
      </c>
      <c r="H595" s="2">
        <v>2</v>
      </c>
      <c r="I595" s="2" t="s">
        <v>67</v>
      </c>
      <c r="J595" s="2">
        <v>2.5</v>
      </c>
      <c r="K595" s="2" t="s">
        <v>87</v>
      </c>
      <c r="L595" s="2">
        <v>60</v>
      </c>
      <c r="M595" s="2" t="s">
        <v>82</v>
      </c>
      <c r="N595" s="2" t="s">
        <v>75</v>
      </c>
      <c r="O595" s="2">
        <v>5</v>
      </c>
      <c r="P595" s="2" t="str">
        <f>IF(global_freelancer_raw[[#This Row],[No of projects ]]&lt;=5,"Entry level","Well Experienced")</f>
        <v>Entry level</v>
      </c>
      <c r="Q595" s="2">
        <v>1</v>
      </c>
    </row>
    <row r="596" spans="1:17" x14ac:dyDescent="0.3">
      <c r="A596" t="s">
        <v>1292</v>
      </c>
      <c r="B596" t="s">
        <v>1293</v>
      </c>
      <c r="C596" t="s">
        <v>118</v>
      </c>
      <c r="D596" s="2">
        <v>55</v>
      </c>
      <c r="E596" t="s">
        <v>149</v>
      </c>
      <c r="F596" t="s">
        <v>30</v>
      </c>
      <c r="G596" s="2" t="s">
        <v>98</v>
      </c>
      <c r="H596" s="2">
        <v>24</v>
      </c>
      <c r="I596" s="2" t="s">
        <v>86</v>
      </c>
      <c r="J596" s="2">
        <v>2</v>
      </c>
      <c r="K596" s="2" t="s">
        <v>33</v>
      </c>
      <c r="L596" s="2">
        <v>88</v>
      </c>
      <c r="M596" s="2" t="s">
        <v>60</v>
      </c>
      <c r="N596" s="2" t="s">
        <v>25</v>
      </c>
      <c r="O596" s="2">
        <v>15</v>
      </c>
      <c r="P596" s="2" t="str">
        <f>IF(global_freelancer_raw[[#This Row],[No of projects ]]&lt;=5,"Entry level","Well Experienced")</f>
        <v>Well Experienced</v>
      </c>
      <c r="Q596" s="2">
        <v>3</v>
      </c>
    </row>
    <row r="597" spans="1:17" x14ac:dyDescent="0.3">
      <c r="A597" t="s">
        <v>1294</v>
      </c>
      <c r="B597" t="s">
        <v>1295</v>
      </c>
      <c r="C597" t="s">
        <v>97</v>
      </c>
      <c r="D597" s="2">
        <v>56</v>
      </c>
      <c r="E597" t="s">
        <v>19</v>
      </c>
      <c r="F597" t="s">
        <v>20</v>
      </c>
      <c r="G597" s="2" t="s">
        <v>31</v>
      </c>
      <c r="H597" s="2">
        <v>37</v>
      </c>
      <c r="I597" s="2" t="s">
        <v>86</v>
      </c>
      <c r="J597" s="2">
        <v>0</v>
      </c>
      <c r="K597" s="2" t="s">
        <v>41</v>
      </c>
      <c r="L597" s="2">
        <v>0.7</v>
      </c>
      <c r="M597" s="2" t="s">
        <v>88</v>
      </c>
      <c r="N597" s="2" t="s">
        <v>34</v>
      </c>
      <c r="O597" s="2">
        <v>11</v>
      </c>
      <c r="P597" s="2" t="str">
        <f>IF(global_freelancer_raw[[#This Row],[No of projects ]]&lt;=5,"Entry level","Well Experienced")</f>
        <v>Well Experienced</v>
      </c>
      <c r="Q597" s="2">
        <v>9</v>
      </c>
    </row>
    <row r="598" spans="1:17" x14ac:dyDescent="0.3">
      <c r="A598" t="s">
        <v>1296</v>
      </c>
      <c r="B598" t="s">
        <v>1297</v>
      </c>
      <c r="C598" t="s">
        <v>118</v>
      </c>
      <c r="D598" s="2">
        <v>36</v>
      </c>
      <c r="E598" t="s">
        <v>156</v>
      </c>
      <c r="F598" t="s">
        <v>157</v>
      </c>
      <c r="G598" s="2" t="s">
        <v>39</v>
      </c>
      <c r="H598" s="2">
        <v>3</v>
      </c>
      <c r="I598" s="2" t="s">
        <v>119</v>
      </c>
      <c r="J598" s="2">
        <v>1.3</v>
      </c>
      <c r="K598" s="2" t="s">
        <v>33</v>
      </c>
      <c r="L598" s="2">
        <v>0.77</v>
      </c>
      <c r="M598" s="2" t="s">
        <v>88</v>
      </c>
      <c r="N598" s="2" t="s">
        <v>75</v>
      </c>
      <c r="O598" s="2">
        <v>2</v>
      </c>
      <c r="P598" s="2" t="str">
        <f>IF(global_freelancer_raw[[#This Row],[No of projects ]]&lt;=5,"Entry level","Well Experienced")</f>
        <v>Entry level</v>
      </c>
      <c r="Q598" s="2">
        <v>4</v>
      </c>
    </row>
    <row r="599" spans="1:17" x14ac:dyDescent="0.3">
      <c r="A599" t="s">
        <v>1298</v>
      </c>
      <c r="B599" t="s">
        <v>1299</v>
      </c>
      <c r="C599" t="s">
        <v>118</v>
      </c>
      <c r="D599" s="2">
        <v>48</v>
      </c>
      <c r="E599" t="s">
        <v>91</v>
      </c>
      <c r="F599" t="s">
        <v>92</v>
      </c>
      <c r="G599" s="2" t="s">
        <v>46</v>
      </c>
      <c r="H599" s="2">
        <v>18</v>
      </c>
      <c r="I599" s="2" t="s">
        <v>103</v>
      </c>
      <c r="J599" s="2">
        <v>0</v>
      </c>
      <c r="K599" s="2" t="s">
        <v>23</v>
      </c>
      <c r="L599" s="2">
        <v>0.8</v>
      </c>
      <c r="M599" s="2" t="s">
        <v>82</v>
      </c>
      <c r="N599" s="2" t="s">
        <v>75</v>
      </c>
      <c r="O599" s="2">
        <v>20</v>
      </c>
      <c r="P599" s="2" t="str">
        <f>IF(global_freelancer_raw[[#This Row],[No of projects ]]&lt;=5,"Entry level","Well Experienced")</f>
        <v>Well Experienced</v>
      </c>
      <c r="Q599" s="2">
        <v>5</v>
      </c>
    </row>
    <row r="600" spans="1:17" x14ac:dyDescent="0.3">
      <c r="A600" t="s">
        <v>1300</v>
      </c>
      <c r="B600" t="s">
        <v>1301</v>
      </c>
      <c r="C600" t="s">
        <v>118</v>
      </c>
      <c r="D600" s="2">
        <v>55</v>
      </c>
      <c r="E600" t="s">
        <v>160</v>
      </c>
      <c r="F600" t="s">
        <v>161</v>
      </c>
      <c r="G600" s="2" t="s">
        <v>135</v>
      </c>
      <c r="H600" s="2">
        <v>6</v>
      </c>
      <c r="I600" s="2" t="s">
        <v>47</v>
      </c>
      <c r="J600" s="2">
        <v>3.6</v>
      </c>
      <c r="K600" s="2" t="s">
        <v>94</v>
      </c>
      <c r="L600" s="2" t="s">
        <v>2120</v>
      </c>
      <c r="M600" s="2" t="s">
        <v>88</v>
      </c>
      <c r="N600" s="2" t="s">
        <v>75</v>
      </c>
      <c r="O600" s="2">
        <v>13</v>
      </c>
      <c r="P600" s="2" t="str">
        <f>IF(global_freelancer_raw[[#This Row],[No of projects ]]&lt;=5,"Entry level","Well Experienced")</f>
        <v>Well Experienced</v>
      </c>
      <c r="Q600" s="2">
        <v>3</v>
      </c>
    </row>
    <row r="601" spans="1:17" x14ac:dyDescent="0.3">
      <c r="A601" t="s">
        <v>1302</v>
      </c>
      <c r="B601" t="s">
        <v>1303</v>
      </c>
      <c r="C601" t="s">
        <v>97</v>
      </c>
      <c r="D601" s="2">
        <v>56</v>
      </c>
      <c r="E601" t="s">
        <v>212</v>
      </c>
      <c r="F601" t="s">
        <v>92</v>
      </c>
      <c r="G601" s="2" t="s">
        <v>110</v>
      </c>
      <c r="H601" s="2">
        <v>17</v>
      </c>
      <c r="I601" s="2" t="s">
        <v>2119</v>
      </c>
      <c r="J601" s="2">
        <v>1.3</v>
      </c>
      <c r="K601" s="2" t="s">
        <v>2120</v>
      </c>
      <c r="L601" s="2">
        <v>0.87</v>
      </c>
      <c r="M601" s="2" t="s">
        <v>60</v>
      </c>
      <c r="N601" s="2" t="s">
        <v>34</v>
      </c>
      <c r="O601" s="2">
        <v>12</v>
      </c>
      <c r="P601" s="2" t="str">
        <f>IF(global_freelancer_raw[[#This Row],[No of projects ]]&lt;=5,"Entry level","Well Experienced")</f>
        <v>Well Experienced</v>
      </c>
      <c r="Q601" s="2">
        <v>5</v>
      </c>
    </row>
    <row r="602" spans="1:17" x14ac:dyDescent="0.3">
      <c r="A602" t="s">
        <v>1304</v>
      </c>
      <c r="B602" t="s">
        <v>1305</v>
      </c>
      <c r="C602" t="s">
        <v>97</v>
      </c>
      <c r="D602" s="2">
        <v>28</v>
      </c>
      <c r="E602" t="s">
        <v>149</v>
      </c>
      <c r="F602" t="s">
        <v>30</v>
      </c>
      <c r="G602" s="2" t="s">
        <v>21</v>
      </c>
      <c r="H602" s="2">
        <v>1</v>
      </c>
      <c r="I602" s="2" t="s">
        <v>103</v>
      </c>
      <c r="J602" s="2">
        <v>2.7</v>
      </c>
      <c r="K602" s="2" t="s">
        <v>74</v>
      </c>
      <c r="L602" s="2">
        <v>0.93</v>
      </c>
      <c r="M602" s="2" t="s">
        <v>88</v>
      </c>
      <c r="N602" s="2" t="s">
        <v>25</v>
      </c>
      <c r="O602" s="2">
        <v>1</v>
      </c>
      <c r="P602" s="2" t="str">
        <f>IF(global_freelancer_raw[[#This Row],[No of projects ]]&lt;=5,"Entry level","Well Experienced")</f>
        <v>Entry level</v>
      </c>
      <c r="Q602" s="2">
        <v>2</v>
      </c>
    </row>
    <row r="603" spans="1:17" x14ac:dyDescent="0.3">
      <c r="A603" t="s">
        <v>1306</v>
      </c>
      <c r="B603" t="s">
        <v>1307</v>
      </c>
      <c r="C603" t="s">
        <v>118</v>
      </c>
      <c r="D603" s="2">
        <v>60</v>
      </c>
      <c r="E603" t="s">
        <v>73</v>
      </c>
      <c r="F603" t="s">
        <v>30</v>
      </c>
      <c r="G603" s="2" t="s">
        <v>57</v>
      </c>
      <c r="H603" s="2">
        <v>39</v>
      </c>
      <c r="I603" s="2" t="s">
        <v>32</v>
      </c>
      <c r="J603" s="2">
        <v>1.5</v>
      </c>
      <c r="K603" s="2" t="s">
        <v>2120</v>
      </c>
      <c r="L603" s="2">
        <v>88</v>
      </c>
      <c r="M603" s="2" t="s">
        <v>60</v>
      </c>
      <c r="N603" s="2" t="s">
        <v>42</v>
      </c>
      <c r="O603" s="2">
        <v>19</v>
      </c>
      <c r="P603" s="2" t="str">
        <f>IF(global_freelancer_raw[[#This Row],[No of projects ]]&lt;=5,"Entry level","Well Experienced")</f>
        <v>Well Experienced</v>
      </c>
      <c r="Q603" s="2">
        <v>4</v>
      </c>
    </row>
    <row r="604" spans="1:17" x14ac:dyDescent="0.3">
      <c r="A604" t="s">
        <v>1308</v>
      </c>
      <c r="B604" t="s">
        <v>1309</v>
      </c>
      <c r="C604" t="s">
        <v>118</v>
      </c>
      <c r="D604" s="2">
        <v>34</v>
      </c>
      <c r="E604" t="s">
        <v>133</v>
      </c>
      <c r="F604" t="s">
        <v>134</v>
      </c>
      <c r="G604" s="2" t="s">
        <v>21</v>
      </c>
      <c r="H604" s="2">
        <v>15</v>
      </c>
      <c r="I604" s="2" t="s">
        <v>162</v>
      </c>
      <c r="J604" s="2">
        <v>0</v>
      </c>
      <c r="K604" s="2" t="s">
        <v>23</v>
      </c>
      <c r="L604" s="2">
        <v>1</v>
      </c>
      <c r="M604" s="2" t="s">
        <v>60</v>
      </c>
      <c r="N604" s="2" t="s">
        <v>75</v>
      </c>
      <c r="O604" s="2">
        <v>13</v>
      </c>
      <c r="P604" s="2" t="str">
        <f>IF(global_freelancer_raw[[#This Row],[No of projects ]]&lt;=5,"Entry level","Well Experienced")</f>
        <v>Well Experienced</v>
      </c>
      <c r="Q604" s="2">
        <v>3</v>
      </c>
    </row>
    <row r="605" spans="1:17" x14ac:dyDescent="0.3">
      <c r="A605" t="s">
        <v>1310</v>
      </c>
      <c r="B605" t="s">
        <v>1311</v>
      </c>
      <c r="C605" t="s">
        <v>97</v>
      </c>
      <c r="D605" s="2">
        <v>38</v>
      </c>
      <c r="E605" t="s">
        <v>64</v>
      </c>
      <c r="F605" t="s">
        <v>65</v>
      </c>
      <c r="G605" s="2" t="s">
        <v>57</v>
      </c>
      <c r="H605" s="2">
        <v>13</v>
      </c>
      <c r="I605" s="2" t="s">
        <v>47</v>
      </c>
      <c r="J605" s="2">
        <v>0</v>
      </c>
      <c r="K605" s="2" t="s">
        <v>33</v>
      </c>
      <c r="L605" s="2">
        <v>61</v>
      </c>
      <c r="M605" s="2" t="s">
        <v>88</v>
      </c>
      <c r="N605" s="2" t="s">
        <v>34</v>
      </c>
      <c r="O605" s="2">
        <v>13</v>
      </c>
      <c r="P605" s="2" t="str">
        <f>IF(global_freelancer_raw[[#This Row],[No of projects ]]&lt;=5,"Entry level","Well Experienced")</f>
        <v>Well Experienced</v>
      </c>
      <c r="Q605" s="2">
        <v>2</v>
      </c>
    </row>
    <row r="606" spans="1:17" x14ac:dyDescent="0.3">
      <c r="A606" t="s">
        <v>1312</v>
      </c>
      <c r="B606" t="s">
        <v>1313</v>
      </c>
      <c r="C606" t="s">
        <v>97</v>
      </c>
      <c r="D606" s="2">
        <v>51</v>
      </c>
      <c r="E606" t="s">
        <v>133</v>
      </c>
      <c r="F606" t="s">
        <v>134</v>
      </c>
      <c r="G606" s="2" t="s">
        <v>46</v>
      </c>
      <c r="H606" s="2">
        <v>17</v>
      </c>
      <c r="I606" s="2" t="s">
        <v>22</v>
      </c>
      <c r="J606" s="2">
        <v>3</v>
      </c>
      <c r="K606" s="2" t="s">
        <v>59</v>
      </c>
      <c r="L606" s="2">
        <v>0.79</v>
      </c>
      <c r="M606" s="2" t="s">
        <v>82</v>
      </c>
      <c r="N606" s="2" t="s">
        <v>34</v>
      </c>
      <c r="O606" s="2">
        <v>13</v>
      </c>
      <c r="P606" s="2" t="str">
        <f>IF(global_freelancer_raw[[#This Row],[No of projects ]]&lt;=5,"Entry level","Well Experienced")</f>
        <v>Well Experienced</v>
      </c>
      <c r="Q606" s="2">
        <v>1</v>
      </c>
    </row>
    <row r="607" spans="1:17" x14ac:dyDescent="0.3">
      <c r="A607" t="s">
        <v>1314</v>
      </c>
      <c r="B607" t="s">
        <v>1315</v>
      </c>
      <c r="C607" t="s">
        <v>97</v>
      </c>
      <c r="D607" s="2">
        <v>21</v>
      </c>
      <c r="E607" t="s">
        <v>106</v>
      </c>
      <c r="F607" t="s">
        <v>107</v>
      </c>
      <c r="G607" s="2" t="s">
        <v>31</v>
      </c>
      <c r="H607" s="2">
        <v>1</v>
      </c>
      <c r="I607" s="2" t="s">
        <v>52</v>
      </c>
      <c r="J607" s="2">
        <v>1.2</v>
      </c>
      <c r="K607" s="2" t="s">
        <v>2120</v>
      </c>
      <c r="L607" s="2">
        <v>0.73</v>
      </c>
      <c r="M607" s="2" t="s">
        <v>24</v>
      </c>
      <c r="N607" s="2" t="s">
        <v>42</v>
      </c>
      <c r="O607" s="2">
        <v>1</v>
      </c>
      <c r="P607" s="2" t="str">
        <f>IF(global_freelancer_raw[[#This Row],[No of projects ]]&lt;=5,"Entry level","Well Experienced")</f>
        <v>Entry level</v>
      </c>
      <c r="Q607" s="2">
        <v>1</v>
      </c>
    </row>
    <row r="608" spans="1:17" x14ac:dyDescent="0.3">
      <c r="A608" t="s">
        <v>1316</v>
      </c>
      <c r="B608" t="s">
        <v>1317</v>
      </c>
      <c r="C608" t="s">
        <v>118</v>
      </c>
      <c r="D608" s="2">
        <v>35</v>
      </c>
      <c r="E608" t="s">
        <v>19</v>
      </c>
      <c r="F608" t="s">
        <v>20</v>
      </c>
      <c r="G608" s="2" t="s">
        <v>93</v>
      </c>
      <c r="H608" s="2">
        <v>16</v>
      </c>
      <c r="I608" s="2" t="s">
        <v>2119</v>
      </c>
      <c r="J608" s="2">
        <v>1.3</v>
      </c>
      <c r="K608" s="2" t="s">
        <v>33</v>
      </c>
      <c r="L608" s="2">
        <v>0.64</v>
      </c>
      <c r="M608" s="2" t="s">
        <v>88</v>
      </c>
      <c r="N608" s="2" t="s">
        <v>42</v>
      </c>
      <c r="O608" s="2">
        <v>12</v>
      </c>
      <c r="P608" s="2" t="str">
        <f>IF(global_freelancer_raw[[#This Row],[No of projects ]]&lt;=5,"Entry level","Well Experienced")</f>
        <v>Well Experienced</v>
      </c>
      <c r="Q608" s="2">
        <v>18</v>
      </c>
    </row>
    <row r="609" spans="1:17" x14ac:dyDescent="0.3">
      <c r="A609" t="s">
        <v>1318</v>
      </c>
      <c r="B609" t="s">
        <v>1319</v>
      </c>
      <c r="C609" t="s">
        <v>118</v>
      </c>
      <c r="D609" s="2">
        <v>27</v>
      </c>
      <c r="E609" t="s">
        <v>128</v>
      </c>
      <c r="F609" t="s">
        <v>129</v>
      </c>
      <c r="G609" s="2" t="s">
        <v>46</v>
      </c>
      <c r="H609" s="2">
        <v>9</v>
      </c>
      <c r="I609" s="2" t="s">
        <v>251</v>
      </c>
      <c r="J609" s="2" t="s">
        <v>2120</v>
      </c>
      <c r="K609" s="2" t="s">
        <v>74</v>
      </c>
      <c r="L609" s="2" t="s">
        <v>2120</v>
      </c>
      <c r="M609" s="2" t="s">
        <v>60</v>
      </c>
      <c r="N609" s="2" t="s">
        <v>34</v>
      </c>
      <c r="O609" s="2">
        <v>13</v>
      </c>
      <c r="P609" s="2" t="str">
        <f>IF(global_freelancer_raw[[#This Row],[No of projects ]]&lt;=5,"Entry level","Well Experienced")</f>
        <v>Well Experienced</v>
      </c>
      <c r="Q609" s="2">
        <v>6</v>
      </c>
    </row>
    <row r="610" spans="1:17" x14ac:dyDescent="0.3">
      <c r="A610" t="s">
        <v>1320</v>
      </c>
      <c r="B610" t="s">
        <v>1321</v>
      </c>
      <c r="C610" t="s">
        <v>97</v>
      </c>
      <c r="D610" s="2">
        <v>42</v>
      </c>
      <c r="E610" t="s">
        <v>79</v>
      </c>
      <c r="F610" t="s">
        <v>80</v>
      </c>
      <c r="G610" s="2" t="s">
        <v>31</v>
      </c>
      <c r="H610" s="2">
        <v>20</v>
      </c>
      <c r="I610" s="2" t="s">
        <v>119</v>
      </c>
      <c r="J610" s="2">
        <v>3.8</v>
      </c>
      <c r="K610" s="2" t="s">
        <v>41</v>
      </c>
      <c r="L610" s="2">
        <v>0.93</v>
      </c>
      <c r="M610" s="2" t="s">
        <v>60</v>
      </c>
      <c r="N610" s="2" t="s">
        <v>25</v>
      </c>
      <c r="O610" s="2">
        <v>10</v>
      </c>
      <c r="P610" s="2" t="str">
        <f>IF(global_freelancer_raw[[#This Row],[No of projects ]]&lt;=5,"Entry level","Well Experienced")</f>
        <v>Well Experienced</v>
      </c>
      <c r="Q610" s="2">
        <v>14</v>
      </c>
    </row>
    <row r="611" spans="1:17" x14ac:dyDescent="0.3">
      <c r="A611" t="s">
        <v>1322</v>
      </c>
      <c r="B611" t="s">
        <v>1323</v>
      </c>
      <c r="C611" t="s">
        <v>97</v>
      </c>
      <c r="D611" s="2">
        <v>52</v>
      </c>
      <c r="E611" t="s">
        <v>149</v>
      </c>
      <c r="F611" t="s">
        <v>30</v>
      </c>
      <c r="G611" s="2" t="s">
        <v>21</v>
      </c>
      <c r="H611" s="2">
        <v>29</v>
      </c>
      <c r="I611" s="2" t="s">
        <v>52</v>
      </c>
      <c r="J611" s="2">
        <v>3.8</v>
      </c>
      <c r="K611" s="2" t="s">
        <v>23</v>
      </c>
      <c r="L611" s="2">
        <v>0.68</v>
      </c>
      <c r="M611" s="2" t="s">
        <v>88</v>
      </c>
      <c r="N611" s="2" t="s">
        <v>42</v>
      </c>
      <c r="O611" s="2">
        <v>14</v>
      </c>
      <c r="P611" s="2" t="str">
        <f>IF(global_freelancer_raw[[#This Row],[No of projects ]]&lt;=5,"Entry level","Well Experienced")</f>
        <v>Well Experienced</v>
      </c>
      <c r="Q611" s="2">
        <v>7</v>
      </c>
    </row>
    <row r="612" spans="1:17" x14ac:dyDescent="0.3">
      <c r="A612" t="s">
        <v>1324</v>
      </c>
      <c r="B612" t="s">
        <v>1325</v>
      </c>
      <c r="C612" t="s">
        <v>118</v>
      </c>
      <c r="D612" s="2">
        <v>53</v>
      </c>
      <c r="E612" t="s">
        <v>133</v>
      </c>
      <c r="F612" t="s">
        <v>134</v>
      </c>
      <c r="G612" s="2" t="s">
        <v>46</v>
      </c>
      <c r="H612" s="2">
        <v>21</v>
      </c>
      <c r="I612" s="2" t="s">
        <v>86</v>
      </c>
      <c r="J612" s="2">
        <v>4.7</v>
      </c>
      <c r="K612" s="2" t="s">
        <v>33</v>
      </c>
      <c r="L612" s="2">
        <v>0.62</v>
      </c>
      <c r="M612" s="2" t="s">
        <v>82</v>
      </c>
      <c r="N612" s="2" t="s">
        <v>34</v>
      </c>
      <c r="O612" s="2">
        <v>19</v>
      </c>
      <c r="P612" s="2" t="str">
        <f>IF(global_freelancer_raw[[#This Row],[No of projects ]]&lt;=5,"Entry level","Well Experienced")</f>
        <v>Well Experienced</v>
      </c>
      <c r="Q612" s="2">
        <v>15</v>
      </c>
    </row>
    <row r="613" spans="1:17" x14ac:dyDescent="0.3">
      <c r="A613" t="s">
        <v>1326</v>
      </c>
      <c r="B613" t="s">
        <v>1327</v>
      </c>
      <c r="C613" t="s">
        <v>97</v>
      </c>
      <c r="D613" s="2">
        <v>54</v>
      </c>
      <c r="E613" t="s">
        <v>19</v>
      </c>
      <c r="F613" t="s">
        <v>20</v>
      </c>
      <c r="G613" s="2" t="s">
        <v>31</v>
      </c>
      <c r="H613" s="2">
        <v>28</v>
      </c>
      <c r="I613" s="2" t="s">
        <v>70</v>
      </c>
      <c r="J613" s="2">
        <v>1.1000000000000001</v>
      </c>
      <c r="K613" s="2" t="s">
        <v>181</v>
      </c>
      <c r="L613" s="2" t="s">
        <v>2120</v>
      </c>
      <c r="M613" s="2" t="s">
        <v>82</v>
      </c>
      <c r="N613" s="2" t="s">
        <v>42</v>
      </c>
      <c r="O613" s="2">
        <v>13</v>
      </c>
      <c r="P613" s="2" t="str">
        <f>IF(global_freelancer_raw[[#This Row],[No of projects ]]&lt;=5,"Entry level","Well Experienced")</f>
        <v>Well Experienced</v>
      </c>
      <c r="Q613" s="2">
        <v>2</v>
      </c>
    </row>
    <row r="614" spans="1:17" x14ac:dyDescent="0.3">
      <c r="A614" t="s">
        <v>1328</v>
      </c>
      <c r="B614" t="s">
        <v>1329</v>
      </c>
      <c r="C614" t="s">
        <v>118</v>
      </c>
      <c r="D614" s="2">
        <v>51</v>
      </c>
      <c r="E614" t="s">
        <v>106</v>
      </c>
      <c r="F614" t="s">
        <v>107</v>
      </c>
      <c r="G614" s="2" t="s">
        <v>39</v>
      </c>
      <c r="H614" s="2">
        <v>5</v>
      </c>
      <c r="I614" s="2" t="s">
        <v>40</v>
      </c>
      <c r="J614" s="2">
        <v>4.2</v>
      </c>
      <c r="K614" s="2" t="s">
        <v>33</v>
      </c>
      <c r="L614" s="2">
        <v>0.82</v>
      </c>
      <c r="M614" s="2" t="s">
        <v>60</v>
      </c>
      <c r="N614" s="2" t="s">
        <v>25</v>
      </c>
      <c r="O614" s="2">
        <v>4</v>
      </c>
      <c r="P614" s="2" t="str">
        <f>IF(global_freelancer_raw[[#This Row],[No of projects ]]&lt;=5,"Entry level","Well Experienced")</f>
        <v>Entry level</v>
      </c>
      <c r="Q614" s="2">
        <v>2</v>
      </c>
    </row>
    <row r="615" spans="1:17" x14ac:dyDescent="0.3">
      <c r="A615" t="s">
        <v>1330</v>
      </c>
      <c r="B615" t="s">
        <v>1331</v>
      </c>
      <c r="C615" t="s">
        <v>97</v>
      </c>
      <c r="D615" s="2">
        <v>30</v>
      </c>
      <c r="E615" t="s">
        <v>133</v>
      </c>
      <c r="F615" t="s">
        <v>134</v>
      </c>
      <c r="G615" s="2" t="s">
        <v>46</v>
      </c>
      <c r="H615" s="2">
        <v>0</v>
      </c>
      <c r="I615" s="2" t="s">
        <v>2119</v>
      </c>
      <c r="J615" s="2">
        <v>0</v>
      </c>
      <c r="K615" s="2" t="s">
        <v>23</v>
      </c>
      <c r="L615" s="2" t="s">
        <v>2120</v>
      </c>
      <c r="M615" s="2" t="s">
        <v>60</v>
      </c>
      <c r="N615" s="2" t="s">
        <v>75</v>
      </c>
      <c r="O615" s="2">
        <v>1</v>
      </c>
      <c r="P615" s="2" t="str">
        <f>IF(global_freelancer_raw[[#This Row],[No of projects ]]&lt;=5,"Entry level","Well Experienced")</f>
        <v>Entry level</v>
      </c>
      <c r="Q615" s="2">
        <v>5</v>
      </c>
    </row>
    <row r="616" spans="1:17" x14ac:dyDescent="0.3">
      <c r="A616" t="s">
        <v>1332</v>
      </c>
      <c r="B616" t="s">
        <v>1333</v>
      </c>
      <c r="C616" t="s">
        <v>97</v>
      </c>
      <c r="D616" s="2">
        <v>45</v>
      </c>
      <c r="E616" t="s">
        <v>55</v>
      </c>
      <c r="F616" t="s">
        <v>56</v>
      </c>
      <c r="G616" s="2" t="s">
        <v>135</v>
      </c>
      <c r="H616" s="2">
        <v>27</v>
      </c>
      <c r="I616" s="2" t="s">
        <v>67</v>
      </c>
      <c r="J616" s="2">
        <v>0</v>
      </c>
      <c r="K616" s="2" t="s">
        <v>2120</v>
      </c>
      <c r="L616" s="2">
        <v>0.85</v>
      </c>
      <c r="M616" s="2" t="s">
        <v>82</v>
      </c>
      <c r="N616" s="2" t="s">
        <v>42</v>
      </c>
      <c r="O616" s="2">
        <v>20</v>
      </c>
      <c r="P616" s="2" t="str">
        <f>IF(global_freelancer_raw[[#This Row],[No of projects ]]&lt;=5,"Entry level","Well Experienced")</f>
        <v>Well Experienced</v>
      </c>
      <c r="Q616" s="2">
        <v>2</v>
      </c>
    </row>
    <row r="617" spans="1:17" x14ac:dyDescent="0.3">
      <c r="A617" t="s">
        <v>1334</v>
      </c>
      <c r="B617" t="s">
        <v>1335</v>
      </c>
      <c r="C617" t="s">
        <v>118</v>
      </c>
      <c r="D617" s="2">
        <v>57</v>
      </c>
      <c r="E617" t="s">
        <v>64</v>
      </c>
      <c r="F617" t="s">
        <v>65</v>
      </c>
      <c r="G617" s="2" t="s">
        <v>39</v>
      </c>
      <c r="H617" s="2">
        <v>26</v>
      </c>
      <c r="I617" s="2" t="s">
        <v>32</v>
      </c>
      <c r="J617" s="2">
        <v>2.4</v>
      </c>
      <c r="K617" s="2" t="s">
        <v>33</v>
      </c>
      <c r="L617" s="2">
        <v>0.78</v>
      </c>
      <c r="M617" s="2" t="s">
        <v>24</v>
      </c>
      <c r="N617" s="2" t="s">
        <v>25</v>
      </c>
      <c r="O617" s="2">
        <v>13</v>
      </c>
      <c r="P617" s="2" t="str">
        <f>IF(global_freelancer_raw[[#This Row],[No of projects ]]&lt;=5,"Entry level","Well Experienced")</f>
        <v>Well Experienced</v>
      </c>
      <c r="Q617" s="2">
        <v>11</v>
      </c>
    </row>
    <row r="618" spans="1:17" x14ac:dyDescent="0.3">
      <c r="A618" t="s">
        <v>1336</v>
      </c>
      <c r="B618" t="s">
        <v>1337</v>
      </c>
      <c r="C618" t="s">
        <v>118</v>
      </c>
      <c r="D618" s="2">
        <v>38</v>
      </c>
      <c r="E618" t="s">
        <v>79</v>
      </c>
      <c r="F618" t="s">
        <v>80</v>
      </c>
      <c r="G618" s="2" t="s">
        <v>21</v>
      </c>
      <c r="H618" s="2">
        <v>19</v>
      </c>
      <c r="I618" s="2" t="s">
        <v>86</v>
      </c>
      <c r="J618" s="2">
        <v>0</v>
      </c>
      <c r="K618" s="2" t="s">
        <v>33</v>
      </c>
      <c r="L618" s="2">
        <v>0.86</v>
      </c>
      <c r="M618" s="2" t="s">
        <v>88</v>
      </c>
      <c r="N618" s="2" t="s">
        <v>34</v>
      </c>
      <c r="O618" s="2">
        <v>17</v>
      </c>
      <c r="P618" s="2" t="str">
        <f>IF(global_freelancer_raw[[#This Row],[No of projects ]]&lt;=5,"Entry level","Well Experienced")</f>
        <v>Well Experienced</v>
      </c>
      <c r="Q618" s="2">
        <v>5</v>
      </c>
    </row>
    <row r="619" spans="1:17" x14ac:dyDescent="0.3">
      <c r="A619" t="s">
        <v>1338</v>
      </c>
      <c r="B619" t="s">
        <v>1339</v>
      </c>
      <c r="C619" t="s">
        <v>97</v>
      </c>
      <c r="D619" s="2">
        <v>42</v>
      </c>
      <c r="E619" t="s">
        <v>145</v>
      </c>
      <c r="F619" t="s">
        <v>146</v>
      </c>
      <c r="G619" s="2" t="s">
        <v>110</v>
      </c>
      <c r="H619" s="2">
        <v>24</v>
      </c>
      <c r="I619" s="2" t="s">
        <v>70</v>
      </c>
      <c r="J619" s="2" t="s">
        <v>2120</v>
      </c>
      <c r="K619" s="2" t="s">
        <v>59</v>
      </c>
      <c r="L619" s="2">
        <v>0.88</v>
      </c>
      <c r="M619" s="2" t="s">
        <v>60</v>
      </c>
      <c r="N619" s="2" t="s">
        <v>42</v>
      </c>
      <c r="O619" s="2">
        <v>12</v>
      </c>
      <c r="P619" s="2" t="str">
        <f>IF(global_freelancer_raw[[#This Row],[No of projects ]]&lt;=5,"Entry level","Well Experienced")</f>
        <v>Well Experienced</v>
      </c>
      <c r="Q619" s="2">
        <v>3</v>
      </c>
    </row>
    <row r="620" spans="1:17" x14ac:dyDescent="0.3">
      <c r="A620" t="s">
        <v>1340</v>
      </c>
      <c r="B620" t="s">
        <v>1341</v>
      </c>
      <c r="C620" t="s">
        <v>97</v>
      </c>
      <c r="D620" s="2">
        <v>30</v>
      </c>
      <c r="E620" t="s">
        <v>175</v>
      </c>
      <c r="F620" t="s">
        <v>176</v>
      </c>
      <c r="G620" s="2" t="s">
        <v>110</v>
      </c>
      <c r="H620" s="2">
        <v>7</v>
      </c>
      <c r="I620" s="2" t="s">
        <v>52</v>
      </c>
      <c r="J620" s="2">
        <v>3.3</v>
      </c>
      <c r="K620" s="2" t="s">
        <v>2120</v>
      </c>
      <c r="L620" s="2">
        <v>0.68</v>
      </c>
      <c r="M620" s="2" t="s">
        <v>60</v>
      </c>
      <c r="N620" s="2" t="s">
        <v>42</v>
      </c>
      <c r="O620" s="2">
        <v>8</v>
      </c>
      <c r="P620" s="2" t="str">
        <f>IF(global_freelancer_raw[[#This Row],[No of projects ]]&lt;=5,"Entry level","Well Experienced")</f>
        <v>Well Experienced</v>
      </c>
      <c r="Q620" s="2">
        <v>14</v>
      </c>
    </row>
    <row r="621" spans="1:17" x14ac:dyDescent="0.3">
      <c r="A621" t="s">
        <v>1342</v>
      </c>
      <c r="B621" t="s">
        <v>1343</v>
      </c>
      <c r="C621" t="s">
        <v>97</v>
      </c>
      <c r="D621" s="2">
        <v>43</v>
      </c>
      <c r="E621" t="s">
        <v>29</v>
      </c>
      <c r="F621" t="s">
        <v>30</v>
      </c>
      <c r="G621" s="2" t="s">
        <v>46</v>
      </c>
      <c r="H621" s="2">
        <v>13</v>
      </c>
      <c r="I621" s="2" t="s">
        <v>251</v>
      </c>
      <c r="J621" s="2">
        <v>1.4</v>
      </c>
      <c r="K621" s="2" t="s">
        <v>33</v>
      </c>
      <c r="L621" s="2">
        <v>0.97</v>
      </c>
      <c r="M621" s="2" t="s">
        <v>82</v>
      </c>
      <c r="N621" s="2" t="s">
        <v>34</v>
      </c>
      <c r="O621" s="2">
        <v>7</v>
      </c>
      <c r="P621" s="2" t="str">
        <f>IF(global_freelancer_raw[[#This Row],[No of projects ]]&lt;=5,"Entry level","Well Experienced")</f>
        <v>Well Experienced</v>
      </c>
      <c r="Q621" s="2">
        <v>4</v>
      </c>
    </row>
    <row r="622" spans="1:17" x14ac:dyDescent="0.3">
      <c r="A622" t="s">
        <v>1344</v>
      </c>
      <c r="B622" t="s">
        <v>1345</v>
      </c>
      <c r="C622" t="s">
        <v>118</v>
      </c>
      <c r="D622" s="2">
        <v>22</v>
      </c>
      <c r="E622" t="s">
        <v>160</v>
      </c>
      <c r="F622" t="s">
        <v>161</v>
      </c>
      <c r="G622" s="2" t="s">
        <v>93</v>
      </c>
      <c r="H622" s="2">
        <v>2</v>
      </c>
      <c r="I622" s="2" t="s">
        <v>192</v>
      </c>
      <c r="J622" s="2">
        <v>1.7</v>
      </c>
      <c r="K622" s="2" t="s">
        <v>181</v>
      </c>
      <c r="L622" s="2">
        <v>0.91</v>
      </c>
      <c r="M622" s="2" t="s">
        <v>88</v>
      </c>
      <c r="N622" s="2" t="s">
        <v>75</v>
      </c>
      <c r="O622" s="2">
        <v>5</v>
      </c>
      <c r="P622" s="2" t="str">
        <f>IF(global_freelancer_raw[[#This Row],[No of projects ]]&lt;=5,"Entry level","Well Experienced")</f>
        <v>Entry level</v>
      </c>
      <c r="Q622" s="2">
        <v>1</v>
      </c>
    </row>
    <row r="623" spans="1:17" x14ac:dyDescent="0.3">
      <c r="A623" t="s">
        <v>1346</v>
      </c>
      <c r="B623" t="s">
        <v>1347</v>
      </c>
      <c r="C623" t="s">
        <v>118</v>
      </c>
      <c r="D623" s="2">
        <v>57</v>
      </c>
      <c r="E623" t="s">
        <v>201</v>
      </c>
      <c r="F623" t="s">
        <v>92</v>
      </c>
      <c r="G623" s="2" t="s">
        <v>135</v>
      </c>
      <c r="H623" s="2">
        <v>37</v>
      </c>
      <c r="I623" s="2" t="s">
        <v>52</v>
      </c>
      <c r="J623" s="2">
        <v>4.8</v>
      </c>
      <c r="K623" s="2" t="s">
        <v>59</v>
      </c>
      <c r="L623" s="2" t="s">
        <v>2120</v>
      </c>
      <c r="M623" s="2" t="s">
        <v>82</v>
      </c>
      <c r="N623" s="2" t="s">
        <v>34</v>
      </c>
      <c r="O623" s="2">
        <v>10</v>
      </c>
      <c r="P623" s="2" t="str">
        <f>IF(global_freelancer_raw[[#This Row],[No of projects ]]&lt;=5,"Entry level","Well Experienced")</f>
        <v>Well Experienced</v>
      </c>
      <c r="Q623" s="2">
        <v>7</v>
      </c>
    </row>
    <row r="624" spans="1:17" x14ac:dyDescent="0.3">
      <c r="A624" t="s">
        <v>1348</v>
      </c>
      <c r="B624" t="s">
        <v>1349</v>
      </c>
      <c r="C624" t="s">
        <v>118</v>
      </c>
      <c r="D624" s="2">
        <v>44</v>
      </c>
      <c r="E624" t="s">
        <v>85</v>
      </c>
      <c r="F624" t="s">
        <v>30</v>
      </c>
      <c r="G624" s="2" t="s">
        <v>39</v>
      </c>
      <c r="H624" s="2">
        <v>1</v>
      </c>
      <c r="I624" s="2" t="s">
        <v>2119</v>
      </c>
      <c r="J624" s="2">
        <v>4.8</v>
      </c>
      <c r="K624" s="2" t="s">
        <v>41</v>
      </c>
      <c r="L624" s="2">
        <v>0.97</v>
      </c>
      <c r="M624" s="2" t="s">
        <v>88</v>
      </c>
      <c r="N624" s="2" t="s">
        <v>42</v>
      </c>
      <c r="O624" s="2">
        <v>1</v>
      </c>
      <c r="P624" s="2" t="str">
        <f>IF(global_freelancer_raw[[#This Row],[No of projects ]]&lt;=5,"Entry level","Well Experienced")</f>
        <v>Entry level</v>
      </c>
      <c r="Q624" s="2">
        <v>1</v>
      </c>
    </row>
    <row r="625" spans="1:17" x14ac:dyDescent="0.3">
      <c r="A625" t="s">
        <v>1350</v>
      </c>
      <c r="B625" t="s">
        <v>1351</v>
      </c>
      <c r="C625" t="s">
        <v>97</v>
      </c>
      <c r="D625" s="2">
        <v>46</v>
      </c>
      <c r="E625" t="s">
        <v>197</v>
      </c>
      <c r="F625" t="s">
        <v>198</v>
      </c>
      <c r="G625" s="2" t="s">
        <v>110</v>
      </c>
      <c r="H625" s="2">
        <v>5</v>
      </c>
      <c r="I625" s="2" t="s">
        <v>130</v>
      </c>
      <c r="J625" s="2">
        <v>2</v>
      </c>
      <c r="K625" s="2" t="s">
        <v>87</v>
      </c>
      <c r="L625" s="2">
        <v>0.64</v>
      </c>
      <c r="M625" s="2" t="s">
        <v>88</v>
      </c>
      <c r="N625" s="2" t="s">
        <v>34</v>
      </c>
      <c r="O625" s="2">
        <v>3</v>
      </c>
      <c r="P625" s="2" t="str">
        <f>IF(global_freelancer_raw[[#This Row],[No of projects ]]&lt;=5,"Entry level","Well Experienced")</f>
        <v>Entry level</v>
      </c>
      <c r="Q625" s="2">
        <v>1</v>
      </c>
    </row>
    <row r="626" spans="1:17" x14ac:dyDescent="0.3">
      <c r="A626" t="s">
        <v>1352</v>
      </c>
      <c r="B626" t="s">
        <v>1353</v>
      </c>
      <c r="C626" t="s">
        <v>118</v>
      </c>
      <c r="D626" s="2" t="s">
        <v>2119</v>
      </c>
      <c r="E626" t="s">
        <v>212</v>
      </c>
      <c r="F626" t="s">
        <v>92</v>
      </c>
      <c r="G626" s="2" t="s">
        <v>21</v>
      </c>
      <c r="H626" s="2">
        <v>1</v>
      </c>
      <c r="I626" s="2" t="s">
        <v>119</v>
      </c>
      <c r="J626" s="2">
        <v>2.8</v>
      </c>
      <c r="K626" s="2" t="s">
        <v>181</v>
      </c>
      <c r="L626" s="2">
        <v>0.87</v>
      </c>
      <c r="M626" s="2" t="s">
        <v>88</v>
      </c>
      <c r="N626" s="2" t="s">
        <v>25</v>
      </c>
      <c r="O626" s="2">
        <v>3</v>
      </c>
      <c r="P626" s="2" t="str">
        <f>IF(global_freelancer_raw[[#This Row],[No of projects ]]&lt;=5,"Entry level","Well Experienced")</f>
        <v>Entry level</v>
      </c>
      <c r="Q626" s="2">
        <v>1</v>
      </c>
    </row>
    <row r="627" spans="1:17" x14ac:dyDescent="0.3">
      <c r="A627" t="s">
        <v>1354</v>
      </c>
      <c r="B627" t="s">
        <v>1355</v>
      </c>
      <c r="C627" t="s">
        <v>97</v>
      </c>
      <c r="D627" s="2">
        <v>34</v>
      </c>
      <c r="E627" t="s">
        <v>29</v>
      </c>
      <c r="F627" t="s">
        <v>30</v>
      </c>
      <c r="G627" s="2" t="s">
        <v>66</v>
      </c>
      <c r="H627" s="2">
        <v>2</v>
      </c>
      <c r="I627" s="2" t="s">
        <v>22</v>
      </c>
      <c r="J627" s="2">
        <v>0</v>
      </c>
      <c r="K627" s="2" t="s">
        <v>23</v>
      </c>
      <c r="L627" s="2">
        <v>86</v>
      </c>
      <c r="M627" s="2" t="s">
        <v>60</v>
      </c>
      <c r="N627" s="2" t="s">
        <v>34</v>
      </c>
      <c r="O627" s="2">
        <v>5</v>
      </c>
      <c r="P627" s="2" t="str">
        <f>IF(global_freelancer_raw[[#This Row],[No of projects ]]&lt;=5,"Entry level","Well Experienced")</f>
        <v>Entry level</v>
      </c>
      <c r="Q627" s="2">
        <v>1</v>
      </c>
    </row>
    <row r="628" spans="1:17" x14ac:dyDescent="0.3">
      <c r="A628" t="s">
        <v>1356</v>
      </c>
      <c r="B628" t="s">
        <v>1357</v>
      </c>
      <c r="C628" t="s">
        <v>97</v>
      </c>
      <c r="D628" s="2">
        <v>46</v>
      </c>
      <c r="E628" t="s">
        <v>19</v>
      </c>
      <c r="F628" t="s">
        <v>20</v>
      </c>
      <c r="G628" s="2" t="s">
        <v>31</v>
      </c>
      <c r="H628" s="2" t="s">
        <v>2120</v>
      </c>
      <c r="I628" s="2" t="s">
        <v>251</v>
      </c>
      <c r="J628" s="2">
        <v>4.4000000000000004</v>
      </c>
      <c r="K628" s="2" t="s">
        <v>33</v>
      </c>
      <c r="L628" s="2">
        <v>97</v>
      </c>
      <c r="M628" s="2" t="s">
        <v>24</v>
      </c>
      <c r="N628" s="2" t="s">
        <v>42</v>
      </c>
      <c r="O628" s="2">
        <v>2</v>
      </c>
      <c r="P628" s="2" t="str">
        <f>IF(global_freelancer_raw[[#This Row],[No of projects ]]&lt;=5,"Entry level","Well Experienced")</f>
        <v>Entry level</v>
      </c>
      <c r="Q628" s="2">
        <v>3</v>
      </c>
    </row>
    <row r="629" spans="1:17" x14ac:dyDescent="0.3">
      <c r="A629" t="s">
        <v>1358</v>
      </c>
      <c r="B629" t="s">
        <v>1359</v>
      </c>
      <c r="C629" t="s">
        <v>97</v>
      </c>
      <c r="D629" s="2">
        <v>22</v>
      </c>
      <c r="E629" t="s">
        <v>156</v>
      </c>
      <c r="F629" t="s">
        <v>157</v>
      </c>
      <c r="G629" s="2" t="s">
        <v>21</v>
      </c>
      <c r="H629" s="2">
        <v>0</v>
      </c>
      <c r="I629" s="2" t="s">
        <v>130</v>
      </c>
      <c r="J629" s="2">
        <v>4.9000000000000004</v>
      </c>
      <c r="K629" s="2" t="s">
        <v>59</v>
      </c>
      <c r="L629" s="2">
        <v>0.73</v>
      </c>
      <c r="M629" s="2" t="s">
        <v>82</v>
      </c>
      <c r="N629" s="2" t="s">
        <v>34</v>
      </c>
      <c r="O629" s="2">
        <v>3</v>
      </c>
      <c r="P629" s="2" t="str">
        <f>IF(global_freelancer_raw[[#This Row],[No of projects ]]&lt;=5,"Entry level","Well Experienced")</f>
        <v>Entry level</v>
      </c>
      <c r="Q629" s="2">
        <v>2</v>
      </c>
    </row>
    <row r="630" spans="1:17" x14ac:dyDescent="0.3">
      <c r="A630" t="s">
        <v>1360</v>
      </c>
      <c r="B630" t="s">
        <v>1361</v>
      </c>
      <c r="C630" t="s">
        <v>97</v>
      </c>
      <c r="D630" s="2">
        <v>23</v>
      </c>
      <c r="E630" t="s">
        <v>175</v>
      </c>
      <c r="F630" t="s">
        <v>176</v>
      </c>
      <c r="G630" s="2" t="s">
        <v>57</v>
      </c>
      <c r="H630" s="2">
        <v>0</v>
      </c>
      <c r="I630" s="2" t="s">
        <v>67</v>
      </c>
      <c r="J630" s="2">
        <v>2.2999999999999998</v>
      </c>
      <c r="K630" s="2" t="s">
        <v>2120</v>
      </c>
      <c r="L630" s="2">
        <v>0.6</v>
      </c>
      <c r="M630" s="2" t="s">
        <v>24</v>
      </c>
      <c r="N630" s="2" t="s">
        <v>75</v>
      </c>
      <c r="O630" s="2">
        <v>4</v>
      </c>
      <c r="P630" s="2" t="str">
        <f>IF(global_freelancer_raw[[#This Row],[No of projects ]]&lt;=5,"Entry level","Well Experienced")</f>
        <v>Entry level</v>
      </c>
      <c r="Q630" s="2">
        <v>1</v>
      </c>
    </row>
    <row r="631" spans="1:17" x14ac:dyDescent="0.3">
      <c r="A631" t="s">
        <v>1362</v>
      </c>
      <c r="B631" t="s">
        <v>1363</v>
      </c>
      <c r="C631" t="s">
        <v>97</v>
      </c>
      <c r="D631" s="2">
        <v>60</v>
      </c>
      <c r="E631" t="s">
        <v>79</v>
      </c>
      <c r="F631" t="s">
        <v>80</v>
      </c>
      <c r="G631" s="2" t="s">
        <v>46</v>
      </c>
      <c r="H631" s="2">
        <v>41</v>
      </c>
      <c r="I631" s="2" t="s">
        <v>47</v>
      </c>
      <c r="J631" s="2">
        <v>4.9000000000000004</v>
      </c>
      <c r="K631" s="2" t="s">
        <v>33</v>
      </c>
      <c r="L631" s="2">
        <v>66</v>
      </c>
      <c r="M631" s="2" t="s">
        <v>82</v>
      </c>
      <c r="N631" s="2" t="s">
        <v>34</v>
      </c>
      <c r="O631" s="2">
        <v>20</v>
      </c>
      <c r="P631" s="2" t="str">
        <f>IF(global_freelancer_raw[[#This Row],[No of projects ]]&lt;=5,"Entry level","Well Experienced")</f>
        <v>Well Experienced</v>
      </c>
      <c r="Q631" s="2">
        <v>19</v>
      </c>
    </row>
    <row r="632" spans="1:17" x14ac:dyDescent="0.3">
      <c r="A632" t="s">
        <v>1364</v>
      </c>
      <c r="B632" t="s">
        <v>1365</v>
      </c>
      <c r="C632" t="s">
        <v>118</v>
      </c>
      <c r="D632" s="2">
        <v>20</v>
      </c>
      <c r="E632" t="s">
        <v>149</v>
      </c>
      <c r="F632" t="s">
        <v>30</v>
      </c>
      <c r="G632" s="2" t="s">
        <v>110</v>
      </c>
      <c r="H632" s="2" t="s">
        <v>2120</v>
      </c>
      <c r="I632" s="2" t="s">
        <v>192</v>
      </c>
      <c r="J632" s="2">
        <v>4.3</v>
      </c>
      <c r="K632" s="2" t="s">
        <v>23</v>
      </c>
      <c r="L632" s="2">
        <v>0.9</v>
      </c>
      <c r="M632" s="2" t="s">
        <v>88</v>
      </c>
      <c r="N632" s="2" t="s">
        <v>75</v>
      </c>
      <c r="O632" s="2">
        <v>1</v>
      </c>
      <c r="P632" s="2" t="str">
        <f>IF(global_freelancer_raw[[#This Row],[No of projects ]]&lt;=5,"Entry level","Well Experienced")</f>
        <v>Entry level</v>
      </c>
      <c r="Q632" s="2">
        <v>2</v>
      </c>
    </row>
    <row r="633" spans="1:17" x14ac:dyDescent="0.3">
      <c r="A633" t="s">
        <v>1366</v>
      </c>
      <c r="B633" t="s">
        <v>1367</v>
      </c>
      <c r="C633" t="s">
        <v>97</v>
      </c>
      <c r="D633" s="2">
        <v>41</v>
      </c>
      <c r="E633" t="s">
        <v>133</v>
      </c>
      <c r="F633" t="s">
        <v>134</v>
      </c>
      <c r="G633" s="2" t="s">
        <v>93</v>
      </c>
      <c r="H633" s="2">
        <v>23</v>
      </c>
      <c r="I633" s="2" t="s">
        <v>192</v>
      </c>
      <c r="J633" s="2">
        <v>1.4</v>
      </c>
      <c r="K633" s="2" t="s">
        <v>23</v>
      </c>
      <c r="L633" s="2" t="s">
        <v>2120</v>
      </c>
      <c r="M633" s="2" t="s">
        <v>60</v>
      </c>
      <c r="N633" s="2" t="s">
        <v>25</v>
      </c>
      <c r="O633" s="2">
        <v>11</v>
      </c>
      <c r="P633" s="2" t="str">
        <f>IF(global_freelancer_raw[[#This Row],[No of projects ]]&lt;=5,"Entry level","Well Experienced")</f>
        <v>Well Experienced</v>
      </c>
      <c r="Q633" s="2">
        <v>4</v>
      </c>
    </row>
    <row r="634" spans="1:17" x14ac:dyDescent="0.3">
      <c r="A634" t="s">
        <v>1368</v>
      </c>
      <c r="B634" t="s">
        <v>1369</v>
      </c>
      <c r="C634" t="s">
        <v>118</v>
      </c>
      <c r="D634" s="2">
        <v>24</v>
      </c>
      <c r="E634" t="s">
        <v>156</v>
      </c>
      <c r="F634" t="s">
        <v>157</v>
      </c>
      <c r="G634" s="2" t="s">
        <v>31</v>
      </c>
      <c r="H634" s="2">
        <v>0</v>
      </c>
      <c r="I634" s="2" t="s">
        <v>22</v>
      </c>
      <c r="J634" s="2" t="s">
        <v>2120</v>
      </c>
      <c r="K634" s="2" t="s">
        <v>181</v>
      </c>
      <c r="L634" s="2" t="s">
        <v>2120</v>
      </c>
      <c r="M634" s="2" t="s">
        <v>24</v>
      </c>
      <c r="N634" s="2" t="s">
        <v>75</v>
      </c>
      <c r="O634" s="2">
        <v>5</v>
      </c>
      <c r="P634" s="2" t="str">
        <f>IF(global_freelancer_raw[[#This Row],[No of projects ]]&lt;=5,"Entry level","Well Experienced")</f>
        <v>Entry level</v>
      </c>
      <c r="Q634" s="2">
        <v>1</v>
      </c>
    </row>
    <row r="635" spans="1:17" x14ac:dyDescent="0.3">
      <c r="A635" t="s">
        <v>1370</v>
      </c>
      <c r="B635" t="s">
        <v>1371</v>
      </c>
      <c r="C635" t="s">
        <v>118</v>
      </c>
      <c r="D635" s="2">
        <v>44</v>
      </c>
      <c r="E635" t="s">
        <v>55</v>
      </c>
      <c r="F635" t="s">
        <v>56</v>
      </c>
      <c r="G635" s="2" t="s">
        <v>135</v>
      </c>
      <c r="H635" s="2">
        <v>4</v>
      </c>
      <c r="I635" s="2" t="s">
        <v>2119</v>
      </c>
      <c r="J635" s="2">
        <v>1.3</v>
      </c>
      <c r="K635" s="2" t="s">
        <v>87</v>
      </c>
      <c r="L635" s="2">
        <v>77</v>
      </c>
      <c r="M635" s="2" t="s">
        <v>60</v>
      </c>
      <c r="N635" s="2" t="s">
        <v>34</v>
      </c>
      <c r="O635" s="2">
        <v>3</v>
      </c>
      <c r="P635" s="2" t="str">
        <f>IF(global_freelancer_raw[[#This Row],[No of projects ]]&lt;=5,"Entry level","Well Experienced")</f>
        <v>Entry level</v>
      </c>
      <c r="Q635" s="2">
        <v>3</v>
      </c>
    </row>
    <row r="636" spans="1:17" x14ac:dyDescent="0.3">
      <c r="A636" t="s">
        <v>1372</v>
      </c>
      <c r="B636" t="s">
        <v>1373</v>
      </c>
      <c r="C636" t="s">
        <v>118</v>
      </c>
      <c r="D636" s="2">
        <v>52</v>
      </c>
      <c r="E636" t="s">
        <v>197</v>
      </c>
      <c r="F636" t="s">
        <v>198</v>
      </c>
      <c r="G636" s="2" t="s">
        <v>93</v>
      </c>
      <c r="H636" s="2">
        <v>4</v>
      </c>
      <c r="I636" s="2" t="s">
        <v>103</v>
      </c>
      <c r="J636" s="2">
        <v>2.2999999999999998</v>
      </c>
      <c r="K636" s="2" t="s">
        <v>33</v>
      </c>
      <c r="L636" s="2">
        <v>0.79</v>
      </c>
      <c r="M636" s="2" t="s">
        <v>82</v>
      </c>
      <c r="N636" s="2" t="s">
        <v>42</v>
      </c>
      <c r="O636" s="2">
        <v>1</v>
      </c>
      <c r="P636" s="2" t="str">
        <f>IF(global_freelancer_raw[[#This Row],[No of projects ]]&lt;=5,"Entry level","Well Experienced")</f>
        <v>Entry level</v>
      </c>
      <c r="Q636" s="2">
        <v>2</v>
      </c>
    </row>
    <row r="637" spans="1:17" x14ac:dyDescent="0.3">
      <c r="A637" t="s">
        <v>1374</v>
      </c>
      <c r="B637" t="s">
        <v>1375</v>
      </c>
      <c r="C637" t="s">
        <v>118</v>
      </c>
      <c r="D637" s="2">
        <v>35</v>
      </c>
      <c r="E637" t="s">
        <v>212</v>
      </c>
      <c r="F637" t="s">
        <v>92</v>
      </c>
      <c r="G637" s="2" t="s">
        <v>135</v>
      </c>
      <c r="H637" s="2">
        <v>13</v>
      </c>
      <c r="I637" s="2" t="s">
        <v>86</v>
      </c>
      <c r="J637" s="2">
        <v>3.6</v>
      </c>
      <c r="K637" s="2" t="s">
        <v>23</v>
      </c>
      <c r="L637" s="2">
        <v>0.83</v>
      </c>
      <c r="M637" s="2" t="s">
        <v>60</v>
      </c>
      <c r="N637" s="2" t="s">
        <v>75</v>
      </c>
      <c r="O637" s="2">
        <v>14</v>
      </c>
      <c r="P637" s="2" t="str">
        <f>IF(global_freelancer_raw[[#This Row],[No of projects ]]&lt;=5,"Entry level","Well Experienced")</f>
        <v>Well Experienced</v>
      </c>
      <c r="Q637" s="2">
        <v>4</v>
      </c>
    </row>
    <row r="638" spans="1:17" x14ac:dyDescent="0.3">
      <c r="A638" t="s">
        <v>1376</v>
      </c>
      <c r="B638" t="s">
        <v>1377</v>
      </c>
      <c r="C638" t="s">
        <v>97</v>
      </c>
      <c r="D638" s="2">
        <v>24</v>
      </c>
      <c r="E638" t="s">
        <v>55</v>
      </c>
      <c r="F638" t="s">
        <v>56</v>
      </c>
      <c r="G638" s="2" t="s">
        <v>110</v>
      </c>
      <c r="H638" s="2">
        <v>2</v>
      </c>
      <c r="I638" s="2" t="s">
        <v>81</v>
      </c>
      <c r="J638" s="2" t="s">
        <v>2120</v>
      </c>
      <c r="K638" s="2" t="s">
        <v>41</v>
      </c>
      <c r="L638" s="2">
        <v>0.64</v>
      </c>
      <c r="M638" s="2" t="s">
        <v>60</v>
      </c>
      <c r="N638" s="2" t="s">
        <v>25</v>
      </c>
      <c r="O638" s="2">
        <v>4</v>
      </c>
      <c r="P638" s="2" t="str">
        <f>IF(global_freelancer_raw[[#This Row],[No of projects ]]&lt;=5,"Entry level","Well Experienced")</f>
        <v>Entry level</v>
      </c>
      <c r="Q638" s="2">
        <v>2</v>
      </c>
    </row>
    <row r="639" spans="1:17" x14ac:dyDescent="0.3">
      <c r="A639" t="s">
        <v>1378</v>
      </c>
      <c r="B639" t="s">
        <v>1379</v>
      </c>
      <c r="C639" t="s">
        <v>97</v>
      </c>
      <c r="D639" s="2">
        <v>46</v>
      </c>
      <c r="E639" t="s">
        <v>29</v>
      </c>
      <c r="F639" t="s">
        <v>30</v>
      </c>
      <c r="G639" s="2" t="s">
        <v>98</v>
      </c>
      <c r="H639" s="2">
        <v>25</v>
      </c>
      <c r="I639" s="2" t="s">
        <v>251</v>
      </c>
      <c r="J639" s="2">
        <v>1.3</v>
      </c>
      <c r="K639" s="2" t="s">
        <v>181</v>
      </c>
      <c r="L639" s="2">
        <v>0.8</v>
      </c>
      <c r="M639" s="2" t="s">
        <v>24</v>
      </c>
      <c r="N639" s="2" t="s">
        <v>75</v>
      </c>
      <c r="O639" s="2">
        <v>18</v>
      </c>
      <c r="P639" s="2" t="str">
        <f>IF(global_freelancer_raw[[#This Row],[No of projects ]]&lt;=5,"Entry level","Well Experienced")</f>
        <v>Well Experienced</v>
      </c>
      <c r="Q639" s="2">
        <v>5</v>
      </c>
    </row>
    <row r="640" spans="1:17" x14ac:dyDescent="0.3">
      <c r="A640" t="s">
        <v>1380</v>
      </c>
      <c r="B640" t="s">
        <v>1381</v>
      </c>
      <c r="C640" t="s">
        <v>118</v>
      </c>
      <c r="D640" s="2">
        <v>57</v>
      </c>
      <c r="E640" t="s">
        <v>201</v>
      </c>
      <c r="F640" t="s">
        <v>92</v>
      </c>
      <c r="G640" s="2" t="s">
        <v>31</v>
      </c>
      <c r="H640" s="2">
        <v>18</v>
      </c>
      <c r="I640" s="2" t="s">
        <v>130</v>
      </c>
      <c r="J640" s="2">
        <v>1.1000000000000001</v>
      </c>
      <c r="K640" s="2" t="s">
        <v>59</v>
      </c>
      <c r="L640" s="2">
        <v>0.9</v>
      </c>
      <c r="M640" s="2" t="s">
        <v>88</v>
      </c>
      <c r="N640" s="2" t="s">
        <v>75</v>
      </c>
      <c r="O640" s="2">
        <v>13</v>
      </c>
      <c r="P640" s="2" t="str">
        <f>IF(global_freelancer_raw[[#This Row],[No of projects ]]&lt;=5,"Entry level","Well Experienced")</f>
        <v>Well Experienced</v>
      </c>
      <c r="Q640" s="2">
        <v>6</v>
      </c>
    </row>
    <row r="641" spans="1:17" x14ac:dyDescent="0.3">
      <c r="A641" t="s">
        <v>1382</v>
      </c>
      <c r="B641" t="s">
        <v>1383</v>
      </c>
      <c r="C641" t="s">
        <v>97</v>
      </c>
      <c r="D641" s="2">
        <v>49</v>
      </c>
      <c r="E641" t="s">
        <v>201</v>
      </c>
      <c r="F641" t="s">
        <v>92</v>
      </c>
      <c r="G641" s="2" t="s">
        <v>46</v>
      </c>
      <c r="H641" s="2">
        <v>24</v>
      </c>
      <c r="I641" s="2" t="s">
        <v>81</v>
      </c>
      <c r="J641" s="2">
        <v>0</v>
      </c>
      <c r="K641" s="2" t="s">
        <v>23</v>
      </c>
      <c r="L641" s="2">
        <v>0.94</v>
      </c>
      <c r="M641" s="2" t="s">
        <v>60</v>
      </c>
      <c r="N641" s="2" t="s">
        <v>75</v>
      </c>
      <c r="O641" s="2">
        <v>14</v>
      </c>
      <c r="P641" s="2" t="str">
        <f>IF(global_freelancer_raw[[#This Row],[No of projects ]]&lt;=5,"Entry level","Well Experienced")</f>
        <v>Well Experienced</v>
      </c>
      <c r="Q641" s="2">
        <v>8</v>
      </c>
    </row>
    <row r="642" spans="1:17" x14ac:dyDescent="0.3">
      <c r="A642" t="s">
        <v>1384</v>
      </c>
      <c r="B642" t="s">
        <v>1385</v>
      </c>
      <c r="C642" t="s">
        <v>118</v>
      </c>
      <c r="D642" s="2">
        <v>41</v>
      </c>
      <c r="E642" t="s">
        <v>106</v>
      </c>
      <c r="F642" t="s">
        <v>107</v>
      </c>
      <c r="G642" s="2" t="s">
        <v>57</v>
      </c>
      <c r="H642" s="2">
        <v>7</v>
      </c>
      <c r="I642" s="2" t="s">
        <v>86</v>
      </c>
      <c r="J642" s="2">
        <v>1.8</v>
      </c>
      <c r="K642" s="2" t="s">
        <v>59</v>
      </c>
      <c r="L642" s="2">
        <v>0.7</v>
      </c>
      <c r="M642" s="2" t="s">
        <v>88</v>
      </c>
      <c r="N642" s="2" t="s">
        <v>25</v>
      </c>
      <c r="O642" s="2">
        <v>14</v>
      </c>
      <c r="P642" s="2" t="str">
        <f>IF(global_freelancer_raw[[#This Row],[No of projects ]]&lt;=5,"Entry level","Well Experienced")</f>
        <v>Well Experienced</v>
      </c>
      <c r="Q642" s="2">
        <v>6</v>
      </c>
    </row>
    <row r="643" spans="1:17" x14ac:dyDescent="0.3">
      <c r="A643" t="s">
        <v>1386</v>
      </c>
      <c r="B643" t="s">
        <v>1387</v>
      </c>
      <c r="C643" t="s">
        <v>118</v>
      </c>
      <c r="D643" s="2">
        <v>22</v>
      </c>
      <c r="E643" t="s">
        <v>201</v>
      </c>
      <c r="F643" t="s">
        <v>92</v>
      </c>
      <c r="G643" s="2" t="s">
        <v>135</v>
      </c>
      <c r="H643" s="2">
        <v>1</v>
      </c>
      <c r="I643" s="2" t="s">
        <v>336</v>
      </c>
      <c r="J643" s="2" t="s">
        <v>2120</v>
      </c>
      <c r="K643" s="2" t="s">
        <v>87</v>
      </c>
      <c r="L643" s="2">
        <v>0.75</v>
      </c>
      <c r="M643" s="2" t="s">
        <v>82</v>
      </c>
      <c r="N643" s="2" t="s">
        <v>34</v>
      </c>
      <c r="O643" s="2">
        <v>1</v>
      </c>
      <c r="P643" s="2" t="str">
        <f>IF(global_freelancer_raw[[#This Row],[No of projects ]]&lt;=5,"Entry level","Well Experienced")</f>
        <v>Entry level</v>
      </c>
      <c r="Q643" s="2">
        <v>1</v>
      </c>
    </row>
    <row r="644" spans="1:17" x14ac:dyDescent="0.3">
      <c r="A644" t="s">
        <v>1388</v>
      </c>
      <c r="B644" t="s">
        <v>1389</v>
      </c>
      <c r="C644" t="s">
        <v>118</v>
      </c>
      <c r="D644" s="2">
        <v>50</v>
      </c>
      <c r="E644" t="s">
        <v>29</v>
      </c>
      <c r="F644" t="s">
        <v>30</v>
      </c>
      <c r="G644" s="2" t="s">
        <v>21</v>
      </c>
      <c r="H644" s="2">
        <v>17</v>
      </c>
      <c r="I644" s="2" t="s">
        <v>103</v>
      </c>
      <c r="J644" s="2">
        <v>3.3</v>
      </c>
      <c r="K644" s="2" t="s">
        <v>33</v>
      </c>
      <c r="L644" s="2">
        <v>0.69</v>
      </c>
      <c r="M644" s="2" t="s">
        <v>60</v>
      </c>
      <c r="N644" s="2" t="s">
        <v>75</v>
      </c>
      <c r="O644" s="2">
        <v>15</v>
      </c>
      <c r="P644" s="2" t="str">
        <f>IF(global_freelancer_raw[[#This Row],[No of projects ]]&lt;=5,"Entry level","Well Experienced")</f>
        <v>Well Experienced</v>
      </c>
      <c r="Q644" s="2">
        <v>9</v>
      </c>
    </row>
    <row r="645" spans="1:17" x14ac:dyDescent="0.3">
      <c r="A645" t="s">
        <v>1390</v>
      </c>
      <c r="B645" t="s">
        <v>1391</v>
      </c>
      <c r="C645" t="s">
        <v>118</v>
      </c>
      <c r="D645" s="2">
        <v>57</v>
      </c>
      <c r="E645" t="s">
        <v>38</v>
      </c>
      <c r="F645" t="s">
        <v>38</v>
      </c>
      <c r="G645" s="2" t="s">
        <v>39</v>
      </c>
      <c r="H645" s="2">
        <v>4</v>
      </c>
      <c r="I645" s="2" t="s">
        <v>130</v>
      </c>
      <c r="J645" s="2">
        <v>4.2</v>
      </c>
      <c r="K645" s="2" t="s">
        <v>23</v>
      </c>
      <c r="L645" s="2" t="s">
        <v>2120</v>
      </c>
      <c r="M645" s="2" t="s">
        <v>24</v>
      </c>
      <c r="N645" s="2" t="s">
        <v>75</v>
      </c>
      <c r="O645" s="2">
        <v>5</v>
      </c>
      <c r="P645" s="2" t="str">
        <f>IF(global_freelancer_raw[[#This Row],[No of projects ]]&lt;=5,"Entry level","Well Experienced")</f>
        <v>Entry level</v>
      </c>
      <c r="Q645" s="2">
        <v>2</v>
      </c>
    </row>
    <row r="646" spans="1:17" x14ac:dyDescent="0.3">
      <c r="A646" t="s">
        <v>1392</v>
      </c>
      <c r="B646" t="s">
        <v>1393</v>
      </c>
      <c r="C646" t="s">
        <v>97</v>
      </c>
      <c r="D646" s="2">
        <v>47</v>
      </c>
      <c r="E646" t="s">
        <v>201</v>
      </c>
      <c r="F646" t="s">
        <v>92</v>
      </c>
      <c r="G646" s="2" t="s">
        <v>57</v>
      </c>
      <c r="H646" s="2">
        <v>29</v>
      </c>
      <c r="I646" s="2" t="s">
        <v>81</v>
      </c>
      <c r="J646" s="2" t="s">
        <v>2120</v>
      </c>
      <c r="K646" s="2" t="s">
        <v>33</v>
      </c>
      <c r="L646" s="2">
        <v>0.79</v>
      </c>
      <c r="M646" s="2" t="s">
        <v>82</v>
      </c>
      <c r="N646" s="2" t="s">
        <v>42</v>
      </c>
      <c r="O646" s="2">
        <v>14</v>
      </c>
      <c r="P646" s="2" t="str">
        <f>IF(global_freelancer_raw[[#This Row],[No of projects ]]&lt;=5,"Entry level","Well Experienced")</f>
        <v>Well Experienced</v>
      </c>
      <c r="Q646" s="2">
        <v>5</v>
      </c>
    </row>
    <row r="647" spans="1:17" x14ac:dyDescent="0.3">
      <c r="A647" t="s">
        <v>1394</v>
      </c>
      <c r="B647" t="s">
        <v>1395</v>
      </c>
      <c r="C647" t="s">
        <v>118</v>
      </c>
      <c r="D647" s="2">
        <v>24</v>
      </c>
      <c r="E647" t="s">
        <v>175</v>
      </c>
      <c r="F647" t="s">
        <v>176</v>
      </c>
      <c r="G647" s="2" t="s">
        <v>66</v>
      </c>
      <c r="H647" s="2">
        <v>2</v>
      </c>
      <c r="I647" s="2" t="s">
        <v>251</v>
      </c>
      <c r="J647" s="2">
        <v>3.8</v>
      </c>
      <c r="K647" s="2" t="s">
        <v>33</v>
      </c>
      <c r="L647" s="2">
        <v>0.71</v>
      </c>
      <c r="M647" s="2" t="s">
        <v>82</v>
      </c>
      <c r="N647" s="2" t="s">
        <v>25</v>
      </c>
      <c r="O647" s="2">
        <v>5</v>
      </c>
      <c r="P647" s="2" t="str">
        <f>IF(global_freelancer_raw[[#This Row],[No of projects ]]&lt;=5,"Entry level","Well Experienced")</f>
        <v>Entry level</v>
      </c>
      <c r="Q647" s="2">
        <v>1</v>
      </c>
    </row>
    <row r="648" spans="1:17" x14ac:dyDescent="0.3">
      <c r="A648" t="s">
        <v>1396</v>
      </c>
      <c r="B648" t="s">
        <v>1397</v>
      </c>
      <c r="C648" t="s">
        <v>118</v>
      </c>
      <c r="D648" s="2" t="s">
        <v>2119</v>
      </c>
      <c r="E648" t="s">
        <v>114</v>
      </c>
      <c r="F648" t="s">
        <v>115</v>
      </c>
      <c r="G648" s="2" t="s">
        <v>98</v>
      </c>
      <c r="H648" s="2">
        <v>9</v>
      </c>
      <c r="I648" s="2" t="s">
        <v>22</v>
      </c>
      <c r="J648" s="2">
        <v>4.8</v>
      </c>
      <c r="K648" s="2" t="s">
        <v>94</v>
      </c>
      <c r="L648" s="2">
        <v>0.72</v>
      </c>
      <c r="M648" s="2" t="s">
        <v>24</v>
      </c>
      <c r="N648" s="2" t="s">
        <v>75</v>
      </c>
      <c r="O648" s="2">
        <v>12</v>
      </c>
      <c r="P648" s="2" t="str">
        <f>IF(global_freelancer_raw[[#This Row],[No of projects ]]&lt;=5,"Entry level","Well Experienced")</f>
        <v>Well Experienced</v>
      </c>
      <c r="Q648" s="2">
        <v>10</v>
      </c>
    </row>
    <row r="649" spans="1:17" x14ac:dyDescent="0.3">
      <c r="A649" t="s">
        <v>1398</v>
      </c>
      <c r="B649" t="s">
        <v>1399</v>
      </c>
      <c r="C649" t="s">
        <v>97</v>
      </c>
      <c r="D649" s="2">
        <v>50</v>
      </c>
      <c r="E649" t="s">
        <v>38</v>
      </c>
      <c r="F649" t="s">
        <v>38</v>
      </c>
      <c r="G649" s="2" t="s">
        <v>110</v>
      </c>
      <c r="H649" s="2">
        <v>10</v>
      </c>
      <c r="I649" s="2" t="s">
        <v>251</v>
      </c>
      <c r="J649" s="2">
        <v>4.3</v>
      </c>
      <c r="K649" s="2" t="s">
        <v>41</v>
      </c>
      <c r="L649" s="2">
        <v>0.93</v>
      </c>
      <c r="M649" s="2" t="s">
        <v>60</v>
      </c>
      <c r="N649" s="2" t="s">
        <v>25</v>
      </c>
      <c r="O649" s="2">
        <v>8</v>
      </c>
      <c r="P649" s="2" t="str">
        <f>IF(global_freelancer_raw[[#This Row],[No of projects ]]&lt;=5,"Entry level","Well Experienced")</f>
        <v>Well Experienced</v>
      </c>
      <c r="Q649" s="2">
        <v>5</v>
      </c>
    </row>
    <row r="650" spans="1:17" x14ac:dyDescent="0.3">
      <c r="A650" t="s">
        <v>1400</v>
      </c>
      <c r="B650" t="s">
        <v>1401</v>
      </c>
      <c r="C650" t="s">
        <v>118</v>
      </c>
      <c r="D650" s="2">
        <v>46</v>
      </c>
      <c r="E650" t="s">
        <v>128</v>
      </c>
      <c r="F650" t="s">
        <v>129</v>
      </c>
      <c r="G650" s="2" t="s">
        <v>135</v>
      </c>
      <c r="H650" s="2">
        <v>20</v>
      </c>
      <c r="I650" s="2" t="s">
        <v>2119</v>
      </c>
      <c r="J650" s="2">
        <v>4.8</v>
      </c>
      <c r="K650" s="2" t="s">
        <v>33</v>
      </c>
      <c r="L650" s="2">
        <v>0.82</v>
      </c>
      <c r="M650" s="2" t="s">
        <v>60</v>
      </c>
      <c r="N650" s="2" t="s">
        <v>75</v>
      </c>
      <c r="O650" s="2">
        <v>10</v>
      </c>
      <c r="P650" s="2" t="str">
        <f>IF(global_freelancer_raw[[#This Row],[No of projects ]]&lt;=5,"Entry level","Well Experienced")</f>
        <v>Well Experienced</v>
      </c>
      <c r="Q650" s="2">
        <v>9</v>
      </c>
    </row>
    <row r="651" spans="1:17" x14ac:dyDescent="0.3">
      <c r="A651" t="s">
        <v>1402</v>
      </c>
      <c r="B651" t="s">
        <v>1403</v>
      </c>
      <c r="C651" t="s">
        <v>118</v>
      </c>
      <c r="D651" s="2">
        <v>51</v>
      </c>
      <c r="E651" t="s">
        <v>29</v>
      </c>
      <c r="F651" t="s">
        <v>30</v>
      </c>
      <c r="G651" s="2" t="s">
        <v>98</v>
      </c>
      <c r="H651" s="2">
        <v>9</v>
      </c>
      <c r="I651" s="2" t="s">
        <v>47</v>
      </c>
      <c r="J651" s="2" t="s">
        <v>2120</v>
      </c>
      <c r="K651" s="2" t="s">
        <v>41</v>
      </c>
      <c r="L651" s="2">
        <v>60</v>
      </c>
      <c r="M651" s="2" t="s">
        <v>82</v>
      </c>
      <c r="N651" s="2" t="s">
        <v>34</v>
      </c>
      <c r="O651" s="2">
        <v>12</v>
      </c>
      <c r="P651" s="2" t="str">
        <f>IF(global_freelancer_raw[[#This Row],[No of projects ]]&lt;=5,"Entry level","Well Experienced")</f>
        <v>Well Experienced</v>
      </c>
      <c r="Q651" s="2">
        <v>5</v>
      </c>
    </row>
    <row r="652" spans="1:17" x14ac:dyDescent="0.3">
      <c r="A652" t="s">
        <v>1404</v>
      </c>
      <c r="B652" t="s">
        <v>1405</v>
      </c>
      <c r="C652" t="s">
        <v>118</v>
      </c>
      <c r="D652" s="2">
        <v>51</v>
      </c>
      <c r="E652" t="s">
        <v>85</v>
      </c>
      <c r="F652" t="s">
        <v>30</v>
      </c>
      <c r="G652" s="2" t="s">
        <v>57</v>
      </c>
      <c r="H652" s="2">
        <v>12</v>
      </c>
      <c r="I652" s="2" t="s">
        <v>162</v>
      </c>
      <c r="J652" s="2">
        <v>4</v>
      </c>
      <c r="K652" s="2" t="s">
        <v>23</v>
      </c>
      <c r="L652" s="2">
        <v>93</v>
      </c>
      <c r="M652" s="2" t="s">
        <v>60</v>
      </c>
      <c r="N652" s="2" t="s">
        <v>34</v>
      </c>
      <c r="O652" s="2">
        <v>15</v>
      </c>
      <c r="P652" s="2" t="str">
        <f>IF(global_freelancer_raw[[#This Row],[No of projects ]]&lt;=5,"Entry level","Well Experienced")</f>
        <v>Well Experienced</v>
      </c>
      <c r="Q652" s="2">
        <v>3</v>
      </c>
    </row>
    <row r="653" spans="1:17" x14ac:dyDescent="0.3">
      <c r="A653" t="s">
        <v>1406</v>
      </c>
      <c r="B653" t="s">
        <v>1407</v>
      </c>
      <c r="C653" t="s">
        <v>118</v>
      </c>
      <c r="D653" s="2">
        <v>27</v>
      </c>
      <c r="E653" t="s">
        <v>85</v>
      </c>
      <c r="F653" t="s">
        <v>30</v>
      </c>
      <c r="G653" s="2" t="s">
        <v>57</v>
      </c>
      <c r="H653" s="2">
        <v>3</v>
      </c>
      <c r="I653" s="2" t="s">
        <v>119</v>
      </c>
      <c r="J653" s="2" t="s">
        <v>2120</v>
      </c>
      <c r="K653" s="2" t="s">
        <v>59</v>
      </c>
      <c r="L653" s="2" t="s">
        <v>2120</v>
      </c>
      <c r="M653" s="2" t="s">
        <v>88</v>
      </c>
      <c r="N653" s="2" t="s">
        <v>75</v>
      </c>
      <c r="O653" s="2">
        <v>1</v>
      </c>
      <c r="P653" s="2" t="str">
        <f>IF(global_freelancer_raw[[#This Row],[No of projects ]]&lt;=5,"Entry level","Well Experienced")</f>
        <v>Entry level</v>
      </c>
      <c r="Q653" s="2">
        <v>3</v>
      </c>
    </row>
    <row r="654" spans="1:17" x14ac:dyDescent="0.3">
      <c r="A654" t="s">
        <v>1408</v>
      </c>
      <c r="B654" t="s">
        <v>1409</v>
      </c>
      <c r="C654" t="s">
        <v>118</v>
      </c>
      <c r="D654" s="2">
        <v>42</v>
      </c>
      <c r="E654" t="s">
        <v>212</v>
      </c>
      <c r="F654" t="s">
        <v>92</v>
      </c>
      <c r="G654" s="2" t="s">
        <v>46</v>
      </c>
      <c r="H654" s="2">
        <v>13</v>
      </c>
      <c r="I654" s="2" t="s">
        <v>52</v>
      </c>
      <c r="J654" s="2">
        <v>0</v>
      </c>
      <c r="K654" s="2" t="s">
        <v>59</v>
      </c>
      <c r="L654" s="2">
        <v>0.74</v>
      </c>
      <c r="M654" s="2" t="s">
        <v>24</v>
      </c>
      <c r="N654" s="2" t="s">
        <v>34</v>
      </c>
      <c r="O654" s="2">
        <v>12</v>
      </c>
      <c r="P654" s="2" t="str">
        <f>IF(global_freelancer_raw[[#This Row],[No of projects ]]&lt;=5,"Entry level","Well Experienced")</f>
        <v>Well Experienced</v>
      </c>
      <c r="Q654" s="2">
        <v>8</v>
      </c>
    </row>
    <row r="655" spans="1:17" x14ac:dyDescent="0.3">
      <c r="A655" t="s">
        <v>1410</v>
      </c>
      <c r="B655" t="s">
        <v>1411</v>
      </c>
      <c r="C655" t="s">
        <v>118</v>
      </c>
      <c r="D655" s="2">
        <v>25</v>
      </c>
      <c r="E655" t="s">
        <v>38</v>
      </c>
      <c r="F655" t="s">
        <v>38</v>
      </c>
      <c r="G655" s="2" t="s">
        <v>93</v>
      </c>
      <c r="H655" s="2">
        <v>4</v>
      </c>
      <c r="I655" s="2" t="s">
        <v>47</v>
      </c>
      <c r="J655" s="2">
        <v>2.2999999999999998</v>
      </c>
      <c r="K655" s="2" t="s">
        <v>87</v>
      </c>
      <c r="L655" s="2">
        <v>73</v>
      </c>
      <c r="M655" s="2" t="s">
        <v>88</v>
      </c>
      <c r="N655" s="2" t="s">
        <v>75</v>
      </c>
      <c r="O655" s="2">
        <v>1</v>
      </c>
      <c r="P655" s="2" t="str">
        <f>IF(global_freelancer_raw[[#This Row],[No of projects ]]&lt;=5,"Entry level","Well Experienced")</f>
        <v>Entry level</v>
      </c>
      <c r="Q655" s="2">
        <v>1</v>
      </c>
    </row>
    <row r="656" spans="1:17" x14ac:dyDescent="0.3">
      <c r="A656" t="s">
        <v>1412</v>
      </c>
      <c r="B656" t="s">
        <v>1413</v>
      </c>
      <c r="C656" t="s">
        <v>97</v>
      </c>
      <c r="D656" s="2">
        <v>32</v>
      </c>
      <c r="E656" t="s">
        <v>38</v>
      </c>
      <c r="F656" t="s">
        <v>38</v>
      </c>
      <c r="G656" s="2" t="s">
        <v>66</v>
      </c>
      <c r="H656" s="2">
        <v>9</v>
      </c>
      <c r="I656" s="2" t="s">
        <v>103</v>
      </c>
      <c r="J656" s="2" t="s">
        <v>2120</v>
      </c>
      <c r="K656" s="2" t="s">
        <v>41</v>
      </c>
      <c r="L656" s="2">
        <v>0.96</v>
      </c>
      <c r="M656" s="2" t="s">
        <v>60</v>
      </c>
      <c r="N656" s="2" t="s">
        <v>34</v>
      </c>
      <c r="O656" s="2">
        <v>11</v>
      </c>
      <c r="P656" s="2" t="str">
        <f>IF(global_freelancer_raw[[#This Row],[No of projects ]]&lt;=5,"Entry level","Well Experienced")</f>
        <v>Well Experienced</v>
      </c>
      <c r="Q656" s="2">
        <v>5</v>
      </c>
    </row>
    <row r="657" spans="1:17" x14ac:dyDescent="0.3">
      <c r="A657" t="s">
        <v>1414</v>
      </c>
      <c r="B657" t="s">
        <v>1415</v>
      </c>
      <c r="C657" t="s">
        <v>97</v>
      </c>
      <c r="D657" s="2">
        <v>59</v>
      </c>
      <c r="E657" t="s">
        <v>149</v>
      </c>
      <c r="F657" t="s">
        <v>30</v>
      </c>
      <c r="G657" s="2" t="s">
        <v>39</v>
      </c>
      <c r="H657" s="2">
        <v>14</v>
      </c>
      <c r="I657" s="2" t="s">
        <v>52</v>
      </c>
      <c r="J657" s="2">
        <v>3.8</v>
      </c>
      <c r="K657" s="2" t="s">
        <v>2120</v>
      </c>
      <c r="L657" s="2">
        <v>0.66</v>
      </c>
      <c r="M657" s="2" t="s">
        <v>82</v>
      </c>
      <c r="N657" s="2" t="s">
        <v>42</v>
      </c>
      <c r="O657" s="2">
        <v>8</v>
      </c>
      <c r="P657" s="2" t="str">
        <f>IF(global_freelancer_raw[[#This Row],[No of projects ]]&lt;=5,"Entry level","Well Experienced")</f>
        <v>Well Experienced</v>
      </c>
      <c r="Q657" s="2">
        <v>8</v>
      </c>
    </row>
    <row r="658" spans="1:17" x14ac:dyDescent="0.3">
      <c r="A658" t="s">
        <v>1416</v>
      </c>
      <c r="B658" t="s">
        <v>1417</v>
      </c>
      <c r="C658" t="s">
        <v>97</v>
      </c>
      <c r="D658" s="2">
        <v>59</v>
      </c>
      <c r="E658" t="s">
        <v>156</v>
      </c>
      <c r="F658" t="s">
        <v>157</v>
      </c>
      <c r="G658" s="2" t="s">
        <v>98</v>
      </c>
      <c r="H658" s="2">
        <v>37</v>
      </c>
      <c r="I658" s="2" t="s">
        <v>52</v>
      </c>
      <c r="J658" s="2">
        <v>4</v>
      </c>
      <c r="K658" s="2" t="s">
        <v>59</v>
      </c>
      <c r="L658" s="2">
        <v>0.62</v>
      </c>
      <c r="M658" s="2" t="s">
        <v>24</v>
      </c>
      <c r="N658" s="2" t="s">
        <v>42</v>
      </c>
      <c r="O658" s="2">
        <v>20</v>
      </c>
      <c r="P658" s="2" t="str">
        <f>IF(global_freelancer_raw[[#This Row],[No of projects ]]&lt;=5,"Entry level","Well Experienced")</f>
        <v>Well Experienced</v>
      </c>
      <c r="Q658" s="2">
        <v>2</v>
      </c>
    </row>
    <row r="659" spans="1:17" x14ac:dyDescent="0.3">
      <c r="A659" t="s">
        <v>1418</v>
      </c>
      <c r="B659" t="s">
        <v>1419</v>
      </c>
      <c r="C659" t="s">
        <v>118</v>
      </c>
      <c r="D659" s="2">
        <v>29</v>
      </c>
      <c r="E659" t="s">
        <v>38</v>
      </c>
      <c r="F659" t="s">
        <v>38</v>
      </c>
      <c r="G659" s="2" t="s">
        <v>39</v>
      </c>
      <c r="H659" s="2">
        <v>2</v>
      </c>
      <c r="I659" s="2" t="s">
        <v>67</v>
      </c>
      <c r="J659" s="2">
        <v>2.2000000000000002</v>
      </c>
      <c r="K659" s="2" t="s">
        <v>94</v>
      </c>
      <c r="L659" s="2">
        <v>0.85</v>
      </c>
      <c r="M659" s="2" t="s">
        <v>60</v>
      </c>
      <c r="N659" s="2" t="s">
        <v>42</v>
      </c>
      <c r="O659" s="2">
        <v>5</v>
      </c>
      <c r="P659" s="2" t="str">
        <f>IF(global_freelancer_raw[[#This Row],[No of projects ]]&lt;=5,"Entry level","Well Experienced")</f>
        <v>Entry level</v>
      </c>
      <c r="Q659" s="2">
        <v>1</v>
      </c>
    </row>
    <row r="660" spans="1:17" x14ac:dyDescent="0.3">
      <c r="A660" t="s">
        <v>1420</v>
      </c>
      <c r="B660" t="s">
        <v>1421</v>
      </c>
      <c r="C660" t="s">
        <v>118</v>
      </c>
      <c r="D660" s="2">
        <v>58</v>
      </c>
      <c r="E660" t="s">
        <v>197</v>
      </c>
      <c r="F660" t="s">
        <v>198</v>
      </c>
      <c r="G660" s="2" t="s">
        <v>57</v>
      </c>
      <c r="H660" s="2">
        <v>11</v>
      </c>
      <c r="I660" s="2" t="s">
        <v>22</v>
      </c>
      <c r="J660" s="2">
        <v>4.3</v>
      </c>
      <c r="K660" s="2" t="s">
        <v>23</v>
      </c>
      <c r="L660" s="2">
        <v>0.66</v>
      </c>
      <c r="M660" s="2" t="s">
        <v>60</v>
      </c>
      <c r="N660" s="2" t="s">
        <v>25</v>
      </c>
      <c r="O660" s="2">
        <v>6</v>
      </c>
      <c r="P660" s="2" t="str">
        <f>IF(global_freelancer_raw[[#This Row],[No of projects ]]&lt;=5,"Entry level","Well Experienced")</f>
        <v>Well Experienced</v>
      </c>
      <c r="Q660" s="2">
        <v>3</v>
      </c>
    </row>
    <row r="661" spans="1:17" x14ac:dyDescent="0.3">
      <c r="A661" t="s">
        <v>1422</v>
      </c>
      <c r="B661" t="s">
        <v>1423</v>
      </c>
      <c r="C661" t="s">
        <v>97</v>
      </c>
      <c r="D661" s="2">
        <v>56</v>
      </c>
      <c r="E661" t="s">
        <v>149</v>
      </c>
      <c r="F661" t="s">
        <v>30</v>
      </c>
      <c r="G661" s="2" t="s">
        <v>98</v>
      </c>
      <c r="H661" s="2">
        <v>19</v>
      </c>
      <c r="I661" s="2" t="s">
        <v>162</v>
      </c>
      <c r="J661" s="2">
        <v>0</v>
      </c>
      <c r="K661" s="2" t="s">
        <v>23</v>
      </c>
      <c r="L661" s="2">
        <v>0.87</v>
      </c>
      <c r="M661" s="2" t="s">
        <v>82</v>
      </c>
      <c r="N661" s="2" t="s">
        <v>25</v>
      </c>
      <c r="O661" s="2">
        <v>16</v>
      </c>
      <c r="P661" s="2" t="str">
        <f>IF(global_freelancer_raw[[#This Row],[No of projects ]]&lt;=5,"Entry level","Well Experienced")</f>
        <v>Well Experienced</v>
      </c>
      <c r="Q661" s="2">
        <v>5</v>
      </c>
    </row>
    <row r="662" spans="1:17" x14ac:dyDescent="0.3">
      <c r="A662" t="s">
        <v>1424</v>
      </c>
      <c r="B662" t="s">
        <v>1425</v>
      </c>
      <c r="C662" t="s">
        <v>97</v>
      </c>
      <c r="D662" s="2">
        <v>36</v>
      </c>
      <c r="E662" t="s">
        <v>73</v>
      </c>
      <c r="F662" t="s">
        <v>30</v>
      </c>
      <c r="G662" s="2" t="s">
        <v>135</v>
      </c>
      <c r="H662" s="2">
        <v>9</v>
      </c>
      <c r="I662" s="2" t="s">
        <v>162</v>
      </c>
      <c r="J662" s="2">
        <v>0</v>
      </c>
      <c r="K662" s="2" t="s">
        <v>33</v>
      </c>
      <c r="L662" s="2">
        <v>68</v>
      </c>
      <c r="M662" s="2" t="s">
        <v>82</v>
      </c>
      <c r="N662" s="2" t="s">
        <v>42</v>
      </c>
      <c r="O662" s="2">
        <v>9</v>
      </c>
      <c r="P662" s="2" t="str">
        <f>IF(global_freelancer_raw[[#This Row],[No of projects ]]&lt;=5,"Entry level","Well Experienced")</f>
        <v>Well Experienced</v>
      </c>
      <c r="Q662" s="2">
        <v>10</v>
      </c>
    </row>
    <row r="663" spans="1:17" x14ac:dyDescent="0.3">
      <c r="A663" t="s">
        <v>1426</v>
      </c>
      <c r="B663" t="s">
        <v>1427</v>
      </c>
      <c r="C663" t="s">
        <v>97</v>
      </c>
      <c r="D663" s="2">
        <v>52</v>
      </c>
      <c r="E663" t="s">
        <v>149</v>
      </c>
      <c r="F663" t="s">
        <v>30</v>
      </c>
      <c r="G663" s="2" t="s">
        <v>93</v>
      </c>
      <c r="H663" s="2">
        <v>16</v>
      </c>
      <c r="I663" s="2" t="s">
        <v>22</v>
      </c>
      <c r="J663" s="2">
        <v>4</v>
      </c>
      <c r="K663" s="2" t="s">
        <v>33</v>
      </c>
      <c r="L663" s="2" t="s">
        <v>2120</v>
      </c>
      <c r="M663" s="2" t="s">
        <v>88</v>
      </c>
      <c r="N663" s="2" t="s">
        <v>25</v>
      </c>
      <c r="O663" s="2">
        <v>10</v>
      </c>
      <c r="P663" s="2" t="str">
        <f>IF(global_freelancer_raw[[#This Row],[No of projects ]]&lt;=5,"Entry level","Well Experienced")</f>
        <v>Well Experienced</v>
      </c>
      <c r="Q663" s="2">
        <v>11</v>
      </c>
    </row>
    <row r="664" spans="1:17" x14ac:dyDescent="0.3">
      <c r="A664" t="s">
        <v>1428</v>
      </c>
      <c r="B664" t="s">
        <v>1429</v>
      </c>
      <c r="C664" t="s">
        <v>97</v>
      </c>
      <c r="D664" s="2">
        <v>42</v>
      </c>
      <c r="E664" t="s">
        <v>55</v>
      </c>
      <c r="F664" t="s">
        <v>56</v>
      </c>
      <c r="G664" s="2" t="s">
        <v>31</v>
      </c>
      <c r="H664" s="2">
        <v>8</v>
      </c>
      <c r="I664" s="2" t="s">
        <v>119</v>
      </c>
      <c r="J664" s="2" t="s">
        <v>2120</v>
      </c>
      <c r="K664" s="2" t="s">
        <v>2120</v>
      </c>
      <c r="L664" s="2" t="s">
        <v>2120</v>
      </c>
      <c r="M664" s="2" t="s">
        <v>24</v>
      </c>
      <c r="N664" s="2" t="s">
        <v>34</v>
      </c>
      <c r="O664" s="2">
        <v>6</v>
      </c>
      <c r="P664" s="2" t="str">
        <f>IF(global_freelancer_raw[[#This Row],[No of projects ]]&lt;=5,"Entry level","Well Experienced")</f>
        <v>Well Experienced</v>
      </c>
      <c r="Q664" s="2">
        <v>11</v>
      </c>
    </row>
    <row r="665" spans="1:17" x14ac:dyDescent="0.3">
      <c r="A665" t="s">
        <v>1430</v>
      </c>
      <c r="B665" t="s">
        <v>1431</v>
      </c>
      <c r="C665" t="s">
        <v>97</v>
      </c>
      <c r="D665" s="2">
        <v>59</v>
      </c>
      <c r="E665" t="s">
        <v>114</v>
      </c>
      <c r="F665" t="s">
        <v>115</v>
      </c>
      <c r="G665" s="2" t="s">
        <v>31</v>
      </c>
      <c r="H665" s="2">
        <v>34</v>
      </c>
      <c r="I665" s="2" t="s">
        <v>22</v>
      </c>
      <c r="J665" s="2">
        <v>2</v>
      </c>
      <c r="K665" s="2" t="s">
        <v>33</v>
      </c>
      <c r="L665" s="2">
        <v>0.79</v>
      </c>
      <c r="M665" s="2" t="s">
        <v>24</v>
      </c>
      <c r="N665" s="2" t="s">
        <v>75</v>
      </c>
      <c r="O665" s="2">
        <v>18</v>
      </c>
      <c r="P665" s="2" t="str">
        <f>IF(global_freelancer_raw[[#This Row],[No of projects ]]&lt;=5,"Entry level","Well Experienced")</f>
        <v>Well Experienced</v>
      </c>
      <c r="Q665" s="2">
        <v>8</v>
      </c>
    </row>
    <row r="666" spans="1:17" x14ac:dyDescent="0.3">
      <c r="A666" t="s">
        <v>1432</v>
      </c>
      <c r="B666" t="s">
        <v>1433</v>
      </c>
      <c r="C666" t="s">
        <v>118</v>
      </c>
      <c r="D666" s="2">
        <v>33</v>
      </c>
      <c r="E666" t="s">
        <v>55</v>
      </c>
      <c r="F666" t="s">
        <v>56</v>
      </c>
      <c r="G666" s="2" t="s">
        <v>31</v>
      </c>
      <c r="H666" s="2">
        <v>5</v>
      </c>
      <c r="I666" s="2" t="s">
        <v>81</v>
      </c>
      <c r="J666" s="2">
        <v>4.7</v>
      </c>
      <c r="K666" s="2" t="s">
        <v>33</v>
      </c>
      <c r="L666" s="2">
        <v>0.88</v>
      </c>
      <c r="M666" s="2" t="s">
        <v>82</v>
      </c>
      <c r="N666" s="2" t="s">
        <v>75</v>
      </c>
      <c r="O666" s="2">
        <v>4</v>
      </c>
      <c r="P666" s="2" t="str">
        <f>IF(global_freelancer_raw[[#This Row],[No of projects ]]&lt;=5,"Entry level","Well Experienced")</f>
        <v>Entry level</v>
      </c>
      <c r="Q666" s="2">
        <v>2</v>
      </c>
    </row>
    <row r="667" spans="1:17" x14ac:dyDescent="0.3">
      <c r="A667" t="s">
        <v>1434</v>
      </c>
      <c r="B667" t="s">
        <v>1435</v>
      </c>
      <c r="C667" t="s">
        <v>97</v>
      </c>
      <c r="D667" s="2">
        <v>55</v>
      </c>
      <c r="E667" t="s">
        <v>149</v>
      </c>
      <c r="F667" t="s">
        <v>30</v>
      </c>
      <c r="G667" s="2" t="s">
        <v>46</v>
      </c>
      <c r="H667" s="2">
        <v>14</v>
      </c>
      <c r="I667" s="2" t="s">
        <v>119</v>
      </c>
      <c r="J667" s="2">
        <v>3.6</v>
      </c>
      <c r="K667" s="2" t="s">
        <v>33</v>
      </c>
      <c r="L667" s="2">
        <v>0.81</v>
      </c>
      <c r="M667" s="2" t="s">
        <v>88</v>
      </c>
      <c r="N667" s="2" t="s">
        <v>75</v>
      </c>
      <c r="O667" s="2">
        <v>9</v>
      </c>
      <c r="P667" s="2" t="str">
        <f>IF(global_freelancer_raw[[#This Row],[No of projects ]]&lt;=5,"Entry level","Well Experienced")</f>
        <v>Well Experienced</v>
      </c>
      <c r="Q667" s="2">
        <v>7</v>
      </c>
    </row>
    <row r="668" spans="1:17" x14ac:dyDescent="0.3">
      <c r="A668" t="s">
        <v>1436</v>
      </c>
      <c r="B668" t="s">
        <v>1437</v>
      </c>
      <c r="C668" t="s">
        <v>118</v>
      </c>
      <c r="D668" s="2">
        <v>47</v>
      </c>
      <c r="E668" t="s">
        <v>133</v>
      </c>
      <c r="F668" t="s">
        <v>134</v>
      </c>
      <c r="G668" s="2" t="s">
        <v>93</v>
      </c>
      <c r="H668" s="2">
        <v>17</v>
      </c>
      <c r="I668" s="2" t="s">
        <v>40</v>
      </c>
      <c r="J668" s="2">
        <v>1.2</v>
      </c>
      <c r="K668" s="2" t="s">
        <v>41</v>
      </c>
      <c r="L668" s="2" t="s">
        <v>2120</v>
      </c>
      <c r="M668" s="2" t="s">
        <v>24</v>
      </c>
      <c r="N668" s="2" t="s">
        <v>42</v>
      </c>
      <c r="O668" s="2">
        <v>14</v>
      </c>
      <c r="P668" s="2" t="str">
        <f>IF(global_freelancer_raw[[#This Row],[No of projects ]]&lt;=5,"Entry level","Well Experienced")</f>
        <v>Well Experienced</v>
      </c>
      <c r="Q668" s="2">
        <v>5</v>
      </c>
    </row>
    <row r="669" spans="1:17" x14ac:dyDescent="0.3">
      <c r="A669" t="s">
        <v>1438</v>
      </c>
      <c r="B669" t="s">
        <v>1439</v>
      </c>
      <c r="C669" t="s">
        <v>97</v>
      </c>
      <c r="D669" s="2">
        <v>29</v>
      </c>
      <c r="E669" t="s">
        <v>201</v>
      </c>
      <c r="F669" t="s">
        <v>92</v>
      </c>
      <c r="G669" s="2" t="s">
        <v>57</v>
      </c>
      <c r="H669" s="2">
        <v>10</v>
      </c>
      <c r="I669" s="2" t="s">
        <v>2119</v>
      </c>
      <c r="J669" s="2">
        <v>4.4000000000000004</v>
      </c>
      <c r="K669" s="2" t="s">
        <v>94</v>
      </c>
      <c r="L669" s="2">
        <v>0.67</v>
      </c>
      <c r="M669" s="2" t="s">
        <v>82</v>
      </c>
      <c r="N669" s="2" t="s">
        <v>25</v>
      </c>
      <c r="O669" s="2">
        <v>15</v>
      </c>
      <c r="P669" s="2" t="str">
        <f>IF(global_freelancer_raw[[#This Row],[No of projects ]]&lt;=5,"Entry level","Well Experienced")</f>
        <v>Well Experienced</v>
      </c>
      <c r="Q669" s="2">
        <v>5</v>
      </c>
    </row>
    <row r="670" spans="1:17" x14ac:dyDescent="0.3">
      <c r="A670" t="s">
        <v>1440</v>
      </c>
      <c r="B670" t="s">
        <v>1441</v>
      </c>
      <c r="C670" t="s">
        <v>97</v>
      </c>
      <c r="D670" s="2">
        <v>30</v>
      </c>
      <c r="E670" t="s">
        <v>85</v>
      </c>
      <c r="F670" t="s">
        <v>30</v>
      </c>
      <c r="G670" s="2" t="s">
        <v>110</v>
      </c>
      <c r="H670" s="2">
        <v>8</v>
      </c>
      <c r="I670" s="2" t="s">
        <v>22</v>
      </c>
      <c r="J670" s="2">
        <v>1.4</v>
      </c>
      <c r="K670" s="2" t="s">
        <v>87</v>
      </c>
      <c r="L670" s="2">
        <v>62</v>
      </c>
      <c r="M670" s="2" t="s">
        <v>60</v>
      </c>
      <c r="N670" s="2" t="s">
        <v>34</v>
      </c>
      <c r="O670" s="2">
        <v>14</v>
      </c>
      <c r="P670" s="2" t="str">
        <f>IF(global_freelancer_raw[[#This Row],[No of projects ]]&lt;=5,"Entry level","Well Experienced")</f>
        <v>Well Experienced</v>
      </c>
      <c r="Q670" s="2">
        <v>5</v>
      </c>
    </row>
    <row r="671" spans="1:17" x14ac:dyDescent="0.3">
      <c r="A671" t="s">
        <v>1442</v>
      </c>
      <c r="B671" t="s">
        <v>1443</v>
      </c>
      <c r="C671" t="s">
        <v>97</v>
      </c>
      <c r="D671" s="2">
        <v>25</v>
      </c>
      <c r="E671" t="s">
        <v>149</v>
      </c>
      <c r="F671" t="s">
        <v>30</v>
      </c>
      <c r="G671" s="2" t="s">
        <v>110</v>
      </c>
      <c r="H671" s="2">
        <v>1</v>
      </c>
      <c r="I671" s="2" t="s">
        <v>130</v>
      </c>
      <c r="J671" s="2">
        <v>3.2</v>
      </c>
      <c r="K671" s="2" t="s">
        <v>23</v>
      </c>
      <c r="L671" s="2">
        <v>0.87</v>
      </c>
      <c r="M671" s="2" t="s">
        <v>24</v>
      </c>
      <c r="N671" s="2" t="s">
        <v>34</v>
      </c>
      <c r="O671" s="2">
        <v>3</v>
      </c>
      <c r="P671" s="2" t="str">
        <f>IF(global_freelancer_raw[[#This Row],[No of projects ]]&lt;=5,"Entry level","Well Experienced")</f>
        <v>Entry level</v>
      </c>
      <c r="Q671" s="2">
        <v>2</v>
      </c>
    </row>
    <row r="672" spans="1:17" x14ac:dyDescent="0.3">
      <c r="A672" t="s">
        <v>1444</v>
      </c>
      <c r="B672" t="s">
        <v>1445</v>
      </c>
      <c r="C672" t="s">
        <v>97</v>
      </c>
      <c r="D672" s="2">
        <v>28</v>
      </c>
      <c r="E672" t="s">
        <v>160</v>
      </c>
      <c r="F672" t="s">
        <v>161</v>
      </c>
      <c r="G672" s="2" t="s">
        <v>98</v>
      </c>
      <c r="H672" s="2">
        <v>10</v>
      </c>
      <c r="I672" s="2" t="s">
        <v>2119</v>
      </c>
      <c r="J672" s="2">
        <v>3.8</v>
      </c>
      <c r="K672" s="2" t="s">
        <v>87</v>
      </c>
      <c r="L672" s="2">
        <v>0.98</v>
      </c>
      <c r="M672" s="2" t="s">
        <v>88</v>
      </c>
      <c r="N672" s="2" t="s">
        <v>42</v>
      </c>
      <c r="O672" s="2">
        <v>12</v>
      </c>
      <c r="P672" s="2" t="str">
        <f>IF(global_freelancer_raw[[#This Row],[No of projects ]]&lt;=5,"Entry level","Well Experienced")</f>
        <v>Well Experienced</v>
      </c>
      <c r="Q672" s="2">
        <v>11</v>
      </c>
    </row>
    <row r="673" spans="1:17" x14ac:dyDescent="0.3">
      <c r="A673" t="s">
        <v>1446</v>
      </c>
      <c r="B673" t="s">
        <v>1447</v>
      </c>
      <c r="C673" t="s">
        <v>118</v>
      </c>
      <c r="D673" s="2">
        <v>29</v>
      </c>
      <c r="E673" t="s">
        <v>133</v>
      </c>
      <c r="F673" t="s">
        <v>134</v>
      </c>
      <c r="G673" s="2" t="s">
        <v>21</v>
      </c>
      <c r="H673" s="2">
        <v>0</v>
      </c>
      <c r="I673" s="2" t="s">
        <v>192</v>
      </c>
      <c r="J673" s="2">
        <v>1.5</v>
      </c>
      <c r="K673" s="2" t="s">
        <v>74</v>
      </c>
      <c r="L673" s="2">
        <v>0.64</v>
      </c>
      <c r="M673" s="2" t="s">
        <v>88</v>
      </c>
      <c r="N673" s="2" t="s">
        <v>34</v>
      </c>
      <c r="O673" s="2">
        <v>5</v>
      </c>
      <c r="P673" s="2" t="str">
        <f>IF(global_freelancer_raw[[#This Row],[No of projects ]]&lt;=5,"Entry level","Well Experienced")</f>
        <v>Entry level</v>
      </c>
      <c r="Q673" s="2">
        <v>4</v>
      </c>
    </row>
    <row r="674" spans="1:17" x14ac:dyDescent="0.3">
      <c r="A674" t="s">
        <v>1448</v>
      </c>
      <c r="B674" t="s">
        <v>1449</v>
      </c>
      <c r="C674" t="s">
        <v>118</v>
      </c>
      <c r="D674" s="2">
        <v>30</v>
      </c>
      <c r="E674" t="s">
        <v>212</v>
      </c>
      <c r="F674" t="s">
        <v>92</v>
      </c>
      <c r="G674" s="2" t="s">
        <v>39</v>
      </c>
      <c r="H674" s="2">
        <v>4</v>
      </c>
      <c r="I674" s="2" t="s">
        <v>2119</v>
      </c>
      <c r="J674" s="2">
        <v>2.8</v>
      </c>
      <c r="K674" s="2" t="s">
        <v>33</v>
      </c>
      <c r="L674" s="2">
        <v>0.71</v>
      </c>
      <c r="M674" s="2" t="s">
        <v>88</v>
      </c>
      <c r="N674" s="2" t="s">
        <v>34</v>
      </c>
      <c r="O674" s="2">
        <v>4</v>
      </c>
      <c r="P674" s="2" t="str">
        <f>IF(global_freelancer_raw[[#This Row],[No of projects ]]&lt;=5,"Entry level","Well Experienced")</f>
        <v>Entry level</v>
      </c>
      <c r="Q674" s="2">
        <v>1</v>
      </c>
    </row>
    <row r="675" spans="1:17" x14ac:dyDescent="0.3">
      <c r="A675" t="s">
        <v>1450</v>
      </c>
      <c r="B675" t="s">
        <v>1451</v>
      </c>
      <c r="C675" t="s">
        <v>118</v>
      </c>
      <c r="D675" s="2">
        <v>47</v>
      </c>
      <c r="E675" t="s">
        <v>160</v>
      </c>
      <c r="F675" t="s">
        <v>161</v>
      </c>
      <c r="G675" s="2" t="s">
        <v>57</v>
      </c>
      <c r="H675" s="2">
        <v>2</v>
      </c>
      <c r="I675" s="2" t="s">
        <v>40</v>
      </c>
      <c r="J675" s="2">
        <v>2.7</v>
      </c>
      <c r="K675" s="2" t="s">
        <v>181</v>
      </c>
      <c r="L675" s="2">
        <v>96</v>
      </c>
      <c r="M675" s="2" t="s">
        <v>60</v>
      </c>
      <c r="N675" s="2" t="s">
        <v>34</v>
      </c>
      <c r="O675" s="2">
        <v>4</v>
      </c>
      <c r="P675" s="2" t="str">
        <f>IF(global_freelancer_raw[[#This Row],[No of projects ]]&lt;=5,"Entry level","Well Experienced")</f>
        <v>Entry level</v>
      </c>
      <c r="Q675" s="2">
        <v>1</v>
      </c>
    </row>
    <row r="676" spans="1:17" x14ac:dyDescent="0.3">
      <c r="A676" t="s">
        <v>1452</v>
      </c>
      <c r="B676" t="s">
        <v>1453</v>
      </c>
      <c r="C676" t="s">
        <v>118</v>
      </c>
      <c r="D676" s="2">
        <v>34</v>
      </c>
      <c r="E676" t="s">
        <v>29</v>
      </c>
      <c r="F676" t="s">
        <v>30</v>
      </c>
      <c r="G676" s="2" t="s">
        <v>21</v>
      </c>
      <c r="H676" s="2">
        <v>10</v>
      </c>
      <c r="I676" s="2" t="s">
        <v>58</v>
      </c>
      <c r="J676" s="2">
        <v>3.9</v>
      </c>
      <c r="K676" s="2" t="s">
        <v>2120</v>
      </c>
      <c r="L676" s="2" t="s">
        <v>2120</v>
      </c>
      <c r="M676" s="2" t="s">
        <v>24</v>
      </c>
      <c r="N676" s="2" t="s">
        <v>34</v>
      </c>
      <c r="O676" s="2">
        <v>12</v>
      </c>
      <c r="P676" s="2" t="str">
        <f>IF(global_freelancer_raw[[#This Row],[No of projects ]]&lt;=5,"Entry level","Well Experienced")</f>
        <v>Well Experienced</v>
      </c>
      <c r="Q676" s="2">
        <v>13</v>
      </c>
    </row>
    <row r="677" spans="1:17" x14ac:dyDescent="0.3">
      <c r="A677" t="s">
        <v>1454</v>
      </c>
      <c r="B677" t="s">
        <v>1455</v>
      </c>
      <c r="C677" t="s">
        <v>118</v>
      </c>
      <c r="D677" s="2">
        <v>45</v>
      </c>
      <c r="E677" t="s">
        <v>73</v>
      </c>
      <c r="F677" t="s">
        <v>30</v>
      </c>
      <c r="G677" s="2" t="s">
        <v>39</v>
      </c>
      <c r="H677" s="2">
        <v>16</v>
      </c>
      <c r="I677" s="2" t="s">
        <v>22</v>
      </c>
      <c r="J677" s="2">
        <v>4.5999999999999996</v>
      </c>
      <c r="K677" s="2" t="s">
        <v>41</v>
      </c>
      <c r="L677" s="2">
        <v>0.78</v>
      </c>
      <c r="M677" s="2" t="s">
        <v>24</v>
      </c>
      <c r="N677" s="2" t="s">
        <v>25</v>
      </c>
      <c r="O677" s="2">
        <v>15</v>
      </c>
      <c r="P677" s="2" t="str">
        <f>IF(global_freelancer_raw[[#This Row],[No of projects ]]&lt;=5,"Entry level","Well Experienced")</f>
        <v>Well Experienced</v>
      </c>
      <c r="Q677" s="2">
        <v>7</v>
      </c>
    </row>
    <row r="678" spans="1:17" x14ac:dyDescent="0.3">
      <c r="A678" t="s">
        <v>1456</v>
      </c>
      <c r="B678" t="s">
        <v>1457</v>
      </c>
      <c r="C678" t="s">
        <v>97</v>
      </c>
      <c r="D678" s="2">
        <v>56</v>
      </c>
      <c r="E678" t="s">
        <v>212</v>
      </c>
      <c r="F678" t="s">
        <v>92</v>
      </c>
      <c r="G678" s="2" t="s">
        <v>98</v>
      </c>
      <c r="H678" s="2">
        <v>27</v>
      </c>
      <c r="I678" s="2" t="s">
        <v>142</v>
      </c>
      <c r="J678" s="2">
        <v>2.2000000000000002</v>
      </c>
      <c r="K678" s="2" t="s">
        <v>59</v>
      </c>
      <c r="L678" s="2">
        <v>0.7</v>
      </c>
      <c r="M678" s="2" t="s">
        <v>60</v>
      </c>
      <c r="N678" s="2" t="s">
        <v>34</v>
      </c>
      <c r="O678" s="2">
        <v>19</v>
      </c>
      <c r="P678" s="2" t="str">
        <f>IF(global_freelancer_raw[[#This Row],[No of projects ]]&lt;=5,"Entry level","Well Experienced")</f>
        <v>Well Experienced</v>
      </c>
      <c r="Q678" s="2">
        <v>3</v>
      </c>
    </row>
    <row r="679" spans="1:17" x14ac:dyDescent="0.3">
      <c r="A679" t="s">
        <v>1458</v>
      </c>
      <c r="B679" t="s">
        <v>1459</v>
      </c>
      <c r="C679" t="s">
        <v>97</v>
      </c>
      <c r="D679" s="2">
        <v>49</v>
      </c>
      <c r="E679" t="s">
        <v>197</v>
      </c>
      <c r="F679" t="s">
        <v>198</v>
      </c>
      <c r="G679" s="2" t="s">
        <v>110</v>
      </c>
      <c r="H679" s="2">
        <v>20</v>
      </c>
      <c r="I679" s="2" t="s">
        <v>40</v>
      </c>
      <c r="J679" s="2">
        <v>2.5</v>
      </c>
      <c r="K679" s="2" t="s">
        <v>23</v>
      </c>
      <c r="L679" s="2">
        <v>0.82</v>
      </c>
      <c r="M679" s="2" t="s">
        <v>24</v>
      </c>
      <c r="N679" s="2" t="s">
        <v>75</v>
      </c>
      <c r="O679" s="2">
        <v>15</v>
      </c>
      <c r="P679" s="2" t="str">
        <f>IF(global_freelancer_raw[[#This Row],[No of projects ]]&lt;=5,"Entry level","Well Experienced")</f>
        <v>Well Experienced</v>
      </c>
      <c r="Q679" s="2">
        <v>11</v>
      </c>
    </row>
    <row r="680" spans="1:17" x14ac:dyDescent="0.3">
      <c r="A680" t="s">
        <v>1460</v>
      </c>
      <c r="B680" t="s">
        <v>1461</v>
      </c>
      <c r="C680" t="s">
        <v>118</v>
      </c>
      <c r="D680" s="2">
        <v>48</v>
      </c>
      <c r="E680" t="s">
        <v>156</v>
      </c>
      <c r="F680" t="s">
        <v>157</v>
      </c>
      <c r="G680" s="2" t="s">
        <v>57</v>
      </c>
      <c r="H680" s="2">
        <v>10</v>
      </c>
      <c r="I680" s="2" t="s">
        <v>2119</v>
      </c>
      <c r="J680" s="2">
        <v>3.1</v>
      </c>
      <c r="K680" s="2" t="s">
        <v>59</v>
      </c>
      <c r="L680" s="2" t="s">
        <v>2120</v>
      </c>
      <c r="M680" s="2" t="s">
        <v>60</v>
      </c>
      <c r="N680" s="2" t="s">
        <v>42</v>
      </c>
      <c r="O680" s="2">
        <v>13</v>
      </c>
      <c r="P680" s="2" t="str">
        <f>IF(global_freelancer_raw[[#This Row],[No of projects ]]&lt;=5,"Entry level","Well Experienced")</f>
        <v>Well Experienced</v>
      </c>
      <c r="Q680" s="2">
        <v>4</v>
      </c>
    </row>
    <row r="681" spans="1:17" x14ac:dyDescent="0.3">
      <c r="A681" t="s">
        <v>1462</v>
      </c>
      <c r="B681" t="s">
        <v>1463</v>
      </c>
      <c r="C681" t="s">
        <v>97</v>
      </c>
      <c r="D681" s="2">
        <v>29</v>
      </c>
      <c r="E681" t="s">
        <v>133</v>
      </c>
      <c r="F681" t="s">
        <v>134</v>
      </c>
      <c r="G681" s="2" t="s">
        <v>39</v>
      </c>
      <c r="H681" s="2">
        <v>0</v>
      </c>
      <c r="I681" s="2" t="s">
        <v>142</v>
      </c>
      <c r="J681" s="2" t="s">
        <v>2120</v>
      </c>
      <c r="K681" s="2" t="s">
        <v>33</v>
      </c>
      <c r="L681" s="2">
        <v>0.99</v>
      </c>
      <c r="M681" s="2" t="s">
        <v>60</v>
      </c>
      <c r="N681" s="2" t="s">
        <v>25</v>
      </c>
      <c r="O681" s="2">
        <v>3</v>
      </c>
      <c r="P681" s="2" t="str">
        <f>IF(global_freelancer_raw[[#This Row],[No of projects ]]&lt;=5,"Entry level","Well Experienced")</f>
        <v>Entry level</v>
      </c>
      <c r="Q681" s="2">
        <v>2</v>
      </c>
    </row>
    <row r="682" spans="1:17" x14ac:dyDescent="0.3">
      <c r="A682" t="s">
        <v>1464</v>
      </c>
      <c r="B682" t="s">
        <v>1465</v>
      </c>
      <c r="C682" t="s">
        <v>97</v>
      </c>
      <c r="D682" s="2">
        <v>49</v>
      </c>
      <c r="E682" t="s">
        <v>55</v>
      </c>
      <c r="F682" t="s">
        <v>56</v>
      </c>
      <c r="G682" s="2" t="s">
        <v>46</v>
      </c>
      <c r="H682" s="2">
        <v>11</v>
      </c>
      <c r="I682" s="2" t="s">
        <v>103</v>
      </c>
      <c r="J682" s="2">
        <v>3.8</v>
      </c>
      <c r="K682" s="2" t="s">
        <v>94</v>
      </c>
      <c r="L682" s="2">
        <v>0.93</v>
      </c>
      <c r="M682" s="2" t="s">
        <v>60</v>
      </c>
      <c r="N682" s="2" t="s">
        <v>34</v>
      </c>
      <c r="O682" s="2">
        <v>13</v>
      </c>
      <c r="P682" s="2" t="str">
        <f>IF(global_freelancer_raw[[#This Row],[No of projects ]]&lt;=5,"Entry level","Well Experienced")</f>
        <v>Well Experienced</v>
      </c>
      <c r="Q682" s="2">
        <v>5</v>
      </c>
    </row>
    <row r="683" spans="1:17" x14ac:dyDescent="0.3">
      <c r="A683" t="s">
        <v>1466</v>
      </c>
      <c r="B683" t="s">
        <v>1467</v>
      </c>
      <c r="C683" t="s">
        <v>97</v>
      </c>
      <c r="D683" s="2">
        <v>22</v>
      </c>
      <c r="E683" t="s">
        <v>197</v>
      </c>
      <c r="F683" t="s">
        <v>198</v>
      </c>
      <c r="G683" s="2" t="s">
        <v>21</v>
      </c>
      <c r="H683" s="2">
        <v>1</v>
      </c>
      <c r="I683" s="2" t="s">
        <v>22</v>
      </c>
      <c r="J683" s="2">
        <v>4.8</v>
      </c>
      <c r="K683" s="2" t="s">
        <v>94</v>
      </c>
      <c r="L683" s="2">
        <v>0.75</v>
      </c>
      <c r="M683" s="2" t="s">
        <v>88</v>
      </c>
      <c r="N683" s="2" t="s">
        <v>25</v>
      </c>
      <c r="O683" s="2">
        <v>1</v>
      </c>
      <c r="P683" s="2" t="str">
        <f>IF(global_freelancer_raw[[#This Row],[No of projects ]]&lt;=5,"Entry level","Well Experienced")</f>
        <v>Entry level</v>
      </c>
      <c r="Q683" s="2">
        <v>1</v>
      </c>
    </row>
    <row r="684" spans="1:17" x14ac:dyDescent="0.3">
      <c r="A684" t="s">
        <v>1468</v>
      </c>
      <c r="B684" t="s">
        <v>1469</v>
      </c>
      <c r="C684" t="s">
        <v>118</v>
      </c>
      <c r="D684" s="2">
        <v>52</v>
      </c>
      <c r="E684" t="s">
        <v>201</v>
      </c>
      <c r="F684" t="s">
        <v>92</v>
      </c>
      <c r="G684" s="2" t="s">
        <v>39</v>
      </c>
      <c r="H684" s="2">
        <v>30</v>
      </c>
      <c r="I684" s="2" t="s">
        <v>32</v>
      </c>
      <c r="J684" s="2">
        <v>2.5</v>
      </c>
      <c r="K684" s="2" t="s">
        <v>2120</v>
      </c>
      <c r="L684" s="2">
        <v>61</v>
      </c>
      <c r="M684" s="2" t="s">
        <v>24</v>
      </c>
      <c r="N684" s="2" t="s">
        <v>34</v>
      </c>
      <c r="O684" s="2">
        <v>19</v>
      </c>
      <c r="P684" s="2" t="str">
        <f>IF(global_freelancer_raw[[#This Row],[No of projects ]]&lt;=5,"Entry level","Well Experienced")</f>
        <v>Well Experienced</v>
      </c>
      <c r="Q684" s="2">
        <v>14</v>
      </c>
    </row>
    <row r="685" spans="1:17" x14ac:dyDescent="0.3">
      <c r="A685" t="s">
        <v>1470</v>
      </c>
      <c r="B685" t="s">
        <v>1471</v>
      </c>
      <c r="C685" t="s">
        <v>118</v>
      </c>
      <c r="D685" s="2">
        <v>60</v>
      </c>
      <c r="E685" t="s">
        <v>149</v>
      </c>
      <c r="F685" t="s">
        <v>30</v>
      </c>
      <c r="G685" s="2" t="s">
        <v>21</v>
      </c>
      <c r="H685" s="2">
        <v>7</v>
      </c>
      <c r="I685" s="2" t="s">
        <v>130</v>
      </c>
      <c r="J685" s="2">
        <v>0</v>
      </c>
      <c r="K685" s="2" t="s">
        <v>181</v>
      </c>
      <c r="L685" s="2">
        <v>0.97</v>
      </c>
      <c r="M685" s="2" t="s">
        <v>60</v>
      </c>
      <c r="N685" s="2" t="s">
        <v>75</v>
      </c>
      <c r="O685" s="2">
        <v>9</v>
      </c>
      <c r="P685" s="2" t="str">
        <f>IF(global_freelancer_raw[[#This Row],[No of projects ]]&lt;=5,"Entry level","Well Experienced")</f>
        <v>Well Experienced</v>
      </c>
      <c r="Q685" s="2">
        <v>8</v>
      </c>
    </row>
    <row r="686" spans="1:17" x14ac:dyDescent="0.3">
      <c r="A686" t="s">
        <v>1472</v>
      </c>
      <c r="B686" t="s">
        <v>1473</v>
      </c>
      <c r="C686" t="s">
        <v>97</v>
      </c>
      <c r="D686" s="2">
        <v>33</v>
      </c>
      <c r="E686" t="s">
        <v>106</v>
      </c>
      <c r="F686" t="s">
        <v>107</v>
      </c>
      <c r="G686" s="2" t="s">
        <v>93</v>
      </c>
      <c r="H686" s="2">
        <v>0</v>
      </c>
      <c r="I686" s="2" t="s">
        <v>251</v>
      </c>
      <c r="J686" s="2">
        <v>1.7</v>
      </c>
      <c r="K686" s="2" t="s">
        <v>33</v>
      </c>
      <c r="L686" s="2">
        <v>95</v>
      </c>
      <c r="M686" s="2" t="s">
        <v>24</v>
      </c>
      <c r="N686" s="2" t="s">
        <v>42</v>
      </c>
      <c r="O686" s="2">
        <v>4</v>
      </c>
      <c r="P686" s="2" t="str">
        <f>IF(global_freelancer_raw[[#This Row],[No of projects ]]&lt;=5,"Entry level","Well Experienced")</f>
        <v>Entry level</v>
      </c>
      <c r="Q686" s="2">
        <v>5</v>
      </c>
    </row>
    <row r="687" spans="1:17" x14ac:dyDescent="0.3">
      <c r="A687" t="s">
        <v>1474</v>
      </c>
      <c r="B687" t="s">
        <v>1475</v>
      </c>
      <c r="C687" t="s">
        <v>118</v>
      </c>
      <c r="D687" s="2">
        <v>52</v>
      </c>
      <c r="E687" t="s">
        <v>133</v>
      </c>
      <c r="F687" t="s">
        <v>134</v>
      </c>
      <c r="G687" s="2" t="s">
        <v>39</v>
      </c>
      <c r="H687" s="2">
        <v>21</v>
      </c>
      <c r="I687" s="2" t="s">
        <v>70</v>
      </c>
      <c r="J687" s="2">
        <v>4</v>
      </c>
      <c r="K687" s="2" t="s">
        <v>2120</v>
      </c>
      <c r="L687" s="2">
        <v>0.69</v>
      </c>
      <c r="M687" s="2" t="s">
        <v>88</v>
      </c>
      <c r="N687" s="2" t="s">
        <v>34</v>
      </c>
      <c r="O687" s="2">
        <v>14</v>
      </c>
      <c r="P687" s="2" t="str">
        <f>IF(global_freelancer_raw[[#This Row],[No of projects ]]&lt;=5,"Entry level","Well Experienced")</f>
        <v>Well Experienced</v>
      </c>
      <c r="Q687" s="2">
        <v>9</v>
      </c>
    </row>
    <row r="688" spans="1:17" x14ac:dyDescent="0.3">
      <c r="A688" t="s">
        <v>1476</v>
      </c>
      <c r="B688" t="s">
        <v>1477</v>
      </c>
      <c r="C688" t="s">
        <v>97</v>
      </c>
      <c r="D688" s="2">
        <v>25</v>
      </c>
      <c r="E688" t="s">
        <v>38</v>
      </c>
      <c r="F688" t="s">
        <v>38</v>
      </c>
      <c r="G688" s="2" t="s">
        <v>110</v>
      </c>
      <c r="H688" s="2">
        <v>7</v>
      </c>
      <c r="I688" s="2" t="s">
        <v>32</v>
      </c>
      <c r="J688" s="2">
        <v>1.9</v>
      </c>
      <c r="K688" s="2" t="s">
        <v>59</v>
      </c>
      <c r="L688" s="2">
        <v>0.63</v>
      </c>
      <c r="M688" s="2" t="s">
        <v>60</v>
      </c>
      <c r="N688" s="2" t="s">
        <v>34</v>
      </c>
      <c r="O688" s="2">
        <v>11</v>
      </c>
      <c r="P688" s="2" t="str">
        <f>IF(global_freelancer_raw[[#This Row],[No of projects ]]&lt;=5,"Entry level","Well Experienced")</f>
        <v>Well Experienced</v>
      </c>
      <c r="Q688" s="2">
        <v>5</v>
      </c>
    </row>
    <row r="689" spans="1:17" x14ac:dyDescent="0.3">
      <c r="A689" t="s">
        <v>1478</v>
      </c>
      <c r="B689" t="s">
        <v>1479</v>
      </c>
      <c r="C689" t="s">
        <v>118</v>
      </c>
      <c r="D689" s="2">
        <v>33</v>
      </c>
      <c r="E689" t="s">
        <v>106</v>
      </c>
      <c r="F689" t="s">
        <v>107</v>
      </c>
      <c r="G689" s="2" t="s">
        <v>98</v>
      </c>
      <c r="H689" s="2" t="s">
        <v>2120</v>
      </c>
      <c r="I689" s="2" t="s">
        <v>130</v>
      </c>
      <c r="J689" s="2">
        <v>4.4000000000000004</v>
      </c>
      <c r="K689" s="2" t="s">
        <v>74</v>
      </c>
      <c r="L689" s="2">
        <v>0.65</v>
      </c>
      <c r="M689" s="2" t="s">
        <v>82</v>
      </c>
      <c r="N689" s="2" t="s">
        <v>34</v>
      </c>
      <c r="O689" s="2">
        <v>1</v>
      </c>
      <c r="P689" s="2" t="str">
        <f>IF(global_freelancer_raw[[#This Row],[No of projects ]]&lt;=5,"Entry level","Well Experienced")</f>
        <v>Entry level</v>
      </c>
      <c r="Q689" s="2">
        <v>1</v>
      </c>
    </row>
    <row r="690" spans="1:17" x14ac:dyDescent="0.3">
      <c r="A690" t="s">
        <v>1480</v>
      </c>
      <c r="B690" t="s">
        <v>1481</v>
      </c>
      <c r="C690" t="s">
        <v>97</v>
      </c>
      <c r="D690" s="2">
        <v>33</v>
      </c>
      <c r="E690" t="s">
        <v>197</v>
      </c>
      <c r="F690" t="s">
        <v>198</v>
      </c>
      <c r="G690" s="2" t="s">
        <v>31</v>
      </c>
      <c r="H690" s="2" t="s">
        <v>2120</v>
      </c>
      <c r="I690" s="2" t="s">
        <v>2119</v>
      </c>
      <c r="J690" s="2">
        <v>4.2</v>
      </c>
      <c r="K690" s="2" t="s">
        <v>94</v>
      </c>
      <c r="L690" s="2">
        <v>0.9</v>
      </c>
      <c r="M690" s="2" t="s">
        <v>88</v>
      </c>
      <c r="N690" s="2" t="s">
        <v>34</v>
      </c>
      <c r="O690" s="2">
        <v>1</v>
      </c>
      <c r="P690" s="2" t="str">
        <f>IF(global_freelancer_raw[[#This Row],[No of projects ]]&lt;=5,"Entry level","Well Experienced")</f>
        <v>Entry level</v>
      </c>
      <c r="Q690" s="2">
        <v>1</v>
      </c>
    </row>
    <row r="691" spans="1:17" x14ac:dyDescent="0.3">
      <c r="A691" t="s">
        <v>1482</v>
      </c>
      <c r="B691" t="s">
        <v>54</v>
      </c>
      <c r="C691" t="s">
        <v>97</v>
      </c>
      <c r="D691" s="2">
        <v>52</v>
      </c>
      <c r="E691" t="s">
        <v>149</v>
      </c>
      <c r="F691" t="s">
        <v>30</v>
      </c>
      <c r="G691" s="2" t="s">
        <v>93</v>
      </c>
      <c r="H691" s="2">
        <v>25</v>
      </c>
      <c r="I691" s="2" t="s">
        <v>22</v>
      </c>
      <c r="J691" s="2">
        <v>4.8</v>
      </c>
      <c r="K691" s="2" t="s">
        <v>41</v>
      </c>
      <c r="L691" s="2" t="s">
        <v>2120</v>
      </c>
      <c r="M691" s="2" t="s">
        <v>82</v>
      </c>
      <c r="N691" s="2" t="s">
        <v>42</v>
      </c>
      <c r="O691" s="2">
        <v>10</v>
      </c>
      <c r="P691" s="2" t="str">
        <f>IF(global_freelancer_raw[[#This Row],[No of projects ]]&lt;=5,"Entry level","Well Experienced")</f>
        <v>Well Experienced</v>
      </c>
      <c r="Q691" s="2">
        <v>8</v>
      </c>
    </row>
    <row r="692" spans="1:17" x14ac:dyDescent="0.3">
      <c r="A692" t="s">
        <v>1483</v>
      </c>
      <c r="B692" t="s">
        <v>1484</v>
      </c>
      <c r="C692" t="s">
        <v>97</v>
      </c>
      <c r="D692" s="2">
        <v>20</v>
      </c>
      <c r="E692" t="s">
        <v>64</v>
      </c>
      <c r="F692" t="s">
        <v>65</v>
      </c>
      <c r="G692" s="2" t="s">
        <v>46</v>
      </c>
      <c r="H692" s="2">
        <v>1</v>
      </c>
      <c r="I692" s="2" t="s">
        <v>130</v>
      </c>
      <c r="J692" s="2">
        <v>2</v>
      </c>
      <c r="K692" s="2" t="s">
        <v>181</v>
      </c>
      <c r="L692" s="2">
        <v>0.89</v>
      </c>
      <c r="M692" s="2" t="s">
        <v>24</v>
      </c>
      <c r="N692" s="2" t="s">
        <v>42</v>
      </c>
      <c r="O692" s="2">
        <v>1</v>
      </c>
      <c r="P692" s="2" t="str">
        <f>IF(global_freelancer_raw[[#This Row],[No of projects ]]&lt;=5,"Entry level","Well Experienced")</f>
        <v>Entry level</v>
      </c>
      <c r="Q692" s="2">
        <v>2</v>
      </c>
    </row>
    <row r="693" spans="1:17" x14ac:dyDescent="0.3">
      <c r="A693" t="s">
        <v>1485</v>
      </c>
      <c r="B693" t="s">
        <v>1486</v>
      </c>
      <c r="C693" t="s">
        <v>97</v>
      </c>
      <c r="D693" s="2">
        <v>43</v>
      </c>
      <c r="E693" t="s">
        <v>145</v>
      </c>
      <c r="F693" t="s">
        <v>146</v>
      </c>
      <c r="G693" s="2" t="s">
        <v>66</v>
      </c>
      <c r="H693" s="2">
        <v>7</v>
      </c>
      <c r="I693" s="2" t="s">
        <v>119</v>
      </c>
      <c r="J693" s="2" t="s">
        <v>2120</v>
      </c>
      <c r="K693" s="2" t="s">
        <v>33</v>
      </c>
      <c r="L693" s="2">
        <v>0.8</v>
      </c>
      <c r="M693" s="2" t="s">
        <v>24</v>
      </c>
      <c r="N693" s="2" t="s">
        <v>75</v>
      </c>
      <c r="O693" s="2">
        <v>11</v>
      </c>
      <c r="P693" s="2" t="str">
        <f>IF(global_freelancer_raw[[#This Row],[No of projects ]]&lt;=5,"Entry level","Well Experienced")</f>
        <v>Well Experienced</v>
      </c>
      <c r="Q693" s="2">
        <v>3</v>
      </c>
    </row>
    <row r="694" spans="1:17" x14ac:dyDescent="0.3">
      <c r="A694" t="s">
        <v>1487</v>
      </c>
      <c r="B694" t="s">
        <v>1443</v>
      </c>
      <c r="C694" t="s">
        <v>97</v>
      </c>
      <c r="D694" s="2">
        <v>31</v>
      </c>
      <c r="E694" t="s">
        <v>156</v>
      </c>
      <c r="F694" t="s">
        <v>157</v>
      </c>
      <c r="G694" s="2" t="s">
        <v>31</v>
      </c>
      <c r="H694" s="2" t="s">
        <v>2120</v>
      </c>
      <c r="I694" s="2" t="s">
        <v>40</v>
      </c>
      <c r="J694" s="2">
        <v>1.4</v>
      </c>
      <c r="K694" s="2" t="s">
        <v>181</v>
      </c>
      <c r="L694" s="2">
        <v>0.8</v>
      </c>
      <c r="M694" s="2" t="s">
        <v>88</v>
      </c>
      <c r="N694" s="2" t="s">
        <v>42</v>
      </c>
      <c r="O694" s="2">
        <v>5</v>
      </c>
      <c r="P694" s="2" t="str">
        <f>IF(global_freelancer_raw[[#This Row],[No of projects ]]&lt;=5,"Entry level","Well Experienced")</f>
        <v>Entry level</v>
      </c>
      <c r="Q694" s="2">
        <v>2</v>
      </c>
    </row>
    <row r="695" spans="1:17" x14ac:dyDescent="0.3">
      <c r="A695" t="s">
        <v>1488</v>
      </c>
      <c r="B695" t="s">
        <v>1489</v>
      </c>
      <c r="C695" t="s">
        <v>97</v>
      </c>
      <c r="D695" s="2">
        <v>29</v>
      </c>
      <c r="E695" t="s">
        <v>38</v>
      </c>
      <c r="F695" t="s">
        <v>38</v>
      </c>
      <c r="G695" s="2" t="s">
        <v>66</v>
      </c>
      <c r="H695" s="2">
        <v>6</v>
      </c>
      <c r="I695" s="2" t="s">
        <v>22</v>
      </c>
      <c r="J695" s="2">
        <v>1.8</v>
      </c>
      <c r="K695" s="2" t="s">
        <v>41</v>
      </c>
      <c r="L695" s="2" t="s">
        <v>2120</v>
      </c>
      <c r="M695" s="2" t="s">
        <v>24</v>
      </c>
      <c r="N695" s="2" t="s">
        <v>34</v>
      </c>
      <c r="O695" s="2">
        <v>6</v>
      </c>
      <c r="P695" s="2" t="str">
        <f>IF(global_freelancer_raw[[#This Row],[No of projects ]]&lt;=5,"Entry level","Well Experienced")</f>
        <v>Well Experienced</v>
      </c>
      <c r="Q695" s="2">
        <v>10</v>
      </c>
    </row>
    <row r="696" spans="1:17" x14ac:dyDescent="0.3">
      <c r="A696" t="s">
        <v>1490</v>
      </c>
      <c r="B696" t="s">
        <v>861</v>
      </c>
      <c r="C696" t="s">
        <v>97</v>
      </c>
      <c r="D696" s="2">
        <v>53</v>
      </c>
      <c r="E696" t="s">
        <v>175</v>
      </c>
      <c r="F696" t="s">
        <v>176</v>
      </c>
      <c r="G696" s="2" t="s">
        <v>39</v>
      </c>
      <c r="H696" s="2">
        <v>35</v>
      </c>
      <c r="I696" s="2" t="s">
        <v>2119</v>
      </c>
      <c r="J696" s="2">
        <v>0</v>
      </c>
      <c r="K696" s="2" t="s">
        <v>33</v>
      </c>
      <c r="L696" s="2">
        <v>0.67</v>
      </c>
      <c r="M696" s="2" t="s">
        <v>82</v>
      </c>
      <c r="N696" s="2" t="s">
        <v>75</v>
      </c>
      <c r="O696" s="2">
        <v>18</v>
      </c>
      <c r="P696" s="2" t="str">
        <f>IF(global_freelancer_raw[[#This Row],[No of projects ]]&lt;=5,"Entry level","Well Experienced")</f>
        <v>Well Experienced</v>
      </c>
      <c r="Q696" s="2">
        <v>9</v>
      </c>
    </row>
    <row r="697" spans="1:17" x14ac:dyDescent="0.3">
      <c r="A697" t="s">
        <v>1491</v>
      </c>
      <c r="B697" t="s">
        <v>1492</v>
      </c>
      <c r="C697" t="s">
        <v>118</v>
      </c>
      <c r="D697" s="2">
        <v>38</v>
      </c>
      <c r="E697" t="s">
        <v>114</v>
      </c>
      <c r="F697" t="s">
        <v>115</v>
      </c>
      <c r="G697" s="2" t="s">
        <v>31</v>
      </c>
      <c r="H697" s="2">
        <v>1</v>
      </c>
      <c r="I697" s="2" t="s">
        <v>70</v>
      </c>
      <c r="J697" s="2">
        <v>0</v>
      </c>
      <c r="K697" s="2" t="s">
        <v>23</v>
      </c>
      <c r="L697" s="2">
        <v>0.96</v>
      </c>
      <c r="M697" s="2" t="s">
        <v>60</v>
      </c>
      <c r="N697" s="2" t="s">
        <v>75</v>
      </c>
      <c r="O697" s="2">
        <v>2</v>
      </c>
      <c r="P697" s="2" t="str">
        <f>IF(global_freelancer_raw[[#This Row],[No of projects ]]&lt;=5,"Entry level","Well Experienced")</f>
        <v>Entry level</v>
      </c>
      <c r="Q697" s="2">
        <v>2</v>
      </c>
    </row>
    <row r="698" spans="1:17" x14ac:dyDescent="0.3">
      <c r="A698" t="s">
        <v>1493</v>
      </c>
      <c r="B698" t="s">
        <v>1494</v>
      </c>
      <c r="C698" t="s">
        <v>118</v>
      </c>
      <c r="D698" s="2">
        <v>29</v>
      </c>
      <c r="E698" t="s">
        <v>212</v>
      </c>
      <c r="F698" t="s">
        <v>92</v>
      </c>
      <c r="G698" s="2" t="s">
        <v>39</v>
      </c>
      <c r="H698" s="2" t="s">
        <v>2120</v>
      </c>
      <c r="I698" s="2" t="s">
        <v>162</v>
      </c>
      <c r="J698" s="2">
        <v>0</v>
      </c>
      <c r="K698" s="2" t="s">
        <v>23</v>
      </c>
      <c r="L698" s="2">
        <v>0.9</v>
      </c>
      <c r="M698" s="2" t="s">
        <v>60</v>
      </c>
      <c r="N698" s="2" t="s">
        <v>75</v>
      </c>
      <c r="O698" s="2">
        <v>3</v>
      </c>
      <c r="P698" s="2" t="str">
        <f>IF(global_freelancer_raw[[#This Row],[No of projects ]]&lt;=5,"Entry level","Well Experienced")</f>
        <v>Entry level</v>
      </c>
      <c r="Q698" s="2">
        <v>3</v>
      </c>
    </row>
    <row r="699" spans="1:17" x14ac:dyDescent="0.3">
      <c r="A699" t="s">
        <v>1495</v>
      </c>
      <c r="B699" t="s">
        <v>1496</v>
      </c>
      <c r="C699" t="s">
        <v>118</v>
      </c>
      <c r="D699" s="2">
        <v>42</v>
      </c>
      <c r="E699" t="s">
        <v>133</v>
      </c>
      <c r="F699" t="s">
        <v>134</v>
      </c>
      <c r="G699" s="2" t="s">
        <v>93</v>
      </c>
      <c r="H699" s="2">
        <v>0</v>
      </c>
      <c r="I699" s="2" t="s">
        <v>2119</v>
      </c>
      <c r="J699" s="2">
        <v>3.9</v>
      </c>
      <c r="K699" s="2" t="s">
        <v>59</v>
      </c>
      <c r="L699" s="2">
        <v>0.62</v>
      </c>
      <c r="M699" s="2" t="s">
        <v>60</v>
      </c>
      <c r="N699" s="2" t="s">
        <v>34</v>
      </c>
      <c r="O699" s="2">
        <v>5</v>
      </c>
      <c r="P699" s="2" t="str">
        <f>IF(global_freelancer_raw[[#This Row],[No of projects ]]&lt;=5,"Entry level","Well Experienced")</f>
        <v>Entry level</v>
      </c>
      <c r="Q699" s="2">
        <v>2</v>
      </c>
    </row>
    <row r="700" spans="1:17" x14ac:dyDescent="0.3">
      <c r="A700" t="s">
        <v>1497</v>
      </c>
      <c r="B700" t="s">
        <v>1498</v>
      </c>
      <c r="C700" t="s">
        <v>97</v>
      </c>
      <c r="D700" s="2">
        <v>54</v>
      </c>
      <c r="E700" t="s">
        <v>73</v>
      </c>
      <c r="F700" t="s">
        <v>30</v>
      </c>
      <c r="G700" s="2" t="s">
        <v>135</v>
      </c>
      <c r="H700" s="2">
        <v>9</v>
      </c>
      <c r="I700" s="2" t="s">
        <v>22</v>
      </c>
      <c r="J700" s="2" t="s">
        <v>2120</v>
      </c>
      <c r="K700" s="2" t="s">
        <v>41</v>
      </c>
      <c r="L700" s="2">
        <v>0.72</v>
      </c>
      <c r="M700" s="2" t="s">
        <v>88</v>
      </c>
      <c r="N700" s="2" t="s">
        <v>25</v>
      </c>
      <c r="O700" s="2">
        <v>13</v>
      </c>
      <c r="P700" s="2" t="str">
        <f>IF(global_freelancer_raw[[#This Row],[No of projects ]]&lt;=5,"Entry level","Well Experienced")</f>
        <v>Well Experienced</v>
      </c>
      <c r="Q700" s="2">
        <v>10</v>
      </c>
    </row>
    <row r="701" spans="1:17" x14ac:dyDescent="0.3">
      <c r="A701" t="s">
        <v>1499</v>
      </c>
      <c r="B701" t="s">
        <v>1500</v>
      </c>
      <c r="C701" t="s">
        <v>118</v>
      </c>
      <c r="D701" s="2">
        <v>56</v>
      </c>
      <c r="E701" t="s">
        <v>197</v>
      </c>
      <c r="F701" t="s">
        <v>198</v>
      </c>
      <c r="G701" s="2" t="s">
        <v>93</v>
      </c>
      <c r="H701" s="2">
        <v>18</v>
      </c>
      <c r="I701" s="2" t="s">
        <v>119</v>
      </c>
      <c r="J701" s="2">
        <v>4.4000000000000004</v>
      </c>
      <c r="K701" s="2" t="s">
        <v>94</v>
      </c>
      <c r="L701" s="2">
        <v>0.83</v>
      </c>
      <c r="M701" s="2" t="s">
        <v>24</v>
      </c>
      <c r="N701" s="2" t="s">
        <v>34</v>
      </c>
      <c r="O701" s="2">
        <v>18</v>
      </c>
      <c r="P701" s="2" t="str">
        <f>IF(global_freelancer_raw[[#This Row],[No of projects ]]&lt;=5,"Entry level","Well Experienced")</f>
        <v>Well Experienced</v>
      </c>
      <c r="Q701" s="2">
        <v>10</v>
      </c>
    </row>
    <row r="702" spans="1:17" x14ac:dyDescent="0.3">
      <c r="A702" t="s">
        <v>1501</v>
      </c>
      <c r="B702" t="s">
        <v>1502</v>
      </c>
      <c r="C702" t="s">
        <v>97</v>
      </c>
      <c r="D702" s="2">
        <v>47</v>
      </c>
      <c r="E702" t="s">
        <v>79</v>
      </c>
      <c r="F702" t="s">
        <v>80</v>
      </c>
      <c r="G702" s="2" t="s">
        <v>39</v>
      </c>
      <c r="H702" s="2">
        <v>22</v>
      </c>
      <c r="I702" s="2" t="s">
        <v>22</v>
      </c>
      <c r="J702" s="2">
        <v>4.4000000000000004</v>
      </c>
      <c r="K702" s="2" t="s">
        <v>181</v>
      </c>
      <c r="L702" s="2">
        <v>0.7</v>
      </c>
      <c r="M702" s="2" t="s">
        <v>82</v>
      </c>
      <c r="N702" s="2" t="s">
        <v>42</v>
      </c>
      <c r="O702" s="2">
        <v>17</v>
      </c>
      <c r="P702" s="2" t="str">
        <f>IF(global_freelancer_raw[[#This Row],[No of projects ]]&lt;=5,"Entry level","Well Experienced")</f>
        <v>Well Experienced</v>
      </c>
      <c r="Q702" s="2">
        <v>16</v>
      </c>
    </row>
    <row r="703" spans="1:17" x14ac:dyDescent="0.3">
      <c r="A703" t="s">
        <v>1503</v>
      </c>
      <c r="B703" t="s">
        <v>1504</v>
      </c>
      <c r="C703" t="s">
        <v>118</v>
      </c>
      <c r="D703" s="2">
        <v>45</v>
      </c>
      <c r="E703" t="s">
        <v>145</v>
      </c>
      <c r="F703" t="s">
        <v>146</v>
      </c>
      <c r="G703" s="2" t="s">
        <v>21</v>
      </c>
      <c r="H703" s="2">
        <v>25</v>
      </c>
      <c r="I703" s="2" t="s">
        <v>40</v>
      </c>
      <c r="J703" s="2">
        <v>0</v>
      </c>
      <c r="K703" s="2" t="s">
        <v>181</v>
      </c>
      <c r="L703" s="2">
        <v>99</v>
      </c>
      <c r="M703" s="2" t="s">
        <v>24</v>
      </c>
      <c r="N703" s="2" t="s">
        <v>42</v>
      </c>
      <c r="O703" s="2">
        <v>17</v>
      </c>
      <c r="P703" s="2" t="str">
        <f>IF(global_freelancer_raw[[#This Row],[No of projects ]]&lt;=5,"Entry level","Well Experienced")</f>
        <v>Well Experienced</v>
      </c>
      <c r="Q703" s="2">
        <v>3</v>
      </c>
    </row>
    <row r="704" spans="1:17" x14ac:dyDescent="0.3">
      <c r="A704" t="s">
        <v>1505</v>
      </c>
      <c r="B704" t="s">
        <v>1506</v>
      </c>
      <c r="C704" t="s">
        <v>118</v>
      </c>
      <c r="D704" s="2">
        <v>45</v>
      </c>
      <c r="E704" t="s">
        <v>197</v>
      </c>
      <c r="F704" t="s">
        <v>198</v>
      </c>
      <c r="G704" s="2" t="s">
        <v>66</v>
      </c>
      <c r="H704" s="2">
        <v>6</v>
      </c>
      <c r="I704" s="2" t="s">
        <v>40</v>
      </c>
      <c r="J704" s="2">
        <v>1.4</v>
      </c>
      <c r="K704" s="2" t="s">
        <v>2120</v>
      </c>
      <c r="L704" s="2">
        <v>97</v>
      </c>
      <c r="M704" s="2" t="s">
        <v>24</v>
      </c>
      <c r="N704" s="2" t="s">
        <v>34</v>
      </c>
      <c r="O704" s="2">
        <v>6</v>
      </c>
      <c r="P704" s="2" t="str">
        <f>IF(global_freelancer_raw[[#This Row],[No of projects ]]&lt;=5,"Entry level","Well Experienced")</f>
        <v>Well Experienced</v>
      </c>
      <c r="Q704" s="2">
        <v>5</v>
      </c>
    </row>
    <row r="705" spans="1:17" x14ac:dyDescent="0.3">
      <c r="A705" t="s">
        <v>1507</v>
      </c>
      <c r="B705" t="s">
        <v>1508</v>
      </c>
      <c r="C705" t="s">
        <v>118</v>
      </c>
      <c r="D705" s="2">
        <v>35</v>
      </c>
      <c r="E705" t="s">
        <v>149</v>
      </c>
      <c r="F705" t="s">
        <v>30</v>
      </c>
      <c r="G705" s="2" t="s">
        <v>135</v>
      </c>
      <c r="H705" s="2">
        <v>10</v>
      </c>
      <c r="I705" s="2" t="s">
        <v>162</v>
      </c>
      <c r="J705" s="2">
        <v>3.2</v>
      </c>
      <c r="K705" s="2" t="s">
        <v>74</v>
      </c>
      <c r="L705" s="2">
        <v>0.77</v>
      </c>
      <c r="M705" s="2" t="s">
        <v>24</v>
      </c>
      <c r="N705" s="2" t="s">
        <v>34</v>
      </c>
      <c r="O705" s="2">
        <v>6</v>
      </c>
      <c r="P705" s="2" t="str">
        <f>IF(global_freelancer_raw[[#This Row],[No of projects ]]&lt;=5,"Entry level","Well Experienced")</f>
        <v>Well Experienced</v>
      </c>
      <c r="Q705" s="2">
        <v>10</v>
      </c>
    </row>
    <row r="706" spans="1:17" x14ac:dyDescent="0.3">
      <c r="A706" t="s">
        <v>1509</v>
      </c>
      <c r="B706" t="s">
        <v>1510</v>
      </c>
      <c r="C706" t="s">
        <v>118</v>
      </c>
      <c r="D706" s="2">
        <v>51</v>
      </c>
      <c r="E706" t="s">
        <v>149</v>
      </c>
      <c r="F706" t="s">
        <v>30</v>
      </c>
      <c r="G706" s="2" t="s">
        <v>110</v>
      </c>
      <c r="H706" s="2">
        <v>4</v>
      </c>
      <c r="I706" s="2" t="s">
        <v>119</v>
      </c>
      <c r="J706" s="2">
        <v>2</v>
      </c>
      <c r="K706" s="2" t="s">
        <v>181</v>
      </c>
      <c r="L706" s="2">
        <v>0.92</v>
      </c>
      <c r="M706" s="2" t="s">
        <v>60</v>
      </c>
      <c r="N706" s="2" t="s">
        <v>75</v>
      </c>
      <c r="O706" s="2">
        <v>2</v>
      </c>
      <c r="P706" s="2" t="str">
        <f>IF(global_freelancer_raw[[#This Row],[No of projects ]]&lt;=5,"Entry level","Well Experienced")</f>
        <v>Entry level</v>
      </c>
      <c r="Q706" s="2">
        <v>2</v>
      </c>
    </row>
    <row r="707" spans="1:17" x14ac:dyDescent="0.3">
      <c r="A707" t="s">
        <v>1511</v>
      </c>
      <c r="B707" t="s">
        <v>1512</v>
      </c>
      <c r="C707" t="s">
        <v>97</v>
      </c>
      <c r="D707" s="2">
        <v>34</v>
      </c>
      <c r="E707" t="s">
        <v>212</v>
      </c>
      <c r="F707" t="s">
        <v>92</v>
      </c>
      <c r="G707" s="2" t="s">
        <v>31</v>
      </c>
      <c r="H707" s="2">
        <v>11</v>
      </c>
      <c r="I707" s="2" t="s">
        <v>40</v>
      </c>
      <c r="J707" s="2">
        <v>3.3</v>
      </c>
      <c r="K707" s="2" t="s">
        <v>87</v>
      </c>
      <c r="L707" s="2">
        <v>0.76</v>
      </c>
      <c r="M707" s="2" t="s">
        <v>82</v>
      </c>
      <c r="N707" s="2" t="s">
        <v>34</v>
      </c>
      <c r="O707" s="2">
        <v>9</v>
      </c>
      <c r="P707" s="2" t="str">
        <f>IF(global_freelancer_raw[[#This Row],[No of projects ]]&lt;=5,"Entry level","Well Experienced")</f>
        <v>Well Experienced</v>
      </c>
      <c r="Q707" s="2">
        <v>4</v>
      </c>
    </row>
    <row r="708" spans="1:17" x14ac:dyDescent="0.3">
      <c r="A708" t="s">
        <v>1513</v>
      </c>
      <c r="B708" t="s">
        <v>1514</v>
      </c>
      <c r="C708" t="s">
        <v>97</v>
      </c>
      <c r="D708" s="2">
        <v>51</v>
      </c>
      <c r="E708" t="s">
        <v>64</v>
      </c>
      <c r="F708" t="s">
        <v>65</v>
      </c>
      <c r="G708" s="2" t="s">
        <v>39</v>
      </c>
      <c r="H708" s="2">
        <v>1</v>
      </c>
      <c r="I708" s="2" t="s">
        <v>81</v>
      </c>
      <c r="J708" s="2">
        <v>0</v>
      </c>
      <c r="K708" s="2" t="s">
        <v>94</v>
      </c>
      <c r="L708" s="2">
        <v>0.97</v>
      </c>
      <c r="M708" s="2" t="s">
        <v>82</v>
      </c>
      <c r="N708" s="2" t="s">
        <v>75</v>
      </c>
      <c r="O708" s="2">
        <v>1</v>
      </c>
      <c r="P708" s="2" t="str">
        <f>IF(global_freelancer_raw[[#This Row],[No of projects ]]&lt;=5,"Entry level","Well Experienced")</f>
        <v>Entry level</v>
      </c>
      <c r="Q708" s="2">
        <v>1</v>
      </c>
    </row>
    <row r="709" spans="1:17" x14ac:dyDescent="0.3">
      <c r="A709" t="s">
        <v>1515</v>
      </c>
      <c r="B709" t="s">
        <v>1516</v>
      </c>
      <c r="C709" t="s">
        <v>118</v>
      </c>
      <c r="D709" s="2">
        <v>58</v>
      </c>
      <c r="E709" t="s">
        <v>160</v>
      </c>
      <c r="F709" t="s">
        <v>161</v>
      </c>
      <c r="G709" s="2" t="s">
        <v>39</v>
      </c>
      <c r="H709" s="2">
        <v>35</v>
      </c>
      <c r="I709" s="2" t="s">
        <v>32</v>
      </c>
      <c r="J709" s="2">
        <v>2.2999999999999998</v>
      </c>
      <c r="K709" s="2" t="s">
        <v>94</v>
      </c>
      <c r="L709" s="2" t="s">
        <v>2120</v>
      </c>
      <c r="M709" s="2" t="s">
        <v>24</v>
      </c>
      <c r="N709" s="2" t="s">
        <v>42</v>
      </c>
      <c r="O709" s="2">
        <v>16</v>
      </c>
      <c r="P709" s="2" t="str">
        <f>IF(global_freelancer_raw[[#This Row],[No of projects ]]&lt;=5,"Entry level","Well Experienced")</f>
        <v>Well Experienced</v>
      </c>
      <c r="Q709" s="2">
        <v>5</v>
      </c>
    </row>
    <row r="710" spans="1:17" x14ac:dyDescent="0.3">
      <c r="A710" t="s">
        <v>1517</v>
      </c>
      <c r="B710" t="s">
        <v>1518</v>
      </c>
      <c r="C710" t="s">
        <v>97</v>
      </c>
      <c r="D710" s="2">
        <v>36</v>
      </c>
      <c r="E710" t="s">
        <v>55</v>
      </c>
      <c r="F710" t="s">
        <v>56</v>
      </c>
      <c r="G710" s="2" t="s">
        <v>46</v>
      </c>
      <c r="H710" s="2">
        <v>17</v>
      </c>
      <c r="I710" s="2" t="s">
        <v>142</v>
      </c>
      <c r="J710" s="2">
        <v>0</v>
      </c>
      <c r="K710" s="2" t="s">
        <v>33</v>
      </c>
      <c r="L710" s="2">
        <v>99</v>
      </c>
      <c r="M710" s="2" t="s">
        <v>60</v>
      </c>
      <c r="N710" s="2" t="s">
        <v>75</v>
      </c>
      <c r="O710" s="2">
        <v>12</v>
      </c>
      <c r="P710" s="2" t="str">
        <f>IF(global_freelancer_raw[[#This Row],[No of projects ]]&lt;=5,"Entry level","Well Experienced")</f>
        <v>Well Experienced</v>
      </c>
      <c r="Q710" s="2">
        <v>8</v>
      </c>
    </row>
    <row r="711" spans="1:17" x14ac:dyDescent="0.3">
      <c r="A711" t="s">
        <v>1519</v>
      </c>
      <c r="B711" t="s">
        <v>1520</v>
      </c>
      <c r="C711" t="s">
        <v>118</v>
      </c>
      <c r="D711" s="2" t="s">
        <v>2119</v>
      </c>
      <c r="E711" t="s">
        <v>145</v>
      </c>
      <c r="F711" t="s">
        <v>146</v>
      </c>
      <c r="G711" s="2" t="s">
        <v>57</v>
      </c>
      <c r="H711" s="2">
        <v>12</v>
      </c>
      <c r="I711" s="2" t="s">
        <v>52</v>
      </c>
      <c r="J711" s="2">
        <v>2.6</v>
      </c>
      <c r="K711" s="2" t="s">
        <v>94</v>
      </c>
      <c r="L711" s="2" t="s">
        <v>2120</v>
      </c>
      <c r="M711" s="2" t="s">
        <v>60</v>
      </c>
      <c r="N711" s="2" t="s">
        <v>34</v>
      </c>
      <c r="O711" s="2">
        <v>6</v>
      </c>
      <c r="P711" s="2" t="str">
        <f>IF(global_freelancer_raw[[#This Row],[No of projects ]]&lt;=5,"Entry level","Well Experienced")</f>
        <v>Well Experienced</v>
      </c>
      <c r="Q711" s="2">
        <v>10</v>
      </c>
    </row>
    <row r="712" spans="1:17" x14ac:dyDescent="0.3">
      <c r="A712" t="s">
        <v>1521</v>
      </c>
      <c r="B712" t="s">
        <v>1522</v>
      </c>
      <c r="C712" t="s">
        <v>118</v>
      </c>
      <c r="D712" s="2">
        <v>56</v>
      </c>
      <c r="E712" t="s">
        <v>175</v>
      </c>
      <c r="F712" t="s">
        <v>176</v>
      </c>
      <c r="G712" s="2" t="s">
        <v>135</v>
      </c>
      <c r="H712" s="2">
        <v>30</v>
      </c>
      <c r="I712" s="2" t="s">
        <v>86</v>
      </c>
      <c r="J712" s="2">
        <v>3.3</v>
      </c>
      <c r="K712" s="2" t="s">
        <v>87</v>
      </c>
      <c r="L712" s="2">
        <v>0.82</v>
      </c>
      <c r="M712" s="2" t="s">
        <v>82</v>
      </c>
      <c r="N712" s="2" t="s">
        <v>42</v>
      </c>
      <c r="O712" s="2">
        <v>12</v>
      </c>
      <c r="P712" s="2" t="str">
        <f>IF(global_freelancer_raw[[#This Row],[No of projects ]]&lt;=5,"Entry level","Well Experienced")</f>
        <v>Well Experienced</v>
      </c>
      <c r="Q712" s="2">
        <v>3</v>
      </c>
    </row>
    <row r="713" spans="1:17" x14ac:dyDescent="0.3">
      <c r="A713" t="s">
        <v>1523</v>
      </c>
      <c r="B713" t="s">
        <v>1524</v>
      </c>
      <c r="C713" t="s">
        <v>97</v>
      </c>
      <c r="D713" s="2">
        <v>58</v>
      </c>
      <c r="E713" t="s">
        <v>149</v>
      </c>
      <c r="F713" t="s">
        <v>30</v>
      </c>
      <c r="G713" s="2" t="s">
        <v>98</v>
      </c>
      <c r="H713" s="2">
        <v>20</v>
      </c>
      <c r="I713" s="2" t="s">
        <v>103</v>
      </c>
      <c r="J713" s="2">
        <v>3.6</v>
      </c>
      <c r="K713" s="2" t="s">
        <v>87</v>
      </c>
      <c r="L713" s="2">
        <v>0.78</v>
      </c>
      <c r="M713" s="2" t="s">
        <v>60</v>
      </c>
      <c r="N713" s="2" t="s">
        <v>25</v>
      </c>
      <c r="O713" s="2">
        <v>11</v>
      </c>
      <c r="P713" s="2" t="str">
        <f>IF(global_freelancer_raw[[#This Row],[No of projects ]]&lt;=5,"Entry level","Well Experienced")</f>
        <v>Well Experienced</v>
      </c>
      <c r="Q713" s="2">
        <v>13</v>
      </c>
    </row>
    <row r="714" spans="1:17" x14ac:dyDescent="0.3">
      <c r="A714" t="s">
        <v>1525</v>
      </c>
      <c r="B714" t="s">
        <v>1526</v>
      </c>
      <c r="C714" t="s">
        <v>97</v>
      </c>
      <c r="D714" s="2">
        <v>58</v>
      </c>
      <c r="E714" t="s">
        <v>73</v>
      </c>
      <c r="F714" t="s">
        <v>30</v>
      </c>
      <c r="G714" s="2" t="s">
        <v>98</v>
      </c>
      <c r="H714" s="2">
        <v>22</v>
      </c>
      <c r="I714" s="2" t="s">
        <v>22</v>
      </c>
      <c r="J714" s="2">
        <v>3.7</v>
      </c>
      <c r="K714" s="2" t="s">
        <v>23</v>
      </c>
      <c r="L714" s="2" t="s">
        <v>2120</v>
      </c>
      <c r="M714" s="2" t="s">
        <v>60</v>
      </c>
      <c r="N714" s="2" t="s">
        <v>75</v>
      </c>
      <c r="O714" s="2">
        <v>13</v>
      </c>
      <c r="P714" s="2" t="str">
        <f>IF(global_freelancer_raw[[#This Row],[No of projects ]]&lt;=5,"Entry level","Well Experienced")</f>
        <v>Well Experienced</v>
      </c>
      <c r="Q714" s="2">
        <v>8</v>
      </c>
    </row>
    <row r="715" spans="1:17" x14ac:dyDescent="0.3">
      <c r="A715" t="s">
        <v>1527</v>
      </c>
      <c r="B715" t="s">
        <v>1528</v>
      </c>
      <c r="C715" t="s">
        <v>97</v>
      </c>
      <c r="D715" s="2">
        <v>54</v>
      </c>
      <c r="E715" t="s">
        <v>85</v>
      </c>
      <c r="F715" t="s">
        <v>30</v>
      </c>
      <c r="G715" s="2" t="s">
        <v>57</v>
      </c>
      <c r="H715" s="2">
        <v>32</v>
      </c>
      <c r="I715" s="2" t="s">
        <v>142</v>
      </c>
      <c r="J715" s="2">
        <v>3.4</v>
      </c>
      <c r="K715" s="2" t="s">
        <v>181</v>
      </c>
      <c r="L715" s="2" t="s">
        <v>2120</v>
      </c>
      <c r="M715" s="2" t="s">
        <v>60</v>
      </c>
      <c r="N715" s="2" t="s">
        <v>42</v>
      </c>
      <c r="O715" s="2">
        <v>11</v>
      </c>
      <c r="P715" s="2" t="str">
        <f>IF(global_freelancer_raw[[#This Row],[No of projects ]]&lt;=5,"Entry level","Well Experienced")</f>
        <v>Well Experienced</v>
      </c>
      <c r="Q715" s="2">
        <v>15</v>
      </c>
    </row>
    <row r="716" spans="1:17" x14ac:dyDescent="0.3">
      <c r="A716" t="s">
        <v>1529</v>
      </c>
      <c r="B716" t="s">
        <v>1530</v>
      </c>
      <c r="C716" t="s">
        <v>118</v>
      </c>
      <c r="D716" s="2">
        <v>53</v>
      </c>
      <c r="E716" t="s">
        <v>29</v>
      </c>
      <c r="F716" t="s">
        <v>30</v>
      </c>
      <c r="G716" s="2" t="s">
        <v>93</v>
      </c>
      <c r="H716" s="2">
        <v>9</v>
      </c>
      <c r="I716" s="2" t="s">
        <v>40</v>
      </c>
      <c r="J716" s="2">
        <v>4</v>
      </c>
      <c r="K716" s="2" t="s">
        <v>94</v>
      </c>
      <c r="L716" s="2">
        <v>0.72</v>
      </c>
      <c r="M716" s="2" t="s">
        <v>88</v>
      </c>
      <c r="N716" s="2" t="s">
        <v>75</v>
      </c>
      <c r="O716" s="2">
        <v>14</v>
      </c>
      <c r="P716" s="2" t="str">
        <f>IF(global_freelancer_raw[[#This Row],[No of projects ]]&lt;=5,"Entry level","Well Experienced")</f>
        <v>Well Experienced</v>
      </c>
      <c r="Q716" s="2">
        <v>2</v>
      </c>
    </row>
    <row r="717" spans="1:17" x14ac:dyDescent="0.3">
      <c r="A717" t="s">
        <v>1531</v>
      </c>
      <c r="B717" t="s">
        <v>1532</v>
      </c>
      <c r="C717" t="s">
        <v>97</v>
      </c>
      <c r="D717" s="2">
        <v>43</v>
      </c>
      <c r="E717" t="s">
        <v>29</v>
      </c>
      <c r="F717" t="s">
        <v>30</v>
      </c>
      <c r="G717" s="2" t="s">
        <v>46</v>
      </c>
      <c r="H717" s="2">
        <v>22</v>
      </c>
      <c r="I717" s="2" t="s">
        <v>86</v>
      </c>
      <c r="J717" s="2">
        <v>4.5</v>
      </c>
      <c r="K717" s="2" t="s">
        <v>2120</v>
      </c>
      <c r="L717" s="2" t="s">
        <v>2120</v>
      </c>
      <c r="M717" s="2" t="s">
        <v>24</v>
      </c>
      <c r="N717" s="2" t="s">
        <v>42</v>
      </c>
      <c r="O717" s="2">
        <v>16</v>
      </c>
      <c r="P717" s="2" t="str">
        <f>IF(global_freelancer_raw[[#This Row],[No of projects ]]&lt;=5,"Entry level","Well Experienced")</f>
        <v>Well Experienced</v>
      </c>
      <c r="Q717" s="2">
        <v>6</v>
      </c>
    </row>
    <row r="718" spans="1:17" x14ac:dyDescent="0.3">
      <c r="A718" t="s">
        <v>1533</v>
      </c>
      <c r="B718" t="s">
        <v>1534</v>
      </c>
      <c r="C718" t="s">
        <v>118</v>
      </c>
      <c r="D718" s="2">
        <v>44</v>
      </c>
      <c r="E718" t="s">
        <v>133</v>
      </c>
      <c r="F718" t="s">
        <v>134</v>
      </c>
      <c r="G718" s="2" t="s">
        <v>135</v>
      </c>
      <c r="H718" s="2">
        <v>1</v>
      </c>
      <c r="I718" s="2" t="s">
        <v>103</v>
      </c>
      <c r="J718" s="2">
        <v>4.3</v>
      </c>
      <c r="K718" s="2" t="s">
        <v>33</v>
      </c>
      <c r="L718" s="2" t="s">
        <v>2120</v>
      </c>
      <c r="M718" s="2" t="s">
        <v>82</v>
      </c>
      <c r="N718" s="2" t="s">
        <v>42</v>
      </c>
      <c r="O718" s="2">
        <v>1</v>
      </c>
      <c r="P718" s="2" t="str">
        <f>IF(global_freelancer_raw[[#This Row],[No of projects ]]&lt;=5,"Entry level","Well Experienced")</f>
        <v>Entry level</v>
      </c>
      <c r="Q718" s="2">
        <v>1</v>
      </c>
    </row>
    <row r="719" spans="1:17" x14ac:dyDescent="0.3">
      <c r="A719" t="s">
        <v>1535</v>
      </c>
      <c r="B719" t="s">
        <v>1536</v>
      </c>
      <c r="C719" t="s">
        <v>118</v>
      </c>
      <c r="D719" s="2">
        <v>34</v>
      </c>
      <c r="E719" t="s">
        <v>149</v>
      </c>
      <c r="F719" t="s">
        <v>30</v>
      </c>
      <c r="G719" s="2" t="s">
        <v>98</v>
      </c>
      <c r="H719" s="2">
        <v>4</v>
      </c>
      <c r="I719" s="2" t="s">
        <v>103</v>
      </c>
      <c r="J719" s="2">
        <v>4</v>
      </c>
      <c r="K719" s="2" t="s">
        <v>33</v>
      </c>
      <c r="L719" s="2" t="s">
        <v>2120</v>
      </c>
      <c r="M719" s="2" t="s">
        <v>82</v>
      </c>
      <c r="N719" s="2" t="s">
        <v>75</v>
      </c>
      <c r="O719" s="2">
        <v>3</v>
      </c>
      <c r="P719" s="2" t="str">
        <f>IF(global_freelancer_raw[[#This Row],[No of projects ]]&lt;=5,"Entry level","Well Experienced")</f>
        <v>Entry level</v>
      </c>
      <c r="Q719" s="2">
        <v>2</v>
      </c>
    </row>
    <row r="720" spans="1:17" x14ac:dyDescent="0.3">
      <c r="A720" t="s">
        <v>1537</v>
      </c>
      <c r="B720" t="s">
        <v>1538</v>
      </c>
      <c r="C720" t="s">
        <v>97</v>
      </c>
      <c r="D720" s="2">
        <v>27</v>
      </c>
      <c r="E720" t="s">
        <v>128</v>
      </c>
      <c r="F720" t="s">
        <v>129</v>
      </c>
      <c r="G720" s="2" t="s">
        <v>31</v>
      </c>
      <c r="H720" s="2">
        <v>8</v>
      </c>
      <c r="I720" s="2" t="s">
        <v>81</v>
      </c>
      <c r="J720" s="2">
        <v>1.6</v>
      </c>
      <c r="K720" s="2" t="s">
        <v>87</v>
      </c>
      <c r="L720" s="2" t="s">
        <v>2120</v>
      </c>
      <c r="M720" s="2" t="s">
        <v>88</v>
      </c>
      <c r="N720" s="2" t="s">
        <v>25</v>
      </c>
      <c r="O720" s="2">
        <v>15</v>
      </c>
      <c r="P720" s="2" t="str">
        <f>IF(global_freelancer_raw[[#This Row],[No of projects ]]&lt;=5,"Entry level","Well Experienced")</f>
        <v>Well Experienced</v>
      </c>
      <c r="Q720" s="2">
        <v>5</v>
      </c>
    </row>
    <row r="721" spans="1:17" x14ac:dyDescent="0.3">
      <c r="A721" t="s">
        <v>1539</v>
      </c>
      <c r="B721" t="s">
        <v>1540</v>
      </c>
      <c r="C721" t="s">
        <v>118</v>
      </c>
      <c r="D721" s="2">
        <v>50</v>
      </c>
      <c r="E721" t="s">
        <v>106</v>
      </c>
      <c r="F721" t="s">
        <v>107</v>
      </c>
      <c r="G721" s="2" t="s">
        <v>66</v>
      </c>
      <c r="H721" s="2">
        <v>3</v>
      </c>
      <c r="I721" s="2" t="s">
        <v>22</v>
      </c>
      <c r="J721" s="2">
        <v>0</v>
      </c>
      <c r="K721" s="2" t="s">
        <v>94</v>
      </c>
      <c r="L721" s="2" t="s">
        <v>2120</v>
      </c>
      <c r="M721" s="2" t="s">
        <v>24</v>
      </c>
      <c r="N721" s="2" t="s">
        <v>42</v>
      </c>
      <c r="O721" s="2">
        <v>2</v>
      </c>
      <c r="P721" s="2" t="str">
        <f>IF(global_freelancer_raw[[#This Row],[No of projects ]]&lt;=5,"Entry level","Well Experienced")</f>
        <v>Entry level</v>
      </c>
      <c r="Q721" s="2">
        <v>2</v>
      </c>
    </row>
    <row r="722" spans="1:17" x14ac:dyDescent="0.3">
      <c r="A722" t="s">
        <v>1541</v>
      </c>
      <c r="B722" t="s">
        <v>1542</v>
      </c>
      <c r="C722" t="s">
        <v>97</v>
      </c>
      <c r="D722" s="2">
        <v>52</v>
      </c>
      <c r="E722" t="s">
        <v>133</v>
      </c>
      <c r="F722" t="s">
        <v>134</v>
      </c>
      <c r="G722" s="2" t="s">
        <v>93</v>
      </c>
      <c r="H722" s="2">
        <v>30</v>
      </c>
      <c r="I722" s="2" t="s">
        <v>103</v>
      </c>
      <c r="J722" s="2" t="s">
        <v>2120</v>
      </c>
      <c r="K722" s="2" t="s">
        <v>181</v>
      </c>
      <c r="L722" s="2">
        <v>0.94</v>
      </c>
      <c r="M722" s="2" t="s">
        <v>82</v>
      </c>
      <c r="N722" s="2" t="s">
        <v>42</v>
      </c>
      <c r="O722" s="2">
        <v>10</v>
      </c>
      <c r="P722" s="2" t="str">
        <f>IF(global_freelancer_raw[[#This Row],[No of projects ]]&lt;=5,"Entry level","Well Experienced")</f>
        <v>Well Experienced</v>
      </c>
      <c r="Q722" s="2">
        <v>6</v>
      </c>
    </row>
    <row r="723" spans="1:17" x14ac:dyDescent="0.3">
      <c r="A723" t="s">
        <v>1543</v>
      </c>
      <c r="B723" t="s">
        <v>1544</v>
      </c>
      <c r="C723" t="s">
        <v>118</v>
      </c>
      <c r="D723" s="2">
        <v>57</v>
      </c>
      <c r="E723" t="s">
        <v>212</v>
      </c>
      <c r="F723" t="s">
        <v>92</v>
      </c>
      <c r="G723" s="2" t="s">
        <v>21</v>
      </c>
      <c r="H723" s="2">
        <v>11</v>
      </c>
      <c r="I723" s="2" t="s">
        <v>336</v>
      </c>
      <c r="J723" s="2">
        <v>4.9000000000000004</v>
      </c>
      <c r="K723" s="2" t="s">
        <v>94</v>
      </c>
      <c r="L723" s="2" t="s">
        <v>2120</v>
      </c>
      <c r="M723" s="2" t="s">
        <v>60</v>
      </c>
      <c r="N723" s="2" t="s">
        <v>42</v>
      </c>
      <c r="O723" s="2">
        <v>11</v>
      </c>
      <c r="P723" s="2" t="str">
        <f>IF(global_freelancer_raw[[#This Row],[No of projects ]]&lt;=5,"Entry level","Well Experienced")</f>
        <v>Well Experienced</v>
      </c>
      <c r="Q723" s="2">
        <v>4</v>
      </c>
    </row>
    <row r="724" spans="1:17" x14ac:dyDescent="0.3">
      <c r="A724" t="s">
        <v>1545</v>
      </c>
      <c r="B724" t="s">
        <v>1546</v>
      </c>
      <c r="C724" t="s">
        <v>97</v>
      </c>
      <c r="D724" s="2">
        <v>53</v>
      </c>
      <c r="E724" t="s">
        <v>201</v>
      </c>
      <c r="F724" t="s">
        <v>92</v>
      </c>
      <c r="G724" s="2" t="s">
        <v>110</v>
      </c>
      <c r="H724" s="2">
        <v>8</v>
      </c>
      <c r="I724" s="2" t="s">
        <v>162</v>
      </c>
      <c r="J724" s="2">
        <v>2.8</v>
      </c>
      <c r="K724" s="2" t="s">
        <v>74</v>
      </c>
      <c r="L724" s="2" t="s">
        <v>2120</v>
      </c>
      <c r="M724" s="2" t="s">
        <v>82</v>
      </c>
      <c r="N724" s="2" t="s">
        <v>25</v>
      </c>
      <c r="O724" s="2">
        <v>9</v>
      </c>
      <c r="P724" s="2" t="str">
        <f>IF(global_freelancer_raw[[#This Row],[No of projects ]]&lt;=5,"Entry level","Well Experienced")</f>
        <v>Well Experienced</v>
      </c>
      <c r="Q724" s="2">
        <v>2</v>
      </c>
    </row>
    <row r="725" spans="1:17" x14ac:dyDescent="0.3">
      <c r="A725" t="s">
        <v>1547</v>
      </c>
      <c r="B725" t="s">
        <v>1548</v>
      </c>
      <c r="C725" t="s">
        <v>118</v>
      </c>
      <c r="D725" s="2">
        <v>51</v>
      </c>
      <c r="E725" t="s">
        <v>79</v>
      </c>
      <c r="F725" t="s">
        <v>80</v>
      </c>
      <c r="G725" s="2" t="s">
        <v>93</v>
      </c>
      <c r="H725" s="2">
        <v>11</v>
      </c>
      <c r="I725" s="2" t="s">
        <v>130</v>
      </c>
      <c r="J725" s="2">
        <v>3.6</v>
      </c>
      <c r="K725" s="2" t="s">
        <v>94</v>
      </c>
      <c r="L725" s="2">
        <v>0.77</v>
      </c>
      <c r="M725" s="2" t="s">
        <v>60</v>
      </c>
      <c r="N725" s="2" t="s">
        <v>25</v>
      </c>
      <c r="O725" s="2">
        <v>7</v>
      </c>
      <c r="P725" s="2" t="str">
        <f>IF(global_freelancer_raw[[#This Row],[No of projects ]]&lt;=5,"Entry level","Well Experienced")</f>
        <v>Well Experienced</v>
      </c>
      <c r="Q725" s="2">
        <v>3</v>
      </c>
    </row>
    <row r="726" spans="1:17" x14ac:dyDescent="0.3">
      <c r="A726" t="s">
        <v>1549</v>
      </c>
      <c r="B726" t="s">
        <v>1550</v>
      </c>
      <c r="C726" t="s">
        <v>97</v>
      </c>
      <c r="D726" s="2">
        <v>37</v>
      </c>
      <c r="E726" t="s">
        <v>149</v>
      </c>
      <c r="F726" t="s">
        <v>30</v>
      </c>
      <c r="G726" s="2" t="s">
        <v>98</v>
      </c>
      <c r="H726" s="2">
        <v>9</v>
      </c>
      <c r="I726" s="2" t="s">
        <v>81</v>
      </c>
      <c r="J726" s="2" t="s">
        <v>2120</v>
      </c>
      <c r="K726" s="2" t="s">
        <v>87</v>
      </c>
      <c r="L726" s="2">
        <v>84</v>
      </c>
      <c r="M726" s="2" t="s">
        <v>88</v>
      </c>
      <c r="N726" s="2" t="s">
        <v>34</v>
      </c>
      <c r="O726" s="2">
        <v>7</v>
      </c>
      <c r="P726" s="2" t="str">
        <f>IF(global_freelancer_raw[[#This Row],[No of projects ]]&lt;=5,"Entry level","Well Experienced")</f>
        <v>Well Experienced</v>
      </c>
      <c r="Q726" s="2">
        <v>6</v>
      </c>
    </row>
    <row r="727" spans="1:17" x14ac:dyDescent="0.3">
      <c r="A727" t="s">
        <v>1551</v>
      </c>
      <c r="B727" t="s">
        <v>1552</v>
      </c>
      <c r="C727" t="s">
        <v>118</v>
      </c>
      <c r="D727" s="2">
        <v>40</v>
      </c>
      <c r="E727" t="s">
        <v>212</v>
      </c>
      <c r="F727" t="s">
        <v>92</v>
      </c>
      <c r="G727" s="2" t="s">
        <v>46</v>
      </c>
      <c r="H727" s="2">
        <v>7</v>
      </c>
      <c r="I727" s="2" t="s">
        <v>86</v>
      </c>
      <c r="J727" s="2">
        <v>4.5</v>
      </c>
      <c r="K727" s="2" t="s">
        <v>2120</v>
      </c>
      <c r="L727" s="2">
        <v>79</v>
      </c>
      <c r="M727" s="2" t="s">
        <v>60</v>
      </c>
      <c r="N727" s="2" t="s">
        <v>75</v>
      </c>
      <c r="O727" s="2">
        <v>15</v>
      </c>
      <c r="P727" s="2" t="str">
        <f>IF(global_freelancer_raw[[#This Row],[No of projects ]]&lt;=5,"Entry level","Well Experienced")</f>
        <v>Well Experienced</v>
      </c>
      <c r="Q727" s="2">
        <v>6</v>
      </c>
    </row>
    <row r="728" spans="1:17" x14ac:dyDescent="0.3">
      <c r="A728" t="s">
        <v>1553</v>
      </c>
      <c r="B728" t="s">
        <v>1554</v>
      </c>
      <c r="C728" t="s">
        <v>118</v>
      </c>
      <c r="D728" s="2">
        <v>60</v>
      </c>
      <c r="E728" t="s">
        <v>106</v>
      </c>
      <c r="F728" t="s">
        <v>107</v>
      </c>
      <c r="G728" s="2" t="s">
        <v>66</v>
      </c>
      <c r="H728" s="2">
        <v>24</v>
      </c>
      <c r="I728" s="2" t="s">
        <v>70</v>
      </c>
      <c r="J728" s="2">
        <v>3.1</v>
      </c>
      <c r="K728" s="2" t="s">
        <v>23</v>
      </c>
      <c r="L728" s="2">
        <v>0.69</v>
      </c>
      <c r="M728" s="2" t="s">
        <v>82</v>
      </c>
      <c r="N728" s="2" t="s">
        <v>25</v>
      </c>
      <c r="O728" s="2">
        <v>18</v>
      </c>
      <c r="P728" s="2" t="str">
        <f>IF(global_freelancer_raw[[#This Row],[No of projects ]]&lt;=5,"Entry level","Well Experienced")</f>
        <v>Well Experienced</v>
      </c>
      <c r="Q728" s="2">
        <v>12</v>
      </c>
    </row>
    <row r="729" spans="1:17" x14ac:dyDescent="0.3">
      <c r="A729" t="s">
        <v>1555</v>
      </c>
      <c r="B729" t="s">
        <v>1556</v>
      </c>
      <c r="C729" t="s">
        <v>118</v>
      </c>
      <c r="D729" s="2">
        <v>60</v>
      </c>
      <c r="E729" t="s">
        <v>156</v>
      </c>
      <c r="F729" t="s">
        <v>157</v>
      </c>
      <c r="G729" s="2" t="s">
        <v>93</v>
      </c>
      <c r="H729" s="2">
        <v>0</v>
      </c>
      <c r="I729" s="2" t="s">
        <v>86</v>
      </c>
      <c r="J729" s="2">
        <v>4.9000000000000004</v>
      </c>
      <c r="K729" s="2" t="s">
        <v>94</v>
      </c>
      <c r="L729" s="2">
        <v>0.68</v>
      </c>
      <c r="M729" s="2" t="s">
        <v>82</v>
      </c>
      <c r="N729" s="2" t="s">
        <v>75</v>
      </c>
      <c r="O729" s="2">
        <v>5</v>
      </c>
      <c r="P729" s="2" t="str">
        <f>IF(global_freelancer_raw[[#This Row],[No of projects ]]&lt;=5,"Entry level","Well Experienced")</f>
        <v>Entry level</v>
      </c>
      <c r="Q729" s="2">
        <v>1</v>
      </c>
    </row>
    <row r="730" spans="1:17" x14ac:dyDescent="0.3">
      <c r="A730" t="s">
        <v>1557</v>
      </c>
      <c r="B730" t="s">
        <v>1558</v>
      </c>
      <c r="C730" t="s">
        <v>97</v>
      </c>
      <c r="D730" s="2">
        <v>53</v>
      </c>
      <c r="E730" t="s">
        <v>133</v>
      </c>
      <c r="F730" t="s">
        <v>134</v>
      </c>
      <c r="G730" s="2" t="s">
        <v>93</v>
      </c>
      <c r="H730" s="2">
        <v>21</v>
      </c>
      <c r="I730" s="2" t="s">
        <v>58</v>
      </c>
      <c r="J730" s="2">
        <v>4.2</v>
      </c>
      <c r="K730" s="2" t="s">
        <v>33</v>
      </c>
      <c r="L730" s="2">
        <v>73</v>
      </c>
      <c r="M730" s="2" t="s">
        <v>82</v>
      </c>
      <c r="N730" s="2" t="s">
        <v>34</v>
      </c>
      <c r="O730" s="2">
        <v>10</v>
      </c>
      <c r="P730" s="2" t="str">
        <f>IF(global_freelancer_raw[[#This Row],[No of projects ]]&lt;=5,"Entry level","Well Experienced")</f>
        <v>Well Experienced</v>
      </c>
      <c r="Q730" s="2">
        <v>9</v>
      </c>
    </row>
    <row r="731" spans="1:17" x14ac:dyDescent="0.3">
      <c r="A731" t="s">
        <v>1559</v>
      </c>
      <c r="B731" t="s">
        <v>1560</v>
      </c>
      <c r="C731" t="s">
        <v>97</v>
      </c>
      <c r="D731" s="2">
        <v>20</v>
      </c>
      <c r="E731" t="s">
        <v>201</v>
      </c>
      <c r="F731" t="s">
        <v>92</v>
      </c>
      <c r="G731" s="2" t="s">
        <v>21</v>
      </c>
      <c r="H731" s="2">
        <v>0</v>
      </c>
      <c r="I731" s="2" t="s">
        <v>103</v>
      </c>
      <c r="J731" s="2">
        <v>3.2</v>
      </c>
      <c r="K731" s="2" t="s">
        <v>33</v>
      </c>
      <c r="L731" s="2">
        <v>0.74</v>
      </c>
      <c r="M731" s="2" t="s">
        <v>88</v>
      </c>
      <c r="N731" s="2" t="s">
        <v>75</v>
      </c>
      <c r="O731" s="2">
        <v>2</v>
      </c>
      <c r="P731" s="2" t="str">
        <f>IF(global_freelancer_raw[[#This Row],[No of projects ]]&lt;=5,"Entry level","Well Experienced")</f>
        <v>Entry level</v>
      </c>
      <c r="Q731" s="2">
        <v>2</v>
      </c>
    </row>
    <row r="732" spans="1:17" x14ac:dyDescent="0.3">
      <c r="A732" t="s">
        <v>1561</v>
      </c>
      <c r="B732" t="s">
        <v>1562</v>
      </c>
      <c r="C732" t="s">
        <v>118</v>
      </c>
      <c r="D732" s="2">
        <v>42</v>
      </c>
      <c r="E732" t="s">
        <v>145</v>
      </c>
      <c r="F732" t="s">
        <v>146</v>
      </c>
      <c r="G732" s="2" t="s">
        <v>46</v>
      </c>
      <c r="H732" s="2">
        <v>7</v>
      </c>
      <c r="I732" s="2" t="s">
        <v>336</v>
      </c>
      <c r="J732" s="2" t="s">
        <v>2120</v>
      </c>
      <c r="K732" s="2" t="s">
        <v>59</v>
      </c>
      <c r="L732" s="2">
        <v>1</v>
      </c>
      <c r="M732" s="2" t="s">
        <v>88</v>
      </c>
      <c r="N732" s="2" t="s">
        <v>25</v>
      </c>
      <c r="O732" s="2">
        <v>15</v>
      </c>
      <c r="P732" s="2" t="str">
        <f>IF(global_freelancer_raw[[#This Row],[No of projects ]]&lt;=5,"Entry level","Well Experienced")</f>
        <v>Well Experienced</v>
      </c>
      <c r="Q732" s="2">
        <v>14</v>
      </c>
    </row>
    <row r="733" spans="1:17" x14ac:dyDescent="0.3">
      <c r="A733" t="s">
        <v>1563</v>
      </c>
      <c r="B733" t="s">
        <v>1564</v>
      </c>
      <c r="C733" t="s">
        <v>118</v>
      </c>
      <c r="D733" s="2">
        <v>21</v>
      </c>
      <c r="E733" t="s">
        <v>85</v>
      </c>
      <c r="F733" t="s">
        <v>30</v>
      </c>
      <c r="G733" s="2" t="s">
        <v>31</v>
      </c>
      <c r="H733" s="2">
        <v>3</v>
      </c>
      <c r="I733" s="2" t="s">
        <v>86</v>
      </c>
      <c r="J733" s="2">
        <v>0</v>
      </c>
      <c r="K733" s="2" t="s">
        <v>23</v>
      </c>
      <c r="L733" s="2">
        <v>0.87</v>
      </c>
      <c r="M733" s="2" t="s">
        <v>24</v>
      </c>
      <c r="N733" s="2" t="s">
        <v>75</v>
      </c>
      <c r="O733" s="2">
        <v>1</v>
      </c>
      <c r="P733" s="2" t="str">
        <f>IF(global_freelancer_raw[[#This Row],[No of projects ]]&lt;=5,"Entry level","Well Experienced")</f>
        <v>Entry level</v>
      </c>
      <c r="Q733" s="2">
        <v>1</v>
      </c>
    </row>
    <row r="734" spans="1:17" x14ac:dyDescent="0.3">
      <c r="A734" t="s">
        <v>1565</v>
      </c>
      <c r="B734" t="s">
        <v>1566</v>
      </c>
      <c r="C734" t="s">
        <v>118</v>
      </c>
      <c r="D734" s="2">
        <v>39</v>
      </c>
      <c r="E734" t="s">
        <v>38</v>
      </c>
      <c r="F734" t="s">
        <v>38</v>
      </c>
      <c r="G734" s="2" t="s">
        <v>46</v>
      </c>
      <c r="H734" s="2">
        <v>21</v>
      </c>
      <c r="I734" s="2" t="s">
        <v>22</v>
      </c>
      <c r="J734" s="2">
        <v>2.2000000000000002</v>
      </c>
      <c r="K734" s="2" t="s">
        <v>23</v>
      </c>
      <c r="L734" s="2">
        <v>0.79</v>
      </c>
      <c r="M734" s="2" t="s">
        <v>82</v>
      </c>
      <c r="N734" s="2" t="s">
        <v>25</v>
      </c>
      <c r="O734" s="2">
        <v>12</v>
      </c>
      <c r="P734" s="2" t="str">
        <f>IF(global_freelancer_raw[[#This Row],[No of projects ]]&lt;=5,"Entry level","Well Experienced")</f>
        <v>Well Experienced</v>
      </c>
      <c r="Q734" s="2">
        <v>13</v>
      </c>
    </row>
    <row r="735" spans="1:17" x14ac:dyDescent="0.3">
      <c r="A735" t="s">
        <v>1567</v>
      </c>
      <c r="B735" t="s">
        <v>1568</v>
      </c>
      <c r="C735" t="s">
        <v>118</v>
      </c>
      <c r="D735" s="2">
        <v>32</v>
      </c>
      <c r="E735" t="s">
        <v>114</v>
      </c>
      <c r="F735" t="s">
        <v>115</v>
      </c>
      <c r="G735" s="2" t="s">
        <v>21</v>
      </c>
      <c r="H735" s="2" t="s">
        <v>2120</v>
      </c>
      <c r="I735" s="2" t="s">
        <v>52</v>
      </c>
      <c r="J735" s="2">
        <v>1.5</v>
      </c>
      <c r="K735" s="2" t="s">
        <v>23</v>
      </c>
      <c r="L735" s="2">
        <v>0.68</v>
      </c>
      <c r="M735" s="2" t="s">
        <v>60</v>
      </c>
      <c r="N735" s="2" t="s">
        <v>75</v>
      </c>
      <c r="O735" s="2">
        <v>4</v>
      </c>
      <c r="P735" s="2" t="str">
        <f>IF(global_freelancer_raw[[#This Row],[No of projects ]]&lt;=5,"Entry level","Well Experienced")</f>
        <v>Entry level</v>
      </c>
      <c r="Q735" s="2">
        <v>1</v>
      </c>
    </row>
    <row r="736" spans="1:17" x14ac:dyDescent="0.3">
      <c r="A736" t="s">
        <v>1569</v>
      </c>
      <c r="B736" t="s">
        <v>1570</v>
      </c>
      <c r="C736" t="s">
        <v>118</v>
      </c>
      <c r="D736" s="2">
        <v>35</v>
      </c>
      <c r="E736" t="s">
        <v>38</v>
      </c>
      <c r="F736" t="s">
        <v>38</v>
      </c>
      <c r="G736" s="2" t="s">
        <v>66</v>
      </c>
      <c r="H736" s="2" t="s">
        <v>2120</v>
      </c>
      <c r="I736" s="2" t="s">
        <v>32</v>
      </c>
      <c r="J736" s="2" t="s">
        <v>2120</v>
      </c>
      <c r="K736" s="2" t="s">
        <v>23</v>
      </c>
      <c r="L736" s="2">
        <v>0.84</v>
      </c>
      <c r="M736" s="2" t="s">
        <v>88</v>
      </c>
      <c r="N736" s="2" t="s">
        <v>25</v>
      </c>
      <c r="O736" s="2">
        <v>1</v>
      </c>
      <c r="P736" s="2" t="str">
        <f>IF(global_freelancer_raw[[#This Row],[No of projects ]]&lt;=5,"Entry level","Well Experienced")</f>
        <v>Entry level</v>
      </c>
      <c r="Q736" s="2">
        <v>2</v>
      </c>
    </row>
    <row r="737" spans="1:17" x14ac:dyDescent="0.3">
      <c r="A737" t="s">
        <v>1571</v>
      </c>
      <c r="B737" t="s">
        <v>1572</v>
      </c>
      <c r="C737" t="s">
        <v>97</v>
      </c>
      <c r="D737" s="2">
        <v>35</v>
      </c>
      <c r="E737" t="s">
        <v>156</v>
      </c>
      <c r="F737" t="s">
        <v>157</v>
      </c>
      <c r="G737" s="2" t="s">
        <v>93</v>
      </c>
      <c r="H737" s="2">
        <v>17</v>
      </c>
      <c r="I737" s="2" t="s">
        <v>40</v>
      </c>
      <c r="J737" s="2">
        <v>3.1</v>
      </c>
      <c r="K737" s="2" t="s">
        <v>23</v>
      </c>
      <c r="L737" s="2">
        <v>0.71</v>
      </c>
      <c r="M737" s="2" t="s">
        <v>82</v>
      </c>
      <c r="N737" s="2" t="s">
        <v>25</v>
      </c>
      <c r="O737" s="2">
        <v>10</v>
      </c>
      <c r="P737" s="2" t="str">
        <f>IF(global_freelancer_raw[[#This Row],[No of projects ]]&lt;=5,"Entry level","Well Experienced")</f>
        <v>Well Experienced</v>
      </c>
      <c r="Q737" s="2">
        <v>2</v>
      </c>
    </row>
    <row r="738" spans="1:17" x14ac:dyDescent="0.3">
      <c r="A738" t="s">
        <v>1573</v>
      </c>
      <c r="B738" t="s">
        <v>1574</v>
      </c>
      <c r="C738" t="s">
        <v>97</v>
      </c>
      <c r="D738" s="2">
        <v>23</v>
      </c>
      <c r="E738" t="s">
        <v>91</v>
      </c>
      <c r="F738" t="s">
        <v>92</v>
      </c>
      <c r="G738" s="2" t="s">
        <v>93</v>
      </c>
      <c r="H738" s="2">
        <v>0</v>
      </c>
      <c r="I738" s="2" t="s">
        <v>103</v>
      </c>
      <c r="J738" s="2">
        <v>0</v>
      </c>
      <c r="K738" s="2" t="s">
        <v>181</v>
      </c>
      <c r="L738" s="2">
        <v>0.92</v>
      </c>
      <c r="M738" s="2" t="s">
        <v>82</v>
      </c>
      <c r="N738" s="2" t="s">
        <v>75</v>
      </c>
      <c r="O738" s="2">
        <v>1</v>
      </c>
      <c r="P738" s="2" t="str">
        <f>IF(global_freelancer_raw[[#This Row],[No of projects ]]&lt;=5,"Entry level","Well Experienced")</f>
        <v>Entry level</v>
      </c>
      <c r="Q738" s="2">
        <v>2</v>
      </c>
    </row>
    <row r="739" spans="1:17" x14ac:dyDescent="0.3">
      <c r="A739" t="s">
        <v>1575</v>
      </c>
      <c r="B739" t="s">
        <v>1576</v>
      </c>
      <c r="C739" t="s">
        <v>118</v>
      </c>
      <c r="D739" s="2">
        <v>26</v>
      </c>
      <c r="E739" t="s">
        <v>55</v>
      </c>
      <c r="F739" t="s">
        <v>56</v>
      </c>
      <c r="G739" s="2" t="s">
        <v>57</v>
      </c>
      <c r="H739" s="2">
        <v>6</v>
      </c>
      <c r="I739" s="2" t="s">
        <v>32</v>
      </c>
      <c r="J739" s="2" t="s">
        <v>2120</v>
      </c>
      <c r="K739" s="2" t="s">
        <v>181</v>
      </c>
      <c r="L739" s="2">
        <v>0.69</v>
      </c>
      <c r="M739" s="2" t="s">
        <v>88</v>
      </c>
      <c r="N739" s="2" t="s">
        <v>34</v>
      </c>
      <c r="O739" s="2">
        <v>8</v>
      </c>
      <c r="P739" s="2" t="str">
        <f>IF(global_freelancer_raw[[#This Row],[No of projects ]]&lt;=5,"Entry level","Well Experienced")</f>
        <v>Well Experienced</v>
      </c>
      <c r="Q739" s="2">
        <v>9</v>
      </c>
    </row>
    <row r="740" spans="1:17" x14ac:dyDescent="0.3">
      <c r="A740" t="s">
        <v>1577</v>
      </c>
      <c r="B740" t="s">
        <v>1578</v>
      </c>
      <c r="C740" t="s">
        <v>97</v>
      </c>
      <c r="D740" s="2">
        <v>34</v>
      </c>
      <c r="E740" t="s">
        <v>149</v>
      </c>
      <c r="F740" t="s">
        <v>30</v>
      </c>
      <c r="G740" s="2" t="s">
        <v>135</v>
      </c>
      <c r="H740" s="2">
        <v>3</v>
      </c>
      <c r="I740" s="2" t="s">
        <v>2119</v>
      </c>
      <c r="J740" s="2">
        <v>0</v>
      </c>
      <c r="K740" s="2" t="s">
        <v>33</v>
      </c>
      <c r="L740" s="2">
        <v>0.71</v>
      </c>
      <c r="M740" s="2" t="s">
        <v>24</v>
      </c>
      <c r="N740" s="2" t="s">
        <v>42</v>
      </c>
      <c r="O740" s="2">
        <v>2</v>
      </c>
      <c r="P740" s="2" t="str">
        <f>IF(global_freelancer_raw[[#This Row],[No of projects ]]&lt;=5,"Entry level","Well Experienced")</f>
        <v>Entry level</v>
      </c>
      <c r="Q740" s="2">
        <v>1</v>
      </c>
    </row>
    <row r="741" spans="1:17" x14ac:dyDescent="0.3">
      <c r="A741" t="s">
        <v>1579</v>
      </c>
      <c r="B741" t="s">
        <v>1580</v>
      </c>
      <c r="C741" t="s">
        <v>97</v>
      </c>
      <c r="D741" s="2">
        <v>34</v>
      </c>
      <c r="E741" t="s">
        <v>38</v>
      </c>
      <c r="F741" t="s">
        <v>38</v>
      </c>
      <c r="G741" s="2" t="s">
        <v>21</v>
      </c>
      <c r="H741" s="2">
        <v>3</v>
      </c>
      <c r="I741" s="2" t="s">
        <v>2119</v>
      </c>
      <c r="J741" s="2" t="s">
        <v>2120</v>
      </c>
      <c r="K741" s="2" t="s">
        <v>59</v>
      </c>
      <c r="L741" s="2">
        <v>0.77</v>
      </c>
      <c r="M741" s="2" t="s">
        <v>88</v>
      </c>
      <c r="N741" s="2" t="s">
        <v>34</v>
      </c>
      <c r="O741" s="2">
        <v>2</v>
      </c>
      <c r="P741" s="2" t="str">
        <f>IF(global_freelancer_raw[[#This Row],[No of projects ]]&lt;=5,"Entry level","Well Experienced")</f>
        <v>Entry level</v>
      </c>
      <c r="Q741" s="2">
        <v>1</v>
      </c>
    </row>
    <row r="742" spans="1:17" x14ac:dyDescent="0.3">
      <c r="A742" t="s">
        <v>1581</v>
      </c>
      <c r="B742" t="s">
        <v>1582</v>
      </c>
      <c r="C742" t="s">
        <v>118</v>
      </c>
      <c r="D742" s="2">
        <v>57</v>
      </c>
      <c r="E742" t="s">
        <v>19</v>
      </c>
      <c r="F742" t="s">
        <v>20</v>
      </c>
      <c r="G742" s="2" t="s">
        <v>46</v>
      </c>
      <c r="H742" s="2">
        <v>31</v>
      </c>
      <c r="I742" s="2" t="s">
        <v>40</v>
      </c>
      <c r="J742" s="2">
        <v>3</v>
      </c>
      <c r="K742" s="2" t="s">
        <v>74</v>
      </c>
      <c r="L742" s="2">
        <v>0.87</v>
      </c>
      <c r="M742" s="2" t="s">
        <v>88</v>
      </c>
      <c r="N742" s="2" t="s">
        <v>75</v>
      </c>
      <c r="O742" s="2">
        <v>15</v>
      </c>
      <c r="P742" s="2" t="str">
        <f>IF(global_freelancer_raw[[#This Row],[No of projects ]]&lt;=5,"Entry level","Well Experienced")</f>
        <v>Well Experienced</v>
      </c>
      <c r="Q742" s="2">
        <v>10</v>
      </c>
    </row>
    <row r="743" spans="1:17" x14ac:dyDescent="0.3">
      <c r="A743" t="s">
        <v>1583</v>
      </c>
      <c r="B743" t="s">
        <v>1584</v>
      </c>
      <c r="C743" t="s">
        <v>118</v>
      </c>
      <c r="D743" s="2">
        <v>46</v>
      </c>
      <c r="E743" t="s">
        <v>149</v>
      </c>
      <c r="F743" t="s">
        <v>30</v>
      </c>
      <c r="G743" s="2" t="s">
        <v>46</v>
      </c>
      <c r="H743" s="2">
        <v>5</v>
      </c>
      <c r="I743" s="2" t="s">
        <v>58</v>
      </c>
      <c r="J743" s="2">
        <v>2.6</v>
      </c>
      <c r="K743" s="2" t="s">
        <v>181</v>
      </c>
      <c r="L743" s="2">
        <v>0.76</v>
      </c>
      <c r="M743" s="2" t="s">
        <v>60</v>
      </c>
      <c r="N743" s="2" t="s">
        <v>34</v>
      </c>
      <c r="O743" s="2">
        <v>2</v>
      </c>
      <c r="P743" s="2" t="str">
        <f>IF(global_freelancer_raw[[#This Row],[No of projects ]]&lt;=5,"Entry level","Well Experienced")</f>
        <v>Entry level</v>
      </c>
      <c r="Q743" s="2">
        <v>3</v>
      </c>
    </row>
    <row r="744" spans="1:17" x14ac:dyDescent="0.3">
      <c r="A744" t="s">
        <v>1585</v>
      </c>
      <c r="B744" t="s">
        <v>1586</v>
      </c>
      <c r="C744" t="s">
        <v>118</v>
      </c>
      <c r="D744" s="2">
        <v>55</v>
      </c>
      <c r="E744" t="s">
        <v>114</v>
      </c>
      <c r="F744" t="s">
        <v>115</v>
      </c>
      <c r="G744" s="2" t="s">
        <v>57</v>
      </c>
      <c r="H744" s="2">
        <v>37</v>
      </c>
      <c r="I744" s="2" t="s">
        <v>67</v>
      </c>
      <c r="J744" s="2">
        <v>4.0999999999999996</v>
      </c>
      <c r="K744" s="2" t="s">
        <v>181</v>
      </c>
      <c r="L744" s="2" t="s">
        <v>2120</v>
      </c>
      <c r="M744" s="2" t="s">
        <v>60</v>
      </c>
      <c r="N744" s="2" t="s">
        <v>25</v>
      </c>
      <c r="O744" s="2">
        <v>16</v>
      </c>
      <c r="P744" s="2" t="str">
        <f>IF(global_freelancer_raw[[#This Row],[No of projects ]]&lt;=5,"Entry level","Well Experienced")</f>
        <v>Well Experienced</v>
      </c>
      <c r="Q744" s="2">
        <v>7</v>
      </c>
    </row>
    <row r="745" spans="1:17" x14ac:dyDescent="0.3">
      <c r="A745" t="s">
        <v>1587</v>
      </c>
      <c r="B745" t="s">
        <v>1588</v>
      </c>
      <c r="C745" t="s">
        <v>97</v>
      </c>
      <c r="D745" s="2">
        <v>32</v>
      </c>
      <c r="E745" t="s">
        <v>29</v>
      </c>
      <c r="F745" t="s">
        <v>30</v>
      </c>
      <c r="G745" s="2" t="s">
        <v>110</v>
      </c>
      <c r="H745" s="2">
        <v>10</v>
      </c>
      <c r="I745" s="2" t="s">
        <v>119</v>
      </c>
      <c r="J745" s="2">
        <v>1.5</v>
      </c>
      <c r="K745" s="2" t="s">
        <v>59</v>
      </c>
      <c r="L745" s="2">
        <v>0.65</v>
      </c>
      <c r="M745" s="2" t="s">
        <v>24</v>
      </c>
      <c r="N745" s="2" t="s">
        <v>42</v>
      </c>
      <c r="O745" s="2">
        <v>15</v>
      </c>
      <c r="P745" s="2" t="str">
        <f>IF(global_freelancer_raw[[#This Row],[No of projects ]]&lt;=5,"Entry level","Well Experienced")</f>
        <v>Well Experienced</v>
      </c>
      <c r="Q745" s="2">
        <v>6</v>
      </c>
    </row>
    <row r="746" spans="1:17" x14ac:dyDescent="0.3">
      <c r="A746" t="s">
        <v>1589</v>
      </c>
      <c r="B746" t="s">
        <v>1590</v>
      </c>
      <c r="C746" t="s">
        <v>118</v>
      </c>
      <c r="D746" s="2">
        <v>53</v>
      </c>
      <c r="E746" t="s">
        <v>64</v>
      </c>
      <c r="F746" t="s">
        <v>65</v>
      </c>
      <c r="G746" s="2" t="s">
        <v>57</v>
      </c>
      <c r="H746" s="2">
        <v>28</v>
      </c>
      <c r="I746" s="2" t="s">
        <v>119</v>
      </c>
      <c r="J746" s="2">
        <v>2.9</v>
      </c>
      <c r="K746" s="2" t="s">
        <v>87</v>
      </c>
      <c r="L746" s="2">
        <v>0.82</v>
      </c>
      <c r="M746" s="2" t="s">
        <v>82</v>
      </c>
      <c r="N746" s="2" t="s">
        <v>75</v>
      </c>
      <c r="O746" s="2">
        <v>10</v>
      </c>
      <c r="P746" s="2" t="str">
        <f>IF(global_freelancer_raw[[#This Row],[No of projects ]]&lt;=5,"Entry level","Well Experienced")</f>
        <v>Well Experienced</v>
      </c>
      <c r="Q746" s="2">
        <v>13</v>
      </c>
    </row>
    <row r="747" spans="1:17" x14ac:dyDescent="0.3">
      <c r="A747" t="s">
        <v>1591</v>
      </c>
      <c r="B747" t="s">
        <v>1592</v>
      </c>
      <c r="C747" t="s">
        <v>118</v>
      </c>
      <c r="D747" s="2">
        <v>59</v>
      </c>
      <c r="E747" t="s">
        <v>201</v>
      </c>
      <c r="F747" t="s">
        <v>92</v>
      </c>
      <c r="G747" s="2" t="s">
        <v>57</v>
      </c>
      <c r="H747" s="2">
        <v>0</v>
      </c>
      <c r="I747" s="2" t="s">
        <v>22</v>
      </c>
      <c r="J747" s="2">
        <v>0</v>
      </c>
      <c r="K747" s="2" t="s">
        <v>94</v>
      </c>
      <c r="L747" s="2">
        <v>87</v>
      </c>
      <c r="M747" s="2" t="s">
        <v>88</v>
      </c>
      <c r="N747" s="2" t="s">
        <v>75</v>
      </c>
      <c r="O747" s="2">
        <v>4</v>
      </c>
      <c r="P747" s="2" t="str">
        <f>IF(global_freelancer_raw[[#This Row],[No of projects ]]&lt;=5,"Entry level","Well Experienced")</f>
        <v>Entry level</v>
      </c>
      <c r="Q747" s="2">
        <v>4</v>
      </c>
    </row>
    <row r="748" spans="1:17" x14ac:dyDescent="0.3">
      <c r="A748" t="s">
        <v>1593</v>
      </c>
      <c r="B748" t="s">
        <v>1594</v>
      </c>
      <c r="C748" t="s">
        <v>97</v>
      </c>
      <c r="D748" s="2">
        <v>44</v>
      </c>
      <c r="E748" t="s">
        <v>55</v>
      </c>
      <c r="F748" t="s">
        <v>56</v>
      </c>
      <c r="G748" s="2" t="s">
        <v>135</v>
      </c>
      <c r="H748" s="2">
        <v>19</v>
      </c>
      <c r="I748" s="2" t="s">
        <v>47</v>
      </c>
      <c r="J748" s="2">
        <v>4.9000000000000004</v>
      </c>
      <c r="K748" s="2" t="s">
        <v>41</v>
      </c>
      <c r="L748" s="2">
        <v>1</v>
      </c>
      <c r="M748" s="2" t="s">
        <v>24</v>
      </c>
      <c r="N748" s="2" t="s">
        <v>75</v>
      </c>
      <c r="O748" s="2">
        <v>17</v>
      </c>
      <c r="P748" s="2" t="str">
        <f>IF(global_freelancer_raw[[#This Row],[No of projects ]]&lt;=5,"Entry level","Well Experienced")</f>
        <v>Well Experienced</v>
      </c>
      <c r="Q748" s="2">
        <v>14</v>
      </c>
    </row>
    <row r="749" spans="1:17" x14ac:dyDescent="0.3">
      <c r="A749" t="s">
        <v>1595</v>
      </c>
      <c r="B749" t="s">
        <v>1596</v>
      </c>
      <c r="C749" t="s">
        <v>118</v>
      </c>
      <c r="D749" s="2">
        <v>35</v>
      </c>
      <c r="E749" t="s">
        <v>160</v>
      </c>
      <c r="F749" t="s">
        <v>161</v>
      </c>
      <c r="G749" s="2" t="s">
        <v>21</v>
      </c>
      <c r="H749" s="2">
        <v>9</v>
      </c>
      <c r="I749" s="2" t="s">
        <v>119</v>
      </c>
      <c r="J749" s="2">
        <v>3</v>
      </c>
      <c r="K749" s="2" t="s">
        <v>41</v>
      </c>
      <c r="L749" s="2">
        <v>71</v>
      </c>
      <c r="M749" s="2" t="s">
        <v>60</v>
      </c>
      <c r="N749" s="2" t="s">
        <v>42</v>
      </c>
      <c r="O749" s="2">
        <v>6</v>
      </c>
      <c r="P749" s="2" t="str">
        <f>IF(global_freelancer_raw[[#This Row],[No of projects ]]&lt;=5,"Entry level","Well Experienced")</f>
        <v>Well Experienced</v>
      </c>
      <c r="Q749" s="2">
        <v>13</v>
      </c>
    </row>
    <row r="750" spans="1:17" x14ac:dyDescent="0.3">
      <c r="A750" t="s">
        <v>1597</v>
      </c>
      <c r="B750" t="s">
        <v>1598</v>
      </c>
      <c r="C750" t="s">
        <v>97</v>
      </c>
      <c r="D750" s="2">
        <v>42</v>
      </c>
      <c r="E750" t="s">
        <v>197</v>
      </c>
      <c r="F750" t="s">
        <v>198</v>
      </c>
      <c r="G750" s="2" t="s">
        <v>135</v>
      </c>
      <c r="H750" s="2">
        <v>5</v>
      </c>
      <c r="I750" s="2" t="s">
        <v>52</v>
      </c>
      <c r="J750" s="2">
        <v>4.9000000000000004</v>
      </c>
      <c r="K750" s="2" t="s">
        <v>33</v>
      </c>
      <c r="L750" s="2">
        <v>87</v>
      </c>
      <c r="M750" s="2" t="s">
        <v>88</v>
      </c>
      <c r="N750" s="2" t="s">
        <v>25</v>
      </c>
      <c r="O750" s="2">
        <v>1</v>
      </c>
      <c r="P750" s="2" t="str">
        <f>IF(global_freelancer_raw[[#This Row],[No of projects ]]&lt;=5,"Entry level","Well Experienced")</f>
        <v>Entry level</v>
      </c>
      <c r="Q750" s="2">
        <v>1</v>
      </c>
    </row>
    <row r="751" spans="1:17" x14ac:dyDescent="0.3">
      <c r="A751" t="s">
        <v>1599</v>
      </c>
      <c r="B751" t="s">
        <v>1600</v>
      </c>
      <c r="C751" t="s">
        <v>97</v>
      </c>
      <c r="D751" s="2">
        <v>58</v>
      </c>
      <c r="E751" t="s">
        <v>133</v>
      </c>
      <c r="F751" t="s">
        <v>134</v>
      </c>
      <c r="G751" s="2" t="s">
        <v>21</v>
      </c>
      <c r="H751" s="2">
        <v>0</v>
      </c>
      <c r="I751" s="2" t="s">
        <v>130</v>
      </c>
      <c r="J751" s="2">
        <v>4.5999999999999996</v>
      </c>
      <c r="K751" s="2" t="s">
        <v>23</v>
      </c>
      <c r="L751" s="2">
        <v>70</v>
      </c>
      <c r="M751" s="2" t="s">
        <v>82</v>
      </c>
      <c r="N751" s="2" t="s">
        <v>75</v>
      </c>
      <c r="O751" s="2">
        <v>4</v>
      </c>
      <c r="P751" s="2" t="str">
        <f>IF(global_freelancer_raw[[#This Row],[No of projects ]]&lt;=5,"Entry level","Well Experienced")</f>
        <v>Entry level</v>
      </c>
      <c r="Q751" s="2">
        <v>2</v>
      </c>
    </row>
    <row r="752" spans="1:17" x14ac:dyDescent="0.3">
      <c r="A752" t="s">
        <v>1601</v>
      </c>
      <c r="B752" t="s">
        <v>1602</v>
      </c>
      <c r="C752" t="s">
        <v>118</v>
      </c>
      <c r="D752" s="2">
        <v>41</v>
      </c>
      <c r="E752" t="s">
        <v>55</v>
      </c>
      <c r="F752" t="s">
        <v>56</v>
      </c>
      <c r="G752" s="2" t="s">
        <v>57</v>
      </c>
      <c r="H752" s="2">
        <v>21</v>
      </c>
      <c r="I752" s="2" t="s">
        <v>32</v>
      </c>
      <c r="J752" s="2">
        <v>2.2000000000000002</v>
      </c>
      <c r="K752" s="2" t="s">
        <v>33</v>
      </c>
      <c r="L752" s="2">
        <v>0.83</v>
      </c>
      <c r="M752" s="2" t="s">
        <v>60</v>
      </c>
      <c r="N752" s="2" t="s">
        <v>34</v>
      </c>
      <c r="O752" s="2">
        <v>17</v>
      </c>
      <c r="P752" s="2" t="str">
        <f>IF(global_freelancer_raw[[#This Row],[No of projects ]]&lt;=5,"Entry level","Well Experienced")</f>
        <v>Well Experienced</v>
      </c>
      <c r="Q752" s="2">
        <v>6</v>
      </c>
    </row>
    <row r="753" spans="1:17" x14ac:dyDescent="0.3">
      <c r="A753" t="s">
        <v>1603</v>
      </c>
      <c r="B753" t="s">
        <v>1604</v>
      </c>
      <c r="C753" t="s">
        <v>97</v>
      </c>
      <c r="D753" s="2" t="s">
        <v>2119</v>
      </c>
      <c r="E753" t="s">
        <v>91</v>
      </c>
      <c r="F753" t="s">
        <v>92</v>
      </c>
      <c r="G753" s="2" t="s">
        <v>46</v>
      </c>
      <c r="H753" s="2">
        <v>0</v>
      </c>
      <c r="I753" s="2" t="s">
        <v>86</v>
      </c>
      <c r="J753" s="2" t="s">
        <v>2120</v>
      </c>
      <c r="K753" s="2" t="s">
        <v>94</v>
      </c>
      <c r="L753" s="2">
        <v>0.74</v>
      </c>
      <c r="M753" s="2" t="s">
        <v>60</v>
      </c>
      <c r="N753" s="2" t="s">
        <v>75</v>
      </c>
      <c r="O753" s="2">
        <v>1</v>
      </c>
      <c r="P753" s="2" t="str">
        <f>IF(global_freelancer_raw[[#This Row],[No of projects ]]&lt;=5,"Entry level","Well Experienced")</f>
        <v>Entry level</v>
      </c>
      <c r="Q753" s="2">
        <v>2</v>
      </c>
    </row>
    <row r="754" spans="1:17" x14ac:dyDescent="0.3">
      <c r="A754" t="s">
        <v>1605</v>
      </c>
      <c r="B754" t="s">
        <v>1606</v>
      </c>
      <c r="C754" t="s">
        <v>97</v>
      </c>
      <c r="D754" s="2">
        <v>23</v>
      </c>
      <c r="E754" t="s">
        <v>149</v>
      </c>
      <c r="F754" t="s">
        <v>30</v>
      </c>
      <c r="G754" s="2" t="s">
        <v>21</v>
      </c>
      <c r="H754" s="2">
        <v>0</v>
      </c>
      <c r="I754" s="2" t="s">
        <v>52</v>
      </c>
      <c r="J754" s="2">
        <v>1.1000000000000001</v>
      </c>
      <c r="K754" s="2" t="s">
        <v>87</v>
      </c>
      <c r="L754" s="2">
        <v>0.86</v>
      </c>
      <c r="M754" s="2" t="s">
        <v>60</v>
      </c>
      <c r="N754" s="2" t="s">
        <v>75</v>
      </c>
      <c r="O754" s="2">
        <v>4</v>
      </c>
      <c r="P754" s="2" t="str">
        <f>IF(global_freelancer_raw[[#This Row],[No of projects ]]&lt;=5,"Entry level","Well Experienced")</f>
        <v>Entry level</v>
      </c>
      <c r="Q754" s="2">
        <v>2</v>
      </c>
    </row>
    <row r="755" spans="1:17" x14ac:dyDescent="0.3">
      <c r="A755" t="s">
        <v>1607</v>
      </c>
      <c r="B755" t="s">
        <v>1608</v>
      </c>
      <c r="C755" t="s">
        <v>118</v>
      </c>
      <c r="D755" s="2">
        <v>51</v>
      </c>
      <c r="E755" t="s">
        <v>197</v>
      </c>
      <c r="F755" t="s">
        <v>198</v>
      </c>
      <c r="G755" s="2" t="s">
        <v>21</v>
      </c>
      <c r="H755" s="2">
        <v>17</v>
      </c>
      <c r="I755" s="2" t="s">
        <v>86</v>
      </c>
      <c r="J755" s="2">
        <v>4.5</v>
      </c>
      <c r="K755" s="2" t="s">
        <v>33</v>
      </c>
      <c r="L755" s="2">
        <v>0.72</v>
      </c>
      <c r="M755" s="2" t="s">
        <v>24</v>
      </c>
      <c r="N755" s="2" t="s">
        <v>75</v>
      </c>
      <c r="O755" s="2">
        <v>11</v>
      </c>
      <c r="P755" s="2" t="str">
        <f>IF(global_freelancer_raw[[#This Row],[No of projects ]]&lt;=5,"Entry level","Well Experienced")</f>
        <v>Well Experienced</v>
      </c>
      <c r="Q755" s="2">
        <v>2</v>
      </c>
    </row>
    <row r="756" spans="1:17" x14ac:dyDescent="0.3">
      <c r="A756" t="s">
        <v>1609</v>
      </c>
      <c r="B756" t="s">
        <v>1610</v>
      </c>
      <c r="C756" t="s">
        <v>97</v>
      </c>
      <c r="D756" s="2">
        <v>42</v>
      </c>
      <c r="E756" t="s">
        <v>156</v>
      </c>
      <c r="F756" t="s">
        <v>157</v>
      </c>
      <c r="G756" s="2" t="s">
        <v>57</v>
      </c>
      <c r="H756" s="2">
        <v>21</v>
      </c>
      <c r="I756" s="2" t="s">
        <v>2119</v>
      </c>
      <c r="J756" s="2">
        <v>2.5</v>
      </c>
      <c r="K756" s="2" t="s">
        <v>74</v>
      </c>
      <c r="L756" s="2">
        <v>0.73</v>
      </c>
      <c r="M756" s="2" t="s">
        <v>82</v>
      </c>
      <c r="N756" s="2" t="s">
        <v>75</v>
      </c>
      <c r="O756" s="2">
        <v>10</v>
      </c>
      <c r="P756" s="2" t="str">
        <f>IF(global_freelancer_raw[[#This Row],[No of projects ]]&lt;=5,"Entry level","Well Experienced")</f>
        <v>Well Experienced</v>
      </c>
      <c r="Q756" s="2">
        <v>7</v>
      </c>
    </row>
    <row r="757" spans="1:17" x14ac:dyDescent="0.3">
      <c r="A757" t="s">
        <v>1611</v>
      </c>
      <c r="B757" t="s">
        <v>1612</v>
      </c>
      <c r="C757" t="s">
        <v>118</v>
      </c>
      <c r="D757" s="2">
        <v>26</v>
      </c>
      <c r="E757" t="s">
        <v>106</v>
      </c>
      <c r="F757" t="s">
        <v>107</v>
      </c>
      <c r="G757" s="2" t="s">
        <v>66</v>
      </c>
      <c r="H757" s="2">
        <v>7</v>
      </c>
      <c r="I757" s="2" t="s">
        <v>67</v>
      </c>
      <c r="J757" s="2">
        <v>2.9</v>
      </c>
      <c r="K757" s="2" t="s">
        <v>23</v>
      </c>
      <c r="L757" s="2">
        <v>0.78</v>
      </c>
      <c r="M757" s="2" t="s">
        <v>88</v>
      </c>
      <c r="N757" s="2" t="s">
        <v>25</v>
      </c>
      <c r="O757" s="2">
        <v>15</v>
      </c>
      <c r="P757" s="2" t="str">
        <f>IF(global_freelancer_raw[[#This Row],[No of projects ]]&lt;=5,"Entry level","Well Experienced")</f>
        <v>Well Experienced</v>
      </c>
      <c r="Q757" s="2">
        <v>1</v>
      </c>
    </row>
    <row r="758" spans="1:17" x14ac:dyDescent="0.3">
      <c r="A758" t="s">
        <v>1613</v>
      </c>
      <c r="B758" t="s">
        <v>1614</v>
      </c>
      <c r="C758" t="s">
        <v>97</v>
      </c>
      <c r="D758" s="2">
        <v>49</v>
      </c>
      <c r="E758" t="s">
        <v>64</v>
      </c>
      <c r="F758" t="s">
        <v>65</v>
      </c>
      <c r="G758" s="2" t="s">
        <v>57</v>
      </c>
      <c r="H758" s="2">
        <v>22</v>
      </c>
      <c r="I758" s="2" t="s">
        <v>103</v>
      </c>
      <c r="J758" s="2">
        <v>0</v>
      </c>
      <c r="K758" s="2" t="s">
        <v>74</v>
      </c>
      <c r="L758" s="2" t="s">
        <v>2120</v>
      </c>
      <c r="M758" s="2" t="s">
        <v>24</v>
      </c>
      <c r="N758" s="2" t="s">
        <v>34</v>
      </c>
      <c r="O758" s="2">
        <v>16</v>
      </c>
      <c r="P758" s="2" t="str">
        <f>IF(global_freelancer_raw[[#This Row],[No of projects ]]&lt;=5,"Entry level","Well Experienced")</f>
        <v>Well Experienced</v>
      </c>
      <c r="Q758" s="2">
        <v>18</v>
      </c>
    </row>
    <row r="759" spans="1:17" x14ac:dyDescent="0.3">
      <c r="A759" t="s">
        <v>1615</v>
      </c>
      <c r="B759" t="s">
        <v>1616</v>
      </c>
      <c r="C759" t="s">
        <v>97</v>
      </c>
      <c r="D759" s="2">
        <v>37</v>
      </c>
      <c r="E759" t="s">
        <v>19</v>
      </c>
      <c r="F759" t="s">
        <v>20</v>
      </c>
      <c r="G759" s="2" t="s">
        <v>110</v>
      </c>
      <c r="H759" s="2" t="s">
        <v>2120</v>
      </c>
      <c r="I759" s="2" t="s">
        <v>67</v>
      </c>
      <c r="J759" s="2">
        <v>3.5</v>
      </c>
      <c r="K759" s="2" t="s">
        <v>41</v>
      </c>
      <c r="L759" s="2">
        <v>0.75</v>
      </c>
      <c r="M759" s="2" t="s">
        <v>24</v>
      </c>
      <c r="N759" s="2" t="s">
        <v>25</v>
      </c>
      <c r="O759" s="2">
        <v>2</v>
      </c>
      <c r="P759" s="2" t="str">
        <f>IF(global_freelancer_raw[[#This Row],[No of projects ]]&lt;=5,"Entry level","Well Experienced")</f>
        <v>Entry level</v>
      </c>
      <c r="Q759" s="2">
        <v>2</v>
      </c>
    </row>
    <row r="760" spans="1:17" x14ac:dyDescent="0.3">
      <c r="A760" t="s">
        <v>1617</v>
      </c>
      <c r="B760" t="s">
        <v>1618</v>
      </c>
      <c r="C760" t="s">
        <v>118</v>
      </c>
      <c r="D760" s="2">
        <v>31</v>
      </c>
      <c r="E760" t="s">
        <v>29</v>
      </c>
      <c r="F760" t="s">
        <v>30</v>
      </c>
      <c r="G760" s="2" t="s">
        <v>57</v>
      </c>
      <c r="H760" s="2">
        <v>1</v>
      </c>
      <c r="I760" s="2" t="s">
        <v>86</v>
      </c>
      <c r="J760" s="2">
        <v>4.5</v>
      </c>
      <c r="K760" s="2" t="s">
        <v>23</v>
      </c>
      <c r="L760" s="2">
        <v>0.96</v>
      </c>
      <c r="M760" s="2" t="s">
        <v>24</v>
      </c>
      <c r="N760" s="2" t="s">
        <v>34</v>
      </c>
      <c r="O760" s="2">
        <v>1</v>
      </c>
      <c r="P760" s="2" t="str">
        <f>IF(global_freelancer_raw[[#This Row],[No of projects ]]&lt;=5,"Entry level","Well Experienced")</f>
        <v>Entry level</v>
      </c>
      <c r="Q760" s="2">
        <v>3</v>
      </c>
    </row>
    <row r="761" spans="1:17" x14ac:dyDescent="0.3">
      <c r="A761" t="s">
        <v>1619</v>
      </c>
      <c r="B761" t="s">
        <v>1620</v>
      </c>
      <c r="C761" t="s">
        <v>118</v>
      </c>
      <c r="D761" s="2">
        <v>51</v>
      </c>
      <c r="E761" t="s">
        <v>133</v>
      </c>
      <c r="F761" t="s">
        <v>134</v>
      </c>
      <c r="G761" s="2" t="s">
        <v>31</v>
      </c>
      <c r="H761" s="2">
        <v>5</v>
      </c>
      <c r="I761" s="2" t="s">
        <v>70</v>
      </c>
      <c r="J761" s="2">
        <v>1.7</v>
      </c>
      <c r="K761" s="2" t="s">
        <v>87</v>
      </c>
      <c r="L761" s="2">
        <v>0.61</v>
      </c>
      <c r="M761" s="2" t="s">
        <v>60</v>
      </c>
      <c r="N761" s="2" t="s">
        <v>75</v>
      </c>
      <c r="O761" s="2">
        <v>3</v>
      </c>
      <c r="P761" s="2" t="str">
        <f>IF(global_freelancer_raw[[#This Row],[No of projects ]]&lt;=5,"Entry level","Well Experienced")</f>
        <v>Entry level</v>
      </c>
      <c r="Q761" s="2">
        <v>3</v>
      </c>
    </row>
    <row r="762" spans="1:17" x14ac:dyDescent="0.3">
      <c r="A762" t="s">
        <v>1621</v>
      </c>
      <c r="B762" t="s">
        <v>1622</v>
      </c>
      <c r="C762" t="s">
        <v>118</v>
      </c>
      <c r="D762" s="2">
        <v>60</v>
      </c>
      <c r="E762" t="s">
        <v>197</v>
      </c>
      <c r="F762" t="s">
        <v>198</v>
      </c>
      <c r="G762" s="2" t="s">
        <v>110</v>
      </c>
      <c r="H762" s="2">
        <v>40</v>
      </c>
      <c r="I762" s="2" t="s">
        <v>40</v>
      </c>
      <c r="J762" s="2">
        <v>4.5999999999999996</v>
      </c>
      <c r="K762" s="2" t="s">
        <v>74</v>
      </c>
      <c r="L762" s="2">
        <v>1</v>
      </c>
      <c r="M762" s="2" t="s">
        <v>82</v>
      </c>
      <c r="N762" s="2" t="s">
        <v>42</v>
      </c>
      <c r="O762" s="2">
        <v>13</v>
      </c>
      <c r="P762" s="2" t="str">
        <f>IF(global_freelancer_raw[[#This Row],[No of projects ]]&lt;=5,"Entry level","Well Experienced")</f>
        <v>Well Experienced</v>
      </c>
      <c r="Q762" s="2">
        <v>2</v>
      </c>
    </row>
    <row r="763" spans="1:17" x14ac:dyDescent="0.3">
      <c r="A763" t="s">
        <v>1623</v>
      </c>
      <c r="B763" t="s">
        <v>1624</v>
      </c>
      <c r="C763" t="s">
        <v>118</v>
      </c>
      <c r="D763" s="2">
        <v>51</v>
      </c>
      <c r="E763" t="s">
        <v>149</v>
      </c>
      <c r="F763" t="s">
        <v>30</v>
      </c>
      <c r="G763" s="2" t="s">
        <v>21</v>
      </c>
      <c r="H763" s="2">
        <v>19</v>
      </c>
      <c r="I763" s="2" t="s">
        <v>40</v>
      </c>
      <c r="J763" s="2" t="s">
        <v>2120</v>
      </c>
      <c r="K763" s="2" t="s">
        <v>94</v>
      </c>
      <c r="L763" s="2">
        <v>0.82</v>
      </c>
      <c r="M763" s="2" t="s">
        <v>24</v>
      </c>
      <c r="N763" s="2" t="s">
        <v>25</v>
      </c>
      <c r="O763" s="2">
        <v>17</v>
      </c>
      <c r="P763" s="2" t="str">
        <f>IF(global_freelancer_raw[[#This Row],[No of projects ]]&lt;=5,"Entry level","Well Experienced")</f>
        <v>Well Experienced</v>
      </c>
      <c r="Q763" s="2">
        <v>4</v>
      </c>
    </row>
    <row r="764" spans="1:17" x14ac:dyDescent="0.3">
      <c r="A764" t="s">
        <v>1625</v>
      </c>
      <c r="B764" t="s">
        <v>1626</v>
      </c>
      <c r="C764" t="s">
        <v>118</v>
      </c>
      <c r="D764" s="2">
        <v>37</v>
      </c>
      <c r="E764" t="s">
        <v>38</v>
      </c>
      <c r="F764" t="s">
        <v>38</v>
      </c>
      <c r="G764" s="2" t="s">
        <v>39</v>
      </c>
      <c r="H764" s="2">
        <v>12</v>
      </c>
      <c r="I764" s="2" t="s">
        <v>2119</v>
      </c>
      <c r="J764" s="2">
        <v>4.9000000000000004</v>
      </c>
      <c r="K764" s="2" t="s">
        <v>33</v>
      </c>
      <c r="L764" s="2">
        <v>0.8</v>
      </c>
      <c r="M764" s="2" t="s">
        <v>88</v>
      </c>
      <c r="N764" s="2" t="s">
        <v>42</v>
      </c>
      <c r="O764" s="2">
        <v>7</v>
      </c>
      <c r="P764" s="2" t="str">
        <f>IF(global_freelancer_raw[[#This Row],[No of projects ]]&lt;=5,"Entry level","Well Experienced")</f>
        <v>Well Experienced</v>
      </c>
      <c r="Q764" s="2">
        <v>6</v>
      </c>
    </row>
    <row r="765" spans="1:17" x14ac:dyDescent="0.3">
      <c r="A765" t="s">
        <v>1627</v>
      </c>
      <c r="B765" t="s">
        <v>1628</v>
      </c>
      <c r="C765" t="s">
        <v>118</v>
      </c>
      <c r="D765" s="2">
        <v>52</v>
      </c>
      <c r="E765" t="s">
        <v>114</v>
      </c>
      <c r="F765" t="s">
        <v>115</v>
      </c>
      <c r="G765" s="2" t="s">
        <v>21</v>
      </c>
      <c r="H765" s="2">
        <v>7</v>
      </c>
      <c r="I765" s="2" t="s">
        <v>86</v>
      </c>
      <c r="J765" s="2">
        <v>2.2000000000000002</v>
      </c>
      <c r="K765" s="2" t="s">
        <v>2120</v>
      </c>
      <c r="L765" s="2">
        <v>0.96</v>
      </c>
      <c r="M765" s="2" t="s">
        <v>82</v>
      </c>
      <c r="N765" s="2" t="s">
        <v>25</v>
      </c>
      <c r="O765" s="2">
        <v>8</v>
      </c>
      <c r="P765" s="2" t="str">
        <f>IF(global_freelancer_raw[[#This Row],[No of projects ]]&lt;=5,"Entry level","Well Experienced")</f>
        <v>Well Experienced</v>
      </c>
      <c r="Q765" s="2">
        <v>8</v>
      </c>
    </row>
    <row r="766" spans="1:17" x14ac:dyDescent="0.3">
      <c r="A766" t="s">
        <v>1629</v>
      </c>
      <c r="B766" t="s">
        <v>1630</v>
      </c>
      <c r="C766" t="s">
        <v>118</v>
      </c>
      <c r="D766" s="2">
        <v>27</v>
      </c>
      <c r="E766" t="s">
        <v>64</v>
      </c>
      <c r="F766" t="s">
        <v>65</v>
      </c>
      <c r="G766" s="2" t="s">
        <v>21</v>
      </c>
      <c r="H766" s="2">
        <v>4</v>
      </c>
      <c r="I766" s="2" t="s">
        <v>162</v>
      </c>
      <c r="J766" s="2" t="s">
        <v>2120</v>
      </c>
      <c r="K766" s="2" t="s">
        <v>23</v>
      </c>
      <c r="L766" s="2">
        <v>0.63</v>
      </c>
      <c r="M766" s="2" t="s">
        <v>88</v>
      </c>
      <c r="N766" s="2" t="s">
        <v>75</v>
      </c>
      <c r="O766" s="2">
        <v>3</v>
      </c>
      <c r="P766" s="2" t="str">
        <f>IF(global_freelancer_raw[[#This Row],[No of projects ]]&lt;=5,"Entry level","Well Experienced")</f>
        <v>Entry level</v>
      </c>
      <c r="Q766" s="2">
        <v>3</v>
      </c>
    </row>
    <row r="767" spans="1:17" x14ac:dyDescent="0.3">
      <c r="A767" t="s">
        <v>1631</v>
      </c>
      <c r="B767" t="s">
        <v>1632</v>
      </c>
      <c r="C767" t="s">
        <v>118</v>
      </c>
      <c r="D767" s="2">
        <v>48</v>
      </c>
      <c r="E767" t="s">
        <v>29</v>
      </c>
      <c r="F767" t="s">
        <v>30</v>
      </c>
      <c r="G767" s="2" t="s">
        <v>39</v>
      </c>
      <c r="H767" s="2">
        <v>24</v>
      </c>
      <c r="I767" s="2" t="s">
        <v>47</v>
      </c>
      <c r="J767" s="2">
        <v>2.2000000000000002</v>
      </c>
      <c r="K767" s="2" t="s">
        <v>23</v>
      </c>
      <c r="L767" s="2">
        <v>0.67</v>
      </c>
      <c r="M767" s="2" t="s">
        <v>82</v>
      </c>
      <c r="N767" s="2" t="s">
        <v>25</v>
      </c>
      <c r="O767" s="2">
        <v>12</v>
      </c>
      <c r="P767" s="2" t="str">
        <f>IF(global_freelancer_raw[[#This Row],[No of projects ]]&lt;=5,"Entry level","Well Experienced")</f>
        <v>Well Experienced</v>
      </c>
      <c r="Q767" s="2">
        <v>13</v>
      </c>
    </row>
    <row r="768" spans="1:17" x14ac:dyDescent="0.3">
      <c r="A768" t="s">
        <v>1633</v>
      </c>
      <c r="B768" t="s">
        <v>1634</v>
      </c>
      <c r="C768" t="s">
        <v>97</v>
      </c>
      <c r="D768" s="2">
        <v>22</v>
      </c>
      <c r="E768" t="s">
        <v>106</v>
      </c>
      <c r="F768" t="s">
        <v>107</v>
      </c>
      <c r="G768" s="2" t="s">
        <v>66</v>
      </c>
      <c r="H768" s="2">
        <v>1</v>
      </c>
      <c r="I768" s="2" t="s">
        <v>130</v>
      </c>
      <c r="J768" s="2">
        <v>3.3</v>
      </c>
      <c r="K768" s="2" t="s">
        <v>33</v>
      </c>
      <c r="L768" s="2">
        <v>0.61</v>
      </c>
      <c r="M768" s="2" t="s">
        <v>88</v>
      </c>
      <c r="N768" s="2" t="s">
        <v>75</v>
      </c>
      <c r="O768" s="2">
        <v>3</v>
      </c>
      <c r="P768" s="2" t="str">
        <f>IF(global_freelancer_raw[[#This Row],[No of projects ]]&lt;=5,"Entry level","Well Experienced")</f>
        <v>Entry level</v>
      </c>
      <c r="Q768" s="2">
        <v>5</v>
      </c>
    </row>
    <row r="769" spans="1:17" x14ac:dyDescent="0.3">
      <c r="A769" t="s">
        <v>1635</v>
      </c>
      <c r="B769" t="s">
        <v>1636</v>
      </c>
      <c r="C769" t="s">
        <v>97</v>
      </c>
      <c r="D769" s="2">
        <v>48</v>
      </c>
      <c r="E769" t="s">
        <v>38</v>
      </c>
      <c r="F769" t="s">
        <v>38</v>
      </c>
      <c r="G769" s="2" t="s">
        <v>31</v>
      </c>
      <c r="H769" s="2">
        <v>28</v>
      </c>
      <c r="I769" s="2" t="s">
        <v>130</v>
      </c>
      <c r="J769" s="2">
        <v>4.9000000000000004</v>
      </c>
      <c r="K769" s="2" t="s">
        <v>23</v>
      </c>
      <c r="L769" s="2">
        <v>0.77</v>
      </c>
      <c r="M769" s="2" t="s">
        <v>60</v>
      </c>
      <c r="N769" s="2" t="s">
        <v>25</v>
      </c>
      <c r="O769" s="2">
        <v>19</v>
      </c>
      <c r="P769" s="2" t="str">
        <f>IF(global_freelancer_raw[[#This Row],[No of projects ]]&lt;=5,"Entry level","Well Experienced")</f>
        <v>Well Experienced</v>
      </c>
      <c r="Q769" s="2">
        <v>8</v>
      </c>
    </row>
    <row r="770" spans="1:17" x14ac:dyDescent="0.3">
      <c r="A770" t="s">
        <v>1637</v>
      </c>
      <c r="B770" t="s">
        <v>1638</v>
      </c>
      <c r="C770" t="s">
        <v>97</v>
      </c>
      <c r="D770" s="2">
        <v>54</v>
      </c>
      <c r="E770" t="s">
        <v>73</v>
      </c>
      <c r="F770" t="s">
        <v>30</v>
      </c>
      <c r="G770" s="2" t="s">
        <v>31</v>
      </c>
      <c r="H770" s="2">
        <v>19</v>
      </c>
      <c r="I770" s="2" t="s">
        <v>103</v>
      </c>
      <c r="J770" s="2">
        <v>0</v>
      </c>
      <c r="K770" s="2" t="s">
        <v>2120</v>
      </c>
      <c r="L770" s="2" t="s">
        <v>2120</v>
      </c>
      <c r="M770" s="2" t="s">
        <v>24</v>
      </c>
      <c r="N770" s="2" t="s">
        <v>75</v>
      </c>
      <c r="O770" s="2">
        <v>14</v>
      </c>
      <c r="P770" s="2" t="str">
        <f>IF(global_freelancer_raw[[#This Row],[No of projects ]]&lt;=5,"Entry level","Well Experienced")</f>
        <v>Well Experienced</v>
      </c>
      <c r="Q770" s="2">
        <v>9</v>
      </c>
    </row>
    <row r="771" spans="1:17" x14ac:dyDescent="0.3">
      <c r="A771" t="s">
        <v>1639</v>
      </c>
      <c r="B771" t="s">
        <v>1640</v>
      </c>
      <c r="C771" t="s">
        <v>97</v>
      </c>
      <c r="D771" s="2">
        <v>52</v>
      </c>
      <c r="E771" t="s">
        <v>133</v>
      </c>
      <c r="F771" t="s">
        <v>134</v>
      </c>
      <c r="G771" s="2" t="s">
        <v>66</v>
      </c>
      <c r="H771" s="2">
        <v>4</v>
      </c>
      <c r="I771" s="2" t="s">
        <v>40</v>
      </c>
      <c r="J771" s="2" t="s">
        <v>2120</v>
      </c>
      <c r="K771" s="2" t="s">
        <v>41</v>
      </c>
      <c r="L771" s="2">
        <v>0.84</v>
      </c>
      <c r="M771" s="2" t="s">
        <v>88</v>
      </c>
      <c r="N771" s="2" t="s">
        <v>75</v>
      </c>
      <c r="O771" s="2">
        <v>5</v>
      </c>
      <c r="P771" s="2" t="str">
        <f>IF(global_freelancer_raw[[#This Row],[No of projects ]]&lt;=5,"Entry level","Well Experienced")</f>
        <v>Entry level</v>
      </c>
      <c r="Q771" s="2">
        <v>1</v>
      </c>
    </row>
    <row r="772" spans="1:17" x14ac:dyDescent="0.3">
      <c r="A772" t="s">
        <v>1641</v>
      </c>
      <c r="B772" t="s">
        <v>1642</v>
      </c>
      <c r="C772" t="s">
        <v>97</v>
      </c>
      <c r="D772" s="2">
        <v>39</v>
      </c>
      <c r="E772" t="s">
        <v>79</v>
      </c>
      <c r="F772" t="s">
        <v>80</v>
      </c>
      <c r="G772" s="2" t="s">
        <v>46</v>
      </c>
      <c r="H772" s="2">
        <v>20</v>
      </c>
      <c r="I772" s="2" t="s">
        <v>32</v>
      </c>
      <c r="J772" s="2" t="s">
        <v>2120</v>
      </c>
      <c r="K772" s="2" t="s">
        <v>94</v>
      </c>
      <c r="L772" s="2">
        <v>0.89</v>
      </c>
      <c r="M772" s="2" t="s">
        <v>82</v>
      </c>
      <c r="N772" s="2" t="s">
        <v>34</v>
      </c>
      <c r="O772" s="2">
        <v>13</v>
      </c>
      <c r="P772" s="2" t="str">
        <f>IF(global_freelancer_raw[[#This Row],[No of projects ]]&lt;=5,"Entry level","Well Experienced")</f>
        <v>Well Experienced</v>
      </c>
      <c r="Q772" s="2">
        <v>2</v>
      </c>
    </row>
    <row r="773" spans="1:17" x14ac:dyDescent="0.3">
      <c r="A773" t="s">
        <v>1643</v>
      </c>
      <c r="B773" t="s">
        <v>1644</v>
      </c>
      <c r="C773" t="s">
        <v>97</v>
      </c>
      <c r="D773" s="2">
        <v>54</v>
      </c>
      <c r="E773" t="s">
        <v>145</v>
      </c>
      <c r="F773" t="s">
        <v>146</v>
      </c>
      <c r="G773" s="2" t="s">
        <v>31</v>
      </c>
      <c r="H773" s="2">
        <v>19</v>
      </c>
      <c r="I773" s="2" t="s">
        <v>130</v>
      </c>
      <c r="J773" s="2">
        <v>4</v>
      </c>
      <c r="K773" s="2" t="s">
        <v>2120</v>
      </c>
      <c r="L773" s="2">
        <v>0.9</v>
      </c>
      <c r="M773" s="2" t="s">
        <v>24</v>
      </c>
      <c r="N773" s="2" t="s">
        <v>75</v>
      </c>
      <c r="O773" s="2">
        <v>14</v>
      </c>
      <c r="P773" s="2" t="str">
        <f>IF(global_freelancer_raw[[#This Row],[No of projects ]]&lt;=5,"Entry level","Well Experienced")</f>
        <v>Well Experienced</v>
      </c>
      <c r="Q773" s="2">
        <v>3</v>
      </c>
    </row>
    <row r="774" spans="1:17" x14ac:dyDescent="0.3">
      <c r="A774" t="s">
        <v>1645</v>
      </c>
      <c r="B774" t="s">
        <v>1646</v>
      </c>
      <c r="C774" t="s">
        <v>97</v>
      </c>
      <c r="D774" s="2">
        <v>22</v>
      </c>
      <c r="E774" t="s">
        <v>73</v>
      </c>
      <c r="F774" t="s">
        <v>30</v>
      </c>
      <c r="G774" s="2" t="s">
        <v>98</v>
      </c>
      <c r="H774" s="2">
        <v>1</v>
      </c>
      <c r="I774" s="2" t="s">
        <v>162</v>
      </c>
      <c r="J774" s="2">
        <v>4.8</v>
      </c>
      <c r="K774" s="2" t="s">
        <v>59</v>
      </c>
      <c r="L774" s="2">
        <v>0.87</v>
      </c>
      <c r="M774" s="2" t="s">
        <v>24</v>
      </c>
      <c r="N774" s="2" t="s">
        <v>34</v>
      </c>
      <c r="O774" s="2">
        <v>3</v>
      </c>
      <c r="P774" s="2" t="str">
        <f>IF(global_freelancer_raw[[#This Row],[No of projects ]]&lt;=5,"Entry level","Well Experienced")</f>
        <v>Entry level</v>
      </c>
      <c r="Q774" s="2">
        <v>4</v>
      </c>
    </row>
    <row r="775" spans="1:17" x14ac:dyDescent="0.3">
      <c r="A775" t="s">
        <v>1647</v>
      </c>
      <c r="B775" t="s">
        <v>1648</v>
      </c>
      <c r="C775" t="s">
        <v>97</v>
      </c>
      <c r="D775" s="2">
        <v>29</v>
      </c>
      <c r="E775" t="s">
        <v>175</v>
      </c>
      <c r="F775" t="s">
        <v>176</v>
      </c>
      <c r="G775" s="2" t="s">
        <v>31</v>
      </c>
      <c r="H775" s="2">
        <v>8</v>
      </c>
      <c r="I775" s="2" t="s">
        <v>40</v>
      </c>
      <c r="J775" s="2">
        <v>0</v>
      </c>
      <c r="K775" s="2" t="s">
        <v>23</v>
      </c>
      <c r="L775" s="2">
        <v>0.77</v>
      </c>
      <c r="M775" s="2" t="s">
        <v>82</v>
      </c>
      <c r="N775" s="2" t="s">
        <v>75</v>
      </c>
      <c r="O775" s="2">
        <v>11</v>
      </c>
      <c r="P775" s="2" t="str">
        <f>IF(global_freelancer_raw[[#This Row],[No of projects ]]&lt;=5,"Entry level","Well Experienced")</f>
        <v>Well Experienced</v>
      </c>
      <c r="Q775" s="2">
        <v>3</v>
      </c>
    </row>
    <row r="776" spans="1:17" x14ac:dyDescent="0.3">
      <c r="A776" t="s">
        <v>1649</v>
      </c>
      <c r="B776" t="s">
        <v>1650</v>
      </c>
      <c r="C776" t="s">
        <v>118</v>
      </c>
      <c r="D776" s="2">
        <v>23</v>
      </c>
      <c r="E776" t="s">
        <v>212</v>
      </c>
      <c r="F776" t="s">
        <v>92</v>
      </c>
      <c r="G776" s="2" t="s">
        <v>110</v>
      </c>
      <c r="H776" s="2">
        <v>3</v>
      </c>
      <c r="I776" s="2" t="s">
        <v>130</v>
      </c>
      <c r="J776" s="2">
        <v>1.6</v>
      </c>
      <c r="K776" s="2" t="s">
        <v>94</v>
      </c>
      <c r="L776" s="2">
        <v>0.72</v>
      </c>
      <c r="M776" s="2" t="s">
        <v>88</v>
      </c>
      <c r="N776" s="2" t="s">
        <v>42</v>
      </c>
      <c r="O776" s="2">
        <v>1</v>
      </c>
      <c r="P776" s="2" t="str">
        <f>IF(global_freelancer_raw[[#This Row],[No of projects ]]&lt;=5,"Entry level","Well Experienced")</f>
        <v>Entry level</v>
      </c>
      <c r="Q776" s="2">
        <v>1</v>
      </c>
    </row>
    <row r="777" spans="1:17" x14ac:dyDescent="0.3">
      <c r="A777" t="s">
        <v>1651</v>
      </c>
      <c r="B777" t="s">
        <v>1652</v>
      </c>
      <c r="C777" t="s">
        <v>97</v>
      </c>
      <c r="D777" s="2">
        <v>58</v>
      </c>
      <c r="E777" t="s">
        <v>201</v>
      </c>
      <c r="F777" t="s">
        <v>92</v>
      </c>
      <c r="G777" s="2" t="s">
        <v>110</v>
      </c>
      <c r="H777" s="2">
        <v>30</v>
      </c>
      <c r="I777" s="2" t="s">
        <v>40</v>
      </c>
      <c r="J777" s="2">
        <v>1.3</v>
      </c>
      <c r="K777" s="2" t="s">
        <v>87</v>
      </c>
      <c r="L777" s="2">
        <v>0.87</v>
      </c>
      <c r="M777" s="2" t="s">
        <v>60</v>
      </c>
      <c r="N777" s="2" t="s">
        <v>75</v>
      </c>
      <c r="O777" s="2">
        <v>13</v>
      </c>
      <c r="P777" s="2" t="str">
        <f>IF(global_freelancer_raw[[#This Row],[No of projects ]]&lt;=5,"Entry level","Well Experienced")</f>
        <v>Well Experienced</v>
      </c>
      <c r="Q777" s="2">
        <v>6</v>
      </c>
    </row>
    <row r="778" spans="1:17" x14ac:dyDescent="0.3">
      <c r="A778" t="s">
        <v>1653</v>
      </c>
      <c r="B778" t="s">
        <v>1654</v>
      </c>
      <c r="C778" t="s">
        <v>97</v>
      </c>
      <c r="D778" s="2">
        <v>56</v>
      </c>
      <c r="E778" t="s">
        <v>197</v>
      </c>
      <c r="F778" t="s">
        <v>198</v>
      </c>
      <c r="G778" s="2" t="s">
        <v>21</v>
      </c>
      <c r="H778" s="2">
        <v>3</v>
      </c>
      <c r="I778" s="2" t="s">
        <v>86</v>
      </c>
      <c r="J778" s="2">
        <v>4.0999999999999996</v>
      </c>
      <c r="K778" s="2" t="s">
        <v>74</v>
      </c>
      <c r="L778" s="2">
        <v>0.89</v>
      </c>
      <c r="M778" s="2" t="s">
        <v>60</v>
      </c>
      <c r="N778" s="2" t="s">
        <v>42</v>
      </c>
      <c r="O778" s="2">
        <v>5</v>
      </c>
      <c r="P778" s="2" t="str">
        <f>IF(global_freelancer_raw[[#This Row],[No of projects ]]&lt;=5,"Entry level","Well Experienced")</f>
        <v>Entry level</v>
      </c>
      <c r="Q778" s="2">
        <v>1</v>
      </c>
    </row>
    <row r="779" spans="1:17" x14ac:dyDescent="0.3">
      <c r="A779" t="s">
        <v>1655</v>
      </c>
      <c r="B779" t="s">
        <v>1656</v>
      </c>
      <c r="C779" t="s">
        <v>118</v>
      </c>
      <c r="D779" s="2">
        <v>48</v>
      </c>
      <c r="E779" t="s">
        <v>79</v>
      </c>
      <c r="F779" t="s">
        <v>80</v>
      </c>
      <c r="G779" s="2" t="s">
        <v>46</v>
      </c>
      <c r="H779" s="2">
        <v>19</v>
      </c>
      <c r="I779" s="2" t="s">
        <v>86</v>
      </c>
      <c r="J779" s="2">
        <v>1.5</v>
      </c>
      <c r="K779" s="2" t="s">
        <v>23</v>
      </c>
      <c r="L779" s="2">
        <v>0.87</v>
      </c>
      <c r="M779" s="2" t="s">
        <v>88</v>
      </c>
      <c r="N779" s="2" t="s">
        <v>42</v>
      </c>
      <c r="O779" s="2">
        <v>14</v>
      </c>
      <c r="P779" s="2" t="str">
        <f>IF(global_freelancer_raw[[#This Row],[No of projects ]]&lt;=5,"Entry level","Well Experienced")</f>
        <v>Well Experienced</v>
      </c>
      <c r="Q779" s="2">
        <v>11</v>
      </c>
    </row>
    <row r="780" spans="1:17" x14ac:dyDescent="0.3">
      <c r="A780" t="s">
        <v>1657</v>
      </c>
      <c r="B780" t="s">
        <v>1658</v>
      </c>
      <c r="C780" t="s">
        <v>97</v>
      </c>
      <c r="D780" s="2">
        <v>31</v>
      </c>
      <c r="E780" t="s">
        <v>145</v>
      </c>
      <c r="F780" t="s">
        <v>146</v>
      </c>
      <c r="G780" s="2" t="s">
        <v>31</v>
      </c>
      <c r="H780" s="2">
        <v>11</v>
      </c>
      <c r="I780" s="2" t="s">
        <v>70</v>
      </c>
      <c r="J780" s="2">
        <v>4.3</v>
      </c>
      <c r="K780" s="2" t="s">
        <v>94</v>
      </c>
      <c r="L780" s="2">
        <v>0.76</v>
      </c>
      <c r="M780" s="2" t="s">
        <v>24</v>
      </c>
      <c r="N780" s="2" t="s">
        <v>75</v>
      </c>
      <c r="O780" s="2">
        <v>6</v>
      </c>
      <c r="P780" s="2" t="str">
        <f>IF(global_freelancer_raw[[#This Row],[No of projects ]]&lt;=5,"Entry level","Well Experienced")</f>
        <v>Well Experienced</v>
      </c>
      <c r="Q780" s="2">
        <v>3</v>
      </c>
    </row>
    <row r="781" spans="1:17" x14ac:dyDescent="0.3">
      <c r="A781" t="s">
        <v>1659</v>
      </c>
      <c r="B781" t="s">
        <v>1660</v>
      </c>
      <c r="C781" t="s">
        <v>118</v>
      </c>
      <c r="D781" s="2">
        <v>44</v>
      </c>
      <c r="E781" t="s">
        <v>29</v>
      </c>
      <c r="F781" t="s">
        <v>30</v>
      </c>
      <c r="G781" s="2" t="s">
        <v>135</v>
      </c>
      <c r="H781" s="2">
        <v>26</v>
      </c>
      <c r="I781" s="2" t="s">
        <v>40</v>
      </c>
      <c r="J781" s="2">
        <v>1.6</v>
      </c>
      <c r="K781" s="2" t="s">
        <v>2120</v>
      </c>
      <c r="L781" s="2">
        <v>1</v>
      </c>
      <c r="M781" s="2" t="s">
        <v>24</v>
      </c>
      <c r="N781" s="2" t="s">
        <v>42</v>
      </c>
      <c r="O781" s="2">
        <v>20</v>
      </c>
      <c r="P781" s="2" t="str">
        <f>IF(global_freelancer_raw[[#This Row],[No of projects ]]&lt;=5,"Entry level","Well Experienced")</f>
        <v>Well Experienced</v>
      </c>
      <c r="Q781" s="2">
        <v>8</v>
      </c>
    </row>
    <row r="782" spans="1:17" x14ac:dyDescent="0.3">
      <c r="A782" t="s">
        <v>1661</v>
      </c>
      <c r="B782" t="s">
        <v>1662</v>
      </c>
      <c r="C782" t="s">
        <v>97</v>
      </c>
      <c r="D782" s="2">
        <v>42</v>
      </c>
      <c r="E782" t="s">
        <v>160</v>
      </c>
      <c r="F782" t="s">
        <v>161</v>
      </c>
      <c r="G782" s="2" t="s">
        <v>31</v>
      </c>
      <c r="H782" s="2">
        <v>10</v>
      </c>
      <c r="I782" s="2" t="s">
        <v>22</v>
      </c>
      <c r="J782" s="2">
        <v>3.7</v>
      </c>
      <c r="K782" s="2" t="s">
        <v>94</v>
      </c>
      <c r="L782" s="2">
        <v>0.94</v>
      </c>
      <c r="M782" s="2" t="s">
        <v>24</v>
      </c>
      <c r="N782" s="2" t="s">
        <v>34</v>
      </c>
      <c r="O782" s="2">
        <v>8</v>
      </c>
      <c r="P782" s="2" t="str">
        <f>IF(global_freelancer_raw[[#This Row],[No of projects ]]&lt;=5,"Entry level","Well Experienced")</f>
        <v>Well Experienced</v>
      </c>
      <c r="Q782" s="2">
        <v>2</v>
      </c>
    </row>
    <row r="783" spans="1:17" x14ac:dyDescent="0.3">
      <c r="A783" t="s">
        <v>1663</v>
      </c>
      <c r="B783" t="s">
        <v>1664</v>
      </c>
      <c r="C783" t="s">
        <v>118</v>
      </c>
      <c r="D783" s="2">
        <v>59</v>
      </c>
      <c r="E783" t="s">
        <v>73</v>
      </c>
      <c r="F783" t="s">
        <v>30</v>
      </c>
      <c r="G783" s="2" t="s">
        <v>98</v>
      </c>
      <c r="H783" s="2">
        <v>17</v>
      </c>
      <c r="I783" s="2" t="s">
        <v>40</v>
      </c>
      <c r="J783" s="2">
        <v>1.4</v>
      </c>
      <c r="K783" s="2" t="s">
        <v>87</v>
      </c>
      <c r="L783" s="2" t="s">
        <v>2120</v>
      </c>
      <c r="M783" s="2" t="s">
        <v>24</v>
      </c>
      <c r="N783" s="2" t="s">
        <v>25</v>
      </c>
      <c r="O783" s="2">
        <v>20</v>
      </c>
      <c r="P783" s="2" t="str">
        <f>IF(global_freelancer_raw[[#This Row],[No of projects ]]&lt;=5,"Entry level","Well Experienced")</f>
        <v>Well Experienced</v>
      </c>
      <c r="Q783" s="2">
        <v>12</v>
      </c>
    </row>
    <row r="784" spans="1:17" x14ac:dyDescent="0.3">
      <c r="A784" t="s">
        <v>1665</v>
      </c>
      <c r="B784" t="s">
        <v>1666</v>
      </c>
      <c r="C784" t="s">
        <v>97</v>
      </c>
      <c r="D784" s="2" t="s">
        <v>2119</v>
      </c>
      <c r="E784" t="s">
        <v>91</v>
      </c>
      <c r="F784" t="s">
        <v>92</v>
      </c>
      <c r="G784" s="2" t="s">
        <v>21</v>
      </c>
      <c r="H784" s="2">
        <v>9</v>
      </c>
      <c r="I784" s="2" t="s">
        <v>251</v>
      </c>
      <c r="J784" s="2">
        <v>4.5</v>
      </c>
      <c r="K784" s="2" t="s">
        <v>94</v>
      </c>
      <c r="L784" s="2">
        <v>83</v>
      </c>
      <c r="M784" s="2" t="s">
        <v>88</v>
      </c>
      <c r="N784" s="2" t="s">
        <v>75</v>
      </c>
      <c r="O784" s="2">
        <v>15</v>
      </c>
      <c r="P784" s="2" t="str">
        <f>IF(global_freelancer_raw[[#This Row],[No of projects ]]&lt;=5,"Entry level","Well Experienced")</f>
        <v>Well Experienced</v>
      </c>
      <c r="Q784" s="2">
        <v>1</v>
      </c>
    </row>
    <row r="785" spans="1:17" x14ac:dyDescent="0.3">
      <c r="A785" t="s">
        <v>1667</v>
      </c>
      <c r="B785" t="s">
        <v>1668</v>
      </c>
      <c r="C785" t="s">
        <v>118</v>
      </c>
      <c r="D785" s="2">
        <v>21</v>
      </c>
      <c r="E785" t="s">
        <v>197</v>
      </c>
      <c r="F785" t="s">
        <v>198</v>
      </c>
      <c r="G785" s="2" t="s">
        <v>66</v>
      </c>
      <c r="H785" s="2">
        <v>0</v>
      </c>
      <c r="I785" s="2" t="s">
        <v>70</v>
      </c>
      <c r="J785" s="2">
        <v>3.7</v>
      </c>
      <c r="K785" s="2" t="s">
        <v>23</v>
      </c>
      <c r="L785" s="2">
        <v>0.74</v>
      </c>
      <c r="M785" s="2" t="s">
        <v>24</v>
      </c>
      <c r="N785" s="2" t="s">
        <v>42</v>
      </c>
      <c r="O785" s="2">
        <v>1</v>
      </c>
      <c r="P785" s="2" t="str">
        <f>IF(global_freelancer_raw[[#This Row],[No of projects ]]&lt;=5,"Entry level","Well Experienced")</f>
        <v>Entry level</v>
      </c>
      <c r="Q785" s="2">
        <v>1</v>
      </c>
    </row>
    <row r="786" spans="1:17" x14ac:dyDescent="0.3">
      <c r="A786" t="s">
        <v>1669</v>
      </c>
      <c r="B786" t="s">
        <v>1670</v>
      </c>
      <c r="C786" t="s">
        <v>118</v>
      </c>
      <c r="D786" s="2">
        <v>53</v>
      </c>
      <c r="E786" t="s">
        <v>85</v>
      </c>
      <c r="F786" t="s">
        <v>30</v>
      </c>
      <c r="G786" s="2" t="s">
        <v>110</v>
      </c>
      <c r="H786" s="2">
        <v>5</v>
      </c>
      <c r="I786" s="2" t="s">
        <v>103</v>
      </c>
      <c r="J786" s="2">
        <v>1.1000000000000001</v>
      </c>
      <c r="K786" s="2" t="s">
        <v>23</v>
      </c>
      <c r="L786" s="2">
        <v>92</v>
      </c>
      <c r="M786" s="2" t="s">
        <v>82</v>
      </c>
      <c r="N786" s="2" t="s">
        <v>75</v>
      </c>
      <c r="O786" s="2">
        <v>1</v>
      </c>
      <c r="P786" s="2" t="str">
        <f>IF(global_freelancer_raw[[#This Row],[No of projects ]]&lt;=5,"Entry level","Well Experienced")</f>
        <v>Entry level</v>
      </c>
      <c r="Q786" s="2">
        <v>1</v>
      </c>
    </row>
    <row r="787" spans="1:17" x14ac:dyDescent="0.3">
      <c r="A787" t="s">
        <v>1671</v>
      </c>
      <c r="B787" t="s">
        <v>1672</v>
      </c>
      <c r="C787" t="s">
        <v>118</v>
      </c>
      <c r="D787" s="2">
        <v>35</v>
      </c>
      <c r="E787" t="s">
        <v>91</v>
      </c>
      <c r="F787" t="s">
        <v>92</v>
      </c>
      <c r="G787" s="2" t="s">
        <v>31</v>
      </c>
      <c r="H787" s="2">
        <v>15</v>
      </c>
      <c r="I787" s="2" t="s">
        <v>2119</v>
      </c>
      <c r="J787" s="2">
        <v>3.7</v>
      </c>
      <c r="K787" s="2" t="s">
        <v>59</v>
      </c>
      <c r="L787" s="2">
        <v>0.66</v>
      </c>
      <c r="M787" s="2" t="s">
        <v>24</v>
      </c>
      <c r="N787" s="2" t="s">
        <v>34</v>
      </c>
      <c r="O787" s="2">
        <v>8</v>
      </c>
      <c r="P787" s="2" t="str">
        <f>IF(global_freelancer_raw[[#This Row],[No of projects ]]&lt;=5,"Entry level","Well Experienced")</f>
        <v>Well Experienced</v>
      </c>
      <c r="Q787" s="2">
        <v>7</v>
      </c>
    </row>
    <row r="788" spans="1:17" x14ac:dyDescent="0.3">
      <c r="A788" t="s">
        <v>1673</v>
      </c>
      <c r="B788" t="s">
        <v>1674</v>
      </c>
      <c r="C788" t="s">
        <v>97</v>
      </c>
      <c r="D788" s="2">
        <v>25</v>
      </c>
      <c r="E788" t="s">
        <v>128</v>
      </c>
      <c r="F788" t="s">
        <v>129</v>
      </c>
      <c r="G788" s="2" t="s">
        <v>135</v>
      </c>
      <c r="H788" s="2">
        <v>3</v>
      </c>
      <c r="I788" s="2" t="s">
        <v>81</v>
      </c>
      <c r="J788" s="2">
        <v>3.2</v>
      </c>
      <c r="K788" s="2" t="s">
        <v>74</v>
      </c>
      <c r="L788" s="2">
        <v>0.74</v>
      </c>
      <c r="M788" s="2" t="s">
        <v>60</v>
      </c>
      <c r="N788" s="2" t="s">
        <v>75</v>
      </c>
      <c r="O788" s="2">
        <v>2</v>
      </c>
      <c r="P788" s="2" t="str">
        <f>IF(global_freelancer_raw[[#This Row],[No of projects ]]&lt;=5,"Entry level","Well Experienced")</f>
        <v>Entry level</v>
      </c>
      <c r="Q788" s="2">
        <v>2</v>
      </c>
    </row>
    <row r="789" spans="1:17" x14ac:dyDescent="0.3">
      <c r="A789" t="s">
        <v>1675</v>
      </c>
      <c r="B789" t="s">
        <v>1676</v>
      </c>
      <c r="C789" t="s">
        <v>97</v>
      </c>
      <c r="D789" s="2">
        <v>23</v>
      </c>
      <c r="E789" t="s">
        <v>19</v>
      </c>
      <c r="F789" t="s">
        <v>20</v>
      </c>
      <c r="G789" s="2" t="s">
        <v>93</v>
      </c>
      <c r="H789" s="2">
        <v>1</v>
      </c>
      <c r="I789" s="2" t="s">
        <v>52</v>
      </c>
      <c r="J789" s="2">
        <v>5</v>
      </c>
      <c r="K789" s="2" t="s">
        <v>41</v>
      </c>
      <c r="L789" s="2">
        <v>0.97</v>
      </c>
      <c r="M789" s="2" t="s">
        <v>24</v>
      </c>
      <c r="N789" s="2" t="s">
        <v>75</v>
      </c>
      <c r="O789" s="2">
        <v>2</v>
      </c>
      <c r="P789" s="2" t="str">
        <f>IF(global_freelancer_raw[[#This Row],[No of projects ]]&lt;=5,"Entry level","Well Experienced")</f>
        <v>Entry level</v>
      </c>
      <c r="Q789" s="2">
        <v>1</v>
      </c>
    </row>
    <row r="790" spans="1:17" x14ac:dyDescent="0.3">
      <c r="A790" t="s">
        <v>1677</v>
      </c>
      <c r="B790" t="s">
        <v>1678</v>
      </c>
      <c r="C790" t="s">
        <v>97</v>
      </c>
      <c r="D790" s="2">
        <v>56</v>
      </c>
      <c r="E790" t="s">
        <v>160</v>
      </c>
      <c r="F790" t="s">
        <v>161</v>
      </c>
      <c r="G790" s="2" t="s">
        <v>39</v>
      </c>
      <c r="H790" s="2">
        <v>13</v>
      </c>
      <c r="I790" s="2" t="s">
        <v>52</v>
      </c>
      <c r="J790" s="2">
        <v>0</v>
      </c>
      <c r="K790" s="2" t="s">
        <v>2120</v>
      </c>
      <c r="L790" s="2">
        <v>77</v>
      </c>
      <c r="M790" s="2" t="s">
        <v>88</v>
      </c>
      <c r="N790" s="2" t="s">
        <v>42</v>
      </c>
      <c r="O790" s="2">
        <v>6</v>
      </c>
      <c r="P790" s="2" t="str">
        <f>IF(global_freelancer_raw[[#This Row],[No of projects ]]&lt;=5,"Entry level","Well Experienced")</f>
        <v>Well Experienced</v>
      </c>
      <c r="Q790" s="2">
        <v>7</v>
      </c>
    </row>
    <row r="791" spans="1:17" x14ac:dyDescent="0.3">
      <c r="A791" t="s">
        <v>1679</v>
      </c>
      <c r="B791" t="s">
        <v>1680</v>
      </c>
      <c r="C791" t="s">
        <v>97</v>
      </c>
      <c r="D791" s="2">
        <v>31</v>
      </c>
      <c r="E791" t="s">
        <v>201</v>
      </c>
      <c r="F791" t="s">
        <v>92</v>
      </c>
      <c r="G791" s="2" t="s">
        <v>93</v>
      </c>
      <c r="H791" s="2">
        <v>6</v>
      </c>
      <c r="I791" s="2" t="s">
        <v>2119</v>
      </c>
      <c r="J791" s="2">
        <v>3.5</v>
      </c>
      <c r="K791" s="2" t="s">
        <v>181</v>
      </c>
      <c r="L791" s="2">
        <v>0.86</v>
      </c>
      <c r="M791" s="2" t="s">
        <v>60</v>
      </c>
      <c r="N791" s="2" t="s">
        <v>34</v>
      </c>
      <c r="O791" s="2">
        <v>12</v>
      </c>
      <c r="P791" s="2" t="str">
        <f>IF(global_freelancer_raw[[#This Row],[No of projects ]]&lt;=5,"Entry level","Well Experienced")</f>
        <v>Well Experienced</v>
      </c>
      <c r="Q791" s="2">
        <v>2</v>
      </c>
    </row>
    <row r="792" spans="1:17" x14ac:dyDescent="0.3">
      <c r="A792" t="s">
        <v>1681</v>
      </c>
      <c r="B792" t="s">
        <v>1682</v>
      </c>
      <c r="C792" t="s">
        <v>118</v>
      </c>
      <c r="D792" s="2">
        <v>24</v>
      </c>
      <c r="E792" t="s">
        <v>73</v>
      </c>
      <c r="F792" t="s">
        <v>30</v>
      </c>
      <c r="G792" s="2" t="s">
        <v>98</v>
      </c>
      <c r="H792" s="2">
        <v>4</v>
      </c>
      <c r="I792" s="2" t="s">
        <v>40</v>
      </c>
      <c r="J792" s="2">
        <v>3.1</v>
      </c>
      <c r="K792" s="2" t="s">
        <v>59</v>
      </c>
      <c r="L792" s="2">
        <v>0.95</v>
      </c>
      <c r="M792" s="2" t="s">
        <v>88</v>
      </c>
      <c r="N792" s="2" t="s">
        <v>25</v>
      </c>
      <c r="O792" s="2">
        <v>5</v>
      </c>
      <c r="P792" s="2" t="str">
        <f>IF(global_freelancer_raw[[#This Row],[No of projects ]]&lt;=5,"Entry level","Well Experienced")</f>
        <v>Entry level</v>
      </c>
      <c r="Q792" s="2">
        <v>2</v>
      </c>
    </row>
    <row r="793" spans="1:17" x14ac:dyDescent="0.3">
      <c r="A793" t="s">
        <v>1683</v>
      </c>
      <c r="B793" t="s">
        <v>1684</v>
      </c>
      <c r="C793" t="s">
        <v>97</v>
      </c>
      <c r="D793" s="2">
        <v>35</v>
      </c>
      <c r="E793" t="s">
        <v>128</v>
      </c>
      <c r="F793" t="s">
        <v>129</v>
      </c>
      <c r="G793" s="2" t="s">
        <v>98</v>
      </c>
      <c r="H793" s="2">
        <v>7</v>
      </c>
      <c r="I793" s="2" t="s">
        <v>2119</v>
      </c>
      <c r="J793" s="2">
        <v>3.9</v>
      </c>
      <c r="K793" s="2" t="s">
        <v>23</v>
      </c>
      <c r="L793" s="2">
        <v>0.72</v>
      </c>
      <c r="M793" s="2" t="s">
        <v>88</v>
      </c>
      <c r="N793" s="2" t="s">
        <v>25</v>
      </c>
      <c r="O793" s="2">
        <v>6</v>
      </c>
      <c r="P793" s="2" t="str">
        <f>IF(global_freelancer_raw[[#This Row],[No of projects ]]&lt;=5,"Entry level","Well Experienced")</f>
        <v>Well Experienced</v>
      </c>
      <c r="Q793" s="2">
        <v>9</v>
      </c>
    </row>
    <row r="794" spans="1:17" x14ac:dyDescent="0.3">
      <c r="A794" t="s">
        <v>1685</v>
      </c>
      <c r="B794" t="s">
        <v>1686</v>
      </c>
      <c r="C794" t="s">
        <v>97</v>
      </c>
      <c r="D794" s="2">
        <v>20</v>
      </c>
      <c r="E794" t="s">
        <v>212</v>
      </c>
      <c r="F794" t="s">
        <v>92</v>
      </c>
      <c r="G794" s="2" t="s">
        <v>57</v>
      </c>
      <c r="H794" s="2">
        <v>1</v>
      </c>
      <c r="I794" s="2" t="s">
        <v>2119</v>
      </c>
      <c r="J794" s="2">
        <v>3.5</v>
      </c>
      <c r="K794" s="2" t="s">
        <v>23</v>
      </c>
      <c r="L794" s="2">
        <v>0.71</v>
      </c>
      <c r="M794" s="2" t="s">
        <v>60</v>
      </c>
      <c r="N794" s="2" t="s">
        <v>42</v>
      </c>
      <c r="O794" s="2">
        <v>3</v>
      </c>
      <c r="P794" s="2" t="str">
        <f>IF(global_freelancer_raw[[#This Row],[No of projects ]]&lt;=5,"Entry level","Well Experienced")</f>
        <v>Entry level</v>
      </c>
      <c r="Q794" s="2">
        <v>1</v>
      </c>
    </row>
    <row r="795" spans="1:17" x14ac:dyDescent="0.3">
      <c r="A795" t="s">
        <v>1687</v>
      </c>
      <c r="B795" t="s">
        <v>1688</v>
      </c>
      <c r="C795" t="s">
        <v>118</v>
      </c>
      <c r="D795" s="2">
        <v>26</v>
      </c>
      <c r="E795" t="s">
        <v>29</v>
      </c>
      <c r="F795" t="s">
        <v>30</v>
      </c>
      <c r="G795" s="2" t="s">
        <v>66</v>
      </c>
      <c r="H795" s="2">
        <v>5</v>
      </c>
      <c r="I795" s="2" t="s">
        <v>251</v>
      </c>
      <c r="J795" s="2">
        <v>2.5</v>
      </c>
      <c r="K795" s="2" t="s">
        <v>74</v>
      </c>
      <c r="L795" s="2">
        <v>0.93</v>
      </c>
      <c r="M795" s="2" t="s">
        <v>88</v>
      </c>
      <c r="N795" s="2" t="s">
        <v>75</v>
      </c>
      <c r="O795" s="2">
        <v>1</v>
      </c>
      <c r="P795" s="2" t="str">
        <f>IF(global_freelancer_raw[[#This Row],[No of projects ]]&lt;=5,"Entry level","Well Experienced")</f>
        <v>Entry level</v>
      </c>
      <c r="Q795" s="2">
        <v>1</v>
      </c>
    </row>
    <row r="796" spans="1:17" x14ac:dyDescent="0.3">
      <c r="A796" t="s">
        <v>1689</v>
      </c>
      <c r="B796" t="s">
        <v>1690</v>
      </c>
      <c r="C796" t="s">
        <v>118</v>
      </c>
      <c r="D796" s="2">
        <v>54</v>
      </c>
      <c r="E796" t="s">
        <v>85</v>
      </c>
      <c r="F796" t="s">
        <v>30</v>
      </c>
      <c r="G796" s="2" t="s">
        <v>110</v>
      </c>
      <c r="H796" s="2">
        <v>29</v>
      </c>
      <c r="I796" s="2" t="s">
        <v>70</v>
      </c>
      <c r="J796" s="2">
        <v>3.1</v>
      </c>
      <c r="K796" s="2" t="s">
        <v>33</v>
      </c>
      <c r="L796" s="2" t="s">
        <v>2120</v>
      </c>
      <c r="M796" s="2" t="s">
        <v>88</v>
      </c>
      <c r="N796" s="2" t="s">
        <v>42</v>
      </c>
      <c r="O796" s="2">
        <v>14</v>
      </c>
      <c r="P796" s="2" t="str">
        <f>IF(global_freelancer_raw[[#This Row],[No of projects ]]&lt;=5,"Entry level","Well Experienced")</f>
        <v>Well Experienced</v>
      </c>
      <c r="Q796" s="2">
        <v>12</v>
      </c>
    </row>
    <row r="797" spans="1:17" x14ac:dyDescent="0.3">
      <c r="A797" t="s">
        <v>1691</v>
      </c>
      <c r="B797" t="s">
        <v>1692</v>
      </c>
      <c r="C797" t="s">
        <v>118</v>
      </c>
      <c r="D797" s="2">
        <v>53</v>
      </c>
      <c r="E797" t="s">
        <v>145</v>
      </c>
      <c r="F797" t="s">
        <v>146</v>
      </c>
      <c r="G797" s="2" t="s">
        <v>98</v>
      </c>
      <c r="H797" s="2">
        <v>12</v>
      </c>
      <c r="I797" s="2" t="s">
        <v>22</v>
      </c>
      <c r="J797" s="2">
        <v>4.7</v>
      </c>
      <c r="K797" s="2" t="s">
        <v>33</v>
      </c>
      <c r="L797" s="2">
        <v>0.87</v>
      </c>
      <c r="M797" s="2" t="s">
        <v>24</v>
      </c>
      <c r="N797" s="2" t="s">
        <v>42</v>
      </c>
      <c r="O797" s="2">
        <v>10</v>
      </c>
      <c r="P797" s="2" t="str">
        <f>IF(global_freelancer_raw[[#This Row],[No of projects ]]&lt;=5,"Entry level","Well Experienced")</f>
        <v>Well Experienced</v>
      </c>
      <c r="Q797" s="2">
        <v>11</v>
      </c>
    </row>
    <row r="798" spans="1:17" x14ac:dyDescent="0.3">
      <c r="A798" t="s">
        <v>1693</v>
      </c>
      <c r="B798" t="s">
        <v>1694</v>
      </c>
      <c r="C798" t="s">
        <v>97</v>
      </c>
      <c r="D798" s="2">
        <v>33</v>
      </c>
      <c r="E798" t="s">
        <v>149</v>
      </c>
      <c r="F798" t="s">
        <v>30</v>
      </c>
      <c r="G798" s="2" t="s">
        <v>110</v>
      </c>
      <c r="H798" s="2">
        <v>4</v>
      </c>
      <c r="I798" s="2" t="s">
        <v>2119</v>
      </c>
      <c r="J798" s="2">
        <v>1.9</v>
      </c>
      <c r="K798" s="2" t="s">
        <v>59</v>
      </c>
      <c r="L798" s="2">
        <v>73</v>
      </c>
      <c r="M798" s="2" t="s">
        <v>82</v>
      </c>
      <c r="N798" s="2" t="s">
        <v>42</v>
      </c>
      <c r="O798" s="2">
        <v>2</v>
      </c>
      <c r="P798" s="2" t="str">
        <f>IF(global_freelancer_raw[[#This Row],[No of projects ]]&lt;=5,"Entry level","Well Experienced")</f>
        <v>Entry level</v>
      </c>
      <c r="Q798" s="2">
        <v>1</v>
      </c>
    </row>
    <row r="799" spans="1:17" x14ac:dyDescent="0.3">
      <c r="A799" t="s">
        <v>1695</v>
      </c>
      <c r="B799" t="s">
        <v>1696</v>
      </c>
      <c r="C799" t="s">
        <v>118</v>
      </c>
      <c r="D799" s="2">
        <v>43</v>
      </c>
      <c r="E799" t="s">
        <v>55</v>
      </c>
      <c r="F799" t="s">
        <v>56</v>
      </c>
      <c r="G799" s="2" t="s">
        <v>46</v>
      </c>
      <c r="H799" s="2">
        <v>12</v>
      </c>
      <c r="I799" s="2" t="s">
        <v>2119</v>
      </c>
      <c r="J799" s="2">
        <v>1.6</v>
      </c>
      <c r="K799" s="2" t="s">
        <v>33</v>
      </c>
      <c r="L799" s="2">
        <v>0.74</v>
      </c>
      <c r="M799" s="2" t="s">
        <v>88</v>
      </c>
      <c r="N799" s="2" t="s">
        <v>75</v>
      </c>
      <c r="O799" s="2">
        <v>6</v>
      </c>
      <c r="P799" s="2" t="str">
        <f>IF(global_freelancer_raw[[#This Row],[No of projects ]]&lt;=5,"Entry level","Well Experienced")</f>
        <v>Well Experienced</v>
      </c>
      <c r="Q799" s="2">
        <v>2</v>
      </c>
    </row>
    <row r="800" spans="1:17" x14ac:dyDescent="0.3">
      <c r="A800" t="s">
        <v>1697</v>
      </c>
      <c r="B800" t="s">
        <v>1698</v>
      </c>
      <c r="C800" t="s">
        <v>118</v>
      </c>
      <c r="D800" s="2">
        <v>37</v>
      </c>
      <c r="E800" t="s">
        <v>149</v>
      </c>
      <c r="F800" t="s">
        <v>30</v>
      </c>
      <c r="G800" s="2" t="s">
        <v>110</v>
      </c>
      <c r="H800" s="2">
        <v>3</v>
      </c>
      <c r="I800" s="2" t="s">
        <v>162</v>
      </c>
      <c r="J800" s="2">
        <v>2.5</v>
      </c>
      <c r="K800" s="2" t="s">
        <v>41</v>
      </c>
      <c r="L800" s="2">
        <v>0.62</v>
      </c>
      <c r="M800" s="2" t="s">
        <v>88</v>
      </c>
      <c r="N800" s="2" t="s">
        <v>34</v>
      </c>
      <c r="O800" s="2">
        <v>3</v>
      </c>
      <c r="P800" s="2" t="str">
        <f>IF(global_freelancer_raw[[#This Row],[No of projects ]]&lt;=5,"Entry level","Well Experienced")</f>
        <v>Entry level</v>
      </c>
      <c r="Q800" s="2">
        <v>1</v>
      </c>
    </row>
    <row r="801" spans="1:17" x14ac:dyDescent="0.3">
      <c r="A801" t="s">
        <v>1699</v>
      </c>
      <c r="B801" t="s">
        <v>1700</v>
      </c>
      <c r="C801" t="s">
        <v>97</v>
      </c>
      <c r="D801" s="2">
        <v>58</v>
      </c>
      <c r="E801" t="s">
        <v>156</v>
      </c>
      <c r="F801" t="s">
        <v>157</v>
      </c>
      <c r="G801" s="2" t="s">
        <v>66</v>
      </c>
      <c r="H801" s="2">
        <v>15</v>
      </c>
      <c r="I801" s="2" t="s">
        <v>162</v>
      </c>
      <c r="J801" s="2">
        <v>3.5</v>
      </c>
      <c r="K801" s="2" t="s">
        <v>2120</v>
      </c>
      <c r="L801" s="2">
        <v>0.98</v>
      </c>
      <c r="M801" s="2" t="s">
        <v>88</v>
      </c>
      <c r="N801" s="2" t="s">
        <v>42</v>
      </c>
      <c r="O801" s="2">
        <v>9</v>
      </c>
      <c r="P801" s="2" t="str">
        <f>IF(global_freelancer_raw[[#This Row],[No of projects ]]&lt;=5,"Entry level","Well Experienced")</f>
        <v>Well Experienced</v>
      </c>
      <c r="Q801" s="2">
        <v>12</v>
      </c>
    </row>
    <row r="802" spans="1:17" x14ac:dyDescent="0.3">
      <c r="A802" t="s">
        <v>1701</v>
      </c>
      <c r="B802" t="s">
        <v>1702</v>
      </c>
      <c r="C802" t="s">
        <v>97</v>
      </c>
      <c r="D802" s="2">
        <v>39</v>
      </c>
      <c r="E802" t="s">
        <v>212</v>
      </c>
      <c r="F802" t="s">
        <v>92</v>
      </c>
      <c r="G802" s="2" t="s">
        <v>31</v>
      </c>
      <c r="H802" s="2">
        <v>15</v>
      </c>
      <c r="I802" s="2" t="s">
        <v>40</v>
      </c>
      <c r="J802" s="2" t="s">
        <v>2120</v>
      </c>
      <c r="K802" s="2" t="s">
        <v>23</v>
      </c>
      <c r="L802" s="2">
        <v>0.8</v>
      </c>
      <c r="M802" s="2" t="s">
        <v>24</v>
      </c>
      <c r="N802" s="2" t="s">
        <v>75</v>
      </c>
      <c r="O802" s="2">
        <v>15</v>
      </c>
      <c r="P802" s="2" t="str">
        <f>IF(global_freelancer_raw[[#This Row],[No of projects ]]&lt;=5,"Entry level","Well Experienced")</f>
        <v>Well Experienced</v>
      </c>
      <c r="Q802" s="2">
        <v>2</v>
      </c>
    </row>
    <row r="803" spans="1:17" x14ac:dyDescent="0.3">
      <c r="A803" t="s">
        <v>1703</v>
      </c>
      <c r="B803" t="s">
        <v>1704</v>
      </c>
      <c r="C803" t="s">
        <v>118</v>
      </c>
      <c r="D803" s="2">
        <v>43</v>
      </c>
      <c r="E803" t="s">
        <v>79</v>
      </c>
      <c r="F803" t="s">
        <v>80</v>
      </c>
      <c r="G803" s="2" t="s">
        <v>39</v>
      </c>
      <c r="H803" s="2">
        <v>13</v>
      </c>
      <c r="I803" s="2" t="s">
        <v>336</v>
      </c>
      <c r="J803" s="2">
        <v>1.2</v>
      </c>
      <c r="K803" s="2" t="s">
        <v>94</v>
      </c>
      <c r="L803" s="2">
        <v>69</v>
      </c>
      <c r="M803" s="2" t="s">
        <v>82</v>
      </c>
      <c r="N803" s="2" t="s">
        <v>34</v>
      </c>
      <c r="O803" s="2">
        <v>14</v>
      </c>
      <c r="P803" s="2" t="str">
        <f>IF(global_freelancer_raw[[#This Row],[No of projects ]]&lt;=5,"Entry level","Well Experienced")</f>
        <v>Well Experienced</v>
      </c>
      <c r="Q803" s="2">
        <v>1</v>
      </c>
    </row>
    <row r="804" spans="1:17" x14ac:dyDescent="0.3">
      <c r="A804" t="s">
        <v>1705</v>
      </c>
      <c r="B804" t="s">
        <v>1706</v>
      </c>
      <c r="C804" t="s">
        <v>97</v>
      </c>
      <c r="D804" s="2">
        <v>40</v>
      </c>
      <c r="E804" t="s">
        <v>212</v>
      </c>
      <c r="F804" t="s">
        <v>92</v>
      </c>
      <c r="G804" s="2" t="s">
        <v>21</v>
      </c>
      <c r="H804" s="2">
        <v>20</v>
      </c>
      <c r="I804" s="2" t="s">
        <v>130</v>
      </c>
      <c r="J804" s="2" t="s">
        <v>2120</v>
      </c>
      <c r="K804" s="2" t="s">
        <v>59</v>
      </c>
      <c r="L804" s="2">
        <v>90</v>
      </c>
      <c r="M804" s="2" t="s">
        <v>60</v>
      </c>
      <c r="N804" s="2" t="s">
        <v>42</v>
      </c>
      <c r="O804" s="2">
        <v>11</v>
      </c>
      <c r="P804" s="2" t="str">
        <f>IF(global_freelancer_raw[[#This Row],[No of projects ]]&lt;=5,"Entry level","Well Experienced")</f>
        <v>Well Experienced</v>
      </c>
      <c r="Q804" s="2">
        <v>3</v>
      </c>
    </row>
    <row r="805" spans="1:17" x14ac:dyDescent="0.3">
      <c r="A805" t="s">
        <v>1707</v>
      </c>
      <c r="B805" t="s">
        <v>1708</v>
      </c>
      <c r="C805" t="s">
        <v>97</v>
      </c>
      <c r="D805" s="2">
        <v>51</v>
      </c>
      <c r="E805" t="s">
        <v>85</v>
      </c>
      <c r="F805" t="s">
        <v>30</v>
      </c>
      <c r="G805" s="2" t="s">
        <v>135</v>
      </c>
      <c r="H805" s="2">
        <v>30</v>
      </c>
      <c r="I805" s="2" t="s">
        <v>103</v>
      </c>
      <c r="J805" s="2" t="s">
        <v>2120</v>
      </c>
      <c r="K805" s="2" t="s">
        <v>74</v>
      </c>
      <c r="L805" s="2">
        <v>0.74</v>
      </c>
      <c r="M805" s="2" t="s">
        <v>24</v>
      </c>
      <c r="N805" s="2" t="s">
        <v>25</v>
      </c>
      <c r="O805" s="2">
        <v>20</v>
      </c>
      <c r="P805" s="2" t="str">
        <f>IF(global_freelancer_raw[[#This Row],[No of projects ]]&lt;=5,"Entry level","Well Experienced")</f>
        <v>Well Experienced</v>
      </c>
      <c r="Q805" s="2">
        <v>11</v>
      </c>
    </row>
    <row r="806" spans="1:17" x14ac:dyDescent="0.3">
      <c r="A806" t="s">
        <v>1709</v>
      </c>
      <c r="B806" t="s">
        <v>1710</v>
      </c>
      <c r="C806" t="s">
        <v>118</v>
      </c>
      <c r="D806" s="2">
        <v>23</v>
      </c>
      <c r="E806" t="s">
        <v>38</v>
      </c>
      <c r="F806" t="s">
        <v>38</v>
      </c>
      <c r="G806" s="2" t="s">
        <v>57</v>
      </c>
      <c r="H806" s="2">
        <v>4</v>
      </c>
      <c r="I806" s="2" t="s">
        <v>40</v>
      </c>
      <c r="J806" s="2">
        <v>4.5</v>
      </c>
      <c r="K806" s="2" t="s">
        <v>41</v>
      </c>
      <c r="L806" s="2">
        <v>0.98</v>
      </c>
      <c r="M806" s="2" t="s">
        <v>24</v>
      </c>
      <c r="N806" s="2" t="s">
        <v>34</v>
      </c>
      <c r="O806" s="2">
        <v>1</v>
      </c>
      <c r="P806" s="2" t="str">
        <f>IF(global_freelancer_raw[[#This Row],[No of projects ]]&lt;=5,"Entry level","Well Experienced")</f>
        <v>Entry level</v>
      </c>
      <c r="Q806" s="2">
        <v>3</v>
      </c>
    </row>
    <row r="807" spans="1:17" x14ac:dyDescent="0.3">
      <c r="A807" t="s">
        <v>1711</v>
      </c>
      <c r="B807" t="s">
        <v>1712</v>
      </c>
      <c r="C807" t="s">
        <v>97</v>
      </c>
      <c r="D807" s="2">
        <v>31</v>
      </c>
      <c r="E807" t="s">
        <v>64</v>
      </c>
      <c r="F807" t="s">
        <v>65</v>
      </c>
      <c r="G807" s="2" t="s">
        <v>39</v>
      </c>
      <c r="H807" s="2" t="s">
        <v>2120</v>
      </c>
      <c r="I807" s="2" t="s">
        <v>336</v>
      </c>
      <c r="J807" s="2" t="s">
        <v>2120</v>
      </c>
      <c r="K807" s="2" t="s">
        <v>94</v>
      </c>
      <c r="L807" s="2">
        <v>0.84</v>
      </c>
      <c r="M807" s="2" t="s">
        <v>82</v>
      </c>
      <c r="N807" s="2" t="s">
        <v>42</v>
      </c>
      <c r="O807" s="2">
        <v>5</v>
      </c>
      <c r="P807" s="2" t="str">
        <f>IF(global_freelancer_raw[[#This Row],[No of projects ]]&lt;=5,"Entry level","Well Experienced")</f>
        <v>Entry level</v>
      </c>
      <c r="Q807" s="2">
        <v>1</v>
      </c>
    </row>
    <row r="808" spans="1:17" x14ac:dyDescent="0.3">
      <c r="A808" t="s">
        <v>1713</v>
      </c>
      <c r="B808" t="s">
        <v>1714</v>
      </c>
      <c r="C808" t="s">
        <v>97</v>
      </c>
      <c r="D808" s="2">
        <v>44</v>
      </c>
      <c r="E808" t="s">
        <v>145</v>
      </c>
      <c r="F808" t="s">
        <v>146</v>
      </c>
      <c r="G808" s="2" t="s">
        <v>46</v>
      </c>
      <c r="H808" s="2">
        <v>3</v>
      </c>
      <c r="I808" s="2" t="s">
        <v>142</v>
      </c>
      <c r="J808" s="2">
        <v>5</v>
      </c>
      <c r="K808" s="2" t="s">
        <v>87</v>
      </c>
      <c r="L808" s="2">
        <v>0.75</v>
      </c>
      <c r="M808" s="2" t="s">
        <v>82</v>
      </c>
      <c r="N808" s="2" t="s">
        <v>34</v>
      </c>
      <c r="O808" s="2">
        <v>4</v>
      </c>
      <c r="P808" s="2" t="str">
        <f>IF(global_freelancer_raw[[#This Row],[No of projects ]]&lt;=5,"Entry level","Well Experienced")</f>
        <v>Entry level</v>
      </c>
      <c r="Q808" s="2">
        <v>2</v>
      </c>
    </row>
    <row r="809" spans="1:17" x14ac:dyDescent="0.3">
      <c r="A809" t="s">
        <v>1715</v>
      </c>
      <c r="B809" t="s">
        <v>1716</v>
      </c>
      <c r="C809" t="s">
        <v>118</v>
      </c>
      <c r="D809" s="2">
        <v>56</v>
      </c>
      <c r="E809" t="s">
        <v>38</v>
      </c>
      <c r="F809" t="s">
        <v>38</v>
      </c>
      <c r="G809" s="2" t="s">
        <v>31</v>
      </c>
      <c r="H809" s="2">
        <v>23</v>
      </c>
      <c r="I809" s="2" t="s">
        <v>103</v>
      </c>
      <c r="J809" s="2">
        <v>3.9</v>
      </c>
      <c r="K809" s="2" t="s">
        <v>33</v>
      </c>
      <c r="L809" s="2" t="s">
        <v>2120</v>
      </c>
      <c r="M809" s="2" t="s">
        <v>24</v>
      </c>
      <c r="N809" s="2" t="s">
        <v>34</v>
      </c>
      <c r="O809" s="2">
        <v>14</v>
      </c>
      <c r="P809" s="2" t="str">
        <f>IF(global_freelancer_raw[[#This Row],[No of projects ]]&lt;=5,"Entry level","Well Experienced")</f>
        <v>Well Experienced</v>
      </c>
      <c r="Q809" s="2">
        <v>7</v>
      </c>
    </row>
    <row r="810" spans="1:17" x14ac:dyDescent="0.3">
      <c r="A810" t="s">
        <v>1717</v>
      </c>
      <c r="B810" t="s">
        <v>1718</v>
      </c>
      <c r="C810" t="s">
        <v>97</v>
      </c>
      <c r="D810" s="2">
        <v>48</v>
      </c>
      <c r="E810" t="s">
        <v>29</v>
      </c>
      <c r="F810" t="s">
        <v>30</v>
      </c>
      <c r="G810" s="2" t="s">
        <v>98</v>
      </c>
      <c r="H810" s="2">
        <v>5</v>
      </c>
      <c r="I810" s="2" t="s">
        <v>251</v>
      </c>
      <c r="J810" s="2">
        <v>1.8</v>
      </c>
      <c r="K810" s="2" t="s">
        <v>74</v>
      </c>
      <c r="L810" s="2">
        <v>0.97</v>
      </c>
      <c r="M810" s="2" t="s">
        <v>60</v>
      </c>
      <c r="N810" s="2" t="s">
        <v>34</v>
      </c>
      <c r="O810" s="2">
        <v>3</v>
      </c>
      <c r="P810" s="2" t="str">
        <f>IF(global_freelancer_raw[[#This Row],[No of projects ]]&lt;=5,"Entry level","Well Experienced")</f>
        <v>Entry level</v>
      </c>
      <c r="Q810" s="2">
        <v>3</v>
      </c>
    </row>
    <row r="811" spans="1:17" x14ac:dyDescent="0.3">
      <c r="A811" t="s">
        <v>1719</v>
      </c>
      <c r="B811" t="s">
        <v>1720</v>
      </c>
      <c r="C811" t="s">
        <v>97</v>
      </c>
      <c r="D811" s="2">
        <v>46</v>
      </c>
      <c r="E811" t="s">
        <v>145</v>
      </c>
      <c r="F811" t="s">
        <v>146</v>
      </c>
      <c r="G811" s="2" t="s">
        <v>46</v>
      </c>
      <c r="H811" s="2">
        <v>28</v>
      </c>
      <c r="I811" s="2" t="s">
        <v>52</v>
      </c>
      <c r="J811" s="2">
        <v>4.2</v>
      </c>
      <c r="K811" s="2" t="s">
        <v>74</v>
      </c>
      <c r="L811" s="2" t="s">
        <v>2120</v>
      </c>
      <c r="M811" s="2" t="s">
        <v>24</v>
      </c>
      <c r="N811" s="2" t="s">
        <v>34</v>
      </c>
      <c r="O811" s="2">
        <v>16</v>
      </c>
      <c r="P811" s="2" t="str">
        <f>IF(global_freelancer_raw[[#This Row],[No of projects ]]&lt;=5,"Entry level","Well Experienced")</f>
        <v>Well Experienced</v>
      </c>
      <c r="Q811" s="2">
        <v>9</v>
      </c>
    </row>
    <row r="812" spans="1:17" x14ac:dyDescent="0.3">
      <c r="A812" t="s">
        <v>1721</v>
      </c>
      <c r="B812" t="s">
        <v>1722</v>
      </c>
      <c r="C812" t="s">
        <v>118</v>
      </c>
      <c r="D812" s="2">
        <v>21</v>
      </c>
      <c r="E812" t="s">
        <v>160</v>
      </c>
      <c r="F812" t="s">
        <v>161</v>
      </c>
      <c r="G812" s="2" t="s">
        <v>57</v>
      </c>
      <c r="H812" s="2">
        <v>0</v>
      </c>
      <c r="I812" s="2" t="s">
        <v>162</v>
      </c>
      <c r="J812" s="2">
        <v>2.6</v>
      </c>
      <c r="K812" s="2" t="s">
        <v>181</v>
      </c>
      <c r="L812" s="2">
        <v>0.64</v>
      </c>
      <c r="M812" s="2" t="s">
        <v>82</v>
      </c>
      <c r="N812" s="2" t="s">
        <v>34</v>
      </c>
      <c r="O812" s="2">
        <v>3</v>
      </c>
      <c r="P812" s="2" t="str">
        <f>IF(global_freelancer_raw[[#This Row],[No of projects ]]&lt;=5,"Entry level","Well Experienced")</f>
        <v>Entry level</v>
      </c>
      <c r="Q812" s="2">
        <v>2</v>
      </c>
    </row>
    <row r="813" spans="1:17" x14ac:dyDescent="0.3">
      <c r="A813" t="s">
        <v>1723</v>
      </c>
      <c r="B813" t="s">
        <v>1724</v>
      </c>
      <c r="C813" t="s">
        <v>118</v>
      </c>
      <c r="D813" s="2">
        <v>52</v>
      </c>
      <c r="E813" t="s">
        <v>145</v>
      </c>
      <c r="F813" t="s">
        <v>146</v>
      </c>
      <c r="G813" s="2" t="s">
        <v>66</v>
      </c>
      <c r="H813" s="2">
        <v>30</v>
      </c>
      <c r="I813" s="2" t="s">
        <v>52</v>
      </c>
      <c r="J813" s="2">
        <v>2</v>
      </c>
      <c r="K813" s="2" t="s">
        <v>33</v>
      </c>
      <c r="L813" s="2">
        <v>0.68</v>
      </c>
      <c r="M813" s="2" t="s">
        <v>60</v>
      </c>
      <c r="N813" s="2" t="s">
        <v>34</v>
      </c>
      <c r="O813" s="2">
        <v>10</v>
      </c>
      <c r="P813" s="2" t="str">
        <f>IF(global_freelancer_raw[[#This Row],[No of projects ]]&lt;=5,"Entry level","Well Experienced")</f>
        <v>Well Experienced</v>
      </c>
      <c r="Q813" s="2">
        <v>6</v>
      </c>
    </row>
    <row r="814" spans="1:17" x14ac:dyDescent="0.3">
      <c r="A814" t="s">
        <v>1725</v>
      </c>
      <c r="B814" t="s">
        <v>1726</v>
      </c>
      <c r="C814" t="s">
        <v>97</v>
      </c>
      <c r="D814" s="2">
        <v>39</v>
      </c>
      <c r="E814" t="s">
        <v>145</v>
      </c>
      <c r="F814" t="s">
        <v>146</v>
      </c>
      <c r="G814" s="2" t="s">
        <v>39</v>
      </c>
      <c r="H814" s="2">
        <v>20</v>
      </c>
      <c r="I814" s="2" t="s">
        <v>192</v>
      </c>
      <c r="J814" s="2">
        <v>2.7</v>
      </c>
      <c r="K814" s="2" t="s">
        <v>33</v>
      </c>
      <c r="L814" s="2">
        <v>0.67</v>
      </c>
      <c r="M814" s="2" t="s">
        <v>82</v>
      </c>
      <c r="N814" s="2" t="s">
        <v>42</v>
      </c>
      <c r="O814" s="2">
        <v>12</v>
      </c>
      <c r="P814" s="2" t="str">
        <f>IF(global_freelancer_raw[[#This Row],[No of projects ]]&lt;=5,"Entry level","Well Experienced")</f>
        <v>Well Experienced</v>
      </c>
      <c r="Q814" s="2">
        <v>2</v>
      </c>
    </row>
    <row r="815" spans="1:17" x14ac:dyDescent="0.3">
      <c r="A815" t="s">
        <v>1727</v>
      </c>
      <c r="B815" t="s">
        <v>1728</v>
      </c>
      <c r="C815" t="s">
        <v>97</v>
      </c>
      <c r="D815" s="2">
        <v>31</v>
      </c>
      <c r="E815" t="s">
        <v>29</v>
      </c>
      <c r="F815" t="s">
        <v>30</v>
      </c>
      <c r="G815" s="2" t="s">
        <v>31</v>
      </c>
      <c r="H815" s="2">
        <v>0</v>
      </c>
      <c r="I815" s="2" t="s">
        <v>52</v>
      </c>
      <c r="J815" s="2">
        <v>2.2999999999999998</v>
      </c>
      <c r="K815" s="2" t="s">
        <v>181</v>
      </c>
      <c r="L815" s="2">
        <v>0.79</v>
      </c>
      <c r="M815" s="2" t="s">
        <v>60</v>
      </c>
      <c r="N815" s="2" t="s">
        <v>25</v>
      </c>
      <c r="O815" s="2">
        <v>2</v>
      </c>
      <c r="P815" s="2" t="str">
        <f>IF(global_freelancer_raw[[#This Row],[No of projects ]]&lt;=5,"Entry level","Well Experienced")</f>
        <v>Entry level</v>
      </c>
      <c r="Q815" s="2">
        <v>1</v>
      </c>
    </row>
    <row r="816" spans="1:17" x14ac:dyDescent="0.3">
      <c r="A816" t="s">
        <v>1729</v>
      </c>
      <c r="B816" t="s">
        <v>1730</v>
      </c>
      <c r="C816" t="s">
        <v>118</v>
      </c>
      <c r="D816" s="2">
        <v>22</v>
      </c>
      <c r="E816" t="s">
        <v>133</v>
      </c>
      <c r="F816" t="s">
        <v>134</v>
      </c>
      <c r="G816" s="2" t="s">
        <v>93</v>
      </c>
      <c r="H816" s="2">
        <v>4</v>
      </c>
      <c r="I816" s="2" t="s">
        <v>47</v>
      </c>
      <c r="J816" s="2">
        <v>3.8</v>
      </c>
      <c r="K816" s="2" t="s">
        <v>74</v>
      </c>
      <c r="L816" s="2">
        <v>1</v>
      </c>
      <c r="M816" s="2" t="s">
        <v>88</v>
      </c>
      <c r="N816" s="2" t="s">
        <v>75</v>
      </c>
      <c r="O816" s="2">
        <v>2</v>
      </c>
      <c r="P816" s="2" t="str">
        <f>IF(global_freelancer_raw[[#This Row],[No of projects ]]&lt;=5,"Entry level","Well Experienced")</f>
        <v>Entry level</v>
      </c>
      <c r="Q816" s="2">
        <v>2</v>
      </c>
    </row>
    <row r="817" spans="1:17" x14ac:dyDescent="0.3">
      <c r="A817" t="s">
        <v>1731</v>
      </c>
      <c r="B817" t="s">
        <v>1732</v>
      </c>
      <c r="C817" t="s">
        <v>97</v>
      </c>
      <c r="D817" s="2">
        <v>38</v>
      </c>
      <c r="E817" t="s">
        <v>85</v>
      </c>
      <c r="F817" t="s">
        <v>30</v>
      </c>
      <c r="G817" s="2" t="s">
        <v>93</v>
      </c>
      <c r="H817" s="2">
        <v>10</v>
      </c>
      <c r="I817" s="2" t="s">
        <v>86</v>
      </c>
      <c r="J817" s="2" t="s">
        <v>2120</v>
      </c>
      <c r="K817" s="2" t="s">
        <v>41</v>
      </c>
      <c r="L817" s="2">
        <v>0.66</v>
      </c>
      <c r="M817" s="2" t="s">
        <v>82</v>
      </c>
      <c r="N817" s="2" t="s">
        <v>34</v>
      </c>
      <c r="O817" s="2">
        <v>11</v>
      </c>
      <c r="P817" s="2" t="str">
        <f>IF(global_freelancer_raw[[#This Row],[No of projects ]]&lt;=5,"Entry level","Well Experienced")</f>
        <v>Well Experienced</v>
      </c>
      <c r="Q817" s="2">
        <v>13</v>
      </c>
    </row>
    <row r="818" spans="1:17" x14ac:dyDescent="0.3">
      <c r="A818" t="s">
        <v>1733</v>
      </c>
      <c r="B818" t="s">
        <v>1734</v>
      </c>
      <c r="C818" t="s">
        <v>118</v>
      </c>
      <c r="D818" s="2">
        <v>44</v>
      </c>
      <c r="E818" t="s">
        <v>91</v>
      </c>
      <c r="F818" t="s">
        <v>92</v>
      </c>
      <c r="G818" s="2" t="s">
        <v>39</v>
      </c>
      <c r="H818" s="2">
        <v>24</v>
      </c>
      <c r="I818" s="2" t="s">
        <v>67</v>
      </c>
      <c r="J818" s="2">
        <v>4.5999999999999996</v>
      </c>
      <c r="K818" s="2" t="s">
        <v>181</v>
      </c>
      <c r="L818" s="2">
        <v>0.97</v>
      </c>
      <c r="M818" s="2" t="s">
        <v>82</v>
      </c>
      <c r="N818" s="2" t="s">
        <v>75</v>
      </c>
      <c r="O818" s="2">
        <v>19</v>
      </c>
      <c r="P818" s="2" t="str">
        <f>IF(global_freelancer_raw[[#This Row],[No of projects ]]&lt;=5,"Entry level","Well Experienced")</f>
        <v>Well Experienced</v>
      </c>
      <c r="Q818" s="2">
        <v>4</v>
      </c>
    </row>
    <row r="819" spans="1:17" x14ac:dyDescent="0.3">
      <c r="A819" t="s">
        <v>1735</v>
      </c>
      <c r="B819" t="s">
        <v>1736</v>
      </c>
      <c r="C819" t="s">
        <v>118</v>
      </c>
      <c r="D819" s="2">
        <v>53</v>
      </c>
      <c r="E819" t="s">
        <v>64</v>
      </c>
      <c r="F819" t="s">
        <v>65</v>
      </c>
      <c r="G819" s="2" t="s">
        <v>135</v>
      </c>
      <c r="H819" s="2">
        <v>21</v>
      </c>
      <c r="I819" s="2" t="s">
        <v>22</v>
      </c>
      <c r="J819" s="2">
        <v>3.4</v>
      </c>
      <c r="K819" s="2" t="s">
        <v>23</v>
      </c>
      <c r="L819" s="2">
        <v>0.62</v>
      </c>
      <c r="M819" s="2" t="s">
        <v>24</v>
      </c>
      <c r="N819" s="2" t="s">
        <v>42</v>
      </c>
      <c r="O819" s="2">
        <v>17</v>
      </c>
      <c r="P819" s="2" t="str">
        <f>IF(global_freelancer_raw[[#This Row],[No of projects ]]&lt;=5,"Entry level","Well Experienced")</f>
        <v>Well Experienced</v>
      </c>
      <c r="Q819" s="2">
        <v>3</v>
      </c>
    </row>
    <row r="820" spans="1:17" x14ac:dyDescent="0.3">
      <c r="A820" t="s">
        <v>1737</v>
      </c>
      <c r="B820" t="s">
        <v>1738</v>
      </c>
      <c r="C820" t="s">
        <v>118</v>
      </c>
      <c r="D820" s="2">
        <v>22</v>
      </c>
      <c r="E820" t="s">
        <v>197</v>
      </c>
      <c r="F820" t="s">
        <v>198</v>
      </c>
      <c r="G820" s="2" t="s">
        <v>66</v>
      </c>
      <c r="H820" s="2">
        <v>2</v>
      </c>
      <c r="I820" s="2" t="s">
        <v>336</v>
      </c>
      <c r="J820" s="2" t="s">
        <v>2120</v>
      </c>
      <c r="K820" s="2" t="s">
        <v>181</v>
      </c>
      <c r="L820" s="2" t="s">
        <v>2120</v>
      </c>
      <c r="M820" s="2" t="s">
        <v>82</v>
      </c>
      <c r="N820" s="2" t="s">
        <v>34</v>
      </c>
      <c r="O820" s="2">
        <v>5</v>
      </c>
      <c r="P820" s="2" t="str">
        <f>IF(global_freelancer_raw[[#This Row],[No of projects ]]&lt;=5,"Entry level","Well Experienced")</f>
        <v>Entry level</v>
      </c>
      <c r="Q820" s="2">
        <v>1</v>
      </c>
    </row>
    <row r="821" spans="1:17" x14ac:dyDescent="0.3">
      <c r="A821" t="s">
        <v>1739</v>
      </c>
      <c r="B821" t="s">
        <v>1740</v>
      </c>
      <c r="C821" t="s">
        <v>97</v>
      </c>
      <c r="D821" s="2">
        <v>40</v>
      </c>
      <c r="E821" t="s">
        <v>114</v>
      </c>
      <c r="F821" t="s">
        <v>115</v>
      </c>
      <c r="G821" s="2" t="s">
        <v>21</v>
      </c>
      <c r="H821" s="2">
        <v>14</v>
      </c>
      <c r="I821" s="2" t="s">
        <v>103</v>
      </c>
      <c r="J821" s="2">
        <v>0</v>
      </c>
      <c r="K821" s="2" t="s">
        <v>33</v>
      </c>
      <c r="L821" s="2">
        <v>0.79</v>
      </c>
      <c r="M821" s="2" t="s">
        <v>82</v>
      </c>
      <c r="N821" s="2" t="s">
        <v>25</v>
      </c>
      <c r="O821" s="2">
        <v>14</v>
      </c>
      <c r="P821" s="2" t="str">
        <f>IF(global_freelancer_raw[[#This Row],[No of projects ]]&lt;=5,"Entry level","Well Experienced")</f>
        <v>Well Experienced</v>
      </c>
      <c r="Q821" s="2">
        <v>1</v>
      </c>
    </row>
    <row r="822" spans="1:17" x14ac:dyDescent="0.3">
      <c r="A822" t="s">
        <v>1741</v>
      </c>
      <c r="B822" t="s">
        <v>1742</v>
      </c>
      <c r="C822" t="s">
        <v>97</v>
      </c>
      <c r="D822" s="2">
        <v>49</v>
      </c>
      <c r="E822" t="s">
        <v>197</v>
      </c>
      <c r="F822" t="s">
        <v>198</v>
      </c>
      <c r="G822" s="2" t="s">
        <v>31</v>
      </c>
      <c r="H822" s="2">
        <v>15</v>
      </c>
      <c r="I822" s="2" t="s">
        <v>86</v>
      </c>
      <c r="J822" s="2">
        <v>3.9</v>
      </c>
      <c r="K822" s="2" t="s">
        <v>59</v>
      </c>
      <c r="L822" s="2">
        <v>0.86</v>
      </c>
      <c r="M822" s="2" t="s">
        <v>88</v>
      </c>
      <c r="N822" s="2" t="s">
        <v>75</v>
      </c>
      <c r="O822" s="2">
        <v>15</v>
      </c>
      <c r="P822" s="2" t="str">
        <f>IF(global_freelancer_raw[[#This Row],[No of projects ]]&lt;=5,"Entry level","Well Experienced")</f>
        <v>Well Experienced</v>
      </c>
      <c r="Q822" s="2">
        <v>11</v>
      </c>
    </row>
    <row r="823" spans="1:17" x14ac:dyDescent="0.3">
      <c r="A823" t="s">
        <v>1743</v>
      </c>
      <c r="B823" t="s">
        <v>1744</v>
      </c>
      <c r="C823" t="s">
        <v>118</v>
      </c>
      <c r="D823" s="2">
        <v>30</v>
      </c>
      <c r="E823" t="s">
        <v>29</v>
      </c>
      <c r="F823" t="s">
        <v>30</v>
      </c>
      <c r="G823" s="2" t="s">
        <v>93</v>
      </c>
      <c r="H823" s="2">
        <v>11</v>
      </c>
      <c r="I823" s="2" t="s">
        <v>58</v>
      </c>
      <c r="J823" s="2">
        <v>4.2</v>
      </c>
      <c r="K823" s="2" t="s">
        <v>23</v>
      </c>
      <c r="L823" s="2">
        <v>0.65</v>
      </c>
      <c r="M823" s="2" t="s">
        <v>82</v>
      </c>
      <c r="N823" s="2" t="s">
        <v>34</v>
      </c>
      <c r="O823" s="2">
        <v>13</v>
      </c>
      <c r="P823" s="2" t="str">
        <f>IF(global_freelancer_raw[[#This Row],[No of projects ]]&lt;=5,"Entry level","Well Experienced")</f>
        <v>Well Experienced</v>
      </c>
      <c r="Q823" s="2">
        <v>5</v>
      </c>
    </row>
    <row r="824" spans="1:17" x14ac:dyDescent="0.3">
      <c r="A824" t="s">
        <v>1745</v>
      </c>
      <c r="B824" t="s">
        <v>1746</v>
      </c>
      <c r="C824" t="s">
        <v>97</v>
      </c>
      <c r="D824" s="2">
        <v>37</v>
      </c>
      <c r="E824" t="s">
        <v>106</v>
      </c>
      <c r="F824" t="s">
        <v>107</v>
      </c>
      <c r="G824" s="2" t="s">
        <v>57</v>
      </c>
      <c r="H824" s="2">
        <v>6</v>
      </c>
      <c r="I824" s="2" t="s">
        <v>162</v>
      </c>
      <c r="J824" s="2" t="s">
        <v>2120</v>
      </c>
      <c r="K824" s="2" t="s">
        <v>2120</v>
      </c>
      <c r="L824" s="2">
        <v>0.99</v>
      </c>
      <c r="M824" s="2" t="s">
        <v>88</v>
      </c>
      <c r="N824" s="2" t="s">
        <v>42</v>
      </c>
      <c r="O824" s="2">
        <v>14</v>
      </c>
      <c r="P824" s="2" t="str">
        <f>IF(global_freelancer_raw[[#This Row],[No of projects ]]&lt;=5,"Entry level","Well Experienced")</f>
        <v>Well Experienced</v>
      </c>
      <c r="Q824" s="2">
        <v>6</v>
      </c>
    </row>
    <row r="825" spans="1:17" x14ac:dyDescent="0.3">
      <c r="A825" t="s">
        <v>1747</v>
      </c>
      <c r="B825" t="s">
        <v>1748</v>
      </c>
      <c r="C825" t="s">
        <v>118</v>
      </c>
      <c r="D825" s="2">
        <v>21</v>
      </c>
      <c r="E825" t="s">
        <v>160</v>
      </c>
      <c r="F825" t="s">
        <v>161</v>
      </c>
      <c r="G825" s="2" t="s">
        <v>39</v>
      </c>
      <c r="H825" s="2">
        <v>2</v>
      </c>
      <c r="I825" s="2" t="s">
        <v>22</v>
      </c>
      <c r="J825" s="2">
        <v>3.6</v>
      </c>
      <c r="K825" s="2" t="s">
        <v>59</v>
      </c>
      <c r="L825" s="2">
        <v>85</v>
      </c>
      <c r="M825" s="2" t="s">
        <v>88</v>
      </c>
      <c r="N825" s="2" t="s">
        <v>25</v>
      </c>
      <c r="O825" s="2">
        <v>3</v>
      </c>
      <c r="P825" s="2" t="str">
        <f>IF(global_freelancer_raw[[#This Row],[No of projects ]]&lt;=5,"Entry level","Well Experienced")</f>
        <v>Entry level</v>
      </c>
      <c r="Q825" s="2">
        <v>2</v>
      </c>
    </row>
    <row r="826" spans="1:17" x14ac:dyDescent="0.3">
      <c r="A826" t="s">
        <v>1749</v>
      </c>
      <c r="B826" t="s">
        <v>1750</v>
      </c>
      <c r="C826" t="s">
        <v>118</v>
      </c>
      <c r="D826" s="2">
        <v>20</v>
      </c>
      <c r="E826" t="s">
        <v>133</v>
      </c>
      <c r="F826" t="s">
        <v>134</v>
      </c>
      <c r="G826" s="2" t="s">
        <v>57</v>
      </c>
      <c r="H826" s="2">
        <v>1</v>
      </c>
      <c r="I826" s="2" t="s">
        <v>119</v>
      </c>
      <c r="J826" s="2" t="s">
        <v>2120</v>
      </c>
      <c r="K826" s="2" t="s">
        <v>87</v>
      </c>
      <c r="L826" s="2">
        <v>0.81</v>
      </c>
      <c r="M826" s="2" t="s">
        <v>88</v>
      </c>
      <c r="N826" s="2" t="s">
        <v>75</v>
      </c>
      <c r="O826" s="2">
        <v>5</v>
      </c>
      <c r="P826" s="2" t="str">
        <f>IF(global_freelancer_raw[[#This Row],[No of projects ]]&lt;=5,"Entry level","Well Experienced")</f>
        <v>Entry level</v>
      </c>
      <c r="Q826" s="2">
        <v>1</v>
      </c>
    </row>
    <row r="827" spans="1:17" x14ac:dyDescent="0.3">
      <c r="A827" t="s">
        <v>1751</v>
      </c>
      <c r="B827" t="s">
        <v>1752</v>
      </c>
      <c r="C827" t="s">
        <v>118</v>
      </c>
      <c r="D827" s="2">
        <v>20</v>
      </c>
      <c r="E827" t="s">
        <v>197</v>
      </c>
      <c r="F827" t="s">
        <v>198</v>
      </c>
      <c r="G827" s="2" t="s">
        <v>66</v>
      </c>
      <c r="H827" s="2">
        <v>2</v>
      </c>
      <c r="I827" s="2" t="s">
        <v>47</v>
      </c>
      <c r="J827" s="2">
        <v>2.1</v>
      </c>
      <c r="K827" s="2" t="s">
        <v>41</v>
      </c>
      <c r="L827" s="2">
        <v>0.64</v>
      </c>
      <c r="M827" s="2" t="s">
        <v>88</v>
      </c>
      <c r="N827" s="2" t="s">
        <v>75</v>
      </c>
      <c r="O827" s="2">
        <v>1</v>
      </c>
      <c r="P827" s="2" t="str">
        <f>IF(global_freelancer_raw[[#This Row],[No of projects ]]&lt;=5,"Entry level","Well Experienced")</f>
        <v>Entry level</v>
      </c>
      <c r="Q827" s="2">
        <v>1</v>
      </c>
    </row>
    <row r="828" spans="1:17" x14ac:dyDescent="0.3">
      <c r="A828" t="s">
        <v>1753</v>
      </c>
      <c r="B828" t="s">
        <v>1754</v>
      </c>
      <c r="C828" t="s">
        <v>118</v>
      </c>
      <c r="D828" s="2">
        <v>20</v>
      </c>
      <c r="E828" t="s">
        <v>91</v>
      </c>
      <c r="F828" t="s">
        <v>92</v>
      </c>
      <c r="G828" s="2" t="s">
        <v>135</v>
      </c>
      <c r="H828" s="2">
        <v>2</v>
      </c>
      <c r="I828" s="2" t="s">
        <v>162</v>
      </c>
      <c r="J828" s="2">
        <v>3.9</v>
      </c>
      <c r="K828" s="2" t="s">
        <v>59</v>
      </c>
      <c r="L828" s="2">
        <v>0.84</v>
      </c>
      <c r="M828" s="2" t="s">
        <v>60</v>
      </c>
      <c r="N828" s="2" t="s">
        <v>34</v>
      </c>
      <c r="O828" s="2">
        <v>5</v>
      </c>
      <c r="P828" s="2" t="str">
        <f>IF(global_freelancer_raw[[#This Row],[No of projects ]]&lt;=5,"Entry level","Well Experienced")</f>
        <v>Entry level</v>
      </c>
      <c r="Q828" s="2">
        <v>1</v>
      </c>
    </row>
    <row r="829" spans="1:17" x14ac:dyDescent="0.3">
      <c r="A829" t="s">
        <v>1755</v>
      </c>
      <c r="B829" t="s">
        <v>1756</v>
      </c>
      <c r="C829" t="s">
        <v>97</v>
      </c>
      <c r="D829" s="2">
        <v>26</v>
      </c>
      <c r="E829" t="s">
        <v>145</v>
      </c>
      <c r="F829" t="s">
        <v>146</v>
      </c>
      <c r="G829" s="2" t="s">
        <v>135</v>
      </c>
      <c r="H829" s="2">
        <v>2</v>
      </c>
      <c r="I829" s="2" t="s">
        <v>86</v>
      </c>
      <c r="J829" s="2">
        <v>0</v>
      </c>
      <c r="K829" s="2" t="s">
        <v>2120</v>
      </c>
      <c r="L829" s="2">
        <v>0.66</v>
      </c>
      <c r="M829" s="2" t="s">
        <v>24</v>
      </c>
      <c r="N829" s="2" t="s">
        <v>25</v>
      </c>
      <c r="O829" s="2">
        <v>4</v>
      </c>
      <c r="P829" s="2" t="str">
        <f>IF(global_freelancer_raw[[#This Row],[No of projects ]]&lt;=5,"Entry level","Well Experienced")</f>
        <v>Entry level</v>
      </c>
      <c r="Q829" s="2">
        <v>3</v>
      </c>
    </row>
    <row r="830" spans="1:17" x14ac:dyDescent="0.3">
      <c r="A830" t="s">
        <v>1757</v>
      </c>
      <c r="B830" t="s">
        <v>1758</v>
      </c>
      <c r="C830" t="s">
        <v>97</v>
      </c>
      <c r="D830" s="2">
        <v>50</v>
      </c>
      <c r="E830" t="s">
        <v>133</v>
      </c>
      <c r="F830" t="s">
        <v>134</v>
      </c>
      <c r="G830" s="2" t="s">
        <v>46</v>
      </c>
      <c r="H830" s="2">
        <v>12</v>
      </c>
      <c r="I830" s="2" t="s">
        <v>192</v>
      </c>
      <c r="J830" s="2">
        <v>0</v>
      </c>
      <c r="K830" s="2" t="s">
        <v>59</v>
      </c>
      <c r="L830" s="2">
        <v>75</v>
      </c>
      <c r="M830" s="2" t="s">
        <v>60</v>
      </c>
      <c r="N830" s="2" t="s">
        <v>25</v>
      </c>
      <c r="O830" s="2">
        <v>12</v>
      </c>
      <c r="P830" s="2" t="str">
        <f>IF(global_freelancer_raw[[#This Row],[No of projects ]]&lt;=5,"Entry level","Well Experienced")</f>
        <v>Well Experienced</v>
      </c>
      <c r="Q830" s="2">
        <v>10</v>
      </c>
    </row>
    <row r="831" spans="1:17" x14ac:dyDescent="0.3">
      <c r="A831" t="s">
        <v>1759</v>
      </c>
      <c r="B831" t="s">
        <v>1760</v>
      </c>
      <c r="C831" t="s">
        <v>118</v>
      </c>
      <c r="D831" s="2">
        <v>50</v>
      </c>
      <c r="E831" t="s">
        <v>212</v>
      </c>
      <c r="F831" t="s">
        <v>92</v>
      </c>
      <c r="G831" s="2" t="s">
        <v>57</v>
      </c>
      <c r="H831" s="2">
        <v>28</v>
      </c>
      <c r="I831" s="2" t="s">
        <v>52</v>
      </c>
      <c r="J831" s="2">
        <v>1.8</v>
      </c>
      <c r="K831" s="2" t="s">
        <v>2120</v>
      </c>
      <c r="L831" s="2" t="s">
        <v>2120</v>
      </c>
      <c r="M831" s="2" t="s">
        <v>82</v>
      </c>
      <c r="N831" s="2" t="s">
        <v>25</v>
      </c>
      <c r="O831" s="2">
        <v>15</v>
      </c>
      <c r="P831" s="2" t="str">
        <f>IF(global_freelancer_raw[[#This Row],[No of projects ]]&lt;=5,"Entry level","Well Experienced")</f>
        <v>Well Experienced</v>
      </c>
      <c r="Q831" s="2">
        <v>9</v>
      </c>
    </row>
    <row r="832" spans="1:17" x14ac:dyDescent="0.3">
      <c r="A832" t="s">
        <v>1761</v>
      </c>
      <c r="B832" t="s">
        <v>1762</v>
      </c>
      <c r="C832" t="s">
        <v>97</v>
      </c>
      <c r="D832" s="2">
        <v>54</v>
      </c>
      <c r="E832" t="s">
        <v>64</v>
      </c>
      <c r="F832" t="s">
        <v>65</v>
      </c>
      <c r="G832" s="2" t="s">
        <v>57</v>
      </c>
      <c r="H832" s="2">
        <v>4</v>
      </c>
      <c r="I832" s="2" t="s">
        <v>162</v>
      </c>
      <c r="J832" s="2">
        <v>1.1000000000000001</v>
      </c>
      <c r="K832" s="2" t="s">
        <v>33</v>
      </c>
      <c r="L832" s="2">
        <v>0.63</v>
      </c>
      <c r="M832" s="2" t="s">
        <v>60</v>
      </c>
      <c r="N832" s="2" t="s">
        <v>25</v>
      </c>
      <c r="O832" s="2">
        <v>3</v>
      </c>
      <c r="P832" s="2" t="str">
        <f>IF(global_freelancer_raw[[#This Row],[No of projects ]]&lt;=5,"Entry level","Well Experienced")</f>
        <v>Entry level</v>
      </c>
      <c r="Q832" s="2">
        <v>2</v>
      </c>
    </row>
    <row r="833" spans="1:17" x14ac:dyDescent="0.3">
      <c r="A833" t="s">
        <v>1763</v>
      </c>
      <c r="B833" t="s">
        <v>1764</v>
      </c>
      <c r="C833" t="s">
        <v>118</v>
      </c>
      <c r="D833" s="2">
        <v>54</v>
      </c>
      <c r="E833" t="s">
        <v>212</v>
      </c>
      <c r="F833" t="s">
        <v>92</v>
      </c>
      <c r="G833" s="2" t="s">
        <v>21</v>
      </c>
      <c r="H833" s="2">
        <v>3</v>
      </c>
      <c r="I833" s="2" t="s">
        <v>162</v>
      </c>
      <c r="J833" s="2">
        <v>1.6</v>
      </c>
      <c r="K833" s="2" t="s">
        <v>94</v>
      </c>
      <c r="L833" s="2">
        <v>0.7</v>
      </c>
      <c r="M833" s="2" t="s">
        <v>60</v>
      </c>
      <c r="N833" s="2" t="s">
        <v>42</v>
      </c>
      <c r="O833" s="2">
        <v>1</v>
      </c>
      <c r="P833" s="2" t="str">
        <f>IF(global_freelancer_raw[[#This Row],[No of projects ]]&lt;=5,"Entry level","Well Experienced")</f>
        <v>Entry level</v>
      </c>
      <c r="Q833" s="2">
        <v>2</v>
      </c>
    </row>
    <row r="834" spans="1:17" x14ac:dyDescent="0.3">
      <c r="A834" t="s">
        <v>1765</v>
      </c>
      <c r="B834" t="s">
        <v>1766</v>
      </c>
      <c r="C834" t="s">
        <v>97</v>
      </c>
      <c r="D834" s="2">
        <v>34</v>
      </c>
      <c r="E834" t="s">
        <v>160</v>
      </c>
      <c r="F834" t="s">
        <v>161</v>
      </c>
      <c r="G834" s="2" t="s">
        <v>135</v>
      </c>
      <c r="H834" s="2">
        <v>4</v>
      </c>
      <c r="I834" s="2" t="s">
        <v>58</v>
      </c>
      <c r="J834" s="2">
        <v>3.1</v>
      </c>
      <c r="K834" s="2" t="s">
        <v>2120</v>
      </c>
      <c r="L834" s="2">
        <v>0.9</v>
      </c>
      <c r="M834" s="2" t="s">
        <v>82</v>
      </c>
      <c r="N834" s="2" t="s">
        <v>25</v>
      </c>
      <c r="O834" s="2">
        <v>1</v>
      </c>
      <c r="P834" s="2" t="str">
        <f>IF(global_freelancer_raw[[#This Row],[No of projects ]]&lt;=5,"Entry level","Well Experienced")</f>
        <v>Entry level</v>
      </c>
      <c r="Q834" s="2">
        <v>1</v>
      </c>
    </row>
    <row r="835" spans="1:17" x14ac:dyDescent="0.3">
      <c r="A835" t="s">
        <v>1767</v>
      </c>
      <c r="B835" t="s">
        <v>1768</v>
      </c>
      <c r="C835" t="s">
        <v>97</v>
      </c>
      <c r="D835" s="2">
        <v>20</v>
      </c>
      <c r="E835" t="s">
        <v>19</v>
      </c>
      <c r="F835" t="s">
        <v>20</v>
      </c>
      <c r="G835" s="2" t="s">
        <v>110</v>
      </c>
      <c r="H835" s="2">
        <v>1</v>
      </c>
      <c r="I835" s="2" t="s">
        <v>40</v>
      </c>
      <c r="J835" s="2">
        <v>3.4</v>
      </c>
      <c r="K835" s="2" t="s">
        <v>33</v>
      </c>
      <c r="L835" s="2">
        <v>79</v>
      </c>
      <c r="M835" s="2" t="s">
        <v>82</v>
      </c>
      <c r="N835" s="2" t="s">
        <v>75</v>
      </c>
      <c r="O835" s="2">
        <v>2</v>
      </c>
      <c r="P835" s="2" t="str">
        <f>IF(global_freelancer_raw[[#This Row],[No of projects ]]&lt;=5,"Entry level","Well Experienced")</f>
        <v>Entry level</v>
      </c>
      <c r="Q835" s="2">
        <v>2</v>
      </c>
    </row>
    <row r="836" spans="1:17" x14ac:dyDescent="0.3">
      <c r="A836" t="s">
        <v>1769</v>
      </c>
      <c r="B836" t="s">
        <v>1770</v>
      </c>
      <c r="C836" t="s">
        <v>118</v>
      </c>
      <c r="D836" s="2">
        <v>29</v>
      </c>
      <c r="E836" t="s">
        <v>38</v>
      </c>
      <c r="F836" t="s">
        <v>38</v>
      </c>
      <c r="G836" s="2" t="s">
        <v>57</v>
      </c>
      <c r="H836" s="2">
        <v>8</v>
      </c>
      <c r="I836" s="2" t="s">
        <v>86</v>
      </c>
      <c r="J836" s="2">
        <v>3.1</v>
      </c>
      <c r="K836" s="2" t="s">
        <v>41</v>
      </c>
      <c r="L836" s="2">
        <v>0.6</v>
      </c>
      <c r="M836" s="2" t="s">
        <v>82</v>
      </c>
      <c r="N836" s="2" t="s">
        <v>75</v>
      </c>
      <c r="O836" s="2">
        <v>7</v>
      </c>
      <c r="P836" s="2" t="str">
        <f>IF(global_freelancer_raw[[#This Row],[No of projects ]]&lt;=5,"Entry level","Well Experienced")</f>
        <v>Well Experienced</v>
      </c>
      <c r="Q836" s="2">
        <v>9</v>
      </c>
    </row>
    <row r="837" spans="1:17" x14ac:dyDescent="0.3">
      <c r="A837" t="s">
        <v>1771</v>
      </c>
      <c r="B837" t="s">
        <v>1772</v>
      </c>
      <c r="C837" t="s">
        <v>97</v>
      </c>
      <c r="D837" s="2">
        <v>57</v>
      </c>
      <c r="E837" t="s">
        <v>85</v>
      </c>
      <c r="F837" t="s">
        <v>30</v>
      </c>
      <c r="G837" s="2" t="s">
        <v>110</v>
      </c>
      <c r="H837" s="2">
        <v>11</v>
      </c>
      <c r="I837" s="2" t="s">
        <v>67</v>
      </c>
      <c r="J837" s="2">
        <v>2.2999999999999998</v>
      </c>
      <c r="K837" s="2" t="s">
        <v>23</v>
      </c>
      <c r="L837" s="2" t="s">
        <v>2120</v>
      </c>
      <c r="M837" s="2" t="s">
        <v>60</v>
      </c>
      <c r="N837" s="2" t="s">
        <v>42</v>
      </c>
      <c r="O837" s="2">
        <v>8</v>
      </c>
      <c r="P837" s="2" t="str">
        <f>IF(global_freelancer_raw[[#This Row],[No of projects ]]&lt;=5,"Entry level","Well Experienced")</f>
        <v>Well Experienced</v>
      </c>
      <c r="Q837" s="2">
        <v>4</v>
      </c>
    </row>
    <row r="838" spans="1:17" x14ac:dyDescent="0.3">
      <c r="A838" t="s">
        <v>1773</v>
      </c>
      <c r="B838" t="s">
        <v>1774</v>
      </c>
      <c r="C838" t="s">
        <v>97</v>
      </c>
      <c r="D838" s="2">
        <v>36</v>
      </c>
      <c r="E838" t="s">
        <v>55</v>
      </c>
      <c r="F838" t="s">
        <v>56</v>
      </c>
      <c r="G838" s="2" t="s">
        <v>57</v>
      </c>
      <c r="H838" s="2">
        <v>8</v>
      </c>
      <c r="I838" s="2" t="s">
        <v>70</v>
      </c>
      <c r="J838" s="2" t="s">
        <v>2120</v>
      </c>
      <c r="K838" s="2" t="s">
        <v>41</v>
      </c>
      <c r="L838" s="2">
        <v>0.8</v>
      </c>
      <c r="M838" s="2" t="s">
        <v>60</v>
      </c>
      <c r="N838" s="2" t="s">
        <v>75</v>
      </c>
      <c r="O838" s="2">
        <v>7</v>
      </c>
      <c r="P838" s="2" t="str">
        <f>IF(global_freelancer_raw[[#This Row],[No of projects ]]&lt;=5,"Entry level","Well Experienced")</f>
        <v>Well Experienced</v>
      </c>
      <c r="Q838" s="2">
        <v>8</v>
      </c>
    </row>
    <row r="839" spans="1:17" x14ac:dyDescent="0.3">
      <c r="A839" t="s">
        <v>1775</v>
      </c>
      <c r="B839" t="s">
        <v>1776</v>
      </c>
      <c r="C839" t="s">
        <v>118</v>
      </c>
      <c r="D839" s="2">
        <v>51</v>
      </c>
      <c r="E839" t="s">
        <v>133</v>
      </c>
      <c r="F839" t="s">
        <v>134</v>
      </c>
      <c r="G839" s="2" t="s">
        <v>46</v>
      </c>
      <c r="H839" s="2">
        <v>32</v>
      </c>
      <c r="I839" s="2" t="s">
        <v>81</v>
      </c>
      <c r="J839" s="2">
        <v>3.2</v>
      </c>
      <c r="K839" s="2" t="s">
        <v>23</v>
      </c>
      <c r="L839" s="2">
        <v>88</v>
      </c>
      <c r="M839" s="2" t="s">
        <v>82</v>
      </c>
      <c r="N839" s="2" t="s">
        <v>75</v>
      </c>
      <c r="O839" s="2">
        <v>19</v>
      </c>
      <c r="P839" s="2" t="str">
        <f>IF(global_freelancer_raw[[#This Row],[No of projects ]]&lt;=5,"Entry level","Well Experienced")</f>
        <v>Well Experienced</v>
      </c>
      <c r="Q839" s="2">
        <v>8</v>
      </c>
    </row>
    <row r="840" spans="1:17" x14ac:dyDescent="0.3">
      <c r="A840" t="s">
        <v>1777</v>
      </c>
      <c r="B840" t="s">
        <v>1778</v>
      </c>
      <c r="C840" t="s">
        <v>118</v>
      </c>
      <c r="D840" s="2">
        <v>44</v>
      </c>
      <c r="E840" t="s">
        <v>114</v>
      </c>
      <c r="F840" t="s">
        <v>115</v>
      </c>
      <c r="G840" s="2" t="s">
        <v>93</v>
      </c>
      <c r="H840" s="2">
        <v>4</v>
      </c>
      <c r="I840" s="2" t="s">
        <v>130</v>
      </c>
      <c r="J840" s="2">
        <v>0</v>
      </c>
      <c r="K840" s="2" t="s">
        <v>41</v>
      </c>
      <c r="L840" s="2">
        <v>0.8</v>
      </c>
      <c r="M840" s="2" t="s">
        <v>24</v>
      </c>
      <c r="N840" s="2" t="s">
        <v>25</v>
      </c>
      <c r="O840" s="2">
        <v>4</v>
      </c>
      <c r="P840" s="2" t="str">
        <f>IF(global_freelancer_raw[[#This Row],[No of projects ]]&lt;=5,"Entry level","Well Experienced")</f>
        <v>Entry level</v>
      </c>
      <c r="Q840" s="2">
        <v>1</v>
      </c>
    </row>
    <row r="841" spans="1:17" x14ac:dyDescent="0.3">
      <c r="A841" t="s">
        <v>1779</v>
      </c>
      <c r="B841" t="s">
        <v>1780</v>
      </c>
      <c r="C841" t="s">
        <v>118</v>
      </c>
      <c r="D841" s="2">
        <v>58</v>
      </c>
      <c r="E841" t="s">
        <v>212</v>
      </c>
      <c r="F841" t="s">
        <v>92</v>
      </c>
      <c r="G841" s="2" t="s">
        <v>98</v>
      </c>
      <c r="H841" s="2">
        <v>33</v>
      </c>
      <c r="I841" s="2" t="s">
        <v>52</v>
      </c>
      <c r="J841" s="2">
        <v>3.3</v>
      </c>
      <c r="K841" s="2" t="s">
        <v>94</v>
      </c>
      <c r="L841" s="2">
        <v>0.71</v>
      </c>
      <c r="M841" s="2" t="s">
        <v>24</v>
      </c>
      <c r="N841" s="2" t="s">
        <v>75</v>
      </c>
      <c r="O841" s="2">
        <v>10</v>
      </c>
      <c r="P841" s="2" t="str">
        <f>IF(global_freelancer_raw[[#This Row],[No of projects ]]&lt;=5,"Entry level","Well Experienced")</f>
        <v>Well Experienced</v>
      </c>
      <c r="Q841" s="2">
        <v>10</v>
      </c>
    </row>
    <row r="842" spans="1:17" x14ac:dyDescent="0.3">
      <c r="A842" t="s">
        <v>1781</v>
      </c>
      <c r="B842" t="s">
        <v>1782</v>
      </c>
      <c r="C842" t="s">
        <v>97</v>
      </c>
      <c r="D842" s="2">
        <v>38</v>
      </c>
      <c r="E842" t="s">
        <v>175</v>
      </c>
      <c r="F842" t="s">
        <v>176</v>
      </c>
      <c r="G842" s="2" t="s">
        <v>31</v>
      </c>
      <c r="H842" s="2">
        <v>14</v>
      </c>
      <c r="I842" s="2" t="s">
        <v>2119</v>
      </c>
      <c r="J842" s="2">
        <v>1.1000000000000001</v>
      </c>
      <c r="K842" s="2" t="s">
        <v>33</v>
      </c>
      <c r="L842" s="2">
        <v>0.76</v>
      </c>
      <c r="M842" s="2" t="s">
        <v>88</v>
      </c>
      <c r="N842" s="2" t="s">
        <v>42</v>
      </c>
      <c r="O842" s="2">
        <v>9</v>
      </c>
      <c r="P842" s="2" t="str">
        <f>IF(global_freelancer_raw[[#This Row],[No of projects ]]&lt;=5,"Entry level","Well Experienced")</f>
        <v>Well Experienced</v>
      </c>
      <c r="Q842" s="2">
        <v>4</v>
      </c>
    </row>
    <row r="843" spans="1:17" x14ac:dyDescent="0.3">
      <c r="A843" t="s">
        <v>1783</v>
      </c>
      <c r="B843" t="s">
        <v>1784</v>
      </c>
      <c r="C843" t="s">
        <v>118</v>
      </c>
      <c r="D843" s="2">
        <v>24</v>
      </c>
      <c r="E843" t="s">
        <v>73</v>
      </c>
      <c r="F843" t="s">
        <v>30</v>
      </c>
      <c r="G843" s="2" t="s">
        <v>93</v>
      </c>
      <c r="H843" s="2">
        <v>6</v>
      </c>
      <c r="I843" s="2" t="s">
        <v>130</v>
      </c>
      <c r="J843" s="2">
        <v>4.5999999999999996</v>
      </c>
      <c r="K843" s="2" t="s">
        <v>33</v>
      </c>
      <c r="L843" s="2">
        <v>0.93</v>
      </c>
      <c r="M843" s="2" t="s">
        <v>82</v>
      </c>
      <c r="N843" s="2" t="s">
        <v>25</v>
      </c>
      <c r="O843" s="2">
        <v>10</v>
      </c>
      <c r="P843" s="2" t="str">
        <f>IF(global_freelancer_raw[[#This Row],[No of projects ]]&lt;=5,"Entry level","Well Experienced")</f>
        <v>Well Experienced</v>
      </c>
      <c r="Q843" s="2">
        <v>12</v>
      </c>
    </row>
    <row r="844" spans="1:17" x14ac:dyDescent="0.3">
      <c r="A844" t="s">
        <v>1785</v>
      </c>
      <c r="B844" t="s">
        <v>1786</v>
      </c>
      <c r="C844" t="s">
        <v>97</v>
      </c>
      <c r="D844" s="2">
        <v>30</v>
      </c>
      <c r="E844" t="s">
        <v>79</v>
      </c>
      <c r="F844" t="s">
        <v>80</v>
      </c>
      <c r="G844" s="2" t="s">
        <v>21</v>
      </c>
      <c r="H844" s="2">
        <v>5</v>
      </c>
      <c r="I844" s="2" t="s">
        <v>130</v>
      </c>
      <c r="J844" s="2" t="s">
        <v>2120</v>
      </c>
      <c r="K844" s="2" t="s">
        <v>23</v>
      </c>
      <c r="L844" s="2" t="s">
        <v>2120</v>
      </c>
      <c r="M844" s="2" t="s">
        <v>88</v>
      </c>
      <c r="N844" s="2" t="s">
        <v>34</v>
      </c>
      <c r="O844" s="2">
        <v>3</v>
      </c>
      <c r="P844" s="2" t="str">
        <f>IF(global_freelancer_raw[[#This Row],[No of projects ]]&lt;=5,"Entry level","Well Experienced")</f>
        <v>Entry level</v>
      </c>
      <c r="Q844" s="2">
        <v>1</v>
      </c>
    </row>
    <row r="845" spans="1:17" x14ac:dyDescent="0.3">
      <c r="A845" t="s">
        <v>1787</v>
      </c>
      <c r="B845" t="s">
        <v>1788</v>
      </c>
      <c r="C845" t="s">
        <v>118</v>
      </c>
      <c r="D845" s="2">
        <v>25</v>
      </c>
      <c r="E845" t="s">
        <v>64</v>
      </c>
      <c r="F845" t="s">
        <v>65</v>
      </c>
      <c r="G845" s="2" t="s">
        <v>98</v>
      </c>
      <c r="H845" s="2">
        <v>3</v>
      </c>
      <c r="I845" s="2" t="s">
        <v>103</v>
      </c>
      <c r="J845" s="2" t="s">
        <v>2120</v>
      </c>
      <c r="K845" s="2" t="s">
        <v>23</v>
      </c>
      <c r="L845" s="2">
        <v>0.83</v>
      </c>
      <c r="M845" s="2" t="s">
        <v>24</v>
      </c>
      <c r="N845" s="2" t="s">
        <v>25</v>
      </c>
      <c r="O845" s="2">
        <v>5</v>
      </c>
      <c r="P845" s="2" t="str">
        <f>IF(global_freelancer_raw[[#This Row],[No of projects ]]&lt;=5,"Entry level","Well Experienced")</f>
        <v>Entry level</v>
      </c>
      <c r="Q845" s="2">
        <v>1</v>
      </c>
    </row>
    <row r="846" spans="1:17" x14ac:dyDescent="0.3">
      <c r="A846" t="s">
        <v>1789</v>
      </c>
      <c r="B846" t="s">
        <v>1790</v>
      </c>
      <c r="C846" t="s">
        <v>118</v>
      </c>
      <c r="D846" s="2">
        <v>54</v>
      </c>
      <c r="E846" t="s">
        <v>64</v>
      </c>
      <c r="F846" t="s">
        <v>65</v>
      </c>
      <c r="G846" s="2" t="s">
        <v>31</v>
      </c>
      <c r="H846" s="2">
        <v>17</v>
      </c>
      <c r="I846" s="2" t="s">
        <v>251</v>
      </c>
      <c r="J846" s="2">
        <v>0</v>
      </c>
      <c r="K846" s="2" t="s">
        <v>23</v>
      </c>
      <c r="L846" s="2">
        <v>0.71</v>
      </c>
      <c r="M846" s="2" t="s">
        <v>88</v>
      </c>
      <c r="N846" s="2" t="s">
        <v>42</v>
      </c>
      <c r="O846" s="2">
        <v>17</v>
      </c>
      <c r="P846" s="2" t="str">
        <f>IF(global_freelancer_raw[[#This Row],[No of projects ]]&lt;=5,"Entry level","Well Experienced")</f>
        <v>Well Experienced</v>
      </c>
      <c r="Q846" s="2">
        <v>12</v>
      </c>
    </row>
    <row r="847" spans="1:17" x14ac:dyDescent="0.3">
      <c r="A847" t="s">
        <v>1791</v>
      </c>
      <c r="B847" t="s">
        <v>1792</v>
      </c>
      <c r="C847" t="s">
        <v>118</v>
      </c>
      <c r="D847" s="2">
        <v>54</v>
      </c>
      <c r="E847" t="s">
        <v>19</v>
      </c>
      <c r="F847" t="s">
        <v>20</v>
      </c>
      <c r="G847" s="2" t="s">
        <v>98</v>
      </c>
      <c r="H847" s="2">
        <v>9</v>
      </c>
      <c r="I847" s="2" t="s">
        <v>336</v>
      </c>
      <c r="J847" s="2">
        <v>0</v>
      </c>
      <c r="K847" s="2" t="s">
        <v>87</v>
      </c>
      <c r="L847" s="2">
        <v>0.96</v>
      </c>
      <c r="M847" s="2" t="s">
        <v>82</v>
      </c>
      <c r="N847" s="2" t="s">
        <v>25</v>
      </c>
      <c r="O847" s="2">
        <v>7</v>
      </c>
      <c r="P847" s="2" t="str">
        <f>IF(global_freelancer_raw[[#This Row],[No of projects ]]&lt;=5,"Entry level","Well Experienced")</f>
        <v>Well Experienced</v>
      </c>
      <c r="Q847" s="2">
        <v>8</v>
      </c>
    </row>
    <row r="848" spans="1:17" x14ac:dyDescent="0.3">
      <c r="A848" t="s">
        <v>1793</v>
      </c>
      <c r="B848" t="s">
        <v>1794</v>
      </c>
      <c r="C848" t="s">
        <v>97</v>
      </c>
      <c r="D848" s="2">
        <v>53</v>
      </c>
      <c r="E848" t="s">
        <v>156</v>
      </c>
      <c r="F848" t="s">
        <v>157</v>
      </c>
      <c r="G848" s="2" t="s">
        <v>39</v>
      </c>
      <c r="H848" s="2">
        <v>16</v>
      </c>
      <c r="I848" s="2" t="s">
        <v>86</v>
      </c>
      <c r="J848" s="2">
        <v>0</v>
      </c>
      <c r="K848" s="2" t="s">
        <v>181</v>
      </c>
      <c r="L848" s="2" t="s">
        <v>2120</v>
      </c>
      <c r="M848" s="2" t="s">
        <v>82</v>
      </c>
      <c r="N848" s="2" t="s">
        <v>25</v>
      </c>
      <c r="O848" s="2">
        <v>10</v>
      </c>
      <c r="P848" s="2" t="str">
        <f>IF(global_freelancer_raw[[#This Row],[No of projects ]]&lt;=5,"Entry level","Well Experienced")</f>
        <v>Well Experienced</v>
      </c>
      <c r="Q848" s="2">
        <v>13</v>
      </c>
    </row>
    <row r="849" spans="1:17" x14ac:dyDescent="0.3">
      <c r="A849" t="s">
        <v>1795</v>
      </c>
      <c r="B849" t="s">
        <v>1796</v>
      </c>
      <c r="C849" t="s">
        <v>118</v>
      </c>
      <c r="D849" s="2">
        <v>22</v>
      </c>
      <c r="E849" t="s">
        <v>145</v>
      </c>
      <c r="F849" t="s">
        <v>146</v>
      </c>
      <c r="G849" s="2" t="s">
        <v>57</v>
      </c>
      <c r="H849" s="2">
        <v>3</v>
      </c>
      <c r="I849" s="2" t="s">
        <v>103</v>
      </c>
      <c r="J849" s="2">
        <v>3.4</v>
      </c>
      <c r="K849" s="2" t="s">
        <v>94</v>
      </c>
      <c r="L849" s="2">
        <v>0.65</v>
      </c>
      <c r="M849" s="2" t="s">
        <v>82</v>
      </c>
      <c r="N849" s="2" t="s">
        <v>42</v>
      </c>
      <c r="O849" s="2">
        <v>4</v>
      </c>
      <c r="P849" s="2" t="str">
        <f>IF(global_freelancer_raw[[#This Row],[No of projects ]]&lt;=5,"Entry level","Well Experienced")</f>
        <v>Entry level</v>
      </c>
      <c r="Q849" s="2">
        <v>1</v>
      </c>
    </row>
    <row r="850" spans="1:17" x14ac:dyDescent="0.3">
      <c r="A850" t="s">
        <v>1797</v>
      </c>
      <c r="B850" t="s">
        <v>1798</v>
      </c>
      <c r="C850" t="s">
        <v>97</v>
      </c>
      <c r="D850" s="2">
        <v>23</v>
      </c>
      <c r="E850" t="s">
        <v>201</v>
      </c>
      <c r="F850" t="s">
        <v>92</v>
      </c>
      <c r="G850" s="2" t="s">
        <v>66</v>
      </c>
      <c r="H850" s="2">
        <v>2</v>
      </c>
      <c r="I850" s="2" t="s">
        <v>336</v>
      </c>
      <c r="J850" s="2">
        <v>1.3</v>
      </c>
      <c r="K850" s="2" t="s">
        <v>41</v>
      </c>
      <c r="L850" s="2" t="s">
        <v>2120</v>
      </c>
      <c r="M850" s="2" t="s">
        <v>60</v>
      </c>
      <c r="N850" s="2" t="s">
        <v>25</v>
      </c>
      <c r="O850" s="2">
        <v>1</v>
      </c>
      <c r="P850" s="2" t="str">
        <f>IF(global_freelancer_raw[[#This Row],[No of projects ]]&lt;=5,"Entry level","Well Experienced")</f>
        <v>Entry level</v>
      </c>
      <c r="Q850" s="2">
        <v>4</v>
      </c>
    </row>
    <row r="851" spans="1:17" x14ac:dyDescent="0.3">
      <c r="A851" t="s">
        <v>1799</v>
      </c>
      <c r="B851" t="s">
        <v>1800</v>
      </c>
      <c r="C851" t="s">
        <v>97</v>
      </c>
      <c r="D851" s="2">
        <v>47</v>
      </c>
      <c r="E851" t="s">
        <v>156</v>
      </c>
      <c r="F851" t="s">
        <v>157</v>
      </c>
      <c r="G851" s="2" t="s">
        <v>98</v>
      </c>
      <c r="H851" s="2">
        <v>16</v>
      </c>
      <c r="I851" s="2" t="s">
        <v>40</v>
      </c>
      <c r="J851" s="2">
        <v>1.9</v>
      </c>
      <c r="K851" s="2" t="s">
        <v>23</v>
      </c>
      <c r="L851" s="2">
        <v>0.71</v>
      </c>
      <c r="M851" s="2" t="s">
        <v>88</v>
      </c>
      <c r="N851" s="2" t="s">
        <v>42</v>
      </c>
      <c r="O851" s="2">
        <v>18</v>
      </c>
      <c r="P851" s="2" t="str">
        <f>IF(global_freelancer_raw[[#This Row],[No of projects ]]&lt;=5,"Entry level","Well Experienced")</f>
        <v>Well Experienced</v>
      </c>
      <c r="Q851" s="2">
        <v>4</v>
      </c>
    </row>
    <row r="852" spans="1:17" x14ac:dyDescent="0.3">
      <c r="A852" t="s">
        <v>1801</v>
      </c>
      <c r="B852" t="s">
        <v>1802</v>
      </c>
      <c r="C852" t="s">
        <v>118</v>
      </c>
      <c r="D852" s="2">
        <v>24</v>
      </c>
      <c r="E852" t="s">
        <v>156</v>
      </c>
      <c r="F852" t="s">
        <v>157</v>
      </c>
      <c r="G852" s="2" t="s">
        <v>46</v>
      </c>
      <c r="H852" s="2">
        <v>6</v>
      </c>
      <c r="I852" s="2" t="s">
        <v>40</v>
      </c>
      <c r="J852" s="2">
        <v>1.4</v>
      </c>
      <c r="K852" s="2" t="s">
        <v>94</v>
      </c>
      <c r="L852" s="2">
        <v>63</v>
      </c>
      <c r="M852" s="2" t="s">
        <v>24</v>
      </c>
      <c r="N852" s="2" t="s">
        <v>42</v>
      </c>
      <c r="O852" s="2">
        <v>15</v>
      </c>
      <c r="P852" s="2" t="str">
        <f>IF(global_freelancer_raw[[#This Row],[No of projects ]]&lt;=5,"Entry level","Well Experienced")</f>
        <v>Well Experienced</v>
      </c>
      <c r="Q852" s="2">
        <v>9</v>
      </c>
    </row>
    <row r="853" spans="1:17" x14ac:dyDescent="0.3">
      <c r="A853" t="s">
        <v>1803</v>
      </c>
      <c r="B853" t="s">
        <v>1804</v>
      </c>
      <c r="C853" t="s">
        <v>97</v>
      </c>
      <c r="D853" s="2">
        <v>57</v>
      </c>
      <c r="E853" t="s">
        <v>114</v>
      </c>
      <c r="F853" t="s">
        <v>115</v>
      </c>
      <c r="G853" s="2" t="s">
        <v>93</v>
      </c>
      <c r="H853" s="2">
        <v>10</v>
      </c>
      <c r="I853" s="2" t="s">
        <v>251</v>
      </c>
      <c r="J853" s="2">
        <v>4.3</v>
      </c>
      <c r="K853" s="2" t="s">
        <v>59</v>
      </c>
      <c r="L853" s="2" t="s">
        <v>2120</v>
      </c>
      <c r="M853" s="2" t="s">
        <v>24</v>
      </c>
      <c r="N853" s="2" t="s">
        <v>34</v>
      </c>
      <c r="O853" s="2">
        <v>13</v>
      </c>
      <c r="P853" s="2" t="str">
        <f>IF(global_freelancer_raw[[#This Row],[No of projects ]]&lt;=5,"Entry level","Well Experienced")</f>
        <v>Well Experienced</v>
      </c>
      <c r="Q853" s="2">
        <v>14</v>
      </c>
    </row>
    <row r="854" spans="1:17" x14ac:dyDescent="0.3">
      <c r="A854" t="s">
        <v>1805</v>
      </c>
      <c r="B854" t="s">
        <v>1806</v>
      </c>
      <c r="C854" t="s">
        <v>118</v>
      </c>
      <c r="D854" s="2">
        <v>48</v>
      </c>
      <c r="E854" t="s">
        <v>212</v>
      </c>
      <c r="F854" t="s">
        <v>92</v>
      </c>
      <c r="G854" s="2" t="s">
        <v>39</v>
      </c>
      <c r="H854" s="2">
        <v>16</v>
      </c>
      <c r="I854" s="2" t="s">
        <v>58</v>
      </c>
      <c r="J854" s="2" t="s">
        <v>2120</v>
      </c>
      <c r="K854" s="2" t="s">
        <v>181</v>
      </c>
      <c r="L854" s="2">
        <v>0.97</v>
      </c>
      <c r="M854" s="2" t="s">
        <v>24</v>
      </c>
      <c r="N854" s="2" t="s">
        <v>75</v>
      </c>
      <c r="O854" s="2">
        <v>11</v>
      </c>
      <c r="P854" s="2" t="str">
        <f>IF(global_freelancer_raw[[#This Row],[No of projects ]]&lt;=5,"Entry level","Well Experienced")</f>
        <v>Well Experienced</v>
      </c>
      <c r="Q854" s="2">
        <v>6</v>
      </c>
    </row>
    <row r="855" spans="1:17" x14ac:dyDescent="0.3">
      <c r="A855" t="s">
        <v>1807</v>
      </c>
      <c r="B855" t="s">
        <v>1808</v>
      </c>
      <c r="C855" t="s">
        <v>97</v>
      </c>
      <c r="D855" s="2">
        <v>21</v>
      </c>
      <c r="E855" t="s">
        <v>79</v>
      </c>
      <c r="F855" t="s">
        <v>80</v>
      </c>
      <c r="G855" s="2" t="s">
        <v>93</v>
      </c>
      <c r="H855" s="2">
        <v>0</v>
      </c>
      <c r="I855" s="2" t="s">
        <v>251</v>
      </c>
      <c r="J855" s="2">
        <v>4.3</v>
      </c>
      <c r="K855" s="2" t="s">
        <v>23</v>
      </c>
      <c r="L855" s="2" t="s">
        <v>2120</v>
      </c>
      <c r="M855" s="2" t="s">
        <v>60</v>
      </c>
      <c r="N855" s="2" t="s">
        <v>75</v>
      </c>
      <c r="O855" s="2">
        <v>4</v>
      </c>
      <c r="P855" s="2" t="str">
        <f>IF(global_freelancer_raw[[#This Row],[No of projects ]]&lt;=5,"Entry level","Well Experienced")</f>
        <v>Entry level</v>
      </c>
      <c r="Q855" s="2">
        <v>2</v>
      </c>
    </row>
    <row r="856" spans="1:17" x14ac:dyDescent="0.3">
      <c r="A856" t="s">
        <v>1809</v>
      </c>
      <c r="B856" t="s">
        <v>1810</v>
      </c>
      <c r="C856" t="s">
        <v>118</v>
      </c>
      <c r="D856" s="2">
        <v>33</v>
      </c>
      <c r="E856" t="s">
        <v>106</v>
      </c>
      <c r="F856" t="s">
        <v>107</v>
      </c>
      <c r="G856" s="2" t="s">
        <v>57</v>
      </c>
      <c r="H856" s="2">
        <v>13</v>
      </c>
      <c r="I856" s="2" t="s">
        <v>67</v>
      </c>
      <c r="J856" s="2">
        <v>0</v>
      </c>
      <c r="K856" s="2" t="s">
        <v>74</v>
      </c>
      <c r="L856" s="2" t="s">
        <v>2120</v>
      </c>
      <c r="M856" s="2" t="s">
        <v>60</v>
      </c>
      <c r="N856" s="2" t="s">
        <v>25</v>
      </c>
      <c r="O856" s="2">
        <v>10</v>
      </c>
      <c r="P856" s="2" t="str">
        <f>IF(global_freelancer_raw[[#This Row],[No of projects ]]&lt;=5,"Entry level","Well Experienced")</f>
        <v>Well Experienced</v>
      </c>
      <c r="Q856" s="2">
        <v>5</v>
      </c>
    </row>
    <row r="857" spans="1:17" x14ac:dyDescent="0.3">
      <c r="A857" t="s">
        <v>1811</v>
      </c>
      <c r="B857" t="s">
        <v>1812</v>
      </c>
      <c r="C857" t="s">
        <v>118</v>
      </c>
      <c r="D857" s="2">
        <v>41</v>
      </c>
      <c r="E857" t="s">
        <v>79</v>
      </c>
      <c r="F857" t="s">
        <v>80</v>
      </c>
      <c r="G857" s="2" t="s">
        <v>110</v>
      </c>
      <c r="H857" s="2">
        <v>12</v>
      </c>
      <c r="I857" s="2" t="s">
        <v>2119</v>
      </c>
      <c r="J857" s="2">
        <v>1.3</v>
      </c>
      <c r="K857" s="2" t="s">
        <v>23</v>
      </c>
      <c r="L857" s="2">
        <v>0.85</v>
      </c>
      <c r="M857" s="2" t="s">
        <v>82</v>
      </c>
      <c r="N857" s="2" t="s">
        <v>25</v>
      </c>
      <c r="O857" s="2">
        <v>7</v>
      </c>
      <c r="P857" s="2" t="str">
        <f>IF(global_freelancer_raw[[#This Row],[No of projects ]]&lt;=5,"Entry level","Well Experienced")</f>
        <v>Well Experienced</v>
      </c>
      <c r="Q857" s="2">
        <v>2</v>
      </c>
    </row>
    <row r="858" spans="1:17" x14ac:dyDescent="0.3">
      <c r="A858" t="s">
        <v>1813</v>
      </c>
      <c r="B858" t="s">
        <v>1814</v>
      </c>
      <c r="C858" t="s">
        <v>118</v>
      </c>
      <c r="D858" s="2">
        <v>40</v>
      </c>
      <c r="E858" t="s">
        <v>29</v>
      </c>
      <c r="F858" t="s">
        <v>30</v>
      </c>
      <c r="G858" s="2" t="s">
        <v>98</v>
      </c>
      <c r="H858" s="2">
        <v>13</v>
      </c>
      <c r="I858" s="2" t="s">
        <v>119</v>
      </c>
      <c r="J858" s="2">
        <v>2.9</v>
      </c>
      <c r="K858" s="2" t="s">
        <v>181</v>
      </c>
      <c r="L858" s="2">
        <v>0.82</v>
      </c>
      <c r="M858" s="2" t="s">
        <v>24</v>
      </c>
      <c r="N858" s="2" t="s">
        <v>34</v>
      </c>
      <c r="O858" s="2">
        <v>14</v>
      </c>
      <c r="P858" s="2" t="str">
        <f>IF(global_freelancer_raw[[#This Row],[No of projects ]]&lt;=5,"Entry level","Well Experienced")</f>
        <v>Well Experienced</v>
      </c>
      <c r="Q858" s="2">
        <v>8</v>
      </c>
    </row>
    <row r="859" spans="1:17" x14ac:dyDescent="0.3">
      <c r="A859" t="s">
        <v>1815</v>
      </c>
      <c r="B859" t="s">
        <v>1816</v>
      </c>
      <c r="C859" t="s">
        <v>97</v>
      </c>
      <c r="D859" s="2">
        <v>40</v>
      </c>
      <c r="E859" t="s">
        <v>201</v>
      </c>
      <c r="F859" t="s">
        <v>92</v>
      </c>
      <c r="G859" s="2" t="s">
        <v>39</v>
      </c>
      <c r="H859" s="2">
        <v>22</v>
      </c>
      <c r="I859" s="2" t="s">
        <v>70</v>
      </c>
      <c r="J859" s="2">
        <v>4.3</v>
      </c>
      <c r="K859" s="2" t="s">
        <v>23</v>
      </c>
      <c r="L859" s="2">
        <v>0.95</v>
      </c>
      <c r="M859" s="2" t="s">
        <v>60</v>
      </c>
      <c r="N859" s="2" t="s">
        <v>34</v>
      </c>
      <c r="O859" s="2">
        <v>14</v>
      </c>
      <c r="P859" s="2" t="str">
        <f>IF(global_freelancer_raw[[#This Row],[No of projects ]]&lt;=5,"Entry level","Well Experienced")</f>
        <v>Well Experienced</v>
      </c>
      <c r="Q859" s="2">
        <v>12</v>
      </c>
    </row>
    <row r="860" spans="1:17" x14ac:dyDescent="0.3">
      <c r="A860" t="s">
        <v>1817</v>
      </c>
      <c r="B860" t="s">
        <v>1818</v>
      </c>
      <c r="C860" t="s">
        <v>97</v>
      </c>
      <c r="D860" s="2">
        <v>20</v>
      </c>
      <c r="E860" t="s">
        <v>73</v>
      </c>
      <c r="F860" t="s">
        <v>30</v>
      </c>
      <c r="G860" s="2" t="s">
        <v>39</v>
      </c>
      <c r="H860" s="2">
        <v>1</v>
      </c>
      <c r="I860" s="2" t="s">
        <v>2119</v>
      </c>
      <c r="J860" s="2">
        <v>2.7</v>
      </c>
      <c r="K860" s="2" t="s">
        <v>23</v>
      </c>
      <c r="L860" s="2">
        <v>94</v>
      </c>
      <c r="M860" s="2" t="s">
        <v>82</v>
      </c>
      <c r="N860" s="2" t="s">
        <v>34</v>
      </c>
      <c r="O860" s="2">
        <v>3</v>
      </c>
      <c r="P860" s="2" t="str">
        <f>IF(global_freelancer_raw[[#This Row],[No of projects ]]&lt;=5,"Entry level","Well Experienced")</f>
        <v>Entry level</v>
      </c>
      <c r="Q860" s="2">
        <v>1</v>
      </c>
    </row>
    <row r="861" spans="1:17" x14ac:dyDescent="0.3">
      <c r="A861" t="s">
        <v>1819</v>
      </c>
      <c r="B861" t="s">
        <v>1820</v>
      </c>
      <c r="C861" t="s">
        <v>97</v>
      </c>
      <c r="D861" s="2">
        <v>42</v>
      </c>
      <c r="E861" t="s">
        <v>201</v>
      </c>
      <c r="F861" t="s">
        <v>92</v>
      </c>
      <c r="G861" s="2" t="s">
        <v>46</v>
      </c>
      <c r="H861" s="2" t="s">
        <v>2120</v>
      </c>
      <c r="I861" s="2" t="s">
        <v>81</v>
      </c>
      <c r="J861" s="2">
        <v>4.2</v>
      </c>
      <c r="K861" s="2" t="s">
        <v>2120</v>
      </c>
      <c r="L861" s="2">
        <v>0.96</v>
      </c>
      <c r="M861" s="2" t="s">
        <v>24</v>
      </c>
      <c r="N861" s="2" t="s">
        <v>42</v>
      </c>
      <c r="O861" s="2">
        <v>1</v>
      </c>
      <c r="P861" s="2" t="str">
        <f>IF(global_freelancer_raw[[#This Row],[No of projects ]]&lt;=5,"Entry level","Well Experienced")</f>
        <v>Entry level</v>
      </c>
      <c r="Q861" s="2">
        <v>1</v>
      </c>
    </row>
    <row r="862" spans="1:17" x14ac:dyDescent="0.3">
      <c r="A862" t="s">
        <v>1821</v>
      </c>
      <c r="B862" t="s">
        <v>1822</v>
      </c>
      <c r="C862" t="s">
        <v>118</v>
      </c>
      <c r="D862" s="2">
        <v>32</v>
      </c>
      <c r="E862" t="s">
        <v>149</v>
      </c>
      <c r="F862" t="s">
        <v>30</v>
      </c>
      <c r="G862" s="2" t="s">
        <v>21</v>
      </c>
      <c r="H862" s="2">
        <v>12</v>
      </c>
      <c r="I862" s="2" t="s">
        <v>86</v>
      </c>
      <c r="J862" s="2">
        <v>0</v>
      </c>
      <c r="K862" s="2" t="s">
        <v>87</v>
      </c>
      <c r="L862" s="2">
        <v>0.63</v>
      </c>
      <c r="M862" s="2" t="s">
        <v>88</v>
      </c>
      <c r="N862" s="2" t="s">
        <v>34</v>
      </c>
      <c r="O862" s="2">
        <v>15</v>
      </c>
      <c r="P862" s="2" t="str">
        <f>IF(global_freelancer_raw[[#This Row],[No of projects ]]&lt;=5,"Entry level","Well Experienced")</f>
        <v>Well Experienced</v>
      </c>
      <c r="Q862" s="2">
        <v>9</v>
      </c>
    </row>
    <row r="863" spans="1:17" x14ac:dyDescent="0.3">
      <c r="A863" t="s">
        <v>1823</v>
      </c>
      <c r="B863" t="s">
        <v>1824</v>
      </c>
      <c r="C863" t="s">
        <v>118</v>
      </c>
      <c r="D863" s="2">
        <v>60</v>
      </c>
      <c r="E863" t="s">
        <v>106</v>
      </c>
      <c r="F863" t="s">
        <v>107</v>
      </c>
      <c r="G863" s="2" t="s">
        <v>57</v>
      </c>
      <c r="H863" s="2" t="s">
        <v>2120</v>
      </c>
      <c r="I863" s="2" t="s">
        <v>162</v>
      </c>
      <c r="J863" s="2">
        <v>2.2000000000000002</v>
      </c>
      <c r="K863" s="2" t="s">
        <v>59</v>
      </c>
      <c r="L863" s="2">
        <v>0.6</v>
      </c>
      <c r="M863" s="2" t="s">
        <v>82</v>
      </c>
      <c r="N863" s="2" t="s">
        <v>34</v>
      </c>
      <c r="O863" s="2">
        <v>4</v>
      </c>
      <c r="P863" s="2" t="str">
        <f>IF(global_freelancer_raw[[#This Row],[No of projects ]]&lt;=5,"Entry level","Well Experienced")</f>
        <v>Entry level</v>
      </c>
      <c r="Q863" s="2">
        <v>1</v>
      </c>
    </row>
    <row r="864" spans="1:17" x14ac:dyDescent="0.3">
      <c r="A864" t="s">
        <v>1825</v>
      </c>
      <c r="B864" t="s">
        <v>1826</v>
      </c>
      <c r="C864" t="s">
        <v>118</v>
      </c>
      <c r="D864" s="2">
        <v>46</v>
      </c>
      <c r="E864" t="s">
        <v>160</v>
      </c>
      <c r="F864" t="s">
        <v>161</v>
      </c>
      <c r="G864" s="2" t="s">
        <v>135</v>
      </c>
      <c r="H864" s="2">
        <v>12</v>
      </c>
      <c r="I864" s="2" t="s">
        <v>40</v>
      </c>
      <c r="J864" s="2">
        <v>4.7</v>
      </c>
      <c r="K864" s="2" t="s">
        <v>87</v>
      </c>
      <c r="L864" s="2">
        <v>0.77</v>
      </c>
      <c r="M864" s="2" t="s">
        <v>60</v>
      </c>
      <c r="N864" s="2" t="s">
        <v>25</v>
      </c>
      <c r="O864" s="2">
        <v>9</v>
      </c>
      <c r="P864" s="2" t="str">
        <f>IF(global_freelancer_raw[[#This Row],[No of projects ]]&lt;=5,"Entry level","Well Experienced")</f>
        <v>Well Experienced</v>
      </c>
      <c r="Q864" s="2">
        <v>7</v>
      </c>
    </row>
    <row r="865" spans="1:17" x14ac:dyDescent="0.3">
      <c r="A865" t="s">
        <v>1827</v>
      </c>
      <c r="B865" t="s">
        <v>1828</v>
      </c>
      <c r="C865" t="s">
        <v>118</v>
      </c>
      <c r="D865" s="2">
        <v>29</v>
      </c>
      <c r="E865" t="s">
        <v>197</v>
      </c>
      <c r="F865" t="s">
        <v>198</v>
      </c>
      <c r="G865" s="2" t="s">
        <v>110</v>
      </c>
      <c r="H865" s="2">
        <v>0</v>
      </c>
      <c r="I865" s="2" t="s">
        <v>52</v>
      </c>
      <c r="J865" s="2">
        <v>0</v>
      </c>
      <c r="K865" s="2" t="s">
        <v>23</v>
      </c>
      <c r="L865" s="2">
        <v>0.63</v>
      </c>
      <c r="M865" s="2" t="s">
        <v>60</v>
      </c>
      <c r="N865" s="2" t="s">
        <v>34</v>
      </c>
      <c r="O865" s="2">
        <v>2</v>
      </c>
      <c r="P865" s="2" t="str">
        <f>IF(global_freelancer_raw[[#This Row],[No of projects ]]&lt;=5,"Entry level","Well Experienced")</f>
        <v>Entry level</v>
      </c>
      <c r="Q865" s="2">
        <v>1</v>
      </c>
    </row>
    <row r="866" spans="1:17" x14ac:dyDescent="0.3">
      <c r="A866" t="s">
        <v>1829</v>
      </c>
      <c r="B866" t="s">
        <v>1830</v>
      </c>
      <c r="C866" t="s">
        <v>97</v>
      </c>
      <c r="D866" s="2">
        <v>39</v>
      </c>
      <c r="E866" t="s">
        <v>128</v>
      </c>
      <c r="F866" t="s">
        <v>129</v>
      </c>
      <c r="G866" s="2" t="s">
        <v>31</v>
      </c>
      <c r="H866" s="2">
        <v>18</v>
      </c>
      <c r="I866" s="2" t="s">
        <v>162</v>
      </c>
      <c r="J866" s="2">
        <v>2.5</v>
      </c>
      <c r="K866" s="2" t="s">
        <v>87</v>
      </c>
      <c r="L866" s="2">
        <v>0.61</v>
      </c>
      <c r="M866" s="2" t="s">
        <v>82</v>
      </c>
      <c r="N866" s="2" t="s">
        <v>42</v>
      </c>
      <c r="O866" s="2">
        <v>16</v>
      </c>
      <c r="P866" s="2" t="str">
        <f>IF(global_freelancer_raw[[#This Row],[No of projects ]]&lt;=5,"Entry level","Well Experienced")</f>
        <v>Well Experienced</v>
      </c>
      <c r="Q866" s="2">
        <v>10</v>
      </c>
    </row>
    <row r="867" spans="1:17" x14ac:dyDescent="0.3">
      <c r="A867" t="s">
        <v>1831</v>
      </c>
      <c r="B867" t="s">
        <v>1832</v>
      </c>
      <c r="C867" t="s">
        <v>118</v>
      </c>
      <c r="D867" s="2">
        <v>55</v>
      </c>
      <c r="E867" t="s">
        <v>145</v>
      </c>
      <c r="F867" t="s">
        <v>146</v>
      </c>
      <c r="G867" s="2" t="s">
        <v>31</v>
      </c>
      <c r="H867" s="2">
        <v>2</v>
      </c>
      <c r="I867" s="2" t="s">
        <v>81</v>
      </c>
      <c r="J867" s="2">
        <v>3.9</v>
      </c>
      <c r="K867" s="2" t="s">
        <v>87</v>
      </c>
      <c r="L867" s="2">
        <v>0.88</v>
      </c>
      <c r="M867" s="2" t="s">
        <v>82</v>
      </c>
      <c r="N867" s="2" t="s">
        <v>42</v>
      </c>
      <c r="O867" s="2">
        <v>1</v>
      </c>
      <c r="P867" s="2" t="str">
        <f>IF(global_freelancer_raw[[#This Row],[No of projects ]]&lt;=5,"Entry level","Well Experienced")</f>
        <v>Entry level</v>
      </c>
      <c r="Q867" s="2">
        <v>4</v>
      </c>
    </row>
    <row r="868" spans="1:17" x14ac:dyDescent="0.3">
      <c r="A868" t="s">
        <v>1833</v>
      </c>
      <c r="B868" t="s">
        <v>1834</v>
      </c>
      <c r="C868" t="s">
        <v>118</v>
      </c>
      <c r="D868" s="2">
        <v>55</v>
      </c>
      <c r="E868" t="s">
        <v>79</v>
      </c>
      <c r="F868" t="s">
        <v>80</v>
      </c>
      <c r="G868" s="2" t="s">
        <v>98</v>
      </c>
      <c r="H868" s="2" t="s">
        <v>2120</v>
      </c>
      <c r="I868" s="2" t="s">
        <v>32</v>
      </c>
      <c r="J868" s="2">
        <v>1.2</v>
      </c>
      <c r="K868" s="2" t="s">
        <v>33</v>
      </c>
      <c r="L868" s="2">
        <v>0.69</v>
      </c>
      <c r="M868" s="2" t="s">
        <v>60</v>
      </c>
      <c r="N868" s="2" t="s">
        <v>25</v>
      </c>
      <c r="O868" s="2">
        <v>5</v>
      </c>
      <c r="P868" s="2" t="str">
        <f>IF(global_freelancer_raw[[#This Row],[No of projects ]]&lt;=5,"Entry level","Well Experienced")</f>
        <v>Entry level</v>
      </c>
      <c r="Q868" s="2">
        <v>2</v>
      </c>
    </row>
    <row r="869" spans="1:17" x14ac:dyDescent="0.3">
      <c r="A869" t="s">
        <v>1835</v>
      </c>
      <c r="B869" t="s">
        <v>1836</v>
      </c>
      <c r="C869" t="s">
        <v>118</v>
      </c>
      <c r="D869" s="2">
        <v>40</v>
      </c>
      <c r="E869" t="s">
        <v>64</v>
      </c>
      <c r="F869" t="s">
        <v>65</v>
      </c>
      <c r="G869" s="2" t="s">
        <v>66</v>
      </c>
      <c r="H869" s="2">
        <v>2</v>
      </c>
      <c r="I869" s="2" t="s">
        <v>103</v>
      </c>
      <c r="J869" s="2">
        <v>4.5</v>
      </c>
      <c r="K869" s="2" t="s">
        <v>87</v>
      </c>
      <c r="L869" s="2" t="s">
        <v>2120</v>
      </c>
      <c r="M869" s="2" t="s">
        <v>88</v>
      </c>
      <c r="N869" s="2" t="s">
        <v>34</v>
      </c>
      <c r="O869" s="2">
        <v>2</v>
      </c>
      <c r="P869" s="2" t="str">
        <f>IF(global_freelancer_raw[[#This Row],[No of projects ]]&lt;=5,"Entry level","Well Experienced")</f>
        <v>Entry level</v>
      </c>
      <c r="Q869" s="2">
        <v>2</v>
      </c>
    </row>
    <row r="870" spans="1:17" x14ac:dyDescent="0.3">
      <c r="A870" t="s">
        <v>1837</v>
      </c>
      <c r="B870" t="s">
        <v>1838</v>
      </c>
      <c r="C870" t="s">
        <v>97</v>
      </c>
      <c r="D870" s="2">
        <v>56</v>
      </c>
      <c r="E870" t="s">
        <v>197</v>
      </c>
      <c r="F870" t="s">
        <v>198</v>
      </c>
      <c r="G870" s="2" t="s">
        <v>93</v>
      </c>
      <c r="H870" s="2">
        <v>35</v>
      </c>
      <c r="I870" s="2" t="s">
        <v>47</v>
      </c>
      <c r="J870" s="2">
        <v>2.7</v>
      </c>
      <c r="K870" s="2" t="s">
        <v>74</v>
      </c>
      <c r="L870" s="2">
        <v>0.82</v>
      </c>
      <c r="M870" s="2" t="s">
        <v>24</v>
      </c>
      <c r="N870" s="2" t="s">
        <v>34</v>
      </c>
      <c r="O870" s="2">
        <v>15</v>
      </c>
      <c r="P870" s="2" t="str">
        <f>IF(global_freelancer_raw[[#This Row],[No of projects ]]&lt;=5,"Entry level","Well Experienced")</f>
        <v>Well Experienced</v>
      </c>
      <c r="Q870" s="2">
        <v>6</v>
      </c>
    </row>
    <row r="871" spans="1:17" x14ac:dyDescent="0.3">
      <c r="A871" t="s">
        <v>1839</v>
      </c>
      <c r="B871" t="s">
        <v>1840</v>
      </c>
      <c r="C871" t="s">
        <v>118</v>
      </c>
      <c r="D871" s="2">
        <v>57</v>
      </c>
      <c r="E871" t="s">
        <v>201</v>
      </c>
      <c r="F871" t="s">
        <v>92</v>
      </c>
      <c r="G871" s="2" t="s">
        <v>31</v>
      </c>
      <c r="H871" s="2">
        <v>21</v>
      </c>
      <c r="I871" s="2" t="s">
        <v>103</v>
      </c>
      <c r="J871" s="2">
        <v>2</v>
      </c>
      <c r="K871" s="2" t="s">
        <v>41</v>
      </c>
      <c r="L871" s="2">
        <v>0.96</v>
      </c>
      <c r="M871" s="2" t="s">
        <v>88</v>
      </c>
      <c r="N871" s="2" t="s">
        <v>42</v>
      </c>
      <c r="O871" s="2">
        <v>15</v>
      </c>
      <c r="P871" s="2" t="str">
        <f>IF(global_freelancer_raw[[#This Row],[No of projects ]]&lt;=5,"Entry level","Well Experienced")</f>
        <v>Well Experienced</v>
      </c>
      <c r="Q871" s="2">
        <v>12</v>
      </c>
    </row>
    <row r="872" spans="1:17" x14ac:dyDescent="0.3">
      <c r="A872" t="s">
        <v>1841</v>
      </c>
      <c r="B872" t="s">
        <v>1842</v>
      </c>
      <c r="C872" t="s">
        <v>97</v>
      </c>
      <c r="D872" s="2">
        <v>56</v>
      </c>
      <c r="E872" t="s">
        <v>145</v>
      </c>
      <c r="F872" t="s">
        <v>146</v>
      </c>
      <c r="G872" s="2" t="s">
        <v>110</v>
      </c>
      <c r="H872" s="2">
        <v>3</v>
      </c>
      <c r="I872" s="2" t="s">
        <v>47</v>
      </c>
      <c r="J872" s="2">
        <v>1.7</v>
      </c>
      <c r="K872" s="2" t="s">
        <v>41</v>
      </c>
      <c r="L872" s="2">
        <v>0.71</v>
      </c>
      <c r="M872" s="2" t="s">
        <v>82</v>
      </c>
      <c r="N872" s="2" t="s">
        <v>34</v>
      </c>
      <c r="O872" s="2">
        <v>4</v>
      </c>
      <c r="P872" s="2" t="str">
        <f>IF(global_freelancer_raw[[#This Row],[No of projects ]]&lt;=5,"Entry level","Well Experienced")</f>
        <v>Entry level</v>
      </c>
      <c r="Q872" s="2">
        <v>4</v>
      </c>
    </row>
    <row r="873" spans="1:17" x14ac:dyDescent="0.3">
      <c r="A873" t="s">
        <v>1843</v>
      </c>
      <c r="B873" t="s">
        <v>1844</v>
      </c>
      <c r="C873" t="s">
        <v>97</v>
      </c>
      <c r="D873" s="2">
        <v>49</v>
      </c>
      <c r="E873" t="s">
        <v>38</v>
      </c>
      <c r="F873" t="s">
        <v>38</v>
      </c>
      <c r="G873" s="2" t="s">
        <v>31</v>
      </c>
      <c r="H873" s="2">
        <v>24</v>
      </c>
      <c r="I873" s="2" t="s">
        <v>192</v>
      </c>
      <c r="J873" s="2">
        <v>3</v>
      </c>
      <c r="K873" s="2" t="s">
        <v>33</v>
      </c>
      <c r="L873" s="2">
        <v>0.77</v>
      </c>
      <c r="M873" s="2" t="s">
        <v>88</v>
      </c>
      <c r="N873" s="2" t="s">
        <v>34</v>
      </c>
      <c r="O873" s="2">
        <v>18</v>
      </c>
      <c r="P873" s="2" t="str">
        <f>IF(global_freelancer_raw[[#This Row],[No of projects ]]&lt;=5,"Entry level","Well Experienced")</f>
        <v>Well Experienced</v>
      </c>
      <c r="Q873" s="2">
        <v>10</v>
      </c>
    </row>
    <row r="874" spans="1:17" x14ac:dyDescent="0.3">
      <c r="A874" t="s">
        <v>1845</v>
      </c>
      <c r="B874" t="s">
        <v>1846</v>
      </c>
      <c r="C874" t="s">
        <v>118</v>
      </c>
      <c r="D874" s="2">
        <v>26</v>
      </c>
      <c r="E874" t="s">
        <v>212</v>
      </c>
      <c r="F874" t="s">
        <v>92</v>
      </c>
      <c r="G874" s="2" t="s">
        <v>21</v>
      </c>
      <c r="H874" s="2" t="s">
        <v>2120</v>
      </c>
      <c r="I874" s="2" t="s">
        <v>192</v>
      </c>
      <c r="J874" s="2">
        <v>2.1</v>
      </c>
      <c r="K874" s="2" t="s">
        <v>87</v>
      </c>
      <c r="L874" s="2" t="s">
        <v>2120</v>
      </c>
      <c r="M874" s="2" t="s">
        <v>60</v>
      </c>
      <c r="N874" s="2" t="s">
        <v>34</v>
      </c>
      <c r="O874" s="2">
        <v>1</v>
      </c>
      <c r="P874" s="2" t="str">
        <f>IF(global_freelancer_raw[[#This Row],[No of projects ]]&lt;=5,"Entry level","Well Experienced")</f>
        <v>Entry level</v>
      </c>
      <c r="Q874" s="2">
        <v>1</v>
      </c>
    </row>
    <row r="875" spans="1:17" x14ac:dyDescent="0.3">
      <c r="A875" t="s">
        <v>1847</v>
      </c>
      <c r="B875" t="s">
        <v>1848</v>
      </c>
      <c r="C875" t="s">
        <v>97</v>
      </c>
      <c r="D875" s="2">
        <v>36</v>
      </c>
      <c r="E875" t="s">
        <v>133</v>
      </c>
      <c r="F875" t="s">
        <v>134</v>
      </c>
      <c r="G875" s="2" t="s">
        <v>93</v>
      </c>
      <c r="H875" s="2">
        <v>0</v>
      </c>
      <c r="I875" s="2" t="s">
        <v>103</v>
      </c>
      <c r="J875" s="2">
        <v>1.5</v>
      </c>
      <c r="K875" s="2" t="s">
        <v>2120</v>
      </c>
      <c r="L875" s="2">
        <v>0.73</v>
      </c>
      <c r="M875" s="2" t="s">
        <v>82</v>
      </c>
      <c r="N875" s="2" t="s">
        <v>75</v>
      </c>
      <c r="O875" s="2">
        <v>2</v>
      </c>
      <c r="P875" s="2" t="str">
        <f>IF(global_freelancer_raw[[#This Row],[No of projects ]]&lt;=5,"Entry level","Well Experienced")</f>
        <v>Entry level</v>
      </c>
      <c r="Q875" s="2">
        <v>1</v>
      </c>
    </row>
    <row r="876" spans="1:17" x14ac:dyDescent="0.3">
      <c r="A876" t="s">
        <v>1849</v>
      </c>
      <c r="B876" t="s">
        <v>1850</v>
      </c>
      <c r="C876" t="s">
        <v>118</v>
      </c>
      <c r="D876" s="2">
        <v>20</v>
      </c>
      <c r="E876" t="s">
        <v>145</v>
      </c>
      <c r="F876" t="s">
        <v>146</v>
      </c>
      <c r="G876" s="2" t="s">
        <v>46</v>
      </c>
      <c r="H876" s="2">
        <v>2</v>
      </c>
      <c r="I876" s="2" t="s">
        <v>130</v>
      </c>
      <c r="J876" s="2">
        <v>1.7</v>
      </c>
      <c r="K876" s="2" t="s">
        <v>74</v>
      </c>
      <c r="L876" s="2">
        <v>0.6</v>
      </c>
      <c r="M876" s="2" t="s">
        <v>24</v>
      </c>
      <c r="N876" s="2" t="s">
        <v>25</v>
      </c>
      <c r="O876" s="2">
        <v>4</v>
      </c>
      <c r="P876" s="2" t="str">
        <f>IF(global_freelancer_raw[[#This Row],[No of projects ]]&lt;=5,"Entry level","Well Experienced")</f>
        <v>Entry level</v>
      </c>
      <c r="Q876" s="2">
        <v>2</v>
      </c>
    </row>
    <row r="877" spans="1:17" x14ac:dyDescent="0.3">
      <c r="A877" t="s">
        <v>1851</v>
      </c>
      <c r="B877" t="s">
        <v>1852</v>
      </c>
      <c r="C877" t="s">
        <v>97</v>
      </c>
      <c r="D877" s="2">
        <v>40</v>
      </c>
      <c r="E877" t="s">
        <v>212</v>
      </c>
      <c r="F877" t="s">
        <v>92</v>
      </c>
      <c r="G877" s="2" t="s">
        <v>57</v>
      </c>
      <c r="H877" s="2" t="s">
        <v>2120</v>
      </c>
      <c r="I877" s="2" t="s">
        <v>2119</v>
      </c>
      <c r="J877" s="2">
        <v>1.2</v>
      </c>
      <c r="K877" s="2" t="s">
        <v>33</v>
      </c>
      <c r="L877" s="2">
        <v>0.67</v>
      </c>
      <c r="M877" s="2" t="s">
        <v>60</v>
      </c>
      <c r="N877" s="2" t="s">
        <v>75</v>
      </c>
      <c r="O877" s="2">
        <v>3</v>
      </c>
      <c r="P877" s="2" t="str">
        <f>IF(global_freelancer_raw[[#This Row],[No of projects ]]&lt;=5,"Entry level","Well Experienced")</f>
        <v>Entry level</v>
      </c>
      <c r="Q877" s="2">
        <v>1</v>
      </c>
    </row>
    <row r="878" spans="1:17" x14ac:dyDescent="0.3">
      <c r="A878" t="s">
        <v>1853</v>
      </c>
      <c r="B878" t="s">
        <v>1854</v>
      </c>
      <c r="C878" t="s">
        <v>97</v>
      </c>
      <c r="D878" s="2">
        <v>30</v>
      </c>
      <c r="E878" t="s">
        <v>114</v>
      </c>
      <c r="F878" t="s">
        <v>115</v>
      </c>
      <c r="G878" s="2" t="s">
        <v>31</v>
      </c>
      <c r="H878" s="2">
        <v>6</v>
      </c>
      <c r="I878" s="2" t="s">
        <v>103</v>
      </c>
      <c r="J878" s="2">
        <v>0</v>
      </c>
      <c r="K878" s="2" t="s">
        <v>59</v>
      </c>
      <c r="L878" s="2">
        <v>0.8</v>
      </c>
      <c r="M878" s="2" t="s">
        <v>60</v>
      </c>
      <c r="N878" s="2" t="s">
        <v>25</v>
      </c>
      <c r="O878" s="2">
        <v>7</v>
      </c>
      <c r="P878" s="2" t="str">
        <f>IF(global_freelancer_raw[[#This Row],[No of projects ]]&lt;=5,"Entry level","Well Experienced")</f>
        <v>Well Experienced</v>
      </c>
      <c r="Q878" s="2">
        <v>8</v>
      </c>
    </row>
    <row r="879" spans="1:17" x14ac:dyDescent="0.3">
      <c r="A879" t="s">
        <v>1855</v>
      </c>
      <c r="B879" t="s">
        <v>1856</v>
      </c>
      <c r="C879" t="s">
        <v>118</v>
      </c>
      <c r="D879" s="2">
        <v>51</v>
      </c>
      <c r="E879" t="s">
        <v>29</v>
      </c>
      <c r="F879" t="s">
        <v>30</v>
      </c>
      <c r="G879" s="2" t="s">
        <v>39</v>
      </c>
      <c r="H879" s="2">
        <v>21</v>
      </c>
      <c r="I879" s="2" t="s">
        <v>162</v>
      </c>
      <c r="J879" s="2" t="s">
        <v>2120</v>
      </c>
      <c r="K879" s="2" t="s">
        <v>94</v>
      </c>
      <c r="L879" s="2" t="s">
        <v>2120</v>
      </c>
      <c r="M879" s="2" t="s">
        <v>24</v>
      </c>
      <c r="N879" s="2" t="s">
        <v>42</v>
      </c>
      <c r="O879" s="2">
        <v>14</v>
      </c>
      <c r="P879" s="2" t="str">
        <f>IF(global_freelancer_raw[[#This Row],[No of projects ]]&lt;=5,"Entry level","Well Experienced")</f>
        <v>Well Experienced</v>
      </c>
      <c r="Q879" s="2">
        <v>7</v>
      </c>
    </row>
    <row r="880" spans="1:17" x14ac:dyDescent="0.3">
      <c r="A880" t="s">
        <v>1857</v>
      </c>
      <c r="B880" t="s">
        <v>1858</v>
      </c>
      <c r="C880" t="s">
        <v>118</v>
      </c>
      <c r="D880" s="2">
        <v>46</v>
      </c>
      <c r="E880" t="s">
        <v>73</v>
      </c>
      <c r="F880" t="s">
        <v>30</v>
      </c>
      <c r="G880" s="2" t="s">
        <v>93</v>
      </c>
      <c r="H880" s="2">
        <v>24</v>
      </c>
      <c r="I880" s="2" t="s">
        <v>86</v>
      </c>
      <c r="J880" s="2">
        <v>3.3</v>
      </c>
      <c r="K880" s="2" t="s">
        <v>33</v>
      </c>
      <c r="L880" s="2">
        <v>0.87</v>
      </c>
      <c r="M880" s="2" t="s">
        <v>24</v>
      </c>
      <c r="N880" s="2" t="s">
        <v>34</v>
      </c>
      <c r="O880" s="2">
        <v>19</v>
      </c>
      <c r="P880" s="2" t="str">
        <f>IF(global_freelancer_raw[[#This Row],[No of projects ]]&lt;=5,"Entry level","Well Experienced")</f>
        <v>Well Experienced</v>
      </c>
      <c r="Q880" s="2">
        <v>8</v>
      </c>
    </row>
    <row r="881" spans="1:17" x14ac:dyDescent="0.3">
      <c r="A881" t="s">
        <v>1859</v>
      </c>
      <c r="B881" t="s">
        <v>1860</v>
      </c>
      <c r="C881" t="s">
        <v>97</v>
      </c>
      <c r="D881" s="2">
        <v>25</v>
      </c>
      <c r="E881" t="s">
        <v>133</v>
      </c>
      <c r="F881" t="s">
        <v>134</v>
      </c>
      <c r="G881" s="2" t="s">
        <v>57</v>
      </c>
      <c r="H881" s="2">
        <v>6</v>
      </c>
      <c r="I881" s="2" t="s">
        <v>162</v>
      </c>
      <c r="J881" s="2">
        <v>2.1</v>
      </c>
      <c r="K881" s="2" t="s">
        <v>181</v>
      </c>
      <c r="L881" s="2" t="s">
        <v>2120</v>
      </c>
      <c r="M881" s="2" t="s">
        <v>88</v>
      </c>
      <c r="N881" s="2" t="s">
        <v>25</v>
      </c>
      <c r="O881" s="2">
        <v>9</v>
      </c>
      <c r="P881" s="2" t="str">
        <f>IF(global_freelancer_raw[[#This Row],[No of projects ]]&lt;=5,"Entry level","Well Experienced")</f>
        <v>Well Experienced</v>
      </c>
      <c r="Q881" s="2">
        <v>8</v>
      </c>
    </row>
    <row r="882" spans="1:17" x14ac:dyDescent="0.3">
      <c r="A882" t="s">
        <v>1861</v>
      </c>
      <c r="B882" t="s">
        <v>1862</v>
      </c>
      <c r="C882" t="s">
        <v>118</v>
      </c>
      <c r="D882" s="2">
        <v>53</v>
      </c>
      <c r="E882" t="s">
        <v>55</v>
      </c>
      <c r="F882" t="s">
        <v>56</v>
      </c>
      <c r="G882" s="2" t="s">
        <v>46</v>
      </c>
      <c r="H882" s="2">
        <v>32</v>
      </c>
      <c r="I882" s="2" t="s">
        <v>40</v>
      </c>
      <c r="J882" s="2" t="s">
        <v>2120</v>
      </c>
      <c r="K882" s="2" t="s">
        <v>33</v>
      </c>
      <c r="L882" s="2" t="s">
        <v>2120</v>
      </c>
      <c r="M882" s="2" t="s">
        <v>82</v>
      </c>
      <c r="N882" s="2" t="s">
        <v>75</v>
      </c>
      <c r="O882" s="2">
        <v>14</v>
      </c>
      <c r="P882" s="2" t="str">
        <f>IF(global_freelancer_raw[[#This Row],[No of projects ]]&lt;=5,"Entry level","Well Experienced")</f>
        <v>Well Experienced</v>
      </c>
      <c r="Q882" s="2">
        <v>4</v>
      </c>
    </row>
    <row r="883" spans="1:17" x14ac:dyDescent="0.3">
      <c r="A883" t="s">
        <v>1863</v>
      </c>
      <c r="B883" t="s">
        <v>1864</v>
      </c>
      <c r="C883" t="s">
        <v>97</v>
      </c>
      <c r="D883" s="2">
        <v>50</v>
      </c>
      <c r="E883" t="s">
        <v>160</v>
      </c>
      <c r="F883" t="s">
        <v>161</v>
      </c>
      <c r="G883" s="2" t="s">
        <v>31</v>
      </c>
      <c r="H883" s="2">
        <v>31</v>
      </c>
      <c r="I883" s="2" t="s">
        <v>32</v>
      </c>
      <c r="J883" s="2">
        <v>2.9</v>
      </c>
      <c r="K883" s="2" t="s">
        <v>94</v>
      </c>
      <c r="L883" s="2">
        <v>0.89</v>
      </c>
      <c r="M883" s="2" t="s">
        <v>24</v>
      </c>
      <c r="N883" s="2" t="s">
        <v>34</v>
      </c>
      <c r="O883" s="2">
        <v>17</v>
      </c>
      <c r="P883" s="2" t="str">
        <f>IF(global_freelancer_raw[[#This Row],[No of projects ]]&lt;=5,"Entry level","Well Experienced")</f>
        <v>Well Experienced</v>
      </c>
      <c r="Q883" s="2">
        <v>6</v>
      </c>
    </row>
    <row r="884" spans="1:17" x14ac:dyDescent="0.3">
      <c r="A884" t="s">
        <v>1865</v>
      </c>
      <c r="B884" t="s">
        <v>1866</v>
      </c>
      <c r="C884" t="s">
        <v>118</v>
      </c>
      <c r="D884" s="2">
        <v>45</v>
      </c>
      <c r="E884" t="s">
        <v>133</v>
      </c>
      <c r="F884" t="s">
        <v>134</v>
      </c>
      <c r="G884" s="2" t="s">
        <v>57</v>
      </c>
      <c r="H884" s="2" t="s">
        <v>2120</v>
      </c>
      <c r="I884" s="2" t="s">
        <v>336</v>
      </c>
      <c r="J884" s="2">
        <v>3.3</v>
      </c>
      <c r="K884" s="2" t="s">
        <v>74</v>
      </c>
      <c r="L884" s="2">
        <v>0.93</v>
      </c>
      <c r="M884" s="2" t="s">
        <v>24</v>
      </c>
      <c r="N884" s="2" t="s">
        <v>42</v>
      </c>
      <c r="O884" s="2">
        <v>4</v>
      </c>
      <c r="P884" s="2" t="str">
        <f>IF(global_freelancer_raw[[#This Row],[No of projects ]]&lt;=5,"Entry level","Well Experienced")</f>
        <v>Entry level</v>
      </c>
      <c r="Q884" s="2">
        <v>1</v>
      </c>
    </row>
    <row r="885" spans="1:17" x14ac:dyDescent="0.3">
      <c r="A885" t="s">
        <v>1867</v>
      </c>
      <c r="B885" t="s">
        <v>1868</v>
      </c>
      <c r="C885" t="s">
        <v>97</v>
      </c>
      <c r="D885" s="2">
        <v>48</v>
      </c>
      <c r="E885" t="s">
        <v>149</v>
      </c>
      <c r="F885" t="s">
        <v>30</v>
      </c>
      <c r="G885" s="2" t="s">
        <v>98</v>
      </c>
      <c r="H885" s="2">
        <v>24</v>
      </c>
      <c r="I885" s="2" t="s">
        <v>22</v>
      </c>
      <c r="J885" s="2">
        <v>4.8</v>
      </c>
      <c r="K885" s="2" t="s">
        <v>33</v>
      </c>
      <c r="L885" s="2">
        <v>0.84</v>
      </c>
      <c r="M885" s="2" t="s">
        <v>82</v>
      </c>
      <c r="N885" s="2" t="s">
        <v>25</v>
      </c>
      <c r="O885" s="2">
        <v>12</v>
      </c>
      <c r="P885" s="2" t="str">
        <f>IF(global_freelancer_raw[[#This Row],[No of projects ]]&lt;=5,"Entry level","Well Experienced")</f>
        <v>Well Experienced</v>
      </c>
      <c r="Q885" s="2">
        <v>13</v>
      </c>
    </row>
    <row r="886" spans="1:17" x14ac:dyDescent="0.3">
      <c r="A886" t="s">
        <v>1869</v>
      </c>
      <c r="B886" t="s">
        <v>1870</v>
      </c>
      <c r="C886" t="s">
        <v>118</v>
      </c>
      <c r="D886" s="2">
        <v>30</v>
      </c>
      <c r="E886" t="s">
        <v>64</v>
      </c>
      <c r="F886" t="s">
        <v>65</v>
      </c>
      <c r="G886" s="2" t="s">
        <v>110</v>
      </c>
      <c r="H886" s="2" t="s">
        <v>2120</v>
      </c>
      <c r="I886" s="2" t="s">
        <v>251</v>
      </c>
      <c r="J886" s="2">
        <v>4.5</v>
      </c>
      <c r="K886" s="2" t="s">
        <v>2120</v>
      </c>
      <c r="L886" s="2">
        <v>0.78</v>
      </c>
      <c r="M886" s="2" t="s">
        <v>24</v>
      </c>
      <c r="N886" s="2" t="s">
        <v>25</v>
      </c>
      <c r="O886" s="2">
        <v>5</v>
      </c>
      <c r="P886" s="2" t="str">
        <f>IF(global_freelancer_raw[[#This Row],[No of projects ]]&lt;=5,"Entry level","Well Experienced")</f>
        <v>Entry level</v>
      </c>
      <c r="Q886" s="2">
        <v>1</v>
      </c>
    </row>
    <row r="887" spans="1:17" x14ac:dyDescent="0.3">
      <c r="A887" t="s">
        <v>1871</v>
      </c>
      <c r="B887" t="s">
        <v>589</v>
      </c>
      <c r="C887" t="s">
        <v>97</v>
      </c>
      <c r="D887" s="2">
        <v>33</v>
      </c>
      <c r="E887" t="s">
        <v>55</v>
      </c>
      <c r="F887" t="s">
        <v>56</v>
      </c>
      <c r="G887" s="2" t="s">
        <v>93</v>
      </c>
      <c r="H887" s="2">
        <v>6</v>
      </c>
      <c r="I887" s="2" t="s">
        <v>81</v>
      </c>
      <c r="J887" s="2">
        <v>3.1</v>
      </c>
      <c r="K887" s="2" t="s">
        <v>181</v>
      </c>
      <c r="L887" s="2">
        <v>0.9</v>
      </c>
      <c r="M887" s="2" t="s">
        <v>24</v>
      </c>
      <c r="N887" s="2" t="s">
        <v>25</v>
      </c>
      <c r="O887" s="2">
        <v>8</v>
      </c>
      <c r="P887" s="2" t="str">
        <f>IF(global_freelancer_raw[[#This Row],[No of projects ]]&lt;=5,"Entry level","Well Experienced")</f>
        <v>Well Experienced</v>
      </c>
      <c r="Q887" s="2">
        <v>8</v>
      </c>
    </row>
    <row r="888" spans="1:17" x14ac:dyDescent="0.3">
      <c r="A888" t="s">
        <v>1872</v>
      </c>
      <c r="B888" t="s">
        <v>1873</v>
      </c>
      <c r="C888" t="s">
        <v>97</v>
      </c>
      <c r="D888" s="2">
        <v>50</v>
      </c>
      <c r="E888" t="s">
        <v>85</v>
      </c>
      <c r="F888" t="s">
        <v>30</v>
      </c>
      <c r="G888" s="2" t="s">
        <v>110</v>
      </c>
      <c r="H888" s="2">
        <v>11</v>
      </c>
      <c r="I888" s="2" t="s">
        <v>2119</v>
      </c>
      <c r="J888" s="2">
        <v>4.9000000000000004</v>
      </c>
      <c r="K888" s="2" t="s">
        <v>33</v>
      </c>
      <c r="L888" s="2">
        <v>0.88</v>
      </c>
      <c r="M888" s="2" t="s">
        <v>88</v>
      </c>
      <c r="N888" s="2" t="s">
        <v>34</v>
      </c>
      <c r="O888" s="2">
        <v>6</v>
      </c>
      <c r="P888" s="2" t="str">
        <f>IF(global_freelancer_raw[[#This Row],[No of projects ]]&lt;=5,"Entry level","Well Experienced")</f>
        <v>Well Experienced</v>
      </c>
      <c r="Q888" s="2">
        <v>13</v>
      </c>
    </row>
    <row r="889" spans="1:17" x14ac:dyDescent="0.3">
      <c r="A889" t="s">
        <v>1874</v>
      </c>
      <c r="B889" t="s">
        <v>1875</v>
      </c>
      <c r="C889" t="s">
        <v>97</v>
      </c>
      <c r="D889" s="2">
        <v>24</v>
      </c>
      <c r="E889" t="s">
        <v>64</v>
      </c>
      <c r="F889" t="s">
        <v>65</v>
      </c>
      <c r="G889" s="2" t="s">
        <v>66</v>
      </c>
      <c r="H889" s="2" t="s">
        <v>2120</v>
      </c>
      <c r="I889" s="2" t="s">
        <v>142</v>
      </c>
      <c r="J889" s="2">
        <v>0</v>
      </c>
      <c r="K889" s="2" t="s">
        <v>23</v>
      </c>
      <c r="L889" s="2">
        <v>0.76</v>
      </c>
      <c r="M889" s="2" t="s">
        <v>60</v>
      </c>
      <c r="N889" s="2" t="s">
        <v>75</v>
      </c>
      <c r="O889" s="2">
        <v>3</v>
      </c>
      <c r="P889" s="2" t="str">
        <f>IF(global_freelancer_raw[[#This Row],[No of projects ]]&lt;=5,"Entry level","Well Experienced")</f>
        <v>Entry level</v>
      </c>
      <c r="Q889" s="2">
        <v>1</v>
      </c>
    </row>
    <row r="890" spans="1:17" x14ac:dyDescent="0.3">
      <c r="A890" t="s">
        <v>1876</v>
      </c>
      <c r="B890" t="s">
        <v>1877</v>
      </c>
      <c r="C890" t="s">
        <v>118</v>
      </c>
      <c r="D890" s="2">
        <v>38</v>
      </c>
      <c r="E890" t="s">
        <v>19</v>
      </c>
      <c r="F890" t="s">
        <v>20</v>
      </c>
      <c r="G890" s="2" t="s">
        <v>46</v>
      </c>
      <c r="H890" s="2">
        <v>14</v>
      </c>
      <c r="I890" s="2" t="s">
        <v>103</v>
      </c>
      <c r="J890" s="2">
        <v>1.5</v>
      </c>
      <c r="K890" s="2" t="s">
        <v>41</v>
      </c>
      <c r="L890" s="2">
        <v>0.62</v>
      </c>
      <c r="M890" s="2" t="s">
        <v>60</v>
      </c>
      <c r="N890" s="2" t="s">
        <v>75</v>
      </c>
      <c r="O890" s="2">
        <v>11</v>
      </c>
      <c r="P890" s="2" t="str">
        <f>IF(global_freelancer_raw[[#This Row],[No of projects ]]&lt;=5,"Entry level","Well Experienced")</f>
        <v>Well Experienced</v>
      </c>
      <c r="Q890" s="2">
        <v>12</v>
      </c>
    </row>
    <row r="891" spans="1:17" x14ac:dyDescent="0.3">
      <c r="A891" t="s">
        <v>1878</v>
      </c>
      <c r="B891" t="s">
        <v>1879</v>
      </c>
      <c r="C891" t="s">
        <v>118</v>
      </c>
      <c r="D891" s="2">
        <v>56</v>
      </c>
      <c r="E891" t="s">
        <v>106</v>
      </c>
      <c r="F891" t="s">
        <v>107</v>
      </c>
      <c r="G891" s="2" t="s">
        <v>110</v>
      </c>
      <c r="H891" s="2">
        <v>2</v>
      </c>
      <c r="I891" s="2" t="s">
        <v>192</v>
      </c>
      <c r="J891" s="2">
        <v>2.4</v>
      </c>
      <c r="K891" s="2" t="s">
        <v>41</v>
      </c>
      <c r="L891" s="2" t="s">
        <v>2120</v>
      </c>
      <c r="M891" s="2" t="s">
        <v>60</v>
      </c>
      <c r="N891" s="2" t="s">
        <v>25</v>
      </c>
      <c r="O891" s="2">
        <v>3</v>
      </c>
      <c r="P891" s="2" t="str">
        <f>IF(global_freelancer_raw[[#This Row],[No of projects ]]&lt;=5,"Entry level","Well Experienced")</f>
        <v>Entry level</v>
      </c>
      <c r="Q891" s="2">
        <v>1</v>
      </c>
    </row>
    <row r="892" spans="1:17" x14ac:dyDescent="0.3">
      <c r="A892" t="s">
        <v>1880</v>
      </c>
      <c r="B892" t="s">
        <v>1881</v>
      </c>
      <c r="C892" t="s">
        <v>97</v>
      </c>
      <c r="D892" s="2">
        <v>41</v>
      </c>
      <c r="E892" t="s">
        <v>145</v>
      </c>
      <c r="F892" t="s">
        <v>146</v>
      </c>
      <c r="G892" s="2" t="s">
        <v>110</v>
      </c>
      <c r="H892" s="2">
        <v>2</v>
      </c>
      <c r="I892" s="2" t="s">
        <v>32</v>
      </c>
      <c r="J892" s="2">
        <v>4.5</v>
      </c>
      <c r="K892" s="2" t="s">
        <v>41</v>
      </c>
      <c r="L892" s="2">
        <v>75</v>
      </c>
      <c r="M892" s="2" t="s">
        <v>60</v>
      </c>
      <c r="N892" s="2" t="s">
        <v>42</v>
      </c>
      <c r="O892" s="2">
        <v>2</v>
      </c>
      <c r="P892" s="2" t="str">
        <f>IF(global_freelancer_raw[[#This Row],[No of projects ]]&lt;=5,"Entry level","Well Experienced")</f>
        <v>Entry level</v>
      </c>
      <c r="Q892" s="2">
        <v>1</v>
      </c>
    </row>
    <row r="893" spans="1:17" x14ac:dyDescent="0.3">
      <c r="A893" t="s">
        <v>1882</v>
      </c>
      <c r="B893" t="s">
        <v>1883</v>
      </c>
      <c r="C893" t="s">
        <v>118</v>
      </c>
      <c r="D893" s="2" t="s">
        <v>2119</v>
      </c>
      <c r="E893" t="s">
        <v>19</v>
      </c>
      <c r="F893" t="s">
        <v>20</v>
      </c>
      <c r="G893" s="2" t="s">
        <v>93</v>
      </c>
      <c r="H893" s="2">
        <v>11</v>
      </c>
      <c r="I893" s="2" t="s">
        <v>32</v>
      </c>
      <c r="J893" s="2">
        <v>2.5</v>
      </c>
      <c r="K893" s="2" t="s">
        <v>87</v>
      </c>
      <c r="L893" s="2">
        <v>80</v>
      </c>
      <c r="M893" s="2" t="s">
        <v>24</v>
      </c>
      <c r="N893" s="2" t="s">
        <v>42</v>
      </c>
      <c r="O893" s="2">
        <v>13</v>
      </c>
      <c r="P893" s="2" t="str">
        <f>IF(global_freelancer_raw[[#This Row],[No of projects ]]&lt;=5,"Entry level","Well Experienced")</f>
        <v>Well Experienced</v>
      </c>
      <c r="Q893" s="2">
        <v>6</v>
      </c>
    </row>
    <row r="894" spans="1:17" x14ac:dyDescent="0.3">
      <c r="A894" t="s">
        <v>1884</v>
      </c>
      <c r="B894" t="s">
        <v>1885</v>
      </c>
      <c r="C894" t="s">
        <v>97</v>
      </c>
      <c r="D894" s="2">
        <v>42</v>
      </c>
      <c r="E894" t="s">
        <v>38</v>
      </c>
      <c r="F894" t="s">
        <v>38</v>
      </c>
      <c r="G894" s="2" t="s">
        <v>39</v>
      </c>
      <c r="H894" s="2">
        <v>13</v>
      </c>
      <c r="I894" s="2" t="s">
        <v>52</v>
      </c>
      <c r="J894" s="2">
        <v>3.3</v>
      </c>
      <c r="K894" s="2" t="s">
        <v>2120</v>
      </c>
      <c r="L894" s="2">
        <v>0.63</v>
      </c>
      <c r="M894" s="2" t="s">
        <v>82</v>
      </c>
      <c r="N894" s="2" t="s">
        <v>75</v>
      </c>
      <c r="O894" s="2">
        <v>10</v>
      </c>
      <c r="P894" s="2" t="str">
        <f>IF(global_freelancer_raw[[#This Row],[No of projects ]]&lt;=5,"Entry level","Well Experienced")</f>
        <v>Well Experienced</v>
      </c>
      <c r="Q894" s="2">
        <v>12</v>
      </c>
    </row>
    <row r="895" spans="1:17" x14ac:dyDescent="0.3">
      <c r="A895" t="s">
        <v>1886</v>
      </c>
      <c r="B895" t="s">
        <v>1887</v>
      </c>
      <c r="C895" t="s">
        <v>118</v>
      </c>
      <c r="D895" s="2">
        <v>26</v>
      </c>
      <c r="E895" t="s">
        <v>114</v>
      </c>
      <c r="F895" t="s">
        <v>115</v>
      </c>
      <c r="G895" s="2" t="s">
        <v>21</v>
      </c>
      <c r="H895" s="2">
        <v>7</v>
      </c>
      <c r="I895" s="2" t="s">
        <v>103</v>
      </c>
      <c r="J895" s="2">
        <v>3</v>
      </c>
      <c r="K895" s="2" t="s">
        <v>2120</v>
      </c>
      <c r="L895" s="2">
        <v>0.84</v>
      </c>
      <c r="M895" s="2" t="s">
        <v>82</v>
      </c>
      <c r="N895" s="2" t="s">
        <v>42</v>
      </c>
      <c r="O895" s="2">
        <v>11</v>
      </c>
      <c r="P895" s="2" t="str">
        <f>IF(global_freelancer_raw[[#This Row],[No of projects ]]&lt;=5,"Entry level","Well Experienced")</f>
        <v>Well Experienced</v>
      </c>
      <c r="Q895" s="2">
        <v>5</v>
      </c>
    </row>
    <row r="896" spans="1:17" x14ac:dyDescent="0.3">
      <c r="A896" t="s">
        <v>1888</v>
      </c>
      <c r="B896" t="s">
        <v>1889</v>
      </c>
      <c r="C896" t="s">
        <v>97</v>
      </c>
      <c r="D896" s="2">
        <v>44</v>
      </c>
      <c r="E896" t="s">
        <v>149</v>
      </c>
      <c r="F896" t="s">
        <v>30</v>
      </c>
      <c r="G896" s="2" t="s">
        <v>98</v>
      </c>
      <c r="H896" s="2">
        <v>25</v>
      </c>
      <c r="I896" s="2" t="s">
        <v>103</v>
      </c>
      <c r="J896" s="2">
        <v>2.7</v>
      </c>
      <c r="K896" s="2" t="s">
        <v>33</v>
      </c>
      <c r="L896" s="2">
        <v>78</v>
      </c>
      <c r="M896" s="2" t="s">
        <v>88</v>
      </c>
      <c r="N896" s="2" t="s">
        <v>75</v>
      </c>
      <c r="O896" s="2">
        <v>15</v>
      </c>
      <c r="P896" s="2" t="str">
        <f>IF(global_freelancer_raw[[#This Row],[No of projects ]]&lt;=5,"Entry level","Well Experienced")</f>
        <v>Well Experienced</v>
      </c>
      <c r="Q896" s="2">
        <v>8</v>
      </c>
    </row>
    <row r="897" spans="1:17" x14ac:dyDescent="0.3">
      <c r="A897" t="s">
        <v>1890</v>
      </c>
      <c r="B897" t="s">
        <v>1891</v>
      </c>
      <c r="C897" t="s">
        <v>118</v>
      </c>
      <c r="D897" s="2">
        <v>46</v>
      </c>
      <c r="E897" t="s">
        <v>149</v>
      </c>
      <c r="F897" t="s">
        <v>30</v>
      </c>
      <c r="G897" s="2" t="s">
        <v>39</v>
      </c>
      <c r="H897" s="2">
        <v>20</v>
      </c>
      <c r="I897" s="2" t="s">
        <v>142</v>
      </c>
      <c r="J897" s="2">
        <v>1.2</v>
      </c>
      <c r="K897" s="2" t="s">
        <v>59</v>
      </c>
      <c r="L897" s="2">
        <v>0.74</v>
      </c>
      <c r="M897" s="2" t="s">
        <v>88</v>
      </c>
      <c r="N897" s="2" t="s">
        <v>25</v>
      </c>
      <c r="O897" s="2">
        <v>12</v>
      </c>
      <c r="P897" s="2" t="str">
        <f>IF(global_freelancer_raw[[#This Row],[No of projects ]]&lt;=5,"Entry level","Well Experienced")</f>
        <v>Well Experienced</v>
      </c>
      <c r="Q897" s="2">
        <v>15</v>
      </c>
    </row>
    <row r="898" spans="1:17" x14ac:dyDescent="0.3">
      <c r="A898" t="s">
        <v>1892</v>
      </c>
      <c r="B898" t="s">
        <v>1893</v>
      </c>
      <c r="C898" t="s">
        <v>97</v>
      </c>
      <c r="D898" s="2">
        <v>36</v>
      </c>
      <c r="E898" t="s">
        <v>73</v>
      </c>
      <c r="F898" t="s">
        <v>30</v>
      </c>
      <c r="G898" s="2" t="s">
        <v>93</v>
      </c>
      <c r="H898" s="2">
        <v>8</v>
      </c>
      <c r="I898" s="2" t="s">
        <v>40</v>
      </c>
      <c r="J898" s="2">
        <v>4.3</v>
      </c>
      <c r="K898" s="2" t="s">
        <v>23</v>
      </c>
      <c r="L898" s="2">
        <v>0.9</v>
      </c>
      <c r="M898" s="2" t="s">
        <v>24</v>
      </c>
      <c r="N898" s="2" t="s">
        <v>75</v>
      </c>
      <c r="O898" s="2">
        <v>15</v>
      </c>
      <c r="P898" s="2" t="str">
        <f>IF(global_freelancer_raw[[#This Row],[No of projects ]]&lt;=5,"Entry level","Well Experienced")</f>
        <v>Well Experienced</v>
      </c>
      <c r="Q898" s="2">
        <v>1</v>
      </c>
    </row>
    <row r="899" spans="1:17" x14ac:dyDescent="0.3">
      <c r="A899" t="s">
        <v>1894</v>
      </c>
      <c r="B899" t="s">
        <v>1895</v>
      </c>
      <c r="C899" t="s">
        <v>118</v>
      </c>
      <c r="D899" s="2">
        <v>26</v>
      </c>
      <c r="E899" t="s">
        <v>55</v>
      </c>
      <c r="F899" t="s">
        <v>56</v>
      </c>
      <c r="G899" s="2" t="s">
        <v>57</v>
      </c>
      <c r="H899" s="2">
        <v>6</v>
      </c>
      <c r="I899" s="2" t="s">
        <v>47</v>
      </c>
      <c r="J899" s="2">
        <v>1.3</v>
      </c>
      <c r="K899" s="2" t="s">
        <v>23</v>
      </c>
      <c r="L899" s="2" t="s">
        <v>2120</v>
      </c>
      <c r="M899" s="2" t="s">
        <v>82</v>
      </c>
      <c r="N899" s="2" t="s">
        <v>75</v>
      </c>
      <c r="O899" s="2">
        <v>8</v>
      </c>
      <c r="P899" s="2" t="str">
        <f>IF(global_freelancer_raw[[#This Row],[No of projects ]]&lt;=5,"Entry level","Well Experienced")</f>
        <v>Well Experienced</v>
      </c>
      <c r="Q899" s="2">
        <v>5</v>
      </c>
    </row>
    <row r="900" spans="1:17" x14ac:dyDescent="0.3">
      <c r="A900" t="s">
        <v>1896</v>
      </c>
      <c r="B900" t="s">
        <v>1897</v>
      </c>
      <c r="C900" t="s">
        <v>118</v>
      </c>
      <c r="D900" s="2">
        <v>21</v>
      </c>
      <c r="E900" t="s">
        <v>38</v>
      </c>
      <c r="F900" t="s">
        <v>38</v>
      </c>
      <c r="G900" s="2" t="s">
        <v>93</v>
      </c>
      <c r="H900" s="2">
        <v>3</v>
      </c>
      <c r="I900" s="2" t="s">
        <v>40</v>
      </c>
      <c r="J900" s="2">
        <v>4.5999999999999996</v>
      </c>
      <c r="K900" s="2" t="s">
        <v>94</v>
      </c>
      <c r="L900" s="2" t="s">
        <v>2120</v>
      </c>
      <c r="M900" s="2" t="s">
        <v>82</v>
      </c>
      <c r="N900" s="2" t="s">
        <v>25</v>
      </c>
      <c r="O900" s="2">
        <v>5</v>
      </c>
      <c r="P900" s="2" t="str">
        <f>IF(global_freelancer_raw[[#This Row],[No of projects ]]&lt;=5,"Entry level","Well Experienced")</f>
        <v>Entry level</v>
      </c>
      <c r="Q900" s="2">
        <v>3</v>
      </c>
    </row>
    <row r="901" spans="1:17" x14ac:dyDescent="0.3">
      <c r="A901" t="s">
        <v>1898</v>
      </c>
      <c r="B901" t="s">
        <v>1899</v>
      </c>
      <c r="C901" t="s">
        <v>97</v>
      </c>
      <c r="D901" s="2">
        <v>39</v>
      </c>
      <c r="E901" t="s">
        <v>64</v>
      </c>
      <c r="F901" t="s">
        <v>65</v>
      </c>
      <c r="G901" s="2" t="s">
        <v>93</v>
      </c>
      <c r="H901" s="2">
        <v>18</v>
      </c>
      <c r="I901" s="2" t="s">
        <v>40</v>
      </c>
      <c r="J901" s="2">
        <v>2.1</v>
      </c>
      <c r="K901" s="2" t="s">
        <v>23</v>
      </c>
      <c r="L901" s="2">
        <v>75</v>
      </c>
      <c r="M901" s="2" t="s">
        <v>60</v>
      </c>
      <c r="N901" s="2" t="s">
        <v>42</v>
      </c>
      <c r="O901" s="2">
        <v>10</v>
      </c>
      <c r="P901" s="2" t="str">
        <f>IF(global_freelancer_raw[[#This Row],[No of projects ]]&lt;=5,"Entry level","Well Experienced")</f>
        <v>Well Experienced</v>
      </c>
      <c r="Q901" s="2">
        <v>7</v>
      </c>
    </row>
    <row r="902" spans="1:17" x14ac:dyDescent="0.3">
      <c r="A902" t="s">
        <v>1900</v>
      </c>
      <c r="B902" t="s">
        <v>1901</v>
      </c>
      <c r="C902" t="s">
        <v>97</v>
      </c>
      <c r="D902" s="2">
        <v>37</v>
      </c>
      <c r="E902" t="s">
        <v>73</v>
      </c>
      <c r="F902" t="s">
        <v>30</v>
      </c>
      <c r="G902" s="2" t="s">
        <v>21</v>
      </c>
      <c r="H902" s="2">
        <v>18</v>
      </c>
      <c r="I902" s="2" t="s">
        <v>86</v>
      </c>
      <c r="J902" s="2">
        <v>4.5</v>
      </c>
      <c r="K902" s="2" t="s">
        <v>181</v>
      </c>
      <c r="L902" s="2">
        <v>0.72</v>
      </c>
      <c r="M902" s="2" t="s">
        <v>24</v>
      </c>
      <c r="N902" s="2" t="s">
        <v>75</v>
      </c>
      <c r="O902" s="2">
        <v>14</v>
      </c>
      <c r="P902" s="2" t="str">
        <f>IF(global_freelancer_raw[[#This Row],[No of projects ]]&lt;=5,"Entry level","Well Experienced")</f>
        <v>Well Experienced</v>
      </c>
      <c r="Q902" s="2">
        <v>8</v>
      </c>
    </row>
    <row r="903" spans="1:17" x14ac:dyDescent="0.3">
      <c r="A903" t="s">
        <v>1902</v>
      </c>
      <c r="B903" t="s">
        <v>1903</v>
      </c>
      <c r="C903" t="s">
        <v>97</v>
      </c>
      <c r="D903" s="2">
        <v>47</v>
      </c>
      <c r="E903" t="s">
        <v>145</v>
      </c>
      <c r="F903" t="s">
        <v>146</v>
      </c>
      <c r="G903" s="2" t="s">
        <v>93</v>
      </c>
      <c r="H903" s="2">
        <v>3</v>
      </c>
      <c r="I903" s="2" t="s">
        <v>86</v>
      </c>
      <c r="J903" s="2">
        <v>4.4000000000000004</v>
      </c>
      <c r="K903" s="2" t="s">
        <v>87</v>
      </c>
      <c r="L903" s="2">
        <v>0.92</v>
      </c>
      <c r="M903" s="2" t="s">
        <v>24</v>
      </c>
      <c r="N903" s="2" t="s">
        <v>75</v>
      </c>
      <c r="O903" s="2">
        <v>5</v>
      </c>
      <c r="P903" s="2" t="str">
        <f>IF(global_freelancer_raw[[#This Row],[No of projects ]]&lt;=5,"Entry level","Well Experienced")</f>
        <v>Entry level</v>
      </c>
      <c r="Q903" s="2">
        <v>2</v>
      </c>
    </row>
    <row r="904" spans="1:17" x14ac:dyDescent="0.3">
      <c r="A904" t="s">
        <v>1904</v>
      </c>
      <c r="B904" t="s">
        <v>1905</v>
      </c>
      <c r="C904" t="s">
        <v>97</v>
      </c>
      <c r="D904" s="2">
        <v>53</v>
      </c>
      <c r="E904" t="s">
        <v>145</v>
      </c>
      <c r="F904" t="s">
        <v>146</v>
      </c>
      <c r="G904" s="2" t="s">
        <v>39</v>
      </c>
      <c r="H904" s="2">
        <v>32</v>
      </c>
      <c r="I904" s="2" t="s">
        <v>336</v>
      </c>
      <c r="J904" s="2">
        <v>0</v>
      </c>
      <c r="K904" s="2" t="s">
        <v>41</v>
      </c>
      <c r="L904" s="2" t="s">
        <v>2120</v>
      </c>
      <c r="M904" s="2" t="s">
        <v>60</v>
      </c>
      <c r="N904" s="2" t="s">
        <v>25</v>
      </c>
      <c r="O904" s="2">
        <v>17</v>
      </c>
      <c r="P904" s="2" t="str">
        <f>IF(global_freelancer_raw[[#This Row],[No of projects ]]&lt;=5,"Entry level","Well Experienced")</f>
        <v>Well Experienced</v>
      </c>
      <c r="Q904" s="2">
        <v>8</v>
      </c>
    </row>
    <row r="905" spans="1:17" x14ac:dyDescent="0.3">
      <c r="A905" t="s">
        <v>1906</v>
      </c>
      <c r="B905" t="s">
        <v>1907</v>
      </c>
      <c r="C905" t="s">
        <v>97</v>
      </c>
      <c r="D905" s="2">
        <v>53</v>
      </c>
      <c r="E905" t="s">
        <v>91</v>
      </c>
      <c r="F905" t="s">
        <v>92</v>
      </c>
      <c r="G905" s="2" t="s">
        <v>31</v>
      </c>
      <c r="H905" s="2">
        <v>19</v>
      </c>
      <c r="I905" s="2" t="s">
        <v>336</v>
      </c>
      <c r="J905" s="2">
        <v>1.3</v>
      </c>
      <c r="K905" s="2" t="s">
        <v>23</v>
      </c>
      <c r="L905" s="2" t="s">
        <v>2120</v>
      </c>
      <c r="M905" s="2" t="s">
        <v>24</v>
      </c>
      <c r="N905" s="2" t="s">
        <v>42</v>
      </c>
      <c r="O905" s="2">
        <v>11</v>
      </c>
      <c r="P905" s="2" t="str">
        <f>IF(global_freelancer_raw[[#This Row],[No of projects ]]&lt;=5,"Entry level","Well Experienced")</f>
        <v>Well Experienced</v>
      </c>
      <c r="Q905" s="2">
        <v>5</v>
      </c>
    </row>
    <row r="906" spans="1:17" x14ac:dyDescent="0.3">
      <c r="A906" t="s">
        <v>1908</v>
      </c>
      <c r="B906" t="s">
        <v>1909</v>
      </c>
      <c r="C906" t="s">
        <v>118</v>
      </c>
      <c r="D906" s="2">
        <v>21</v>
      </c>
      <c r="E906" t="s">
        <v>114</v>
      </c>
      <c r="F906" t="s">
        <v>115</v>
      </c>
      <c r="G906" s="2" t="s">
        <v>66</v>
      </c>
      <c r="H906" s="2">
        <v>2</v>
      </c>
      <c r="I906" s="2" t="s">
        <v>40</v>
      </c>
      <c r="J906" s="2">
        <v>2.6</v>
      </c>
      <c r="K906" s="2" t="s">
        <v>59</v>
      </c>
      <c r="L906" s="2">
        <v>0.86</v>
      </c>
      <c r="M906" s="2" t="s">
        <v>24</v>
      </c>
      <c r="N906" s="2" t="s">
        <v>75</v>
      </c>
      <c r="O906" s="2">
        <v>5</v>
      </c>
      <c r="P906" s="2" t="str">
        <f>IF(global_freelancer_raw[[#This Row],[No of projects ]]&lt;=5,"Entry level","Well Experienced")</f>
        <v>Entry level</v>
      </c>
      <c r="Q906" s="2">
        <v>1</v>
      </c>
    </row>
    <row r="907" spans="1:17" x14ac:dyDescent="0.3">
      <c r="A907" t="s">
        <v>1910</v>
      </c>
      <c r="B907" t="s">
        <v>1911</v>
      </c>
      <c r="C907" t="s">
        <v>97</v>
      </c>
      <c r="D907" s="2">
        <v>35</v>
      </c>
      <c r="E907" t="s">
        <v>85</v>
      </c>
      <c r="F907" t="s">
        <v>30</v>
      </c>
      <c r="G907" s="2" t="s">
        <v>21</v>
      </c>
      <c r="H907" s="2">
        <v>0</v>
      </c>
      <c r="I907" s="2" t="s">
        <v>2119</v>
      </c>
      <c r="J907" s="2" t="s">
        <v>2120</v>
      </c>
      <c r="K907" s="2" t="s">
        <v>94</v>
      </c>
      <c r="L907" s="2">
        <v>85</v>
      </c>
      <c r="M907" s="2" t="s">
        <v>88</v>
      </c>
      <c r="N907" s="2" t="s">
        <v>25</v>
      </c>
      <c r="O907" s="2">
        <v>3</v>
      </c>
      <c r="P907" s="2" t="str">
        <f>IF(global_freelancer_raw[[#This Row],[No of projects ]]&lt;=5,"Entry level","Well Experienced")</f>
        <v>Entry level</v>
      </c>
      <c r="Q907" s="2">
        <v>3</v>
      </c>
    </row>
    <row r="908" spans="1:17" x14ac:dyDescent="0.3">
      <c r="A908" t="s">
        <v>1912</v>
      </c>
      <c r="B908" t="s">
        <v>1913</v>
      </c>
      <c r="C908" t="s">
        <v>118</v>
      </c>
      <c r="D908" s="2">
        <v>31</v>
      </c>
      <c r="E908" t="s">
        <v>91</v>
      </c>
      <c r="F908" t="s">
        <v>92</v>
      </c>
      <c r="G908" s="2" t="s">
        <v>135</v>
      </c>
      <c r="H908" s="2">
        <v>13</v>
      </c>
      <c r="I908" s="2" t="s">
        <v>47</v>
      </c>
      <c r="J908" s="2">
        <v>1.2</v>
      </c>
      <c r="K908" s="2" t="s">
        <v>59</v>
      </c>
      <c r="L908" s="2">
        <v>62</v>
      </c>
      <c r="M908" s="2" t="s">
        <v>82</v>
      </c>
      <c r="N908" s="2" t="s">
        <v>75</v>
      </c>
      <c r="O908" s="2">
        <v>7</v>
      </c>
      <c r="P908" s="2" t="str">
        <f>IF(global_freelancer_raw[[#This Row],[No of projects ]]&lt;=5,"Entry level","Well Experienced")</f>
        <v>Well Experienced</v>
      </c>
      <c r="Q908" s="2">
        <v>7</v>
      </c>
    </row>
    <row r="909" spans="1:17" x14ac:dyDescent="0.3">
      <c r="A909" t="s">
        <v>1914</v>
      </c>
      <c r="B909" t="s">
        <v>1915</v>
      </c>
      <c r="C909" t="s">
        <v>97</v>
      </c>
      <c r="D909" s="2">
        <v>55</v>
      </c>
      <c r="E909" t="s">
        <v>133</v>
      </c>
      <c r="F909" t="s">
        <v>134</v>
      </c>
      <c r="G909" s="2" t="s">
        <v>57</v>
      </c>
      <c r="H909" s="2">
        <v>2</v>
      </c>
      <c r="I909" s="2" t="s">
        <v>130</v>
      </c>
      <c r="J909" s="2">
        <v>3.1</v>
      </c>
      <c r="K909" s="2" t="s">
        <v>94</v>
      </c>
      <c r="L909" s="2">
        <v>0.91</v>
      </c>
      <c r="M909" s="2" t="s">
        <v>24</v>
      </c>
      <c r="N909" s="2" t="s">
        <v>34</v>
      </c>
      <c r="O909" s="2">
        <v>4</v>
      </c>
      <c r="P909" s="2" t="str">
        <f>IF(global_freelancer_raw[[#This Row],[No of projects ]]&lt;=5,"Entry level","Well Experienced")</f>
        <v>Entry level</v>
      </c>
      <c r="Q909" s="2">
        <v>1</v>
      </c>
    </row>
    <row r="910" spans="1:17" x14ac:dyDescent="0.3">
      <c r="A910" t="s">
        <v>1916</v>
      </c>
      <c r="B910" t="s">
        <v>1917</v>
      </c>
      <c r="C910" t="s">
        <v>97</v>
      </c>
      <c r="D910" s="2">
        <v>59</v>
      </c>
      <c r="E910" t="s">
        <v>79</v>
      </c>
      <c r="F910" t="s">
        <v>80</v>
      </c>
      <c r="G910" s="2" t="s">
        <v>46</v>
      </c>
      <c r="H910" s="2">
        <v>11</v>
      </c>
      <c r="I910" s="2" t="s">
        <v>192</v>
      </c>
      <c r="J910" s="2">
        <v>2.2999999999999998</v>
      </c>
      <c r="K910" s="2" t="s">
        <v>94</v>
      </c>
      <c r="L910" s="2">
        <v>0.8</v>
      </c>
      <c r="M910" s="2" t="s">
        <v>88</v>
      </c>
      <c r="N910" s="2" t="s">
        <v>25</v>
      </c>
      <c r="O910" s="2">
        <v>12</v>
      </c>
      <c r="P910" s="2" t="str">
        <f>IF(global_freelancer_raw[[#This Row],[No of projects ]]&lt;=5,"Entry level","Well Experienced")</f>
        <v>Well Experienced</v>
      </c>
      <c r="Q910" s="2">
        <v>9</v>
      </c>
    </row>
    <row r="911" spans="1:17" x14ac:dyDescent="0.3">
      <c r="A911" t="s">
        <v>1918</v>
      </c>
      <c r="B911" t="s">
        <v>1919</v>
      </c>
      <c r="C911" t="s">
        <v>118</v>
      </c>
      <c r="D911" s="2">
        <v>59</v>
      </c>
      <c r="E911" t="s">
        <v>156</v>
      </c>
      <c r="F911" t="s">
        <v>157</v>
      </c>
      <c r="G911" s="2" t="s">
        <v>98</v>
      </c>
      <c r="H911" s="2">
        <v>17</v>
      </c>
      <c r="I911" s="2" t="s">
        <v>22</v>
      </c>
      <c r="J911" s="2">
        <v>4</v>
      </c>
      <c r="K911" s="2" t="s">
        <v>181</v>
      </c>
      <c r="L911" s="2">
        <v>0.72</v>
      </c>
      <c r="M911" s="2" t="s">
        <v>82</v>
      </c>
      <c r="N911" s="2" t="s">
        <v>42</v>
      </c>
      <c r="O911" s="2">
        <v>13</v>
      </c>
      <c r="P911" s="2" t="str">
        <f>IF(global_freelancer_raw[[#This Row],[No of projects ]]&lt;=5,"Entry level","Well Experienced")</f>
        <v>Well Experienced</v>
      </c>
      <c r="Q911" s="2">
        <v>9</v>
      </c>
    </row>
    <row r="912" spans="1:17" x14ac:dyDescent="0.3">
      <c r="A912" t="s">
        <v>1920</v>
      </c>
      <c r="B912" t="s">
        <v>1921</v>
      </c>
      <c r="C912" t="s">
        <v>118</v>
      </c>
      <c r="D912" s="2">
        <v>47</v>
      </c>
      <c r="E912" t="s">
        <v>114</v>
      </c>
      <c r="F912" t="s">
        <v>115</v>
      </c>
      <c r="G912" s="2" t="s">
        <v>21</v>
      </c>
      <c r="H912" s="2">
        <v>10</v>
      </c>
      <c r="I912" s="2" t="s">
        <v>192</v>
      </c>
      <c r="J912" s="2">
        <v>1.9</v>
      </c>
      <c r="K912" s="2" t="s">
        <v>2120</v>
      </c>
      <c r="L912" s="2" t="s">
        <v>2120</v>
      </c>
      <c r="M912" s="2" t="s">
        <v>60</v>
      </c>
      <c r="N912" s="2" t="s">
        <v>42</v>
      </c>
      <c r="O912" s="2">
        <v>8</v>
      </c>
      <c r="P912" s="2" t="str">
        <f>IF(global_freelancer_raw[[#This Row],[No of projects ]]&lt;=5,"Entry level","Well Experienced")</f>
        <v>Well Experienced</v>
      </c>
      <c r="Q912" s="2">
        <v>4</v>
      </c>
    </row>
    <row r="913" spans="1:17" x14ac:dyDescent="0.3">
      <c r="A913" t="s">
        <v>1922</v>
      </c>
      <c r="B913" t="s">
        <v>1923</v>
      </c>
      <c r="C913" t="s">
        <v>97</v>
      </c>
      <c r="D913" s="2">
        <v>53</v>
      </c>
      <c r="E913" t="s">
        <v>175</v>
      </c>
      <c r="F913" t="s">
        <v>176</v>
      </c>
      <c r="G913" s="2" t="s">
        <v>135</v>
      </c>
      <c r="H913" s="2">
        <v>26</v>
      </c>
      <c r="I913" s="2" t="s">
        <v>103</v>
      </c>
      <c r="J913" s="2">
        <v>2.4</v>
      </c>
      <c r="K913" s="2" t="s">
        <v>87</v>
      </c>
      <c r="L913" s="2" t="s">
        <v>2120</v>
      </c>
      <c r="M913" s="2" t="s">
        <v>88</v>
      </c>
      <c r="N913" s="2" t="s">
        <v>42</v>
      </c>
      <c r="O913" s="2">
        <v>14</v>
      </c>
      <c r="P913" s="2" t="str">
        <f>IF(global_freelancer_raw[[#This Row],[No of projects ]]&lt;=5,"Entry level","Well Experienced")</f>
        <v>Well Experienced</v>
      </c>
      <c r="Q913" s="2">
        <v>12</v>
      </c>
    </row>
    <row r="914" spans="1:17" x14ac:dyDescent="0.3">
      <c r="A914" t="s">
        <v>1924</v>
      </c>
      <c r="B914" t="s">
        <v>541</v>
      </c>
      <c r="C914" t="s">
        <v>118</v>
      </c>
      <c r="D914" s="2">
        <v>49</v>
      </c>
      <c r="E914" t="s">
        <v>175</v>
      </c>
      <c r="F914" t="s">
        <v>176</v>
      </c>
      <c r="G914" s="2" t="s">
        <v>66</v>
      </c>
      <c r="H914" s="2" t="s">
        <v>2120</v>
      </c>
      <c r="I914" s="2" t="s">
        <v>58</v>
      </c>
      <c r="J914" s="2" t="s">
        <v>2120</v>
      </c>
      <c r="K914" s="2" t="s">
        <v>87</v>
      </c>
      <c r="L914" s="2">
        <v>0.74</v>
      </c>
      <c r="M914" s="2" t="s">
        <v>88</v>
      </c>
      <c r="N914" s="2" t="s">
        <v>42</v>
      </c>
      <c r="O914" s="2">
        <v>4</v>
      </c>
      <c r="P914" s="2" t="str">
        <f>IF(global_freelancer_raw[[#This Row],[No of projects ]]&lt;=5,"Entry level","Well Experienced")</f>
        <v>Entry level</v>
      </c>
      <c r="Q914" s="2">
        <v>1</v>
      </c>
    </row>
    <row r="915" spans="1:17" x14ac:dyDescent="0.3">
      <c r="A915" t="s">
        <v>1925</v>
      </c>
      <c r="B915" t="s">
        <v>1926</v>
      </c>
      <c r="C915" t="s">
        <v>97</v>
      </c>
      <c r="D915" s="2">
        <v>50</v>
      </c>
      <c r="E915" t="s">
        <v>175</v>
      </c>
      <c r="F915" t="s">
        <v>176</v>
      </c>
      <c r="G915" s="2" t="s">
        <v>31</v>
      </c>
      <c r="H915" s="2">
        <v>8</v>
      </c>
      <c r="I915" s="2" t="s">
        <v>119</v>
      </c>
      <c r="J915" s="2">
        <v>3.7</v>
      </c>
      <c r="K915" s="2" t="s">
        <v>94</v>
      </c>
      <c r="L915" s="2">
        <v>0.82</v>
      </c>
      <c r="M915" s="2" t="s">
        <v>82</v>
      </c>
      <c r="N915" s="2" t="s">
        <v>75</v>
      </c>
      <c r="O915" s="2">
        <v>15</v>
      </c>
      <c r="P915" s="2" t="str">
        <f>IF(global_freelancer_raw[[#This Row],[No of projects ]]&lt;=5,"Entry level","Well Experienced")</f>
        <v>Well Experienced</v>
      </c>
      <c r="Q915" s="2">
        <v>6</v>
      </c>
    </row>
    <row r="916" spans="1:17" x14ac:dyDescent="0.3">
      <c r="A916" t="s">
        <v>1927</v>
      </c>
      <c r="B916" t="s">
        <v>1928</v>
      </c>
      <c r="C916" t="s">
        <v>97</v>
      </c>
      <c r="D916" s="2">
        <v>59</v>
      </c>
      <c r="E916" t="s">
        <v>133</v>
      </c>
      <c r="F916" t="s">
        <v>134</v>
      </c>
      <c r="G916" s="2" t="s">
        <v>135</v>
      </c>
      <c r="H916" s="2">
        <v>22</v>
      </c>
      <c r="I916" s="2" t="s">
        <v>32</v>
      </c>
      <c r="J916" s="2">
        <v>1.1000000000000001</v>
      </c>
      <c r="K916" s="2" t="s">
        <v>181</v>
      </c>
      <c r="L916" s="2">
        <v>0.85</v>
      </c>
      <c r="M916" s="2" t="s">
        <v>60</v>
      </c>
      <c r="N916" s="2" t="s">
        <v>75</v>
      </c>
      <c r="O916" s="2">
        <v>12</v>
      </c>
      <c r="P916" s="2" t="str">
        <f>IF(global_freelancer_raw[[#This Row],[No of projects ]]&lt;=5,"Entry level","Well Experienced")</f>
        <v>Well Experienced</v>
      </c>
      <c r="Q916" s="2">
        <v>14</v>
      </c>
    </row>
    <row r="917" spans="1:17" x14ac:dyDescent="0.3">
      <c r="A917" t="s">
        <v>1929</v>
      </c>
      <c r="B917" t="s">
        <v>1930</v>
      </c>
      <c r="C917" t="s">
        <v>118</v>
      </c>
      <c r="D917" s="2">
        <v>33</v>
      </c>
      <c r="E917" t="s">
        <v>79</v>
      </c>
      <c r="F917" t="s">
        <v>80</v>
      </c>
      <c r="G917" s="2" t="s">
        <v>66</v>
      </c>
      <c r="H917" s="2">
        <v>8</v>
      </c>
      <c r="I917" s="2" t="s">
        <v>67</v>
      </c>
      <c r="J917" s="2">
        <v>2.2999999999999998</v>
      </c>
      <c r="K917" s="2" t="s">
        <v>74</v>
      </c>
      <c r="L917" s="2">
        <v>0.68</v>
      </c>
      <c r="M917" s="2" t="s">
        <v>88</v>
      </c>
      <c r="N917" s="2" t="s">
        <v>42</v>
      </c>
      <c r="O917" s="2">
        <v>8</v>
      </c>
      <c r="P917" s="2" t="str">
        <f>IF(global_freelancer_raw[[#This Row],[No of projects ]]&lt;=5,"Entry level","Well Experienced")</f>
        <v>Well Experienced</v>
      </c>
      <c r="Q917" s="2">
        <v>7</v>
      </c>
    </row>
    <row r="918" spans="1:17" x14ac:dyDescent="0.3">
      <c r="A918" t="s">
        <v>1931</v>
      </c>
      <c r="B918" t="s">
        <v>1932</v>
      </c>
      <c r="C918" t="s">
        <v>97</v>
      </c>
      <c r="D918" s="2">
        <v>45</v>
      </c>
      <c r="E918" t="s">
        <v>149</v>
      </c>
      <c r="F918" t="s">
        <v>30</v>
      </c>
      <c r="G918" s="2" t="s">
        <v>46</v>
      </c>
      <c r="H918" s="2">
        <v>22</v>
      </c>
      <c r="I918" s="2" t="s">
        <v>86</v>
      </c>
      <c r="J918" s="2">
        <v>3.7</v>
      </c>
      <c r="K918" s="2" t="s">
        <v>94</v>
      </c>
      <c r="L918" s="2">
        <v>0.99</v>
      </c>
      <c r="M918" s="2" t="s">
        <v>24</v>
      </c>
      <c r="N918" s="2" t="s">
        <v>42</v>
      </c>
      <c r="O918" s="2">
        <v>20</v>
      </c>
      <c r="P918" s="2" t="str">
        <f>IF(global_freelancer_raw[[#This Row],[No of projects ]]&lt;=5,"Entry level","Well Experienced")</f>
        <v>Well Experienced</v>
      </c>
      <c r="Q918" s="2">
        <v>16</v>
      </c>
    </row>
    <row r="919" spans="1:17" x14ac:dyDescent="0.3">
      <c r="A919" t="s">
        <v>1933</v>
      </c>
      <c r="B919" t="s">
        <v>1934</v>
      </c>
      <c r="C919" t="s">
        <v>97</v>
      </c>
      <c r="D919" s="2">
        <v>36</v>
      </c>
      <c r="E919" t="s">
        <v>19</v>
      </c>
      <c r="F919" t="s">
        <v>20</v>
      </c>
      <c r="G919" s="2" t="s">
        <v>39</v>
      </c>
      <c r="H919" s="2">
        <v>14</v>
      </c>
      <c r="I919" s="2" t="s">
        <v>52</v>
      </c>
      <c r="J919" s="2">
        <v>1.9</v>
      </c>
      <c r="K919" s="2" t="s">
        <v>23</v>
      </c>
      <c r="L919" s="2">
        <v>0.62</v>
      </c>
      <c r="M919" s="2" t="s">
        <v>24</v>
      </c>
      <c r="N919" s="2" t="s">
        <v>42</v>
      </c>
      <c r="O919" s="2">
        <v>14</v>
      </c>
      <c r="P919" s="2" t="str">
        <f>IF(global_freelancer_raw[[#This Row],[No of projects ]]&lt;=5,"Entry level","Well Experienced")</f>
        <v>Well Experienced</v>
      </c>
      <c r="Q919" s="2">
        <v>5</v>
      </c>
    </row>
    <row r="920" spans="1:17" x14ac:dyDescent="0.3">
      <c r="A920" t="s">
        <v>1935</v>
      </c>
      <c r="B920" t="s">
        <v>1936</v>
      </c>
      <c r="C920" t="s">
        <v>118</v>
      </c>
      <c r="D920" s="2">
        <v>46</v>
      </c>
      <c r="E920" t="s">
        <v>175</v>
      </c>
      <c r="F920" t="s">
        <v>176</v>
      </c>
      <c r="G920" s="2" t="s">
        <v>93</v>
      </c>
      <c r="H920" s="2">
        <v>6</v>
      </c>
      <c r="I920" s="2" t="s">
        <v>52</v>
      </c>
      <c r="J920" s="2">
        <v>1.5</v>
      </c>
      <c r="K920" s="2" t="s">
        <v>41</v>
      </c>
      <c r="L920" s="2" t="s">
        <v>2120</v>
      </c>
      <c r="M920" s="2" t="s">
        <v>24</v>
      </c>
      <c r="N920" s="2" t="s">
        <v>75</v>
      </c>
      <c r="O920" s="2">
        <v>12</v>
      </c>
      <c r="P920" s="2" t="str">
        <f>IF(global_freelancer_raw[[#This Row],[No of projects ]]&lt;=5,"Entry level","Well Experienced")</f>
        <v>Well Experienced</v>
      </c>
      <c r="Q920" s="2">
        <v>5</v>
      </c>
    </row>
    <row r="921" spans="1:17" x14ac:dyDescent="0.3">
      <c r="A921" t="s">
        <v>1937</v>
      </c>
      <c r="B921" t="s">
        <v>1938</v>
      </c>
      <c r="C921" t="s">
        <v>97</v>
      </c>
      <c r="D921" s="2">
        <v>53</v>
      </c>
      <c r="E921" t="s">
        <v>79</v>
      </c>
      <c r="F921" t="s">
        <v>80</v>
      </c>
      <c r="G921" s="2" t="s">
        <v>39</v>
      </c>
      <c r="H921" s="2">
        <v>14</v>
      </c>
      <c r="I921" s="2" t="s">
        <v>52</v>
      </c>
      <c r="J921" s="2">
        <v>0</v>
      </c>
      <c r="K921" s="2" t="s">
        <v>59</v>
      </c>
      <c r="L921" s="2">
        <v>0.83</v>
      </c>
      <c r="M921" s="2" t="s">
        <v>60</v>
      </c>
      <c r="N921" s="2" t="s">
        <v>42</v>
      </c>
      <c r="O921" s="2">
        <v>15</v>
      </c>
      <c r="P921" s="2" t="str">
        <f>IF(global_freelancer_raw[[#This Row],[No of projects ]]&lt;=5,"Entry level","Well Experienced")</f>
        <v>Well Experienced</v>
      </c>
      <c r="Q921" s="2">
        <v>5</v>
      </c>
    </row>
    <row r="922" spans="1:17" x14ac:dyDescent="0.3">
      <c r="A922" t="s">
        <v>1939</v>
      </c>
      <c r="B922" t="s">
        <v>1940</v>
      </c>
      <c r="C922" t="s">
        <v>97</v>
      </c>
      <c r="D922" s="2">
        <v>24</v>
      </c>
      <c r="E922" t="s">
        <v>73</v>
      </c>
      <c r="F922" t="s">
        <v>30</v>
      </c>
      <c r="G922" s="2" t="s">
        <v>46</v>
      </c>
      <c r="H922" s="2">
        <v>2</v>
      </c>
      <c r="I922" s="2" t="s">
        <v>52</v>
      </c>
      <c r="J922" s="2">
        <v>3.6</v>
      </c>
      <c r="K922" s="2" t="s">
        <v>2120</v>
      </c>
      <c r="L922" s="2">
        <v>0.92</v>
      </c>
      <c r="M922" s="2" t="s">
        <v>88</v>
      </c>
      <c r="N922" s="2" t="s">
        <v>42</v>
      </c>
      <c r="O922" s="2">
        <v>3</v>
      </c>
      <c r="P922" s="2" t="str">
        <f>IF(global_freelancer_raw[[#This Row],[No of projects ]]&lt;=5,"Entry level","Well Experienced")</f>
        <v>Entry level</v>
      </c>
      <c r="Q922" s="2">
        <v>1</v>
      </c>
    </row>
    <row r="923" spans="1:17" x14ac:dyDescent="0.3">
      <c r="A923" t="s">
        <v>1941</v>
      </c>
      <c r="B923" t="s">
        <v>1942</v>
      </c>
      <c r="C923" t="s">
        <v>97</v>
      </c>
      <c r="D923" s="2">
        <v>49</v>
      </c>
      <c r="E923" t="s">
        <v>212</v>
      </c>
      <c r="F923" t="s">
        <v>92</v>
      </c>
      <c r="G923" s="2" t="s">
        <v>110</v>
      </c>
      <c r="H923" s="2">
        <v>4</v>
      </c>
      <c r="I923" s="2" t="s">
        <v>192</v>
      </c>
      <c r="J923" s="2">
        <v>2.1</v>
      </c>
      <c r="K923" s="2" t="s">
        <v>2120</v>
      </c>
      <c r="L923" s="2">
        <v>0.85</v>
      </c>
      <c r="M923" s="2" t="s">
        <v>24</v>
      </c>
      <c r="N923" s="2" t="s">
        <v>34</v>
      </c>
      <c r="O923" s="2">
        <v>5</v>
      </c>
      <c r="P923" s="2" t="str">
        <f>IF(global_freelancer_raw[[#This Row],[No of projects ]]&lt;=5,"Entry level","Well Experienced")</f>
        <v>Entry level</v>
      </c>
      <c r="Q923" s="2">
        <v>2</v>
      </c>
    </row>
    <row r="924" spans="1:17" x14ac:dyDescent="0.3">
      <c r="A924" t="s">
        <v>1943</v>
      </c>
      <c r="B924" t="s">
        <v>1944</v>
      </c>
      <c r="C924" t="s">
        <v>97</v>
      </c>
      <c r="D924" s="2">
        <v>49</v>
      </c>
      <c r="E924" t="s">
        <v>133</v>
      </c>
      <c r="F924" t="s">
        <v>134</v>
      </c>
      <c r="G924" s="2" t="s">
        <v>57</v>
      </c>
      <c r="H924" s="2">
        <v>4</v>
      </c>
      <c r="I924" s="2" t="s">
        <v>103</v>
      </c>
      <c r="J924" s="2">
        <v>2.9</v>
      </c>
      <c r="K924" s="2" t="s">
        <v>41</v>
      </c>
      <c r="L924" s="2" t="s">
        <v>2120</v>
      </c>
      <c r="M924" s="2" t="s">
        <v>60</v>
      </c>
      <c r="N924" s="2" t="s">
        <v>34</v>
      </c>
      <c r="O924" s="2">
        <v>1</v>
      </c>
      <c r="P924" s="2" t="str">
        <f>IF(global_freelancer_raw[[#This Row],[No of projects ]]&lt;=5,"Entry level","Well Experienced")</f>
        <v>Entry level</v>
      </c>
      <c r="Q924" s="2">
        <v>1</v>
      </c>
    </row>
    <row r="925" spans="1:17" x14ac:dyDescent="0.3">
      <c r="A925" t="s">
        <v>1945</v>
      </c>
      <c r="B925" t="s">
        <v>1946</v>
      </c>
      <c r="C925" t="s">
        <v>97</v>
      </c>
      <c r="D925" s="2">
        <v>49</v>
      </c>
      <c r="E925" t="s">
        <v>133</v>
      </c>
      <c r="F925" t="s">
        <v>134</v>
      </c>
      <c r="G925" s="2" t="s">
        <v>31</v>
      </c>
      <c r="H925" s="2">
        <v>24</v>
      </c>
      <c r="I925" s="2" t="s">
        <v>22</v>
      </c>
      <c r="J925" s="2">
        <v>3.6</v>
      </c>
      <c r="K925" s="2" t="s">
        <v>74</v>
      </c>
      <c r="L925" s="2" t="s">
        <v>2120</v>
      </c>
      <c r="M925" s="2" t="s">
        <v>24</v>
      </c>
      <c r="N925" s="2" t="s">
        <v>42</v>
      </c>
      <c r="O925" s="2">
        <v>11</v>
      </c>
      <c r="P925" s="2" t="str">
        <f>IF(global_freelancer_raw[[#This Row],[No of projects ]]&lt;=5,"Entry level","Well Experienced")</f>
        <v>Well Experienced</v>
      </c>
      <c r="Q925" s="2">
        <v>1</v>
      </c>
    </row>
    <row r="926" spans="1:17" x14ac:dyDescent="0.3">
      <c r="A926" t="s">
        <v>1947</v>
      </c>
      <c r="B926" t="s">
        <v>1948</v>
      </c>
      <c r="C926" t="s">
        <v>97</v>
      </c>
      <c r="D926" s="2">
        <v>58</v>
      </c>
      <c r="E926" t="s">
        <v>128</v>
      </c>
      <c r="F926" t="s">
        <v>129</v>
      </c>
      <c r="G926" s="2" t="s">
        <v>21</v>
      </c>
      <c r="H926" s="2">
        <v>29</v>
      </c>
      <c r="I926" s="2" t="s">
        <v>52</v>
      </c>
      <c r="J926" s="2">
        <v>3.3</v>
      </c>
      <c r="K926" s="2" t="s">
        <v>87</v>
      </c>
      <c r="L926" s="2">
        <v>0.89</v>
      </c>
      <c r="M926" s="2" t="s">
        <v>82</v>
      </c>
      <c r="N926" s="2" t="s">
        <v>25</v>
      </c>
      <c r="O926" s="2">
        <v>12</v>
      </c>
      <c r="P926" s="2" t="str">
        <f>IF(global_freelancer_raw[[#This Row],[No of projects ]]&lt;=5,"Entry level","Well Experienced")</f>
        <v>Well Experienced</v>
      </c>
      <c r="Q926" s="2">
        <v>10</v>
      </c>
    </row>
    <row r="927" spans="1:17" x14ac:dyDescent="0.3">
      <c r="A927" t="s">
        <v>1949</v>
      </c>
      <c r="B927" t="s">
        <v>1950</v>
      </c>
      <c r="C927" t="s">
        <v>118</v>
      </c>
      <c r="D927" s="2">
        <v>50</v>
      </c>
      <c r="E927" t="s">
        <v>175</v>
      </c>
      <c r="F927" t="s">
        <v>176</v>
      </c>
      <c r="G927" s="2" t="s">
        <v>93</v>
      </c>
      <c r="H927" s="2">
        <v>13</v>
      </c>
      <c r="I927" s="2" t="s">
        <v>2119</v>
      </c>
      <c r="J927" s="2">
        <v>2.5</v>
      </c>
      <c r="K927" s="2" t="s">
        <v>94</v>
      </c>
      <c r="L927" s="2">
        <v>0.81</v>
      </c>
      <c r="M927" s="2" t="s">
        <v>88</v>
      </c>
      <c r="N927" s="2" t="s">
        <v>42</v>
      </c>
      <c r="O927" s="2">
        <v>6</v>
      </c>
      <c r="P927" s="2" t="str">
        <f>IF(global_freelancer_raw[[#This Row],[No of projects ]]&lt;=5,"Entry level","Well Experienced")</f>
        <v>Well Experienced</v>
      </c>
      <c r="Q927" s="2">
        <v>3</v>
      </c>
    </row>
    <row r="928" spans="1:17" x14ac:dyDescent="0.3">
      <c r="A928" t="s">
        <v>1951</v>
      </c>
      <c r="B928" t="s">
        <v>1952</v>
      </c>
      <c r="C928" t="s">
        <v>118</v>
      </c>
      <c r="D928" s="2">
        <v>27</v>
      </c>
      <c r="E928" t="s">
        <v>175</v>
      </c>
      <c r="F928" t="s">
        <v>176</v>
      </c>
      <c r="G928" s="2" t="s">
        <v>110</v>
      </c>
      <c r="H928" s="2">
        <v>1</v>
      </c>
      <c r="I928" s="2" t="s">
        <v>32</v>
      </c>
      <c r="J928" s="2">
        <v>3.7</v>
      </c>
      <c r="K928" s="2" t="s">
        <v>94</v>
      </c>
      <c r="L928" s="2">
        <v>61</v>
      </c>
      <c r="M928" s="2" t="s">
        <v>88</v>
      </c>
      <c r="N928" s="2" t="s">
        <v>34</v>
      </c>
      <c r="O928" s="2">
        <v>5</v>
      </c>
      <c r="P928" s="2" t="str">
        <f>IF(global_freelancer_raw[[#This Row],[No of projects ]]&lt;=5,"Entry level","Well Experienced")</f>
        <v>Entry level</v>
      </c>
      <c r="Q928" s="2">
        <v>1</v>
      </c>
    </row>
    <row r="929" spans="1:17" x14ac:dyDescent="0.3">
      <c r="A929" t="s">
        <v>1953</v>
      </c>
      <c r="B929" t="s">
        <v>1954</v>
      </c>
      <c r="C929" t="s">
        <v>97</v>
      </c>
      <c r="D929" s="2">
        <v>20</v>
      </c>
      <c r="E929" t="s">
        <v>133</v>
      </c>
      <c r="F929" t="s">
        <v>134</v>
      </c>
      <c r="G929" s="2" t="s">
        <v>135</v>
      </c>
      <c r="H929" s="2" t="s">
        <v>2120</v>
      </c>
      <c r="I929" s="2" t="s">
        <v>58</v>
      </c>
      <c r="J929" s="2">
        <v>4.5999999999999996</v>
      </c>
      <c r="K929" s="2" t="s">
        <v>33</v>
      </c>
      <c r="L929" s="2" t="s">
        <v>2120</v>
      </c>
      <c r="M929" s="2" t="s">
        <v>60</v>
      </c>
      <c r="N929" s="2" t="s">
        <v>25</v>
      </c>
      <c r="O929" s="2">
        <v>1</v>
      </c>
      <c r="P929" s="2" t="str">
        <f>IF(global_freelancer_raw[[#This Row],[No of projects ]]&lt;=5,"Entry level","Well Experienced")</f>
        <v>Entry level</v>
      </c>
      <c r="Q929" s="2">
        <v>1</v>
      </c>
    </row>
    <row r="930" spans="1:17" x14ac:dyDescent="0.3">
      <c r="A930" t="s">
        <v>1955</v>
      </c>
      <c r="B930" t="s">
        <v>1956</v>
      </c>
      <c r="C930" t="s">
        <v>118</v>
      </c>
      <c r="D930" s="2">
        <v>52</v>
      </c>
      <c r="E930" t="s">
        <v>145</v>
      </c>
      <c r="F930" t="s">
        <v>146</v>
      </c>
      <c r="G930" s="2" t="s">
        <v>21</v>
      </c>
      <c r="H930" s="2">
        <v>15</v>
      </c>
      <c r="I930" s="2" t="s">
        <v>47</v>
      </c>
      <c r="J930" s="2">
        <v>0</v>
      </c>
      <c r="K930" s="2" t="s">
        <v>33</v>
      </c>
      <c r="L930" s="2">
        <v>0.92</v>
      </c>
      <c r="M930" s="2" t="s">
        <v>60</v>
      </c>
      <c r="N930" s="2" t="s">
        <v>25</v>
      </c>
      <c r="O930" s="2">
        <v>9</v>
      </c>
      <c r="P930" s="2" t="str">
        <f>IF(global_freelancer_raw[[#This Row],[No of projects ]]&lt;=5,"Entry level","Well Experienced")</f>
        <v>Well Experienced</v>
      </c>
      <c r="Q930" s="2">
        <v>9</v>
      </c>
    </row>
    <row r="931" spans="1:17" x14ac:dyDescent="0.3">
      <c r="A931" t="s">
        <v>1957</v>
      </c>
      <c r="B931" t="s">
        <v>1958</v>
      </c>
      <c r="C931" t="s">
        <v>97</v>
      </c>
      <c r="D931" s="2">
        <v>22</v>
      </c>
      <c r="E931" t="s">
        <v>156</v>
      </c>
      <c r="F931" t="s">
        <v>157</v>
      </c>
      <c r="G931" s="2" t="s">
        <v>135</v>
      </c>
      <c r="H931" s="2">
        <v>2</v>
      </c>
      <c r="I931" s="2" t="s">
        <v>52</v>
      </c>
      <c r="J931" s="2">
        <v>2</v>
      </c>
      <c r="K931" s="2" t="s">
        <v>181</v>
      </c>
      <c r="L931" s="2">
        <v>0.96</v>
      </c>
      <c r="M931" s="2" t="s">
        <v>88</v>
      </c>
      <c r="N931" s="2" t="s">
        <v>42</v>
      </c>
      <c r="O931" s="2">
        <v>2</v>
      </c>
      <c r="P931" s="2" t="str">
        <f>IF(global_freelancer_raw[[#This Row],[No of projects ]]&lt;=5,"Entry level","Well Experienced")</f>
        <v>Entry level</v>
      </c>
      <c r="Q931" s="2">
        <v>3</v>
      </c>
    </row>
    <row r="932" spans="1:17" x14ac:dyDescent="0.3">
      <c r="A932" t="s">
        <v>1959</v>
      </c>
      <c r="B932" t="s">
        <v>1960</v>
      </c>
      <c r="C932" t="s">
        <v>97</v>
      </c>
      <c r="D932" s="2">
        <v>38</v>
      </c>
      <c r="E932" t="s">
        <v>79</v>
      </c>
      <c r="F932" t="s">
        <v>80</v>
      </c>
      <c r="G932" s="2" t="s">
        <v>46</v>
      </c>
      <c r="H932" s="2">
        <v>14</v>
      </c>
      <c r="I932" s="2" t="s">
        <v>22</v>
      </c>
      <c r="J932" s="2">
        <v>1.7</v>
      </c>
      <c r="K932" s="2" t="s">
        <v>59</v>
      </c>
      <c r="L932" s="2">
        <v>0.66</v>
      </c>
      <c r="M932" s="2" t="s">
        <v>24</v>
      </c>
      <c r="N932" s="2" t="s">
        <v>34</v>
      </c>
      <c r="O932" s="2">
        <v>7</v>
      </c>
      <c r="P932" s="2" t="str">
        <f>IF(global_freelancer_raw[[#This Row],[No of projects ]]&lt;=5,"Entry level","Well Experienced")</f>
        <v>Well Experienced</v>
      </c>
      <c r="Q932" s="2">
        <v>1</v>
      </c>
    </row>
    <row r="933" spans="1:17" x14ac:dyDescent="0.3">
      <c r="A933" t="s">
        <v>1961</v>
      </c>
      <c r="B933" t="s">
        <v>1962</v>
      </c>
      <c r="C933" t="s">
        <v>118</v>
      </c>
      <c r="D933" s="2">
        <v>21</v>
      </c>
      <c r="E933" t="s">
        <v>149</v>
      </c>
      <c r="F933" t="s">
        <v>30</v>
      </c>
      <c r="G933" s="2" t="s">
        <v>39</v>
      </c>
      <c r="H933" s="2">
        <v>0</v>
      </c>
      <c r="I933" s="2" t="s">
        <v>32</v>
      </c>
      <c r="J933" s="2">
        <v>3</v>
      </c>
      <c r="K933" s="2" t="s">
        <v>41</v>
      </c>
      <c r="L933" s="2">
        <v>0.64</v>
      </c>
      <c r="M933" s="2" t="s">
        <v>24</v>
      </c>
      <c r="N933" s="2" t="s">
        <v>34</v>
      </c>
      <c r="O933" s="2">
        <v>1</v>
      </c>
      <c r="P933" s="2" t="str">
        <f>IF(global_freelancer_raw[[#This Row],[No of projects ]]&lt;=5,"Entry level","Well Experienced")</f>
        <v>Entry level</v>
      </c>
      <c r="Q933" s="2">
        <v>3</v>
      </c>
    </row>
    <row r="934" spans="1:17" x14ac:dyDescent="0.3">
      <c r="A934" t="s">
        <v>1963</v>
      </c>
      <c r="B934" t="s">
        <v>1964</v>
      </c>
      <c r="C934" t="s">
        <v>118</v>
      </c>
      <c r="D934" s="2">
        <v>41</v>
      </c>
      <c r="E934" t="s">
        <v>29</v>
      </c>
      <c r="F934" t="s">
        <v>30</v>
      </c>
      <c r="G934" s="2" t="s">
        <v>57</v>
      </c>
      <c r="H934" s="2">
        <v>15</v>
      </c>
      <c r="I934" s="2" t="s">
        <v>86</v>
      </c>
      <c r="J934" s="2">
        <v>3.4</v>
      </c>
      <c r="K934" s="2" t="s">
        <v>59</v>
      </c>
      <c r="L934" s="2">
        <v>1</v>
      </c>
      <c r="M934" s="2" t="s">
        <v>82</v>
      </c>
      <c r="N934" s="2" t="s">
        <v>25</v>
      </c>
      <c r="O934" s="2">
        <v>8</v>
      </c>
      <c r="P934" s="2" t="str">
        <f>IF(global_freelancer_raw[[#This Row],[No of projects ]]&lt;=5,"Entry level","Well Experienced")</f>
        <v>Well Experienced</v>
      </c>
      <c r="Q934" s="2">
        <v>6</v>
      </c>
    </row>
    <row r="935" spans="1:17" x14ac:dyDescent="0.3">
      <c r="A935" t="s">
        <v>1965</v>
      </c>
      <c r="B935" t="s">
        <v>1966</v>
      </c>
      <c r="C935" t="s">
        <v>97</v>
      </c>
      <c r="D935" s="2">
        <v>33</v>
      </c>
      <c r="E935" t="s">
        <v>64</v>
      </c>
      <c r="F935" t="s">
        <v>65</v>
      </c>
      <c r="G935" s="2" t="s">
        <v>21</v>
      </c>
      <c r="H935" s="2">
        <v>6</v>
      </c>
      <c r="I935" s="2" t="s">
        <v>86</v>
      </c>
      <c r="J935" s="2">
        <v>3.2</v>
      </c>
      <c r="K935" s="2" t="s">
        <v>33</v>
      </c>
      <c r="L935" s="2">
        <v>0.95</v>
      </c>
      <c r="M935" s="2" t="s">
        <v>24</v>
      </c>
      <c r="N935" s="2" t="s">
        <v>42</v>
      </c>
      <c r="O935" s="2">
        <v>15</v>
      </c>
      <c r="P935" s="2" t="str">
        <f>IF(global_freelancer_raw[[#This Row],[No of projects ]]&lt;=5,"Entry level","Well Experienced")</f>
        <v>Well Experienced</v>
      </c>
      <c r="Q935" s="2">
        <v>6</v>
      </c>
    </row>
    <row r="936" spans="1:17" x14ac:dyDescent="0.3">
      <c r="A936" t="s">
        <v>1967</v>
      </c>
      <c r="B936" t="s">
        <v>1968</v>
      </c>
      <c r="C936" t="s">
        <v>97</v>
      </c>
      <c r="D936" s="2">
        <v>38</v>
      </c>
      <c r="E936" t="s">
        <v>201</v>
      </c>
      <c r="F936" t="s">
        <v>92</v>
      </c>
      <c r="G936" s="2" t="s">
        <v>31</v>
      </c>
      <c r="H936" s="2">
        <v>11</v>
      </c>
      <c r="I936" s="2" t="s">
        <v>2119</v>
      </c>
      <c r="J936" s="2">
        <v>2.8</v>
      </c>
      <c r="K936" s="2" t="s">
        <v>2120</v>
      </c>
      <c r="L936" s="2">
        <v>91</v>
      </c>
      <c r="M936" s="2" t="s">
        <v>60</v>
      </c>
      <c r="N936" s="2" t="s">
        <v>75</v>
      </c>
      <c r="O936" s="2">
        <v>9</v>
      </c>
      <c r="P936" s="2" t="str">
        <f>IF(global_freelancer_raw[[#This Row],[No of projects ]]&lt;=5,"Entry level","Well Experienced")</f>
        <v>Well Experienced</v>
      </c>
      <c r="Q936" s="2">
        <v>5</v>
      </c>
    </row>
    <row r="937" spans="1:17" x14ac:dyDescent="0.3">
      <c r="A937" t="s">
        <v>1969</v>
      </c>
      <c r="B937" t="s">
        <v>1970</v>
      </c>
      <c r="C937" t="s">
        <v>97</v>
      </c>
      <c r="D937" s="2">
        <v>26</v>
      </c>
      <c r="E937" t="s">
        <v>145</v>
      </c>
      <c r="F937" t="s">
        <v>146</v>
      </c>
      <c r="G937" s="2" t="s">
        <v>110</v>
      </c>
      <c r="H937" s="2">
        <v>8</v>
      </c>
      <c r="I937" s="2" t="s">
        <v>336</v>
      </c>
      <c r="J937" s="2">
        <v>4.0999999999999996</v>
      </c>
      <c r="K937" s="2" t="s">
        <v>87</v>
      </c>
      <c r="L937" s="2">
        <v>0.82</v>
      </c>
      <c r="M937" s="2" t="s">
        <v>60</v>
      </c>
      <c r="N937" s="2" t="s">
        <v>75</v>
      </c>
      <c r="O937" s="2">
        <v>12</v>
      </c>
      <c r="P937" s="2" t="str">
        <f>IF(global_freelancer_raw[[#This Row],[No of projects ]]&lt;=5,"Entry level","Well Experienced")</f>
        <v>Well Experienced</v>
      </c>
      <c r="Q937" s="2">
        <v>1</v>
      </c>
    </row>
    <row r="938" spans="1:17" x14ac:dyDescent="0.3">
      <c r="A938" t="s">
        <v>1971</v>
      </c>
      <c r="B938" t="s">
        <v>1972</v>
      </c>
      <c r="C938" t="s">
        <v>97</v>
      </c>
      <c r="D938" s="2">
        <v>43</v>
      </c>
      <c r="E938" t="s">
        <v>55</v>
      </c>
      <c r="F938" t="s">
        <v>56</v>
      </c>
      <c r="G938" s="2" t="s">
        <v>57</v>
      </c>
      <c r="H938" s="2">
        <v>3</v>
      </c>
      <c r="I938" s="2" t="s">
        <v>162</v>
      </c>
      <c r="J938" s="2">
        <v>0</v>
      </c>
      <c r="K938" s="2" t="s">
        <v>94</v>
      </c>
      <c r="L938" s="2">
        <v>0.95</v>
      </c>
      <c r="M938" s="2" t="s">
        <v>24</v>
      </c>
      <c r="N938" s="2" t="s">
        <v>34</v>
      </c>
      <c r="O938" s="2">
        <v>3</v>
      </c>
      <c r="P938" s="2" t="str">
        <f>IF(global_freelancer_raw[[#This Row],[No of projects ]]&lt;=5,"Entry level","Well Experienced")</f>
        <v>Entry level</v>
      </c>
      <c r="Q938" s="2">
        <v>1</v>
      </c>
    </row>
    <row r="939" spans="1:17" x14ac:dyDescent="0.3">
      <c r="A939" t="s">
        <v>1973</v>
      </c>
      <c r="B939" t="s">
        <v>1974</v>
      </c>
      <c r="C939" t="s">
        <v>97</v>
      </c>
      <c r="D939" s="2">
        <v>21</v>
      </c>
      <c r="E939" t="s">
        <v>19</v>
      </c>
      <c r="F939" t="s">
        <v>20</v>
      </c>
      <c r="G939" s="2" t="s">
        <v>98</v>
      </c>
      <c r="H939" s="2">
        <v>0</v>
      </c>
      <c r="I939" s="2" t="s">
        <v>2119</v>
      </c>
      <c r="J939" s="2">
        <v>0</v>
      </c>
      <c r="K939" s="2" t="s">
        <v>33</v>
      </c>
      <c r="L939" s="2">
        <v>0.95</v>
      </c>
      <c r="M939" s="2" t="s">
        <v>60</v>
      </c>
      <c r="N939" s="2" t="s">
        <v>75</v>
      </c>
      <c r="O939" s="2">
        <v>5</v>
      </c>
      <c r="P939" s="2" t="str">
        <f>IF(global_freelancer_raw[[#This Row],[No of projects ]]&lt;=5,"Entry level","Well Experienced")</f>
        <v>Entry level</v>
      </c>
      <c r="Q939" s="2">
        <v>3</v>
      </c>
    </row>
    <row r="940" spans="1:17" x14ac:dyDescent="0.3">
      <c r="A940" t="s">
        <v>1975</v>
      </c>
      <c r="B940" t="s">
        <v>1976</v>
      </c>
      <c r="C940" t="s">
        <v>118</v>
      </c>
      <c r="D940" s="2">
        <v>47</v>
      </c>
      <c r="E940" t="s">
        <v>133</v>
      </c>
      <c r="F940" t="s">
        <v>134</v>
      </c>
      <c r="G940" s="2" t="s">
        <v>31</v>
      </c>
      <c r="H940" s="2">
        <v>7</v>
      </c>
      <c r="I940" s="2" t="s">
        <v>130</v>
      </c>
      <c r="J940" s="2" t="s">
        <v>2120</v>
      </c>
      <c r="K940" s="2" t="s">
        <v>2120</v>
      </c>
      <c r="L940" s="2">
        <v>69</v>
      </c>
      <c r="M940" s="2" t="s">
        <v>88</v>
      </c>
      <c r="N940" s="2" t="s">
        <v>34</v>
      </c>
      <c r="O940" s="2">
        <v>7</v>
      </c>
      <c r="P940" s="2" t="str">
        <f>IF(global_freelancer_raw[[#This Row],[No of projects ]]&lt;=5,"Entry level","Well Experienced")</f>
        <v>Well Experienced</v>
      </c>
      <c r="Q940" s="2">
        <v>3</v>
      </c>
    </row>
    <row r="941" spans="1:17" x14ac:dyDescent="0.3">
      <c r="A941" t="s">
        <v>1977</v>
      </c>
      <c r="B941" t="s">
        <v>1978</v>
      </c>
      <c r="C941" t="s">
        <v>118</v>
      </c>
      <c r="D941" s="2">
        <v>35</v>
      </c>
      <c r="E941" t="s">
        <v>212</v>
      </c>
      <c r="F941" t="s">
        <v>92</v>
      </c>
      <c r="G941" s="2" t="s">
        <v>39</v>
      </c>
      <c r="H941" s="2">
        <v>6</v>
      </c>
      <c r="I941" s="2" t="s">
        <v>86</v>
      </c>
      <c r="J941" s="2" t="s">
        <v>2120</v>
      </c>
      <c r="K941" s="2" t="s">
        <v>87</v>
      </c>
      <c r="L941" s="2">
        <v>0.91</v>
      </c>
      <c r="M941" s="2" t="s">
        <v>88</v>
      </c>
      <c r="N941" s="2" t="s">
        <v>34</v>
      </c>
      <c r="O941" s="2">
        <v>10</v>
      </c>
      <c r="P941" s="2" t="str">
        <f>IF(global_freelancer_raw[[#This Row],[No of projects ]]&lt;=5,"Entry level","Well Experienced")</f>
        <v>Well Experienced</v>
      </c>
      <c r="Q941" s="2">
        <v>10</v>
      </c>
    </row>
    <row r="942" spans="1:17" x14ac:dyDescent="0.3">
      <c r="A942" t="s">
        <v>1979</v>
      </c>
      <c r="B942" t="s">
        <v>1980</v>
      </c>
      <c r="C942" t="s">
        <v>97</v>
      </c>
      <c r="D942" s="2">
        <v>37</v>
      </c>
      <c r="E942" t="s">
        <v>64</v>
      </c>
      <c r="F942" t="s">
        <v>65</v>
      </c>
      <c r="G942" s="2" t="s">
        <v>31</v>
      </c>
      <c r="H942" s="2">
        <v>9</v>
      </c>
      <c r="I942" s="2" t="s">
        <v>58</v>
      </c>
      <c r="J942" s="2">
        <v>2.7</v>
      </c>
      <c r="K942" s="2" t="s">
        <v>33</v>
      </c>
      <c r="L942" s="2" t="s">
        <v>2120</v>
      </c>
      <c r="M942" s="2" t="s">
        <v>24</v>
      </c>
      <c r="N942" s="2" t="s">
        <v>34</v>
      </c>
      <c r="O942" s="2">
        <v>8</v>
      </c>
      <c r="P942" s="2" t="str">
        <f>IF(global_freelancer_raw[[#This Row],[No of projects ]]&lt;=5,"Entry level","Well Experienced")</f>
        <v>Well Experienced</v>
      </c>
      <c r="Q942" s="2">
        <v>10</v>
      </c>
    </row>
    <row r="943" spans="1:17" x14ac:dyDescent="0.3">
      <c r="A943" t="s">
        <v>1981</v>
      </c>
      <c r="B943" t="s">
        <v>1982</v>
      </c>
      <c r="C943" t="s">
        <v>97</v>
      </c>
      <c r="D943" s="2">
        <v>38</v>
      </c>
      <c r="E943" t="s">
        <v>128</v>
      </c>
      <c r="F943" t="s">
        <v>129</v>
      </c>
      <c r="G943" s="2" t="s">
        <v>57</v>
      </c>
      <c r="H943" s="2">
        <v>15</v>
      </c>
      <c r="I943" s="2" t="s">
        <v>86</v>
      </c>
      <c r="J943" s="2">
        <v>4</v>
      </c>
      <c r="K943" s="2" t="s">
        <v>2120</v>
      </c>
      <c r="L943" s="2">
        <v>0.62</v>
      </c>
      <c r="M943" s="2" t="s">
        <v>88</v>
      </c>
      <c r="N943" s="2" t="s">
        <v>75</v>
      </c>
      <c r="O943" s="2">
        <v>7</v>
      </c>
      <c r="P943" s="2" t="str">
        <f>IF(global_freelancer_raw[[#This Row],[No of projects ]]&lt;=5,"Entry level","Well Experienced")</f>
        <v>Well Experienced</v>
      </c>
      <c r="Q943" s="2">
        <v>7</v>
      </c>
    </row>
    <row r="944" spans="1:17" x14ac:dyDescent="0.3">
      <c r="A944" t="s">
        <v>1983</v>
      </c>
      <c r="B944" t="s">
        <v>1984</v>
      </c>
      <c r="C944" t="s">
        <v>118</v>
      </c>
      <c r="D944" s="2">
        <v>40</v>
      </c>
      <c r="E944" t="s">
        <v>149</v>
      </c>
      <c r="F944" t="s">
        <v>30</v>
      </c>
      <c r="G944" s="2" t="s">
        <v>66</v>
      </c>
      <c r="H944" s="2">
        <v>20</v>
      </c>
      <c r="I944" s="2" t="s">
        <v>162</v>
      </c>
      <c r="J944" s="2">
        <v>2.5</v>
      </c>
      <c r="K944" s="2" t="s">
        <v>23</v>
      </c>
      <c r="L944" s="2">
        <v>0.81</v>
      </c>
      <c r="M944" s="2" t="s">
        <v>88</v>
      </c>
      <c r="N944" s="2" t="s">
        <v>34</v>
      </c>
      <c r="O944" s="2">
        <v>10</v>
      </c>
      <c r="P944" s="2" t="str">
        <f>IF(global_freelancer_raw[[#This Row],[No of projects ]]&lt;=5,"Entry level","Well Experienced")</f>
        <v>Well Experienced</v>
      </c>
      <c r="Q944" s="2">
        <v>9</v>
      </c>
    </row>
    <row r="945" spans="1:17" x14ac:dyDescent="0.3">
      <c r="A945" t="s">
        <v>1985</v>
      </c>
      <c r="B945" t="s">
        <v>1986</v>
      </c>
      <c r="C945" t="s">
        <v>97</v>
      </c>
      <c r="D945" s="2">
        <v>46</v>
      </c>
      <c r="E945" t="s">
        <v>128</v>
      </c>
      <c r="F945" t="s">
        <v>129</v>
      </c>
      <c r="G945" s="2" t="s">
        <v>66</v>
      </c>
      <c r="H945" s="2">
        <v>16</v>
      </c>
      <c r="I945" s="2" t="s">
        <v>103</v>
      </c>
      <c r="J945" s="2">
        <v>0</v>
      </c>
      <c r="K945" s="2" t="s">
        <v>181</v>
      </c>
      <c r="L945" s="2">
        <v>0.94</v>
      </c>
      <c r="M945" s="2" t="s">
        <v>82</v>
      </c>
      <c r="N945" s="2" t="s">
        <v>25</v>
      </c>
      <c r="O945" s="2">
        <v>13</v>
      </c>
      <c r="P945" s="2" t="str">
        <f>IF(global_freelancer_raw[[#This Row],[No of projects ]]&lt;=5,"Entry level","Well Experienced")</f>
        <v>Well Experienced</v>
      </c>
      <c r="Q945" s="2">
        <v>6</v>
      </c>
    </row>
    <row r="946" spans="1:17" x14ac:dyDescent="0.3">
      <c r="A946" t="s">
        <v>1987</v>
      </c>
      <c r="B946" t="s">
        <v>1988</v>
      </c>
      <c r="C946" t="s">
        <v>118</v>
      </c>
      <c r="D946" s="2">
        <v>56</v>
      </c>
      <c r="E946" t="s">
        <v>160</v>
      </c>
      <c r="F946" t="s">
        <v>161</v>
      </c>
      <c r="G946" s="2" t="s">
        <v>110</v>
      </c>
      <c r="H946" s="2">
        <v>22</v>
      </c>
      <c r="I946" s="2" t="s">
        <v>130</v>
      </c>
      <c r="J946" s="2" t="s">
        <v>2120</v>
      </c>
      <c r="K946" s="2" t="s">
        <v>181</v>
      </c>
      <c r="L946" s="2">
        <v>0.95</v>
      </c>
      <c r="M946" s="2" t="s">
        <v>82</v>
      </c>
      <c r="N946" s="2" t="s">
        <v>42</v>
      </c>
      <c r="O946" s="2">
        <v>13</v>
      </c>
      <c r="P946" s="2" t="str">
        <f>IF(global_freelancer_raw[[#This Row],[No of projects ]]&lt;=5,"Entry level","Well Experienced")</f>
        <v>Well Experienced</v>
      </c>
      <c r="Q946" s="2">
        <v>2</v>
      </c>
    </row>
    <row r="947" spans="1:17" x14ac:dyDescent="0.3">
      <c r="A947" t="s">
        <v>1989</v>
      </c>
      <c r="B947" t="s">
        <v>1990</v>
      </c>
      <c r="C947" t="s">
        <v>118</v>
      </c>
      <c r="D947" s="2">
        <v>24</v>
      </c>
      <c r="E947" t="s">
        <v>79</v>
      </c>
      <c r="F947" t="s">
        <v>80</v>
      </c>
      <c r="G947" s="2" t="s">
        <v>39</v>
      </c>
      <c r="H947" s="2">
        <v>2</v>
      </c>
      <c r="I947" s="2" t="s">
        <v>2119</v>
      </c>
      <c r="J947" s="2">
        <v>1.6</v>
      </c>
      <c r="K947" s="2" t="s">
        <v>181</v>
      </c>
      <c r="L947" s="2">
        <v>1</v>
      </c>
      <c r="M947" s="2" t="s">
        <v>88</v>
      </c>
      <c r="N947" s="2" t="s">
        <v>42</v>
      </c>
      <c r="O947" s="2">
        <v>2</v>
      </c>
      <c r="P947" s="2" t="str">
        <f>IF(global_freelancer_raw[[#This Row],[No of projects ]]&lt;=5,"Entry level","Well Experienced")</f>
        <v>Entry level</v>
      </c>
      <c r="Q947" s="2">
        <v>1</v>
      </c>
    </row>
    <row r="948" spans="1:17" x14ac:dyDescent="0.3">
      <c r="A948" t="s">
        <v>1991</v>
      </c>
      <c r="B948" t="s">
        <v>1992</v>
      </c>
      <c r="C948" t="s">
        <v>118</v>
      </c>
      <c r="D948" s="2" t="s">
        <v>2119</v>
      </c>
      <c r="E948" t="s">
        <v>201</v>
      </c>
      <c r="F948" t="s">
        <v>92</v>
      </c>
      <c r="G948" s="2" t="s">
        <v>57</v>
      </c>
      <c r="H948" s="2">
        <v>1</v>
      </c>
      <c r="I948" s="2" t="s">
        <v>103</v>
      </c>
      <c r="J948" s="2">
        <v>0</v>
      </c>
      <c r="K948" s="2" t="s">
        <v>74</v>
      </c>
      <c r="L948" s="2">
        <v>0.94</v>
      </c>
      <c r="M948" s="2" t="s">
        <v>24</v>
      </c>
      <c r="N948" s="2" t="s">
        <v>34</v>
      </c>
      <c r="O948" s="2">
        <v>5</v>
      </c>
      <c r="P948" s="2" t="str">
        <f>IF(global_freelancer_raw[[#This Row],[No of projects ]]&lt;=5,"Entry level","Well Experienced")</f>
        <v>Entry level</v>
      </c>
      <c r="Q948" s="2">
        <v>3</v>
      </c>
    </row>
    <row r="949" spans="1:17" x14ac:dyDescent="0.3">
      <c r="A949" t="s">
        <v>1993</v>
      </c>
      <c r="B949" t="s">
        <v>1994</v>
      </c>
      <c r="C949" t="s">
        <v>97</v>
      </c>
      <c r="D949" s="2">
        <v>38</v>
      </c>
      <c r="E949" t="s">
        <v>79</v>
      </c>
      <c r="F949" t="s">
        <v>80</v>
      </c>
      <c r="G949" s="2" t="s">
        <v>31</v>
      </c>
      <c r="H949" s="2">
        <v>8</v>
      </c>
      <c r="I949" s="2" t="s">
        <v>52</v>
      </c>
      <c r="J949" s="2">
        <v>4</v>
      </c>
      <c r="K949" s="2" t="s">
        <v>33</v>
      </c>
      <c r="L949" s="2">
        <v>0.92</v>
      </c>
      <c r="M949" s="2" t="s">
        <v>82</v>
      </c>
      <c r="N949" s="2" t="s">
        <v>42</v>
      </c>
      <c r="O949" s="2">
        <v>8</v>
      </c>
      <c r="P949" s="2" t="str">
        <f>IF(global_freelancer_raw[[#This Row],[No of projects ]]&lt;=5,"Entry level","Well Experienced")</f>
        <v>Well Experienced</v>
      </c>
      <c r="Q949" s="2">
        <v>10</v>
      </c>
    </row>
    <row r="950" spans="1:17" x14ac:dyDescent="0.3">
      <c r="A950" t="s">
        <v>1995</v>
      </c>
      <c r="B950" t="s">
        <v>1996</v>
      </c>
      <c r="C950" t="s">
        <v>97</v>
      </c>
      <c r="D950" s="2">
        <v>28</v>
      </c>
      <c r="E950" t="s">
        <v>156</v>
      </c>
      <c r="F950" t="s">
        <v>157</v>
      </c>
      <c r="G950" s="2" t="s">
        <v>110</v>
      </c>
      <c r="H950" s="2">
        <v>8</v>
      </c>
      <c r="I950" s="2" t="s">
        <v>119</v>
      </c>
      <c r="J950" s="2">
        <v>2.5</v>
      </c>
      <c r="K950" s="2" t="s">
        <v>74</v>
      </c>
      <c r="L950" s="2">
        <v>0.95</v>
      </c>
      <c r="M950" s="2" t="s">
        <v>60</v>
      </c>
      <c r="N950" s="2" t="s">
        <v>75</v>
      </c>
      <c r="O950" s="2">
        <v>9</v>
      </c>
      <c r="P950" s="2" t="str">
        <f>IF(global_freelancer_raw[[#This Row],[No of projects ]]&lt;=5,"Entry level","Well Experienced")</f>
        <v>Well Experienced</v>
      </c>
      <c r="Q950" s="2">
        <v>6</v>
      </c>
    </row>
    <row r="951" spans="1:17" x14ac:dyDescent="0.3">
      <c r="A951" t="s">
        <v>1997</v>
      </c>
      <c r="B951" t="s">
        <v>1998</v>
      </c>
      <c r="C951" t="s">
        <v>118</v>
      </c>
      <c r="D951" s="2">
        <v>25</v>
      </c>
      <c r="E951" t="s">
        <v>128</v>
      </c>
      <c r="F951" t="s">
        <v>129</v>
      </c>
      <c r="G951" s="2" t="s">
        <v>110</v>
      </c>
      <c r="H951" s="2">
        <v>7</v>
      </c>
      <c r="I951" s="2" t="s">
        <v>142</v>
      </c>
      <c r="J951" s="2">
        <v>3.8</v>
      </c>
      <c r="K951" s="2" t="s">
        <v>2120</v>
      </c>
      <c r="L951" s="2">
        <v>0.97</v>
      </c>
      <c r="M951" s="2" t="s">
        <v>60</v>
      </c>
      <c r="N951" s="2" t="s">
        <v>75</v>
      </c>
      <c r="O951" s="2">
        <v>8</v>
      </c>
      <c r="P951" s="2" t="str">
        <f>IF(global_freelancer_raw[[#This Row],[No of projects ]]&lt;=5,"Entry level","Well Experienced")</f>
        <v>Well Experienced</v>
      </c>
      <c r="Q951" s="2">
        <v>2</v>
      </c>
    </row>
    <row r="952" spans="1:17" x14ac:dyDescent="0.3">
      <c r="A952" t="s">
        <v>1999</v>
      </c>
      <c r="B952" t="s">
        <v>2000</v>
      </c>
      <c r="C952" t="s">
        <v>118</v>
      </c>
      <c r="D952" s="2">
        <v>41</v>
      </c>
      <c r="E952" t="s">
        <v>85</v>
      </c>
      <c r="F952" t="s">
        <v>30</v>
      </c>
      <c r="G952" s="2" t="s">
        <v>110</v>
      </c>
      <c r="H952" s="2">
        <v>8</v>
      </c>
      <c r="I952" s="2" t="s">
        <v>40</v>
      </c>
      <c r="J952" s="2">
        <v>4.8</v>
      </c>
      <c r="K952" s="2" t="s">
        <v>41</v>
      </c>
      <c r="L952" s="2">
        <v>0.75</v>
      </c>
      <c r="M952" s="2" t="s">
        <v>60</v>
      </c>
      <c r="N952" s="2" t="s">
        <v>42</v>
      </c>
      <c r="O952" s="2">
        <v>14</v>
      </c>
      <c r="P952" s="2" t="str">
        <f>IF(global_freelancer_raw[[#This Row],[No of projects ]]&lt;=5,"Entry level","Well Experienced")</f>
        <v>Well Experienced</v>
      </c>
      <c r="Q952" s="2">
        <v>6</v>
      </c>
    </row>
    <row r="953" spans="1:17" x14ac:dyDescent="0.3">
      <c r="A953" t="s">
        <v>2001</v>
      </c>
      <c r="B953" t="s">
        <v>2002</v>
      </c>
      <c r="C953" t="s">
        <v>97</v>
      </c>
      <c r="D953" s="2">
        <v>45</v>
      </c>
      <c r="E953" t="s">
        <v>201</v>
      </c>
      <c r="F953" t="s">
        <v>92</v>
      </c>
      <c r="G953" s="2" t="s">
        <v>66</v>
      </c>
      <c r="H953" s="2">
        <v>6</v>
      </c>
      <c r="I953" s="2" t="s">
        <v>86</v>
      </c>
      <c r="J953" s="2">
        <v>2</v>
      </c>
      <c r="K953" s="2" t="s">
        <v>33</v>
      </c>
      <c r="L953" s="2">
        <v>0.78</v>
      </c>
      <c r="M953" s="2" t="s">
        <v>24</v>
      </c>
      <c r="N953" s="2" t="s">
        <v>75</v>
      </c>
      <c r="O953" s="2">
        <v>13</v>
      </c>
      <c r="P953" s="2" t="str">
        <f>IF(global_freelancer_raw[[#This Row],[No of projects ]]&lt;=5,"Entry level","Well Experienced")</f>
        <v>Well Experienced</v>
      </c>
      <c r="Q953" s="2">
        <v>14</v>
      </c>
    </row>
    <row r="954" spans="1:17" x14ac:dyDescent="0.3">
      <c r="A954" t="s">
        <v>2003</v>
      </c>
      <c r="B954" t="s">
        <v>2004</v>
      </c>
      <c r="C954" t="s">
        <v>118</v>
      </c>
      <c r="D954" s="2">
        <v>47</v>
      </c>
      <c r="E954" t="s">
        <v>79</v>
      </c>
      <c r="F954" t="s">
        <v>80</v>
      </c>
      <c r="G954" s="2" t="s">
        <v>110</v>
      </c>
      <c r="H954" s="2">
        <v>16</v>
      </c>
      <c r="I954" s="2" t="s">
        <v>251</v>
      </c>
      <c r="J954" s="2">
        <v>3.3</v>
      </c>
      <c r="K954" s="2" t="s">
        <v>23</v>
      </c>
      <c r="L954" s="2">
        <v>0.65</v>
      </c>
      <c r="M954" s="2" t="s">
        <v>88</v>
      </c>
      <c r="N954" s="2" t="s">
        <v>42</v>
      </c>
      <c r="O954" s="2">
        <v>10</v>
      </c>
      <c r="P954" s="2" t="str">
        <f>IF(global_freelancer_raw[[#This Row],[No of projects ]]&lt;=5,"Entry level","Well Experienced")</f>
        <v>Well Experienced</v>
      </c>
      <c r="Q954" s="2">
        <v>17</v>
      </c>
    </row>
    <row r="955" spans="1:17" x14ac:dyDescent="0.3">
      <c r="A955" t="s">
        <v>2005</v>
      </c>
      <c r="B955" t="s">
        <v>2006</v>
      </c>
      <c r="C955" t="s">
        <v>97</v>
      </c>
      <c r="D955" s="2">
        <v>59</v>
      </c>
      <c r="E955" t="s">
        <v>85</v>
      </c>
      <c r="F955" t="s">
        <v>30</v>
      </c>
      <c r="G955" s="2" t="s">
        <v>66</v>
      </c>
      <c r="H955" s="2">
        <v>40</v>
      </c>
      <c r="I955" s="2" t="s">
        <v>86</v>
      </c>
      <c r="J955" s="2">
        <v>2.5</v>
      </c>
      <c r="K955" s="2" t="s">
        <v>74</v>
      </c>
      <c r="L955" s="2">
        <v>70</v>
      </c>
      <c r="M955" s="2" t="s">
        <v>60</v>
      </c>
      <c r="N955" s="2" t="s">
        <v>42</v>
      </c>
      <c r="O955" s="2">
        <v>19</v>
      </c>
      <c r="P955" s="2" t="str">
        <f>IF(global_freelancer_raw[[#This Row],[No of projects ]]&lt;=5,"Entry level","Well Experienced")</f>
        <v>Well Experienced</v>
      </c>
      <c r="Q955" s="2">
        <v>12</v>
      </c>
    </row>
    <row r="956" spans="1:17" x14ac:dyDescent="0.3">
      <c r="A956" t="s">
        <v>2007</v>
      </c>
      <c r="B956" t="s">
        <v>2008</v>
      </c>
      <c r="C956" t="s">
        <v>97</v>
      </c>
      <c r="D956" s="2">
        <v>25</v>
      </c>
      <c r="E956" t="s">
        <v>149</v>
      </c>
      <c r="F956" t="s">
        <v>30</v>
      </c>
      <c r="G956" s="2" t="s">
        <v>21</v>
      </c>
      <c r="H956" s="2">
        <v>6</v>
      </c>
      <c r="I956" s="2" t="s">
        <v>251</v>
      </c>
      <c r="J956" s="2" t="s">
        <v>2120</v>
      </c>
      <c r="K956" s="2" t="s">
        <v>94</v>
      </c>
      <c r="L956" s="2">
        <v>78</v>
      </c>
      <c r="M956" s="2" t="s">
        <v>24</v>
      </c>
      <c r="N956" s="2" t="s">
        <v>42</v>
      </c>
      <c r="O956" s="2">
        <v>10</v>
      </c>
      <c r="P956" s="2" t="str">
        <f>IF(global_freelancer_raw[[#This Row],[No of projects ]]&lt;=5,"Entry level","Well Experienced")</f>
        <v>Well Experienced</v>
      </c>
      <c r="Q956" s="2">
        <v>2</v>
      </c>
    </row>
    <row r="957" spans="1:17" x14ac:dyDescent="0.3">
      <c r="A957" t="s">
        <v>2009</v>
      </c>
      <c r="B957" t="s">
        <v>2010</v>
      </c>
      <c r="C957" t="s">
        <v>118</v>
      </c>
      <c r="D957" s="2">
        <v>27</v>
      </c>
      <c r="E957" t="s">
        <v>29</v>
      </c>
      <c r="F957" t="s">
        <v>30</v>
      </c>
      <c r="G957" s="2" t="s">
        <v>46</v>
      </c>
      <c r="H957" s="2">
        <v>3</v>
      </c>
      <c r="I957" s="2" t="s">
        <v>119</v>
      </c>
      <c r="J957" s="2" t="s">
        <v>2120</v>
      </c>
      <c r="K957" s="2" t="s">
        <v>33</v>
      </c>
      <c r="L957" s="2">
        <v>0.96</v>
      </c>
      <c r="M957" s="2" t="s">
        <v>82</v>
      </c>
      <c r="N957" s="2" t="s">
        <v>34</v>
      </c>
      <c r="O957" s="2">
        <v>1</v>
      </c>
      <c r="P957" s="2" t="str">
        <f>IF(global_freelancer_raw[[#This Row],[No of projects ]]&lt;=5,"Entry level","Well Experienced")</f>
        <v>Entry level</v>
      </c>
      <c r="Q957" s="2">
        <v>3</v>
      </c>
    </row>
    <row r="958" spans="1:17" x14ac:dyDescent="0.3">
      <c r="A958" t="s">
        <v>2011</v>
      </c>
      <c r="B958" t="s">
        <v>2012</v>
      </c>
      <c r="C958" t="s">
        <v>97</v>
      </c>
      <c r="D958" s="2">
        <v>57</v>
      </c>
      <c r="E958" t="s">
        <v>29</v>
      </c>
      <c r="F958" t="s">
        <v>30</v>
      </c>
      <c r="G958" s="2" t="s">
        <v>57</v>
      </c>
      <c r="H958" s="2">
        <v>5</v>
      </c>
      <c r="I958" s="2" t="s">
        <v>32</v>
      </c>
      <c r="J958" s="2">
        <v>0</v>
      </c>
      <c r="K958" s="2" t="s">
        <v>33</v>
      </c>
      <c r="L958" s="2">
        <v>0.8</v>
      </c>
      <c r="M958" s="2" t="s">
        <v>88</v>
      </c>
      <c r="N958" s="2" t="s">
        <v>42</v>
      </c>
      <c r="O958" s="2">
        <v>4</v>
      </c>
      <c r="P958" s="2" t="str">
        <f>IF(global_freelancer_raw[[#This Row],[No of projects ]]&lt;=5,"Entry level","Well Experienced")</f>
        <v>Entry level</v>
      </c>
      <c r="Q958" s="2">
        <v>2</v>
      </c>
    </row>
    <row r="959" spans="1:17" x14ac:dyDescent="0.3">
      <c r="A959" t="s">
        <v>2013</v>
      </c>
      <c r="B959" t="s">
        <v>2014</v>
      </c>
      <c r="C959" t="s">
        <v>97</v>
      </c>
      <c r="D959" s="2">
        <v>34</v>
      </c>
      <c r="E959" t="s">
        <v>79</v>
      </c>
      <c r="F959" t="s">
        <v>80</v>
      </c>
      <c r="G959" s="2" t="s">
        <v>93</v>
      </c>
      <c r="H959" s="2">
        <v>12</v>
      </c>
      <c r="I959" s="2" t="s">
        <v>142</v>
      </c>
      <c r="J959" s="2">
        <v>1.6</v>
      </c>
      <c r="K959" s="2" t="s">
        <v>87</v>
      </c>
      <c r="L959" s="2">
        <v>0.64</v>
      </c>
      <c r="M959" s="2" t="s">
        <v>82</v>
      </c>
      <c r="N959" s="2" t="s">
        <v>34</v>
      </c>
      <c r="O959" s="2">
        <v>12</v>
      </c>
      <c r="P959" s="2" t="str">
        <f>IF(global_freelancer_raw[[#This Row],[No of projects ]]&lt;=5,"Entry level","Well Experienced")</f>
        <v>Well Experienced</v>
      </c>
      <c r="Q959" s="2">
        <v>2</v>
      </c>
    </row>
    <row r="960" spans="1:17" x14ac:dyDescent="0.3">
      <c r="A960" t="s">
        <v>2015</v>
      </c>
      <c r="B960" t="s">
        <v>2016</v>
      </c>
      <c r="C960" t="s">
        <v>118</v>
      </c>
      <c r="D960" s="2">
        <v>55</v>
      </c>
      <c r="E960" t="s">
        <v>156</v>
      </c>
      <c r="F960" t="s">
        <v>157</v>
      </c>
      <c r="G960" s="2" t="s">
        <v>93</v>
      </c>
      <c r="H960" s="2">
        <v>33</v>
      </c>
      <c r="I960" s="2" t="s">
        <v>40</v>
      </c>
      <c r="J960" s="2">
        <v>0</v>
      </c>
      <c r="K960" s="2" t="s">
        <v>59</v>
      </c>
      <c r="L960" s="2">
        <v>0.92</v>
      </c>
      <c r="M960" s="2" t="s">
        <v>24</v>
      </c>
      <c r="N960" s="2" t="s">
        <v>42</v>
      </c>
      <c r="O960" s="2">
        <v>19</v>
      </c>
      <c r="P960" s="2" t="str">
        <f>IF(global_freelancer_raw[[#This Row],[No of projects ]]&lt;=5,"Entry level","Well Experienced")</f>
        <v>Well Experienced</v>
      </c>
      <c r="Q960" s="2">
        <v>5</v>
      </c>
    </row>
    <row r="961" spans="1:17" x14ac:dyDescent="0.3">
      <c r="A961" t="s">
        <v>2017</v>
      </c>
      <c r="B961" t="s">
        <v>2018</v>
      </c>
      <c r="C961" t="s">
        <v>118</v>
      </c>
      <c r="D961" s="2">
        <v>21</v>
      </c>
      <c r="E961" t="s">
        <v>160</v>
      </c>
      <c r="F961" t="s">
        <v>161</v>
      </c>
      <c r="G961" s="2" t="s">
        <v>21</v>
      </c>
      <c r="H961" s="2">
        <v>1</v>
      </c>
      <c r="I961" s="2" t="s">
        <v>22</v>
      </c>
      <c r="J961" s="2">
        <v>0</v>
      </c>
      <c r="K961" s="2" t="s">
        <v>33</v>
      </c>
      <c r="L961" s="2" t="s">
        <v>2120</v>
      </c>
      <c r="M961" s="2" t="s">
        <v>60</v>
      </c>
      <c r="N961" s="2" t="s">
        <v>42</v>
      </c>
      <c r="O961" s="2">
        <v>3</v>
      </c>
      <c r="P961" s="2" t="str">
        <f>IF(global_freelancer_raw[[#This Row],[No of projects ]]&lt;=5,"Entry level","Well Experienced")</f>
        <v>Entry level</v>
      </c>
      <c r="Q961" s="2">
        <v>2</v>
      </c>
    </row>
    <row r="962" spans="1:17" x14ac:dyDescent="0.3">
      <c r="A962" t="s">
        <v>2019</v>
      </c>
      <c r="B962" t="s">
        <v>2020</v>
      </c>
      <c r="C962" t="s">
        <v>118</v>
      </c>
      <c r="D962" s="2">
        <v>53</v>
      </c>
      <c r="E962" t="s">
        <v>55</v>
      </c>
      <c r="F962" t="s">
        <v>56</v>
      </c>
      <c r="G962" s="2" t="s">
        <v>110</v>
      </c>
      <c r="H962" s="2">
        <v>27</v>
      </c>
      <c r="I962" s="2" t="s">
        <v>336</v>
      </c>
      <c r="J962" s="2">
        <v>4.7</v>
      </c>
      <c r="K962" s="2" t="s">
        <v>87</v>
      </c>
      <c r="L962" s="2">
        <v>71</v>
      </c>
      <c r="M962" s="2" t="s">
        <v>60</v>
      </c>
      <c r="N962" s="2" t="s">
        <v>42</v>
      </c>
      <c r="O962" s="2">
        <v>11</v>
      </c>
      <c r="P962" s="2" t="str">
        <f>IF(global_freelancer_raw[[#This Row],[No of projects ]]&lt;=5,"Entry level","Well Experienced")</f>
        <v>Well Experienced</v>
      </c>
      <c r="Q962" s="2">
        <v>10</v>
      </c>
    </row>
    <row r="963" spans="1:17" x14ac:dyDescent="0.3">
      <c r="A963" t="s">
        <v>2021</v>
      </c>
      <c r="B963" t="s">
        <v>2022</v>
      </c>
      <c r="C963" t="s">
        <v>97</v>
      </c>
      <c r="D963" s="2">
        <v>21</v>
      </c>
      <c r="E963" t="s">
        <v>38</v>
      </c>
      <c r="F963" t="s">
        <v>38</v>
      </c>
      <c r="G963" s="2" t="s">
        <v>93</v>
      </c>
      <c r="H963" s="2">
        <v>1</v>
      </c>
      <c r="I963" s="2" t="s">
        <v>251</v>
      </c>
      <c r="J963" s="2">
        <v>0</v>
      </c>
      <c r="K963" s="2" t="s">
        <v>87</v>
      </c>
      <c r="L963" s="2">
        <v>0.95</v>
      </c>
      <c r="M963" s="2" t="s">
        <v>24</v>
      </c>
      <c r="N963" s="2" t="s">
        <v>75</v>
      </c>
      <c r="O963" s="2">
        <v>5</v>
      </c>
      <c r="P963" s="2" t="str">
        <f>IF(global_freelancer_raw[[#This Row],[No of projects ]]&lt;=5,"Entry level","Well Experienced")</f>
        <v>Entry level</v>
      </c>
      <c r="Q963" s="2">
        <v>5</v>
      </c>
    </row>
    <row r="964" spans="1:17" x14ac:dyDescent="0.3">
      <c r="A964" t="s">
        <v>2023</v>
      </c>
      <c r="B964" t="s">
        <v>2024</v>
      </c>
      <c r="C964" t="s">
        <v>97</v>
      </c>
      <c r="D964" s="2">
        <v>36</v>
      </c>
      <c r="E964" t="s">
        <v>128</v>
      </c>
      <c r="F964" t="s">
        <v>129</v>
      </c>
      <c r="G964" s="2" t="s">
        <v>46</v>
      </c>
      <c r="H964" s="2" t="s">
        <v>2120</v>
      </c>
      <c r="I964" s="2" t="s">
        <v>162</v>
      </c>
      <c r="J964" s="2">
        <v>4.0999999999999996</v>
      </c>
      <c r="K964" s="2" t="s">
        <v>41</v>
      </c>
      <c r="L964" s="2">
        <v>0.86</v>
      </c>
      <c r="M964" s="2" t="s">
        <v>60</v>
      </c>
      <c r="N964" s="2" t="s">
        <v>34</v>
      </c>
      <c r="O964" s="2">
        <v>4</v>
      </c>
      <c r="P964" s="2" t="str">
        <f>IF(global_freelancer_raw[[#This Row],[No of projects ]]&lt;=5,"Entry level","Well Experienced")</f>
        <v>Entry level</v>
      </c>
      <c r="Q964" s="2">
        <v>1</v>
      </c>
    </row>
    <row r="965" spans="1:17" x14ac:dyDescent="0.3">
      <c r="A965" t="s">
        <v>2025</v>
      </c>
      <c r="B965" t="s">
        <v>2026</v>
      </c>
      <c r="C965" t="s">
        <v>118</v>
      </c>
      <c r="D965" s="2">
        <v>40</v>
      </c>
      <c r="E965" t="s">
        <v>38</v>
      </c>
      <c r="F965" t="s">
        <v>38</v>
      </c>
      <c r="G965" s="2" t="s">
        <v>57</v>
      </c>
      <c r="H965" s="2">
        <v>2</v>
      </c>
      <c r="I965" s="2" t="s">
        <v>58</v>
      </c>
      <c r="J965" s="2">
        <v>1.3</v>
      </c>
      <c r="K965" s="2" t="s">
        <v>33</v>
      </c>
      <c r="L965" s="2">
        <v>0.77</v>
      </c>
      <c r="M965" s="2" t="s">
        <v>88</v>
      </c>
      <c r="N965" s="2" t="s">
        <v>34</v>
      </c>
      <c r="O965" s="2">
        <v>4</v>
      </c>
      <c r="P965" s="2" t="str">
        <f>IF(global_freelancer_raw[[#This Row],[No of projects ]]&lt;=5,"Entry level","Well Experienced")</f>
        <v>Entry level</v>
      </c>
      <c r="Q965" s="2">
        <v>3</v>
      </c>
    </row>
    <row r="966" spans="1:17" x14ac:dyDescent="0.3">
      <c r="A966" t="s">
        <v>2027</v>
      </c>
      <c r="B966" t="s">
        <v>2028</v>
      </c>
      <c r="C966" t="s">
        <v>97</v>
      </c>
      <c r="D966" s="2">
        <v>59</v>
      </c>
      <c r="E966" t="s">
        <v>85</v>
      </c>
      <c r="F966" t="s">
        <v>30</v>
      </c>
      <c r="G966" s="2" t="s">
        <v>93</v>
      </c>
      <c r="H966" s="2">
        <v>40</v>
      </c>
      <c r="I966" s="2" t="s">
        <v>22</v>
      </c>
      <c r="J966" s="2">
        <v>2.6</v>
      </c>
      <c r="K966" s="2" t="s">
        <v>2120</v>
      </c>
      <c r="L966" s="2" t="s">
        <v>2120</v>
      </c>
      <c r="M966" s="2" t="s">
        <v>24</v>
      </c>
      <c r="N966" s="2" t="s">
        <v>42</v>
      </c>
      <c r="O966" s="2">
        <v>16</v>
      </c>
      <c r="P966" s="2" t="str">
        <f>IF(global_freelancer_raw[[#This Row],[No of projects ]]&lt;=5,"Entry level","Well Experienced")</f>
        <v>Well Experienced</v>
      </c>
      <c r="Q966" s="2">
        <v>5</v>
      </c>
    </row>
    <row r="967" spans="1:17" x14ac:dyDescent="0.3">
      <c r="A967" t="s">
        <v>2029</v>
      </c>
      <c r="B967" t="s">
        <v>2030</v>
      </c>
      <c r="C967" t="s">
        <v>118</v>
      </c>
      <c r="D967" s="2">
        <v>45</v>
      </c>
      <c r="E967" t="s">
        <v>55</v>
      </c>
      <c r="F967" t="s">
        <v>56</v>
      </c>
      <c r="G967" s="2" t="s">
        <v>98</v>
      </c>
      <c r="H967" s="2">
        <v>4</v>
      </c>
      <c r="I967" s="2" t="s">
        <v>142</v>
      </c>
      <c r="J967" s="2">
        <v>2.7</v>
      </c>
      <c r="K967" s="2" t="s">
        <v>2120</v>
      </c>
      <c r="L967" s="2">
        <v>0.72</v>
      </c>
      <c r="M967" s="2" t="s">
        <v>82</v>
      </c>
      <c r="N967" s="2" t="s">
        <v>42</v>
      </c>
      <c r="O967" s="2">
        <v>5</v>
      </c>
      <c r="P967" s="2" t="str">
        <f>IF(global_freelancer_raw[[#This Row],[No of projects ]]&lt;=5,"Entry level","Well Experienced")</f>
        <v>Entry level</v>
      </c>
      <c r="Q967" s="2">
        <v>1</v>
      </c>
    </row>
    <row r="968" spans="1:17" x14ac:dyDescent="0.3">
      <c r="A968" t="s">
        <v>2031</v>
      </c>
      <c r="B968" t="s">
        <v>2032</v>
      </c>
      <c r="C968" t="s">
        <v>118</v>
      </c>
      <c r="D968" s="2">
        <v>44</v>
      </c>
      <c r="E968" t="s">
        <v>133</v>
      </c>
      <c r="F968" t="s">
        <v>134</v>
      </c>
      <c r="G968" s="2" t="s">
        <v>135</v>
      </c>
      <c r="H968" s="2">
        <v>9</v>
      </c>
      <c r="I968" s="2" t="s">
        <v>86</v>
      </c>
      <c r="J968" s="2" t="s">
        <v>2120</v>
      </c>
      <c r="K968" s="2" t="s">
        <v>23</v>
      </c>
      <c r="L968" s="2">
        <v>0.7</v>
      </c>
      <c r="M968" s="2" t="s">
        <v>24</v>
      </c>
      <c r="N968" s="2" t="s">
        <v>75</v>
      </c>
      <c r="O968" s="2">
        <v>9</v>
      </c>
      <c r="P968" s="2" t="str">
        <f>IF(global_freelancer_raw[[#This Row],[No of projects ]]&lt;=5,"Entry level","Well Experienced")</f>
        <v>Well Experienced</v>
      </c>
      <c r="Q968" s="2">
        <v>2</v>
      </c>
    </row>
    <row r="969" spans="1:17" x14ac:dyDescent="0.3">
      <c r="A969" t="s">
        <v>2033</v>
      </c>
      <c r="B969" t="s">
        <v>2034</v>
      </c>
      <c r="C969" t="s">
        <v>97</v>
      </c>
      <c r="D969" s="2">
        <v>36</v>
      </c>
      <c r="E969" t="s">
        <v>85</v>
      </c>
      <c r="F969" t="s">
        <v>30</v>
      </c>
      <c r="G969" s="2" t="s">
        <v>98</v>
      </c>
      <c r="H969" s="2">
        <v>13</v>
      </c>
      <c r="I969" s="2" t="s">
        <v>52</v>
      </c>
      <c r="J969" s="2">
        <v>3.6</v>
      </c>
      <c r="K969" s="2" t="s">
        <v>23</v>
      </c>
      <c r="L969" s="2">
        <v>0.86</v>
      </c>
      <c r="M969" s="2" t="s">
        <v>88</v>
      </c>
      <c r="N969" s="2" t="s">
        <v>75</v>
      </c>
      <c r="O969" s="2">
        <v>8</v>
      </c>
      <c r="P969" s="2" t="str">
        <f>IF(global_freelancer_raw[[#This Row],[No of projects ]]&lt;=5,"Entry level","Well Experienced")</f>
        <v>Well Experienced</v>
      </c>
      <c r="Q969" s="2">
        <v>3</v>
      </c>
    </row>
    <row r="970" spans="1:17" x14ac:dyDescent="0.3">
      <c r="A970" t="s">
        <v>2035</v>
      </c>
      <c r="B970" t="s">
        <v>2036</v>
      </c>
      <c r="C970" t="s">
        <v>97</v>
      </c>
      <c r="D970" s="2">
        <v>26</v>
      </c>
      <c r="E970" t="s">
        <v>114</v>
      </c>
      <c r="F970" t="s">
        <v>115</v>
      </c>
      <c r="G970" s="2" t="s">
        <v>39</v>
      </c>
      <c r="H970" s="2">
        <v>1</v>
      </c>
      <c r="I970" s="2" t="s">
        <v>103</v>
      </c>
      <c r="J970" s="2">
        <v>3</v>
      </c>
      <c r="K970" s="2" t="s">
        <v>33</v>
      </c>
      <c r="L970" s="2" t="s">
        <v>2120</v>
      </c>
      <c r="M970" s="2" t="s">
        <v>88</v>
      </c>
      <c r="N970" s="2" t="s">
        <v>75</v>
      </c>
      <c r="O970" s="2">
        <v>4</v>
      </c>
      <c r="P970" s="2" t="str">
        <f>IF(global_freelancer_raw[[#This Row],[No of projects ]]&lt;=5,"Entry level","Well Experienced")</f>
        <v>Entry level</v>
      </c>
      <c r="Q970" s="2">
        <v>3</v>
      </c>
    </row>
    <row r="971" spans="1:17" x14ac:dyDescent="0.3">
      <c r="A971" t="s">
        <v>2037</v>
      </c>
      <c r="B971" t="s">
        <v>2038</v>
      </c>
      <c r="C971" t="s">
        <v>118</v>
      </c>
      <c r="D971" s="2">
        <v>49</v>
      </c>
      <c r="E971" t="s">
        <v>114</v>
      </c>
      <c r="F971" t="s">
        <v>115</v>
      </c>
      <c r="G971" s="2" t="s">
        <v>46</v>
      </c>
      <c r="H971" s="2">
        <v>1</v>
      </c>
      <c r="I971" s="2" t="s">
        <v>2119</v>
      </c>
      <c r="J971" s="2">
        <v>0</v>
      </c>
      <c r="K971" s="2" t="s">
        <v>23</v>
      </c>
      <c r="L971" s="2">
        <v>0.82</v>
      </c>
      <c r="M971" s="2" t="s">
        <v>24</v>
      </c>
      <c r="N971" s="2" t="s">
        <v>34</v>
      </c>
      <c r="O971" s="2">
        <v>1</v>
      </c>
      <c r="P971" s="2" t="str">
        <f>IF(global_freelancer_raw[[#This Row],[No of projects ]]&lt;=5,"Entry level","Well Experienced")</f>
        <v>Entry level</v>
      </c>
      <c r="Q971" s="2">
        <v>1</v>
      </c>
    </row>
    <row r="972" spans="1:17" x14ac:dyDescent="0.3">
      <c r="A972" t="s">
        <v>2039</v>
      </c>
      <c r="B972" t="s">
        <v>2040</v>
      </c>
      <c r="C972" t="s">
        <v>118</v>
      </c>
      <c r="D972" s="2">
        <v>29</v>
      </c>
      <c r="E972" t="s">
        <v>156</v>
      </c>
      <c r="F972" t="s">
        <v>157</v>
      </c>
      <c r="G972" s="2" t="s">
        <v>31</v>
      </c>
      <c r="H972" s="2">
        <v>3</v>
      </c>
      <c r="I972" s="2" t="s">
        <v>70</v>
      </c>
      <c r="J972" s="2">
        <v>0</v>
      </c>
      <c r="K972" s="2" t="s">
        <v>74</v>
      </c>
      <c r="L972" s="2">
        <v>0.81</v>
      </c>
      <c r="M972" s="2" t="s">
        <v>24</v>
      </c>
      <c r="N972" s="2" t="s">
        <v>34</v>
      </c>
      <c r="O972" s="2">
        <v>5</v>
      </c>
      <c r="P972" s="2" t="str">
        <f>IF(global_freelancer_raw[[#This Row],[No of projects ]]&lt;=5,"Entry level","Well Experienced")</f>
        <v>Entry level</v>
      </c>
      <c r="Q972" s="2">
        <v>1</v>
      </c>
    </row>
    <row r="973" spans="1:17" x14ac:dyDescent="0.3">
      <c r="A973" t="s">
        <v>2041</v>
      </c>
      <c r="B973" t="s">
        <v>2042</v>
      </c>
      <c r="C973" t="s">
        <v>118</v>
      </c>
      <c r="D973" s="2">
        <v>32</v>
      </c>
      <c r="E973" t="s">
        <v>156</v>
      </c>
      <c r="F973" t="s">
        <v>157</v>
      </c>
      <c r="G973" s="2" t="s">
        <v>39</v>
      </c>
      <c r="H973" s="2">
        <v>1</v>
      </c>
      <c r="I973" s="2" t="s">
        <v>47</v>
      </c>
      <c r="J973" s="2">
        <v>3.1</v>
      </c>
      <c r="K973" s="2" t="s">
        <v>33</v>
      </c>
      <c r="L973" s="2">
        <v>0.76</v>
      </c>
      <c r="M973" s="2" t="s">
        <v>60</v>
      </c>
      <c r="N973" s="2" t="s">
        <v>34</v>
      </c>
      <c r="O973" s="2">
        <v>1</v>
      </c>
      <c r="P973" s="2" t="str">
        <f>IF(global_freelancer_raw[[#This Row],[No of projects ]]&lt;=5,"Entry level","Well Experienced")</f>
        <v>Entry level</v>
      </c>
      <c r="Q973" s="2">
        <v>2</v>
      </c>
    </row>
    <row r="974" spans="1:17" x14ac:dyDescent="0.3">
      <c r="A974" t="s">
        <v>2043</v>
      </c>
      <c r="B974" t="s">
        <v>2044</v>
      </c>
      <c r="C974" t="s">
        <v>118</v>
      </c>
      <c r="D974" s="2">
        <v>24</v>
      </c>
      <c r="E974" t="s">
        <v>64</v>
      </c>
      <c r="F974" t="s">
        <v>65</v>
      </c>
      <c r="G974" s="2" t="s">
        <v>21</v>
      </c>
      <c r="H974" s="2">
        <v>3</v>
      </c>
      <c r="I974" s="2" t="s">
        <v>130</v>
      </c>
      <c r="J974" s="2">
        <v>3.9</v>
      </c>
      <c r="K974" s="2" t="s">
        <v>41</v>
      </c>
      <c r="L974" s="2">
        <v>0.9</v>
      </c>
      <c r="M974" s="2" t="s">
        <v>88</v>
      </c>
      <c r="N974" s="2" t="s">
        <v>42</v>
      </c>
      <c r="O974" s="2">
        <v>5</v>
      </c>
      <c r="P974" s="2" t="str">
        <f>IF(global_freelancer_raw[[#This Row],[No of projects ]]&lt;=5,"Entry level","Well Experienced")</f>
        <v>Entry level</v>
      </c>
      <c r="Q974" s="2">
        <v>1</v>
      </c>
    </row>
    <row r="975" spans="1:17" x14ac:dyDescent="0.3">
      <c r="A975" t="s">
        <v>2045</v>
      </c>
      <c r="B975" t="s">
        <v>2046</v>
      </c>
      <c r="C975" t="s">
        <v>118</v>
      </c>
      <c r="D975" s="2">
        <v>35</v>
      </c>
      <c r="E975" t="s">
        <v>133</v>
      </c>
      <c r="F975" t="s">
        <v>134</v>
      </c>
      <c r="G975" s="2" t="s">
        <v>110</v>
      </c>
      <c r="H975" s="2">
        <v>14</v>
      </c>
      <c r="I975" s="2" t="s">
        <v>52</v>
      </c>
      <c r="J975" s="2">
        <v>1.6</v>
      </c>
      <c r="K975" s="2" t="s">
        <v>94</v>
      </c>
      <c r="L975" s="2">
        <v>0.67</v>
      </c>
      <c r="M975" s="2" t="s">
        <v>24</v>
      </c>
      <c r="N975" s="2" t="s">
        <v>34</v>
      </c>
      <c r="O975" s="2">
        <v>8</v>
      </c>
      <c r="P975" s="2" t="str">
        <f>IF(global_freelancer_raw[[#This Row],[No of projects ]]&lt;=5,"Entry level","Well Experienced")</f>
        <v>Well Experienced</v>
      </c>
      <c r="Q975" s="2">
        <v>9</v>
      </c>
    </row>
    <row r="976" spans="1:17" x14ac:dyDescent="0.3">
      <c r="A976" t="s">
        <v>2047</v>
      </c>
      <c r="B976" t="s">
        <v>2048</v>
      </c>
      <c r="C976" t="s">
        <v>97</v>
      </c>
      <c r="D976" s="2">
        <v>43</v>
      </c>
      <c r="E976" t="s">
        <v>212</v>
      </c>
      <c r="F976" t="s">
        <v>92</v>
      </c>
      <c r="G976" s="2" t="s">
        <v>21</v>
      </c>
      <c r="H976" s="2">
        <v>2</v>
      </c>
      <c r="I976" s="2" t="s">
        <v>2119</v>
      </c>
      <c r="J976" s="2">
        <v>1.8</v>
      </c>
      <c r="K976" s="2" t="s">
        <v>181</v>
      </c>
      <c r="L976" s="2">
        <v>0.61</v>
      </c>
      <c r="M976" s="2" t="s">
        <v>24</v>
      </c>
      <c r="N976" s="2" t="s">
        <v>25</v>
      </c>
      <c r="O976" s="2">
        <v>5</v>
      </c>
      <c r="P976" s="2" t="str">
        <f>IF(global_freelancer_raw[[#This Row],[No of projects ]]&lt;=5,"Entry level","Well Experienced")</f>
        <v>Entry level</v>
      </c>
      <c r="Q976" s="2">
        <v>3</v>
      </c>
    </row>
    <row r="977" spans="1:17" x14ac:dyDescent="0.3">
      <c r="A977" t="s">
        <v>2049</v>
      </c>
      <c r="B977" t="s">
        <v>2050</v>
      </c>
      <c r="C977" t="s">
        <v>118</v>
      </c>
      <c r="D977" s="2">
        <v>53</v>
      </c>
      <c r="E977" t="s">
        <v>133</v>
      </c>
      <c r="F977" t="s">
        <v>134</v>
      </c>
      <c r="G977" s="2" t="s">
        <v>135</v>
      </c>
      <c r="H977" s="2">
        <v>27</v>
      </c>
      <c r="I977" s="2" t="s">
        <v>22</v>
      </c>
      <c r="J977" s="2">
        <v>3.7</v>
      </c>
      <c r="K977" s="2" t="s">
        <v>181</v>
      </c>
      <c r="L977" s="2">
        <v>0.73</v>
      </c>
      <c r="M977" s="2" t="s">
        <v>88</v>
      </c>
      <c r="N977" s="2" t="s">
        <v>25</v>
      </c>
      <c r="O977" s="2">
        <v>13</v>
      </c>
      <c r="P977" s="2" t="str">
        <f>IF(global_freelancer_raw[[#This Row],[No of projects ]]&lt;=5,"Entry level","Well Experienced")</f>
        <v>Well Experienced</v>
      </c>
      <c r="Q977" s="2">
        <v>5</v>
      </c>
    </row>
    <row r="978" spans="1:17" x14ac:dyDescent="0.3">
      <c r="A978" t="s">
        <v>2051</v>
      </c>
      <c r="B978" t="s">
        <v>2052</v>
      </c>
      <c r="C978" t="s">
        <v>97</v>
      </c>
      <c r="D978" s="2">
        <v>38</v>
      </c>
      <c r="E978" t="s">
        <v>145</v>
      </c>
      <c r="F978" t="s">
        <v>146</v>
      </c>
      <c r="G978" s="2" t="s">
        <v>110</v>
      </c>
      <c r="H978" s="2">
        <v>7</v>
      </c>
      <c r="I978" s="2" t="s">
        <v>103</v>
      </c>
      <c r="J978" s="2" t="s">
        <v>2120</v>
      </c>
      <c r="K978" s="2" t="s">
        <v>23</v>
      </c>
      <c r="L978" s="2" t="s">
        <v>2120</v>
      </c>
      <c r="M978" s="2" t="s">
        <v>24</v>
      </c>
      <c r="N978" s="2" t="s">
        <v>75</v>
      </c>
      <c r="O978" s="2">
        <v>6</v>
      </c>
      <c r="P978" s="2" t="str">
        <f>IF(global_freelancer_raw[[#This Row],[No of projects ]]&lt;=5,"Entry level","Well Experienced")</f>
        <v>Well Experienced</v>
      </c>
      <c r="Q978" s="2">
        <v>4</v>
      </c>
    </row>
    <row r="979" spans="1:17" x14ac:dyDescent="0.3">
      <c r="A979" t="s">
        <v>2053</v>
      </c>
      <c r="B979" t="s">
        <v>2054</v>
      </c>
      <c r="C979" t="s">
        <v>118</v>
      </c>
      <c r="D979" s="2">
        <v>57</v>
      </c>
      <c r="E979" t="s">
        <v>85</v>
      </c>
      <c r="F979" t="s">
        <v>30</v>
      </c>
      <c r="G979" s="2" t="s">
        <v>98</v>
      </c>
      <c r="H979" s="2">
        <v>29</v>
      </c>
      <c r="I979" s="2" t="s">
        <v>103</v>
      </c>
      <c r="J979" s="2">
        <v>4.0999999999999996</v>
      </c>
      <c r="K979" s="2" t="s">
        <v>41</v>
      </c>
      <c r="L979" s="2">
        <v>0.9</v>
      </c>
      <c r="M979" s="2" t="s">
        <v>60</v>
      </c>
      <c r="N979" s="2" t="s">
        <v>34</v>
      </c>
      <c r="O979" s="2">
        <v>10</v>
      </c>
      <c r="P979" s="2" t="str">
        <f>IF(global_freelancer_raw[[#This Row],[No of projects ]]&lt;=5,"Entry level","Well Experienced")</f>
        <v>Well Experienced</v>
      </c>
      <c r="Q979" s="2">
        <v>14</v>
      </c>
    </row>
    <row r="980" spans="1:17" x14ac:dyDescent="0.3">
      <c r="A980" t="s">
        <v>2055</v>
      </c>
      <c r="B980" t="s">
        <v>2056</v>
      </c>
      <c r="C980" t="s">
        <v>118</v>
      </c>
      <c r="D980" s="2">
        <v>27</v>
      </c>
      <c r="E980" t="s">
        <v>197</v>
      </c>
      <c r="F980" t="s">
        <v>198</v>
      </c>
      <c r="G980" s="2" t="s">
        <v>21</v>
      </c>
      <c r="H980" s="2">
        <v>5</v>
      </c>
      <c r="I980" s="2" t="s">
        <v>192</v>
      </c>
      <c r="J980" s="2">
        <v>1.4</v>
      </c>
      <c r="K980" s="2" t="s">
        <v>74</v>
      </c>
      <c r="L980" s="2">
        <v>0.64</v>
      </c>
      <c r="M980" s="2" t="s">
        <v>88</v>
      </c>
      <c r="N980" s="2" t="s">
        <v>25</v>
      </c>
      <c r="O980" s="2">
        <v>4</v>
      </c>
      <c r="P980" s="2" t="str">
        <f>IF(global_freelancer_raw[[#This Row],[No of projects ]]&lt;=5,"Entry level","Well Experienced")</f>
        <v>Entry level</v>
      </c>
      <c r="Q980" s="2">
        <v>1</v>
      </c>
    </row>
    <row r="981" spans="1:17" x14ac:dyDescent="0.3">
      <c r="A981" t="s">
        <v>2057</v>
      </c>
      <c r="B981" t="s">
        <v>2058</v>
      </c>
      <c r="C981" t="s">
        <v>118</v>
      </c>
      <c r="D981" s="2">
        <v>43</v>
      </c>
      <c r="E981" t="s">
        <v>91</v>
      </c>
      <c r="F981" t="s">
        <v>92</v>
      </c>
      <c r="G981" s="2" t="s">
        <v>46</v>
      </c>
      <c r="H981" s="2">
        <v>2</v>
      </c>
      <c r="I981" s="2" t="s">
        <v>22</v>
      </c>
      <c r="J981" s="2">
        <v>1.1000000000000001</v>
      </c>
      <c r="K981" s="2" t="s">
        <v>33</v>
      </c>
      <c r="L981" s="2">
        <v>0.63</v>
      </c>
      <c r="M981" s="2" t="s">
        <v>60</v>
      </c>
      <c r="N981" s="2" t="s">
        <v>75</v>
      </c>
      <c r="O981" s="2">
        <v>4</v>
      </c>
      <c r="P981" s="2" t="str">
        <f>IF(global_freelancer_raw[[#This Row],[No of projects ]]&lt;=5,"Entry level","Well Experienced")</f>
        <v>Entry level</v>
      </c>
      <c r="Q981" s="2">
        <v>1</v>
      </c>
    </row>
    <row r="982" spans="1:17" x14ac:dyDescent="0.3">
      <c r="A982" t="s">
        <v>2059</v>
      </c>
      <c r="B982" t="s">
        <v>2060</v>
      </c>
      <c r="C982" t="s">
        <v>118</v>
      </c>
      <c r="D982" s="2">
        <v>48</v>
      </c>
      <c r="E982" t="s">
        <v>149</v>
      </c>
      <c r="F982" t="s">
        <v>30</v>
      </c>
      <c r="G982" s="2" t="s">
        <v>66</v>
      </c>
      <c r="H982" s="2">
        <v>18</v>
      </c>
      <c r="I982" s="2" t="s">
        <v>47</v>
      </c>
      <c r="J982" s="2">
        <v>3.9</v>
      </c>
      <c r="K982" s="2" t="s">
        <v>2120</v>
      </c>
      <c r="L982" s="2" t="s">
        <v>2120</v>
      </c>
      <c r="M982" s="2" t="s">
        <v>60</v>
      </c>
      <c r="N982" s="2" t="s">
        <v>34</v>
      </c>
      <c r="O982" s="2">
        <v>12</v>
      </c>
      <c r="P982" s="2" t="str">
        <f>IF(global_freelancer_raw[[#This Row],[No of projects ]]&lt;=5,"Entry level","Well Experienced")</f>
        <v>Well Experienced</v>
      </c>
      <c r="Q982" s="2">
        <v>2</v>
      </c>
    </row>
    <row r="983" spans="1:17" x14ac:dyDescent="0.3">
      <c r="A983" t="s">
        <v>2061</v>
      </c>
      <c r="B983" t="s">
        <v>2062</v>
      </c>
      <c r="C983" t="s">
        <v>118</v>
      </c>
      <c r="D983" s="2">
        <v>26</v>
      </c>
      <c r="E983" t="s">
        <v>128</v>
      </c>
      <c r="F983" t="s">
        <v>129</v>
      </c>
      <c r="G983" s="2" t="s">
        <v>98</v>
      </c>
      <c r="H983" s="2">
        <v>8</v>
      </c>
      <c r="I983" s="2" t="s">
        <v>162</v>
      </c>
      <c r="J983" s="2">
        <v>3.6</v>
      </c>
      <c r="K983" s="2" t="s">
        <v>23</v>
      </c>
      <c r="L983" s="2">
        <v>0.67</v>
      </c>
      <c r="M983" s="2" t="s">
        <v>60</v>
      </c>
      <c r="N983" s="2" t="s">
        <v>42</v>
      </c>
      <c r="O983" s="2">
        <v>14</v>
      </c>
      <c r="P983" s="2" t="str">
        <f>IF(global_freelancer_raw[[#This Row],[No of projects ]]&lt;=5,"Entry level","Well Experienced")</f>
        <v>Well Experienced</v>
      </c>
      <c r="Q983" s="2">
        <v>7</v>
      </c>
    </row>
    <row r="984" spans="1:17" x14ac:dyDescent="0.3">
      <c r="A984" t="s">
        <v>2063</v>
      </c>
      <c r="B984" t="s">
        <v>2064</v>
      </c>
      <c r="C984" t="s">
        <v>97</v>
      </c>
      <c r="D984" s="2" t="s">
        <v>2119</v>
      </c>
      <c r="E984" t="s">
        <v>175</v>
      </c>
      <c r="F984" t="s">
        <v>176</v>
      </c>
      <c r="G984" s="2" t="s">
        <v>39</v>
      </c>
      <c r="H984" s="2">
        <v>0</v>
      </c>
      <c r="I984" s="2" t="s">
        <v>47</v>
      </c>
      <c r="J984" s="2">
        <v>0</v>
      </c>
      <c r="K984" s="2" t="s">
        <v>181</v>
      </c>
      <c r="L984" s="2">
        <v>0.97</v>
      </c>
      <c r="M984" s="2" t="s">
        <v>60</v>
      </c>
      <c r="N984" s="2" t="s">
        <v>25</v>
      </c>
      <c r="O984" s="2">
        <v>4</v>
      </c>
      <c r="P984" s="2" t="str">
        <f>IF(global_freelancer_raw[[#This Row],[No of projects ]]&lt;=5,"Entry level","Well Experienced")</f>
        <v>Entry level</v>
      </c>
      <c r="Q984" s="2">
        <v>3</v>
      </c>
    </row>
    <row r="985" spans="1:17" x14ac:dyDescent="0.3">
      <c r="A985" t="s">
        <v>2065</v>
      </c>
      <c r="B985" t="s">
        <v>2066</v>
      </c>
      <c r="C985" t="s">
        <v>97</v>
      </c>
      <c r="D985" s="2">
        <v>50</v>
      </c>
      <c r="E985" t="s">
        <v>19</v>
      </c>
      <c r="F985" t="s">
        <v>20</v>
      </c>
      <c r="G985" s="2" t="s">
        <v>66</v>
      </c>
      <c r="H985" s="2">
        <v>16</v>
      </c>
      <c r="I985" s="2" t="s">
        <v>192</v>
      </c>
      <c r="J985" s="2">
        <v>4.5</v>
      </c>
      <c r="K985" s="2" t="s">
        <v>23</v>
      </c>
      <c r="L985" s="2">
        <v>69</v>
      </c>
      <c r="M985" s="2" t="s">
        <v>88</v>
      </c>
      <c r="N985" s="2" t="s">
        <v>42</v>
      </c>
      <c r="O985" s="2">
        <v>15</v>
      </c>
      <c r="P985" s="2" t="str">
        <f>IF(global_freelancer_raw[[#This Row],[No of projects ]]&lt;=5,"Entry level","Well Experienced")</f>
        <v>Well Experienced</v>
      </c>
      <c r="Q985" s="2">
        <v>11</v>
      </c>
    </row>
    <row r="986" spans="1:17" x14ac:dyDescent="0.3">
      <c r="A986" t="s">
        <v>2067</v>
      </c>
      <c r="B986" t="s">
        <v>2068</v>
      </c>
      <c r="C986" t="s">
        <v>118</v>
      </c>
      <c r="D986" s="2">
        <v>48</v>
      </c>
      <c r="E986" t="s">
        <v>175</v>
      </c>
      <c r="F986" t="s">
        <v>176</v>
      </c>
      <c r="G986" s="2" t="s">
        <v>46</v>
      </c>
      <c r="H986" s="2">
        <v>8</v>
      </c>
      <c r="I986" s="2" t="s">
        <v>40</v>
      </c>
      <c r="J986" s="2" t="s">
        <v>2120</v>
      </c>
      <c r="K986" s="2" t="s">
        <v>33</v>
      </c>
      <c r="L986" s="2">
        <v>0.73</v>
      </c>
      <c r="M986" s="2" t="s">
        <v>60</v>
      </c>
      <c r="N986" s="2" t="s">
        <v>34</v>
      </c>
      <c r="O986" s="2">
        <v>6</v>
      </c>
      <c r="P986" s="2" t="str">
        <f>IF(global_freelancer_raw[[#This Row],[No of projects ]]&lt;=5,"Entry level","Well Experienced")</f>
        <v>Well Experienced</v>
      </c>
      <c r="Q986" s="2">
        <v>7</v>
      </c>
    </row>
    <row r="987" spans="1:17" x14ac:dyDescent="0.3">
      <c r="A987" t="s">
        <v>2069</v>
      </c>
      <c r="B987" t="s">
        <v>2070</v>
      </c>
      <c r="C987" t="s">
        <v>118</v>
      </c>
      <c r="D987" s="2">
        <v>60</v>
      </c>
      <c r="E987" t="s">
        <v>212</v>
      </c>
      <c r="F987" t="s">
        <v>92</v>
      </c>
      <c r="G987" s="2" t="s">
        <v>21</v>
      </c>
      <c r="H987" s="2">
        <v>39</v>
      </c>
      <c r="I987" s="2" t="s">
        <v>162</v>
      </c>
      <c r="J987" s="2">
        <v>1.4</v>
      </c>
      <c r="K987" s="2" t="s">
        <v>74</v>
      </c>
      <c r="L987" s="2">
        <v>0.86</v>
      </c>
      <c r="M987" s="2" t="s">
        <v>60</v>
      </c>
      <c r="N987" s="2" t="s">
        <v>25</v>
      </c>
      <c r="O987" s="2">
        <v>20</v>
      </c>
      <c r="P987" s="2" t="str">
        <f>IF(global_freelancer_raw[[#This Row],[No of projects ]]&lt;=5,"Entry level","Well Experienced")</f>
        <v>Well Experienced</v>
      </c>
      <c r="Q987" s="2">
        <v>12</v>
      </c>
    </row>
    <row r="988" spans="1:17" x14ac:dyDescent="0.3">
      <c r="A988" t="s">
        <v>2071</v>
      </c>
      <c r="B988" t="s">
        <v>2072</v>
      </c>
      <c r="C988" t="s">
        <v>118</v>
      </c>
      <c r="D988" s="2">
        <v>26</v>
      </c>
      <c r="E988" t="s">
        <v>160</v>
      </c>
      <c r="F988" t="s">
        <v>161</v>
      </c>
      <c r="G988" s="2" t="s">
        <v>135</v>
      </c>
      <c r="H988" s="2" t="s">
        <v>2120</v>
      </c>
      <c r="I988" s="2" t="s">
        <v>40</v>
      </c>
      <c r="J988" s="2">
        <v>0</v>
      </c>
      <c r="K988" s="2" t="s">
        <v>87</v>
      </c>
      <c r="L988" s="2">
        <v>81</v>
      </c>
      <c r="M988" s="2" t="s">
        <v>24</v>
      </c>
      <c r="N988" s="2" t="s">
        <v>34</v>
      </c>
      <c r="O988" s="2">
        <v>4</v>
      </c>
      <c r="P988" s="2" t="str">
        <f>IF(global_freelancer_raw[[#This Row],[No of projects ]]&lt;=5,"Entry level","Well Experienced")</f>
        <v>Entry level</v>
      </c>
      <c r="Q988" s="2">
        <v>1</v>
      </c>
    </row>
    <row r="989" spans="1:17" x14ac:dyDescent="0.3">
      <c r="A989" t="s">
        <v>2073</v>
      </c>
      <c r="B989" t="s">
        <v>2074</v>
      </c>
      <c r="C989" t="s">
        <v>97</v>
      </c>
      <c r="D989" s="2">
        <v>35</v>
      </c>
      <c r="E989" t="s">
        <v>133</v>
      </c>
      <c r="F989" t="s">
        <v>134</v>
      </c>
      <c r="G989" s="2" t="s">
        <v>39</v>
      </c>
      <c r="H989" s="2">
        <v>16</v>
      </c>
      <c r="I989" s="2" t="s">
        <v>32</v>
      </c>
      <c r="J989" s="2">
        <v>4.3</v>
      </c>
      <c r="K989" s="2" t="s">
        <v>33</v>
      </c>
      <c r="L989" s="2">
        <v>0.74</v>
      </c>
      <c r="M989" s="2" t="s">
        <v>88</v>
      </c>
      <c r="N989" s="2" t="s">
        <v>42</v>
      </c>
      <c r="O989" s="2">
        <v>13</v>
      </c>
      <c r="P989" s="2" t="str">
        <f>IF(global_freelancer_raw[[#This Row],[No of projects ]]&lt;=5,"Entry level","Well Experienced")</f>
        <v>Well Experienced</v>
      </c>
      <c r="Q989" s="2">
        <v>3</v>
      </c>
    </row>
    <row r="990" spans="1:17" x14ac:dyDescent="0.3">
      <c r="A990" t="s">
        <v>2075</v>
      </c>
      <c r="B990" t="s">
        <v>2076</v>
      </c>
      <c r="C990" t="s">
        <v>118</v>
      </c>
      <c r="D990" s="2">
        <v>23</v>
      </c>
      <c r="E990" t="s">
        <v>73</v>
      </c>
      <c r="F990" t="s">
        <v>30</v>
      </c>
      <c r="G990" s="2" t="s">
        <v>21</v>
      </c>
      <c r="H990" s="2">
        <v>4</v>
      </c>
      <c r="I990" s="2" t="s">
        <v>251</v>
      </c>
      <c r="J990" s="2">
        <v>2.2000000000000002</v>
      </c>
      <c r="K990" s="2" t="s">
        <v>33</v>
      </c>
      <c r="L990" s="2">
        <v>64</v>
      </c>
      <c r="M990" s="2" t="s">
        <v>88</v>
      </c>
      <c r="N990" s="2" t="s">
        <v>25</v>
      </c>
      <c r="O990" s="2">
        <v>2</v>
      </c>
      <c r="P990" s="2" t="str">
        <f>IF(global_freelancer_raw[[#This Row],[No of projects ]]&lt;=5,"Entry level","Well Experienced")</f>
        <v>Entry level</v>
      </c>
      <c r="Q990" s="2">
        <v>3</v>
      </c>
    </row>
    <row r="991" spans="1:17" x14ac:dyDescent="0.3">
      <c r="A991" t="s">
        <v>2077</v>
      </c>
      <c r="B991" t="s">
        <v>2078</v>
      </c>
      <c r="C991" t="s">
        <v>118</v>
      </c>
      <c r="D991" s="2">
        <v>37</v>
      </c>
      <c r="E991" t="s">
        <v>29</v>
      </c>
      <c r="F991" t="s">
        <v>30</v>
      </c>
      <c r="G991" s="2" t="s">
        <v>39</v>
      </c>
      <c r="H991" s="2">
        <v>4</v>
      </c>
      <c r="I991" s="2" t="s">
        <v>103</v>
      </c>
      <c r="J991" s="2">
        <v>3.2</v>
      </c>
      <c r="K991" s="2" t="s">
        <v>59</v>
      </c>
      <c r="L991" s="2">
        <v>0.76</v>
      </c>
      <c r="M991" s="2" t="s">
        <v>82</v>
      </c>
      <c r="N991" s="2" t="s">
        <v>42</v>
      </c>
      <c r="O991" s="2">
        <v>5</v>
      </c>
      <c r="P991" s="2" t="str">
        <f>IF(global_freelancer_raw[[#This Row],[No of projects ]]&lt;=5,"Entry level","Well Experienced")</f>
        <v>Entry level</v>
      </c>
      <c r="Q991" s="2">
        <v>1</v>
      </c>
    </row>
    <row r="992" spans="1:17" x14ac:dyDescent="0.3">
      <c r="A992" t="s">
        <v>2079</v>
      </c>
      <c r="B992" t="s">
        <v>2080</v>
      </c>
      <c r="C992" t="s">
        <v>97</v>
      </c>
      <c r="D992" s="2">
        <v>21</v>
      </c>
      <c r="E992" t="s">
        <v>91</v>
      </c>
      <c r="F992" t="s">
        <v>92</v>
      </c>
      <c r="G992" s="2" t="s">
        <v>57</v>
      </c>
      <c r="H992" s="2">
        <v>2</v>
      </c>
      <c r="I992" s="2" t="s">
        <v>22</v>
      </c>
      <c r="J992" s="2">
        <v>3.7</v>
      </c>
      <c r="K992" s="2" t="s">
        <v>87</v>
      </c>
      <c r="L992" s="2">
        <v>73</v>
      </c>
      <c r="M992" s="2" t="s">
        <v>88</v>
      </c>
      <c r="N992" s="2" t="s">
        <v>34</v>
      </c>
      <c r="O992" s="2">
        <v>2</v>
      </c>
      <c r="P992" s="2" t="str">
        <f>IF(global_freelancer_raw[[#This Row],[No of projects ]]&lt;=5,"Entry level","Well Experienced")</f>
        <v>Entry level</v>
      </c>
      <c r="Q992" s="2">
        <v>3</v>
      </c>
    </row>
    <row r="993" spans="1:17" x14ac:dyDescent="0.3">
      <c r="A993" t="s">
        <v>2081</v>
      </c>
      <c r="B993" t="s">
        <v>2082</v>
      </c>
      <c r="C993" t="s">
        <v>97</v>
      </c>
      <c r="D993" s="2">
        <v>58</v>
      </c>
      <c r="E993" t="s">
        <v>38</v>
      </c>
      <c r="F993" t="s">
        <v>38</v>
      </c>
      <c r="G993" s="2" t="s">
        <v>93</v>
      </c>
      <c r="H993" s="2">
        <v>37</v>
      </c>
      <c r="I993" s="2" t="s">
        <v>119</v>
      </c>
      <c r="J993" s="2">
        <v>4.9000000000000004</v>
      </c>
      <c r="K993" s="2" t="s">
        <v>59</v>
      </c>
      <c r="L993" s="2">
        <v>0.69</v>
      </c>
      <c r="M993" s="2" t="s">
        <v>88</v>
      </c>
      <c r="N993" s="2" t="s">
        <v>34</v>
      </c>
      <c r="O993" s="2">
        <v>16</v>
      </c>
      <c r="P993" s="2" t="str">
        <f>IF(global_freelancer_raw[[#This Row],[No of projects ]]&lt;=5,"Entry level","Well Experienced")</f>
        <v>Well Experienced</v>
      </c>
      <c r="Q993" s="2">
        <v>2</v>
      </c>
    </row>
    <row r="994" spans="1:17" x14ac:dyDescent="0.3">
      <c r="A994" t="s">
        <v>2083</v>
      </c>
      <c r="B994" t="s">
        <v>2084</v>
      </c>
      <c r="C994" t="s">
        <v>97</v>
      </c>
      <c r="D994" s="2">
        <v>52</v>
      </c>
      <c r="E994" t="s">
        <v>64</v>
      </c>
      <c r="F994" t="s">
        <v>65</v>
      </c>
      <c r="G994" s="2" t="s">
        <v>31</v>
      </c>
      <c r="H994" s="2">
        <v>32</v>
      </c>
      <c r="I994" s="2" t="s">
        <v>192</v>
      </c>
      <c r="J994" s="2">
        <v>3.2</v>
      </c>
      <c r="K994" s="2" t="s">
        <v>23</v>
      </c>
      <c r="L994" s="2">
        <v>0.79</v>
      </c>
      <c r="M994" s="2" t="s">
        <v>82</v>
      </c>
      <c r="N994" s="2" t="s">
        <v>42</v>
      </c>
      <c r="O994" s="2">
        <v>20</v>
      </c>
      <c r="P994" s="2" t="str">
        <f>IF(global_freelancer_raw[[#This Row],[No of projects ]]&lt;=5,"Entry level","Well Experienced")</f>
        <v>Well Experienced</v>
      </c>
      <c r="Q994" s="2">
        <v>7</v>
      </c>
    </row>
    <row r="995" spans="1:17" x14ac:dyDescent="0.3">
      <c r="A995" t="s">
        <v>2085</v>
      </c>
      <c r="B995" t="s">
        <v>2086</v>
      </c>
      <c r="C995" t="s">
        <v>118</v>
      </c>
      <c r="D995" s="2">
        <v>46</v>
      </c>
      <c r="E995" t="s">
        <v>145</v>
      </c>
      <c r="F995" t="s">
        <v>146</v>
      </c>
      <c r="G995" s="2" t="s">
        <v>31</v>
      </c>
      <c r="H995" s="2">
        <v>8</v>
      </c>
      <c r="I995" s="2" t="s">
        <v>162</v>
      </c>
      <c r="J995" s="2">
        <v>2.2000000000000002</v>
      </c>
      <c r="K995" s="2" t="s">
        <v>2120</v>
      </c>
      <c r="L995" s="2">
        <v>89</v>
      </c>
      <c r="M995" s="2" t="s">
        <v>88</v>
      </c>
      <c r="N995" s="2" t="s">
        <v>25</v>
      </c>
      <c r="O995" s="2">
        <v>7</v>
      </c>
      <c r="P995" s="2" t="str">
        <f>IF(global_freelancer_raw[[#This Row],[No of projects ]]&lt;=5,"Entry level","Well Experienced")</f>
        <v>Well Experienced</v>
      </c>
      <c r="Q995" s="2">
        <v>13</v>
      </c>
    </row>
    <row r="996" spans="1:17" x14ac:dyDescent="0.3">
      <c r="A996" t="s">
        <v>2087</v>
      </c>
      <c r="B996" t="s">
        <v>2088</v>
      </c>
      <c r="C996" t="s">
        <v>97</v>
      </c>
      <c r="D996" s="2">
        <v>34</v>
      </c>
      <c r="E996" t="s">
        <v>175</v>
      </c>
      <c r="F996" t="s">
        <v>176</v>
      </c>
      <c r="G996" s="2" t="s">
        <v>110</v>
      </c>
      <c r="H996" s="2">
        <v>8</v>
      </c>
      <c r="I996" s="2" t="s">
        <v>52</v>
      </c>
      <c r="J996" s="2">
        <v>3.9</v>
      </c>
      <c r="K996" s="2" t="s">
        <v>94</v>
      </c>
      <c r="L996" s="2">
        <v>0.95</v>
      </c>
      <c r="M996" s="2" t="s">
        <v>88</v>
      </c>
      <c r="N996" s="2" t="s">
        <v>42</v>
      </c>
      <c r="O996" s="2">
        <v>10</v>
      </c>
      <c r="P996" s="2" t="str">
        <f>IF(global_freelancer_raw[[#This Row],[No of projects ]]&lt;=5,"Entry level","Well Experienced")</f>
        <v>Well Experienced</v>
      </c>
      <c r="Q996" s="2">
        <v>3</v>
      </c>
    </row>
    <row r="997" spans="1:17" x14ac:dyDescent="0.3">
      <c r="A997" t="s">
        <v>2089</v>
      </c>
      <c r="B997" t="s">
        <v>2090</v>
      </c>
      <c r="C997" t="s">
        <v>118</v>
      </c>
      <c r="D997" s="2">
        <v>56</v>
      </c>
      <c r="E997" t="s">
        <v>79</v>
      </c>
      <c r="F997" t="s">
        <v>80</v>
      </c>
      <c r="G997" s="2" t="s">
        <v>110</v>
      </c>
      <c r="H997" s="2">
        <v>13</v>
      </c>
      <c r="I997" s="2" t="s">
        <v>22</v>
      </c>
      <c r="J997" s="2">
        <v>0</v>
      </c>
      <c r="K997" s="2" t="s">
        <v>181</v>
      </c>
      <c r="L997" s="2">
        <v>0.68</v>
      </c>
      <c r="M997" s="2" t="s">
        <v>88</v>
      </c>
      <c r="N997" s="2" t="s">
        <v>34</v>
      </c>
      <c r="O997" s="2">
        <v>8</v>
      </c>
      <c r="P997" s="2" t="str">
        <f>IF(global_freelancer_raw[[#This Row],[No of projects ]]&lt;=5,"Entry level","Well Experienced")</f>
        <v>Well Experienced</v>
      </c>
      <c r="Q997" s="2">
        <v>3</v>
      </c>
    </row>
    <row r="998" spans="1:17" x14ac:dyDescent="0.3">
      <c r="A998" t="s">
        <v>2091</v>
      </c>
      <c r="B998" t="s">
        <v>2092</v>
      </c>
      <c r="C998" t="s">
        <v>97</v>
      </c>
      <c r="D998" s="2">
        <v>26</v>
      </c>
      <c r="E998" t="s">
        <v>38</v>
      </c>
      <c r="F998" t="s">
        <v>38</v>
      </c>
      <c r="G998" s="2" t="s">
        <v>21</v>
      </c>
      <c r="H998" s="2">
        <v>6</v>
      </c>
      <c r="I998" s="2" t="s">
        <v>70</v>
      </c>
      <c r="J998" s="2">
        <v>2.8</v>
      </c>
      <c r="K998" s="2" t="s">
        <v>41</v>
      </c>
      <c r="L998" s="2">
        <v>82</v>
      </c>
      <c r="M998" s="2" t="s">
        <v>88</v>
      </c>
      <c r="N998" s="2" t="s">
        <v>42</v>
      </c>
      <c r="O998" s="2">
        <v>6</v>
      </c>
      <c r="P998" s="2" t="str">
        <f>IF(global_freelancer_raw[[#This Row],[No of projects ]]&lt;=5,"Entry level","Well Experienced")</f>
        <v>Well Experienced</v>
      </c>
      <c r="Q998" s="2">
        <v>11</v>
      </c>
    </row>
    <row r="999" spans="1:17" x14ac:dyDescent="0.3">
      <c r="A999" t="s">
        <v>2093</v>
      </c>
      <c r="B999" t="s">
        <v>2094</v>
      </c>
      <c r="C999" t="s">
        <v>97</v>
      </c>
      <c r="D999" s="2">
        <v>37</v>
      </c>
      <c r="E999" t="s">
        <v>106</v>
      </c>
      <c r="F999" t="s">
        <v>107</v>
      </c>
      <c r="G999" s="2" t="s">
        <v>66</v>
      </c>
      <c r="H999" s="2">
        <v>15</v>
      </c>
      <c r="I999" s="2" t="s">
        <v>103</v>
      </c>
      <c r="J999" s="2" t="s">
        <v>2120</v>
      </c>
      <c r="K999" s="2" t="s">
        <v>59</v>
      </c>
      <c r="L999" s="2">
        <v>0.94</v>
      </c>
      <c r="M999" s="2" t="s">
        <v>82</v>
      </c>
      <c r="N999" s="2" t="s">
        <v>34</v>
      </c>
      <c r="O999" s="2">
        <v>14</v>
      </c>
      <c r="P999" s="2" t="str">
        <f>IF(global_freelancer_raw[[#This Row],[No of projects ]]&lt;=5,"Entry level","Well Experienced")</f>
        <v>Well Experienced</v>
      </c>
      <c r="Q999" s="2">
        <v>12</v>
      </c>
    </row>
    <row r="1000" spans="1:17" x14ac:dyDescent="0.3">
      <c r="A1000" t="s">
        <v>2095</v>
      </c>
      <c r="B1000" t="s">
        <v>2096</v>
      </c>
      <c r="C1000" t="s">
        <v>118</v>
      </c>
      <c r="D1000" s="2">
        <v>46</v>
      </c>
      <c r="E1000" t="s">
        <v>145</v>
      </c>
      <c r="F1000" t="s">
        <v>146</v>
      </c>
      <c r="G1000" s="2" t="s">
        <v>135</v>
      </c>
      <c r="H1000" s="2">
        <v>22</v>
      </c>
      <c r="I1000" s="2" t="s">
        <v>22</v>
      </c>
      <c r="J1000" s="2">
        <v>2.8</v>
      </c>
      <c r="K1000" s="2" t="s">
        <v>87</v>
      </c>
      <c r="L1000" s="2">
        <v>97</v>
      </c>
      <c r="M1000" s="2" t="s">
        <v>88</v>
      </c>
      <c r="N1000" s="2" t="s">
        <v>42</v>
      </c>
      <c r="O1000" s="2">
        <v>12</v>
      </c>
      <c r="P1000" s="2" t="str">
        <f>IF(global_freelancer_raw[[#This Row],[No of projects ]]&lt;=5,"Entry level","Well Experienced")</f>
        <v>Well Experienced</v>
      </c>
      <c r="Q1000" s="2">
        <v>6</v>
      </c>
    </row>
    <row r="1001" spans="1:17" x14ac:dyDescent="0.3">
      <c r="A1001" t="s">
        <v>2097</v>
      </c>
      <c r="B1001" t="s">
        <v>2098</v>
      </c>
      <c r="C1001" t="s">
        <v>97</v>
      </c>
      <c r="D1001" s="2">
        <v>36</v>
      </c>
      <c r="E1001" t="s">
        <v>201</v>
      </c>
      <c r="F1001" t="s">
        <v>92</v>
      </c>
      <c r="G1001" s="2" t="s">
        <v>93</v>
      </c>
      <c r="H1001" s="2">
        <v>18</v>
      </c>
      <c r="I1001" s="2" t="s">
        <v>142</v>
      </c>
      <c r="J1001" s="2">
        <v>1.7</v>
      </c>
      <c r="K1001" s="2" t="s">
        <v>33</v>
      </c>
      <c r="L1001" s="2">
        <v>72</v>
      </c>
      <c r="M1001" s="2" t="s">
        <v>88</v>
      </c>
      <c r="N1001" s="2" t="s">
        <v>25</v>
      </c>
      <c r="O1001" s="2">
        <v>15</v>
      </c>
      <c r="P1001" s="2" t="str">
        <f>IF(global_freelancer_raw[[#This Row],[No of projects ]]&lt;=5,"Entry level","Well Experienced")</f>
        <v>Well Experienced</v>
      </c>
      <c r="Q1001" s="2">
        <v>14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46D90-F70A-4883-8EDD-96D6909299CE}">
  <dimension ref="A1:B8"/>
  <sheetViews>
    <sheetView showGridLines="0" workbookViewId="0">
      <selection activeCell="A13" sqref="A13"/>
    </sheetView>
  </sheetViews>
  <sheetFormatPr defaultRowHeight="15.6" x14ac:dyDescent="0.3"/>
  <cols>
    <col min="1" max="1" width="4.21875" customWidth="1"/>
    <col min="2" max="2" width="125.21875" style="7" bestFit="1" customWidth="1"/>
  </cols>
  <sheetData>
    <row r="1" spans="1:2" x14ac:dyDescent="0.3">
      <c r="A1" s="65" t="s">
        <v>2104</v>
      </c>
      <c r="B1" s="65"/>
    </row>
    <row r="2" spans="1:2" x14ac:dyDescent="0.3">
      <c r="A2" s="4">
        <v>1</v>
      </c>
      <c r="B2" s="8" t="s">
        <v>2099</v>
      </c>
    </row>
    <row r="3" spans="1:2" x14ac:dyDescent="0.3">
      <c r="A3" s="4">
        <v>2</v>
      </c>
      <c r="B3" s="8" t="s">
        <v>2100</v>
      </c>
    </row>
    <row r="4" spans="1:2" x14ac:dyDescent="0.3">
      <c r="A4" s="4">
        <v>3</v>
      </c>
      <c r="B4" s="8" t="s">
        <v>2101</v>
      </c>
    </row>
    <row r="5" spans="1:2" x14ac:dyDescent="0.3">
      <c r="A5" s="4">
        <v>4</v>
      </c>
      <c r="B5" s="8" t="s">
        <v>2150</v>
      </c>
    </row>
    <row r="6" spans="1:2" x14ac:dyDescent="0.3">
      <c r="A6" s="4">
        <v>5</v>
      </c>
      <c r="B6" s="8" t="s">
        <v>2151</v>
      </c>
    </row>
    <row r="7" spans="1:2" x14ac:dyDescent="0.3">
      <c r="A7" s="4">
        <v>6</v>
      </c>
      <c r="B7" s="8" t="s">
        <v>2102</v>
      </c>
    </row>
    <row r="8" spans="1:2" x14ac:dyDescent="0.3">
      <c r="A8" s="4">
        <v>7</v>
      </c>
      <c r="B8" s="8" t="s">
        <v>2149</v>
      </c>
    </row>
  </sheetData>
  <mergeCells count="1">
    <mergeCell ref="A1:B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E2893-7669-476F-8344-6781C9A5BE96}">
  <dimension ref="A1:A7"/>
  <sheetViews>
    <sheetView showGridLines="0" workbookViewId="0">
      <selection activeCell="A2" sqref="A2"/>
    </sheetView>
  </sheetViews>
  <sheetFormatPr defaultRowHeight="14.4" x14ac:dyDescent="0.3"/>
  <cols>
    <col min="1" max="1" width="118.5546875" bestFit="1" customWidth="1"/>
  </cols>
  <sheetData>
    <row r="1" spans="1:1" ht="15.6" x14ac:dyDescent="0.3">
      <c r="A1" s="11" t="s">
        <v>2103</v>
      </c>
    </row>
    <row r="2" spans="1:1" ht="25.8" x14ac:dyDescent="0.3">
      <c r="A2" s="9" t="s">
        <v>2121</v>
      </c>
    </row>
    <row r="3" spans="1:1" ht="15.6" x14ac:dyDescent="0.3">
      <c r="A3" s="10" t="s">
        <v>2132</v>
      </c>
    </row>
    <row r="4" spans="1:1" ht="15.6" x14ac:dyDescent="0.3">
      <c r="A4" s="10" t="s">
        <v>2123</v>
      </c>
    </row>
    <row r="5" spans="1:1" ht="15.6" x14ac:dyDescent="0.3">
      <c r="A5" s="10" t="s">
        <v>2122</v>
      </c>
    </row>
    <row r="7" spans="1:1" ht="25.8" x14ac:dyDescent="0.3">
      <c r="A7" s="9"/>
    </row>
  </sheetData>
  <hyperlinks>
    <hyperlink ref="A2" location="'global_freelancer Cleaned data'!A1" display="click here" xr:uid="{AC194529-6B9F-4B2D-8F1A-F3B24730DAE5}"/>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0ED1D-8B5A-4A8F-99E0-16A56D47EC31}">
  <dimension ref="A1:B6"/>
  <sheetViews>
    <sheetView showGridLines="0" zoomScaleNormal="100" workbookViewId="0">
      <selection activeCell="B6" sqref="B6"/>
    </sheetView>
  </sheetViews>
  <sheetFormatPr defaultRowHeight="14.4" x14ac:dyDescent="0.3"/>
  <cols>
    <col min="1" max="1" width="16.21875" customWidth="1"/>
    <col min="2" max="2" width="18.6640625" style="1" customWidth="1"/>
    <col min="3" max="3" width="10.44140625" bestFit="1" customWidth="1"/>
  </cols>
  <sheetData>
    <row r="1" spans="1:2" ht="56.4" customHeight="1" x14ac:dyDescent="0.3">
      <c r="A1" s="14" t="s">
        <v>2133</v>
      </c>
      <c r="B1" s="15" t="s">
        <v>2131</v>
      </c>
    </row>
    <row r="2" spans="1:2" ht="15.6" x14ac:dyDescent="0.3">
      <c r="A2" s="10" t="s">
        <v>2126</v>
      </c>
      <c r="B2" s="16">
        <f>SUM(global_freelancer_raw[[No of projects ]])</f>
        <v>8715</v>
      </c>
    </row>
    <row r="3" spans="1:2" ht="15.6" x14ac:dyDescent="0.3">
      <c r="A3" s="10" t="s">
        <v>2127</v>
      </c>
      <c r="B3" s="17">
        <f>AVERAGE(global_freelancer_raw[[No of projects ]])</f>
        <v>8.7149999999999999</v>
      </c>
    </row>
    <row r="4" spans="1:2" ht="15.6" x14ac:dyDescent="0.3">
      <c r="A4" s="10" t="s">
        <v>2128</v>
      </c>
      <c r="B4" s="16">
        <f>MIN(global_freelancer_raw[[No of projects ]])</f>
        <v>1</v>
      </c>
    </row>
    <row r="5" spans="1:2" ht="15.6" x14ac:dyDescent="0.3">
      <c r="A5" s="10" t="s">
        <v>2129</v>
      </c>
      <c r="B5" s="16">
        <f>MAX(global_freelancer_raw[[No of projects ]])</f>
        <v>20</v>
      </c>
    </row>
    <row r="6" spans="1:2" ht="15.6" x14ac:dyDescent="0.3">
      <c r="A6" s="10" t="s">
        <v>2130</v>
      </c>
      <c r="B6" s="16">
        <f>COUNT(global_freelancer_raw[[No of projects ]])</f>
        <v>1000</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506E5-F292-4827-9CF2-5FA4AFFD7DA7}">
  <dimension ref="A1:B12"/>
  <sheetViews>
    <sheetView showGridLines="0" workbookViewId="0">
      <selection activeCell="B12" sqref="B12"/>
    </sheetView>
  </sheetViews>
  <sheetFormatPr defaultRowHeight="14.4" x14ac:dyDescent="0.3"/>
  <cols>
    <col min="1" max="1" width="24.5546875" customWidth="1"/>
    <col min="2" max="2" width="26.5546875" style="3" bestFit="1" customWidth="1"/>
  </cols>
  <sheetData>
    <row r="1" spans="1:2" ht="33" customHeight="1" x14ac:dyDescent="0.3">
      <c r="A1" s="66" t="s">
        <v>2134</v>
      </c>
      <c r="B1" s="66"/>
    </row>
    <row r="2" spans="1:2" x14ac:dyDescent="0.3">
      <c r="A2" s="19"/>
      <c r="B2" s="20" t="s">
        <v>2136</v>
      </c>
    </row>
    <row r="3" spans="1:2" x14ac:dyDescent="0.3">
      <c r="A3" s="13" t="s">
        <v>2135</v>
      </c>
      <c r="B3" s="12">
        <f>SUMIF('global_freelancer Cleaned data'!G:G,"data analysis",'global_freelancer Cleaned data'!O:O)</f>
        <v>810</v>
      </c>
    </row>
    <row r="4" spans="1:2" x14ac:dyDescent="0.3">
      <c r="A4" s="13"/>
      <c r="B4" s="12"/>
    </row>
    <row r="5" spans="1:2" x14ac:dyDescent="0.3">
      <c r="A5" s="19"/>
      <c r="B5" s="20" t="s">
        <v>2138</v>
      </c>
    </row>
    <row r="6" spans="1:2" x14ac:dyDescent="0.3">
      <c r="A6" s="13" t="s">
        <v>2137</v>
      </c>
      <c r="B6" s="12">
        <f>COUNTIF('global_freelancer Cleaned data'!O:O,"&gt;10")</f>
        <v>404</v>
      </c>
    </row>
    <row r="7" spans="1:2" x14ac:dyDescent="0.3">
      <c r="A7" s="13"/>
      <c r="B7" s="12"/>
    </row>
    <row r="8" spans="1:2" x14ac:dyDescent="0.3">
      <c r="A8" s="19"/>
      <c r="B8" s="20" t="s">
        <v>2140</v>
      </c>
    </row>
    <row r="9" spans="1:2" x14ac:dyDescent="0.3">
      <c r="A9" s="13" t="s">
        <v>2139</v>
      </c>
      <c r="B9" s="12">
        <f>AVERAGEIF('global_freelancer Cleaned data'!G:G,"AI",'global_freelancer Cleaned data'!O:O)</f>
        <v>7.96</v>
      </c>
    </row>
    <row r="11" spans="1:2" x14ac:dyDescent="0.3">
      <c r="A11" s="19"/>
      <c r="B11" s="20"/>
    </row>
    <row r="12" spans="1:2" x14ac:dyDescent="0.3">
      <c r="A12" s="13" t="s">
        <v>2141</v>
      </c>
      <c r="B12" s="21" t="s">
        <v>2125</v>
      </c>
    </row>
  </sheetData>
  <mergeCells count="1">
    <mergeCell ref="A1:B1"/>
  </mergeCells>
  <hyperlinks>
    <hyperlink ref="B12" location="'global_freelancer Cleaned data'!P1" display="CLICK HERE" xr:uid="{72ACAF34-3F18-44A1-ABD7-80F4DF3D96F0}"/>
  </hyperlink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05391-A8DB-4476-9666-64169C961B04}">
  <dimension ref="A1:L1001"/>
  <sheetViews>
    <sheetView showGridLines="0" workbookViewId="0">
      <selection activeCell="H2" sqref="H2"/>
    </sheetView>
  </sheetViews>
  <sheetFormatPr defaultRowHeight="14.4" x14ac:dyDescent="0.3"/>
  <cols>
    <col min="1" max="1" width="14.109375" bestFit="1" customWidth="1"/>
    <col min="2" max="2" width="22.77734375" bestFit="1" customWidth="1"/>
    <col min="3" max="3" width="25.5546875" bestFit="1" customWidth="1"/>
    <col min="4" max="4" width="21.5546875" bestFit="1" customWidth="1"/>
    <col min="5" max="5" width="22.44140625" bestFit="1" customWidth="1"/>
    <col min="11" max="11" width="8.21875" bestFit="1" customWidth="1"/>
    <col min="12" max="12" width="16.88671875" customWidth="1"/>
  </cols>
  <sheetData>
    <row r="1" spans="1:12" x14ac:dyDescent="0.3">
      <c r="A1" s="22" t="s">
        <v>2116</v>
      </c>
      <c r="B1" s="22" t="s">
        <v>2105</v>
      </c>
      <c r="C1" s="18" t="s">
        <v>2143</v>
      </c>
      <c r="D1" s="18" t="s">
        <v>2144</v>
      </c>
      <c r="E1" s="18" t="s">
        <v>2145</v>
      </c>
      <c r="F1" s="18" t="s">
        <v>2146</v>
      </c>
      <c r="G1" s="18" t="s">
        <v>2147</v>
      </c>
      <c r="H1" s="18" t="s">
        <v>2148</v>
      </c>
    </row>
    <row r="2" spans="1:12" x14ac:dyDescent="0.3">
      <c r="A2" s="13" t="s">
        <v>16</v>
      </c>
      <c r="B2" s="13" t="s">
        <v>17</v>
      </c>
      <c r="C2" s="13" t="str">
        <f>UPPER(B2)</f>
        <v>MS. NICOLE KIDD</v>
      </c>
      <c r="D2" s="13" t="str">
        <f>LOWER(B2)</f>
        <v>ms. nicole kidd</v>
      </c>
      <c r="E2" s="13" t="str">
        <f>PROPER(C2)</f>
        <v>Ms. Nicole Kidd</v>
      </c>
      <c r="F2" s="13" t="str">
        <f>LEFT(A2,2)</f>
        <v>FL</v>
      </c>
      <c r="G2" s="13" t="str">
        <f>RIGHT(A2,2)</f>
        <v>01</v>
      </c>
      <c r="H2" s="13" t="str">
        <f>MID(A2,3,4)</f>
        <v>2500</v>
      </c>
    </row>
    <row r="3" spans="1:12" x14ac:dyDescent="0.3">
      <c r="A3" s="13" t="s">
        <v>26</v>
      </c>
      <c r="B3" s="13" t="s">
        <v>27</v>
      </c>
      <c r="C3" s="13" t="str">
        <f t="shared" ref="C3:C66" si="0">UPPER(B3)</f>
        <v>VANESSA GARCIA</v>
      </c>
      <c r="D3" s="13" t="str">
        <f t="shared" ref="D3:D66" si="1">LOWER(B3)</f>
        <v>vanessa garcia</v>
      </c>
      <c r="E3" s="13" t="str">
        <f t="shared" ref="E3:E66" si="2">PROPER(C3)</f>
        <v>Vanessa Garcia</v>
      </c>
      <c r="F3" s="13" t="str">
        <f t="shared" ref="F3:F66" si="3">LEFT(A3,2)</f>
        <v>FL</v>
      </c>
      <c r="G3" s="13" t="str">
        <f t="shared" ref="G3:G66" si="4">RIGHT(A3,2)</f>
        <v>02</v>
      </c>
      <c r="H3" s="13" t="str">
        <f t="shared" ref="H3:H66" si="5">MID(A3,3,4)</f>
        <v>2500</v>
      </c>
    </row>
    <row r="4" spans="1:12" x14ac:dyDescent="0.3">
      <c r="A4" s="13" t="s">
        <v>35</v>
      </c>
      <c r="B4" s="13" t="s">
        <v>36</v>
      </c>
      <c r="C4" s="13" t="str">
        <f t="shared" si="0"/>
        <v>JUAN NELSON</v>
      </c>
      <c r="D4" s="13" t="str">
        <f t="shared" si="1"/>
        <v>juan nelson</v>
      </c>
      <c r="E4" s="13" t="str">
        <f t="shared" si="2"/>
        <v>Juan Nelson</v>
      </c>
      <c r="F4" s="13" t="str">
        <f t="shared" si="3"/>
        <v>FL</v>
      </c>
      <c r="G4" s="13" t="str">
        <f t="shared" si="4"/>
        <v>03</v>
      </c>
      <c r="H4" s="13" t="str">
        <f t="shared" si="5"/>
        <v>2500</v>
      </c>
    </row>
    <row r="5" spans="1:12" x14ac:dyDescent="0.3">
      <c r="A5" s="13" t="s">
        <v>43</v>
      </c>
      <c r="B5" s="13" t="s">
        <v>44</v>
      </c>
      <c r="C5" s="13" t="str">
        <f t="shared" si="0"/>
        <v>AMANDA SPENCER</v>
      </c>
      <c r="D5" s="13" t="str">
        <f t="shared" si="1"/>
        <v>amanda spencer</v>
      </c>
      <c r="E5" s="13" t="str">
        <f t="shared" si="2"/>
        <v>Amanda Spencer</v>
      </c>
      <c r="F5" s="13" t="str">
        <f t="shared" si="3"/>
        <v>FL</v>
      </c>
      <c r="G5" s="13" t="str">
        <f t="shared" si="4"/>
        <v>04</v>
      </c>
      <c r="H5" s="13" t="str">
        <f t="shared" si="5"/>
        <v>2500</v>
      </c>
    </row>
    <row r="6" spans="1:12" x14ac:dyDescent="0.3">
      <c r="A6" s="13" t="s">
        <v>48</v>
      </c>
      <c r="B6" s="13" t="s">
        <v>49</v>
      </c>
      <c r="C6" s="13" t="str">
        <f t="shared" si="0"/>
        <v>LYNN CURTIS DDS</v>
      </c>
      <c r="D6" s="13" t="str">
        <f t="shared" si="1"/>
        <v>lynn curtis dds</v>
      </c>
      <c r="E6" s="13" t="str">
        <f t="shared" si="2"/>
        <v>Lynn Curtis Dds</v>
      </c>
      <c r="F6" s="13" t="str">
        <f t="shared" si="3"/>
        <v>FL</v>
      </c>
      <c r="G6" s="13" t="str">
        <f t="shared" si="4"/>
        <v>05</v>
      </c>
      <c r="H6" s="13" t="str">
        <f t="shared" si="5"/>
        <v>2500</v>
      </c>
    </row>
    <row r="7" spans="1:12" x14ac:dyDescent="0.3">
      <c r="A7" s="13" t="s">
        <v>53</v>
      </c>
      <c r="B7" s="13" t="s">
        <v>54</v>
      </c>
      <c r="C7" s="13" t="str">
        <f t="shared" si="0"/>
        <v>LISA JOHNSON</v>
      </c>
      <c r="D7" s="13" t="str">
        <f t="shared" si="1"/>
        <v>lisa johnson</v>
      </c>
      <c r="E7" s="13" t="str">
        <f t="shared" si="2"/>
        <v>Lisa Johnson</v>
      </c>
      <c r="F7" s="13" t="str">
        <f t="shared" si="3"/>
        <v>FL</v>
      </c>
      <c r="G7" s="13" t="str">
        <f t="shared" si="4"/>
        <v>06</v>
      </c>
      <c r="H7" s="13" t="str">
        <f t="shared" si="5"/>
        <v>2500</v>
      </c>
    </row>
    <row r="8" spans="1:12" ht="15.6" x14ac:dyDescent="0.3">
      <c r="A8" s="13" t="s">
        <v>61</v>
      </c>
      <c r="B8" s="13" t="s">
        <v>62</v>
      </c>
      <c r="C8" s="13" t="str">
        <f t="shared" si="0"/>
        <v>ERIC MYERS</v>
      </c>
      <c r="D8" s="13" t="str">
        <f t="shared" si="1"/>
        <v>eric myers</v>
      </c>
      <c r="E8" s="13" t="str">
        <f t="shared" si="2"/>
        <v>Eric Myers</v>
      </c>
      <c r="F8" s="13" t="str">
        <f t="shared" si="3"/>
        <v>FL</v>
      </c>
      <c r="G8" s="13" t="str">
        <f t="shared" si="4"/>
        <v>07</v>
      </c>
      <c r="H8" s="13" t="str">
        <f t="shared" si="5"/>
        <v>2500</v>
      </c>
      <c r="K8" s="23" t="s">
        <v>2143</v>
      </c>
      <c r="L8" s="24" t="s">
        <v>2125</v>
      </c>
    </row>
    <row r="9" spans="1:12" ht="15.6" x14ac:dyDescent="0.3">
      <c r="A9" s="13" t="s">
        <v>68</v>
      </c>
      <c r="B9" s="13" t="s">
        <v>69</v>
      </c>
      <c r="C9" s="13" t="str">
        <f t="shared" si="0"/>
        <v>RICKY GRAHAM</v>
      </c>
      <c r="D9" s="13" t="str">
        <f t="shared" si="1"/>
        <v>ricky graham</v>
      </c>
      <c r="E9" s="13" t="str">
        <f t="shared" si="2"/>
        <v>Ricky Graham</v>
      </c>
      <c r="F9" s="13" t="str">
        <f t="shared" si="3"/>
        <v>FL</v>
      </c>
      <c r="G9" s="13" t="str">
        <f t="shared" si="4"/>
        <v>08</v>
      </c>
      <c r="H9" s="13" t="str">
        <f t="shared" si="5"/>
        <v>2500</v>
      </c>
      <c r="K9" s="23" t="s">
        <v>2144</v>
      </c>
      <c r="L9" s="24" t="s">
        <v>2125</v>
      </c>
    </row>
    <row r="10" spans="1:12" ht="15.6" x14ac:dyDescent="0.3">
      <c r="A10" s="13" t="s">
        <v>71</v>
      </c>
      <c r="B10" s="13" t="s">
        <v>72</v>
      </c>
      <c r="C10" s="13" t="str">
        <f t="shared" si="0"/>
        <v>SEAN MARTIN</v>
      </c>
      <c r="D10" s="13" t="str">
        <f t="shared" si="1"/>
        <v>sean martin</v>
      </c>
      <c r="E10" s="13" t="str">
        <f t="shared" si="2"/>
        <v>Sean Martin</v>
      </c>
      <c r="F10" s="13" t="str">
        <f t="shared" si="3"/>
        <v>FL</v>
      </c>
      <c r="G10" s="13" t="str">
        <f t="shared" si="4"/>
        <v>09</v>
      </c>
      <c r="H10" s="13" t="str">
        <f t="shared" si="5"/>
        <v>2500</v>
      </c>
      <c r="K10" s="23" t="s">
        <v>2145</v>
      </c>
      <c r="L10" s="24" t="s">
        <v>2125</v>
      </c>
    </row>
    <row r="11" spans="1:12" ht="15.6" x14ac:dyDescent="0.3">
      <c r="A11" s="13" t="s">
        <v>76</v>
      </c>
      <c r="B11" s="13" t="s">
        <v>77</v>
      </c>
      <c r="C11" s="13" t="str">
        <f t="shared" si="0"/>
        <v>MATTHEW LLOYD</v>
      </c>
      <c r="D11" s="13" t="str">
        <f t="shared" si="1"/>
        <v>matthew lloyd</v>
      </c>
      <c r="E11" s="13" t="str">
        <f t="shared" si="2"/>
        <v>Matthew Lloyd</v>
      </c>
      <c r="F11" s="13" t="str">
        <f t="shared" si="3"/>
        <v>FL</v>
      </c>
      <c r="G11" s="13" t="str">
        <f t="shared" si="4"/>
        <v>10</v>
      </c>
      <c r="H11" s="13" t="str">
        <f t="shared" si="5"/>
        <v>2500</v>
      </c>
      <c r="K11" s="23" t="s">
        <v>2146</v>
      </c>
      <c r="L11" s="24" t="s">
        <v>2125</v>
      </c>
    </row>
    <row r="12" spans="1:12" ht="15.6" x14ac:dyDescent="0.3">
      <c r="A12" s="13" t="s">
        <v>83</v>
      </c>
      <c r="B12" s="13" t="s">
        <v>84</v>
      </c>
      <c r="C12" s="13" t="str">
        <f t="shared" si="0"/>
        <v>GAVIN RANDALL</v>
      </c>
      <c r="D12" s="13" t="str">
        <f t="shared" si="1"/>
        <v>gavin randall</v>
      </c>
      <c r="E12" s="13" t="str">
        <f t="shared" si="2"/>
        <v>Gavin Randall</v>
      </c>
      <c r="F12" s="13" t="str">
        <f t="shared" si="3"/>
        <v>FL</v>
      </c>
      <c r="G12" s="13" t="str">
        <f t="shared" si="4"/>
        <v>11</v>
      </c>
      <c r="H12" s="13" t="str">
        <f t="shared" si="5"/>
        <v>2500</v>
      </c>
      <c r="K12" s="23" t="s">
        <v>2147</v>
      </c>
      <c r="L12" s="24" t="s">
        <v>2125</v>
      </c>
    </row>
    <row r="13" spans="1:12" ht="15.6" x14ac:dyDescent="0.3">
      <c r="A13" s="13" t="s">
        <v>89</v>
      </c>
      <c r="B13" s="13" t="s">
        <v>90</v>
      </c>
      <c r="C13" s="13" t="str">
        <f t="shared" si="0"/>
        <v>MICHELLE CURTIS</v>
      </c>
      <c r="D13" s="13" t="str">
        <f t="shared" si="1"/>
        <v>michelle curtis</v>
      </c>
      <c r="E13" s="13" t="str">
        <f t="shared" si="2"/>
        <v>Michelle Curtis</v>
      </c>
      <c r="F13" s="13" t="str">
        <f t="shared" si="3"/>
        <v>FL</v>
      </c>
      <c r="G13" s="13" t="str">
        <f t="shared" si="4"/>
        <v>12</v>
      </c>
      <c r="H13" s="13" t="str">
        <f t="shared" si="5"/>
        <v>2500</v>
      </c>
      <c r="K13" s="23" t="s">
        <v>2148</v>
      </c>
      <c r="L13" s="24" t="s">
        <v>2125</v>
      </c>
    </row>
    <row r="14" spans="1:12" x14ac:dyDescent="0.3">
      <c r="A14" s="13" t="s">
        <v>95</v>
      </c>
      <c r="B14" s="13" t="s">
        <v>96</v>
      </c>
      <c r="C14" s="13" t="str">
        <f t="shared" si="0"/>
        <v>ALICE SCHNEIDER</v>
      </c>
      <c r="D14" s="13" t="str">
        <f t="shared" si="1"/>
        <v>alice schneider</v>
      </c>
      <c r="E14" s="13" t="str">
        <f t="shared" si="2"/>
        <v>Alice Schneider</v>
      </c>
      <c r="F14" s="13" t="str">
        <f t="shared" si="3"/>
        <v>FL</v>
      </c>
      <c r="G14" s="13" t="str">
        <f t="shared" si="4"/>
        <v>13</v>
      </c>
      <c r="H14" s="13" t="str">
        <f t="shared" si="5"/>
        <v>2500</v>
      </c>
    </row>
    <row r="15" spans="1:12" x14ac:dyDescent="0.3">
      <c r="A15" s="13" t="s">
        <v>99</v>
      </c>
      <c r="B15" s="13" t="s">
        <v>100</v>
      </c>
      <c r="C15" s="13" t="str">
        <f t="shared" si="0"/>
        <v>PHILLIP SHELTON</v>
      </c>
      <c r="D15" s="13" t="str">
        <f t="shared" si="1"/>
        <v>phillip shelton</v>
      </c>
      <c r="E15" s="13" t="str">
        <f t="shared" si="2"/>
        <v>Phillip Shelton</v>
      </c>
      <c r="F15" s="13" t="str">
        <f t="shared" si="3"/>
        <v>FL</v>
      </c>
      <c r="G15" s="13" t="str">
        <f t="shared" si="4"/>
        <v>14</v>
      </c>
      <c r="H15" s="13" t="str">
        <f t="shared" si="5"/>
        <v>2500</v>
      </c>
    </row>
    <row r="16" spans="1:12" x14ac:dyDescent="0.3">
      <c r="A16" s="13" t="s">
        <v>101</v>
      </c>
      <c r="B16" s="13" t="s">
        <v>102</v>
      </c>
      <c r="C16" s="13" t="str">
        <f t="shared" si="0"/>
        <v>EDWARD FERGUSON</v>
      </c>
      <c r="D16" s="13" t="str">
        <f t="shared" si="1"/>
        <v>edward ferguson</v>
      </c>
      <c r="E16" s="13" t="str">
        <f t="shared" si="2"/>
        <v>Edward Ferguson</v>
      </c>
      <c r="F16" s="13" t="str">
        <f t="shared" si="3"/>
        <v>FL</v>
      </c>
      <c r="G16" s="13" t="str">
        <f t="shared" si="4"/>
        <v>15</v>
      </c>
      <c r="H16" s="13" t="str">
        <f t="shared" si="5"/>
        <v>2500</v>
      </c>
    </row>
    <row r="17" spans="1:8" x14ac:dyDescent="0.3">
      <c r="A17" s="13" t="s">
        <v>104</v>
      </c>
      <c r="B17" s="13" t="s">
        <v>105</v>
      </c>
      <c r="C17" s="13" t="str">
        <f t="shared" si="0"/>
        <v>WYATT STOUT</v>
      </c>
      <c r="D17" s="13" t="str">
        <f t="shared" si="1"/>
        <v>wyatt stout</v>
      </c>
      <c r="E17" s="13" t="str">
        <f t="shared" si="2"/>
        <v>Wyatt Stout</v>
      </c>
      <c r="F17" s="13" t="str">
        <f t="shared" si="3"/>
        <v>FL</v>
      </c>
      <c r="G17" s="13" t="str">
        <f t="shared" si="4"/>
        <v>16</v>
      </c>
      <c r="H17" s="13" t="str">
        <f t="shared" si="5"/>
        <v>2500</v>
      </c>
    </row>
    <row r="18" spans="1:8" x14ac:dyDescent="0.3">
      <c r="A18" s="13" t="s">
        <v>108</v>
      </c>
      <c r="B18" s="13" t="s">
        <v>109</v>
      </c>
      <c r="C18" s="13" t="str">
        <f t="shared" si="0"/>
        <v>LAURA JOHNSON</v>
      </c>
      <c r="D18" s="13" t="str">
        <f t="shared" si="1"/>
        <v>laura johnson</v>
      </c>
      <c r="E18" s="13" t="str">
        <f t="shared" si="2"/>
        <v>Laura Johnson</v>
      </c>
      <c r="F18" s="13" t="str">
        <f t="shared" si="3"/>
        <v>FL</v>
      </c>
      <c r="G18" s="13" t="str">
        <f t="shared" si="4"/>
        <v>17</v>
      </c>
      <c r="H18" s="13" t="str">
        <f t="shared" si="5"/>
        <v>2500</v>
      </c>
    </row>
    <row r="19" spans="1:8" x14ac:dyDescent="0.3">
      <c r="A19" s="13" t="s">
        <v>111</v>
      </c>
      <c r="B19" s="13" t="s">
        <v>112</v>
      </c>
      <c r="C19" s="13" t="str">
        <f t="shared" si="0"/>
        <v>SCOTT BURNS</v>
      </c>
      <c r="D19" s="13" t="str">
        <f t="shared" si="1"/>
        <v>scott burns</v>
      </c>
      <c r="E19" s="13" t="str">
        <f t="shared" si="2"/>
        <v>Scott Burns</v>
      </c>
      <c r="F19" s="13" t="str">
        <f t="shared" si="3"/>
        <v>FL</v>
      </c>
      <c r="G19" s="13" t="str">
        <f t="shared" si="4"/>
        <v>18</v>
      </c>
      <c r="H19" s="13" t="str">
        <f t="shared" si="5"/>
        <v>2500</v>
      </c>
    </row>
    <row r="20" spans="1:8" x14ac:dyDescent="0.3">
      <c r="A20" s="13" t="s">
        <v>116</v>
      </c>
      <c r="B20" s="13" t="s">
        <v>117</v>
      </c>
      <c r="C20" s="13" t="str">
        <f t="shared" si="0"/>
        <v>TYLER AGUIRRE</v>
      </c>
      <c r="D20" s="13" t="str">
        <f t="shared" si="1"/>
        <v>tyler aguirre</v>
      </c>
      <c r="E20" s="13" t="str">
        <f t="shared" si="2"/>
        <v>Tyler Aguirre</v>
      </c>
      <c r="F20" s="13" t="str">
        <f t="shared" si="3"/>
        <v>FL</v>
      </c>
      <c r="G20" s="13" t="str">
        <f t="shared" si="4"/>
        <v>19</v>
      </c>
      <c r="H20" s="13" t="str">
        <f t="shared" si="5"/>
        <v>2500</v>
      </c>
    </row>
    <row r="21" spans="1:8" x14ac:dyDescent="0.3">
      <c r="A21" s="13" t="s">
        <v>120</v>
      </c>
      <c r="B21" s="13" t="s">
        <v>121</v>
      </c>
      <c r="C21" s="13" t="str">
        <f t="shared" si="0"/>
        <v>MATTHEW LAWSON</v>
      </c>
      <c r="D21" s="13" t="str">
        <f t="shared" si="1"/>
        <v>matthew lawson</v>
      </c>
      <c r="E21" s="13" t="str">
        <f t="shared" si="2"/>
        <v>Matthew Lawson</v>
      </c>
      <c r="F21" s="13" t="str">
        <f t="shared" si="3"/>
        <v>FL</v>
      </c>
      <c r="G21" s="13" t="str">
        <f t="shared" si="4"/>
        <v>20</v>
      </c>
      <c r="H21" s="13" t="str">
        <f t="shared" si="5"/>
        <v>2500</v>
      </c>
    </row>
    <row r="22" spans="1:8" x14ac:dyDescent="0.3">
      <c r="A22" s="13" t="s">
        <v>122</v>
      </c>
      <c r="B22" s="13" t="s">
        <v>123</v>
      </c>
      <c r="C22" s="13" t="str">
        <f t="shared" si="0"/>
        <v>JAMES CHERRY</v>
      </c>
      <c r="D22" s="13" t="str">
        <f t="shared" si="1"/>
        <v>james cherry</v>
      </c>
      <c r="E22" s="13" t="str">
        <f t="shared" si="2"/>
        <v>James Cherry</v>
      </c>
      <c r="F22" s="13" t="str">
        <f t="shared" si="3"/>
        <v>FL</v>
      </c>
      <c r="G22" s="13" t="str">
        <f t="shared" si="4"/>
        <v>21</v>
      </c>
      <c r="H22" s="13" t="str">
        <f t="shared" si="5"/>
        <v>2500</v>
      </c>
    </row>
    <row r="23" spans="1:8" x14ac:dyDescent="0.3">
      <c r="A23" s="13" t="s">
        <v>124</v>
      </c>
      <c r="B23" s="13" t="s">
        <v>125</v>
      </c>
      <c r="C23" s="13" t="str">
        <f t="shared" si="0"/>
        <v>SAMUEL SANFORD</v>
      </c>
      <c r="D23" s="13" t="str">
        <f t="shared" si="1"/>
        <v>samuel sanford</v>
      </c>
      <c r="E23" s="13" t="str">
        <f t="shared" si="2"/>
        <v>Samuel Sanford</v>
      </c>
      <c r="F23" s="13" t="str">
        <f t="shared" si="3"/>
        <v>FL</v>
      </c>
      <c r="G23" s="13" t="str">
        <f t="shared" si="4"/>
        <v>22</v>
      </c>
      <c r="H23" s="13" t="str">
        <f t="shared" si="5"/>
        <v>2500</v>
      </c>
    </row>
    <row r="24" spans="1:8" x14ac:dyDescent="0.3">
      <c r="A24" s="13" t="s">
        <v>126</v>
      </c>
      <c r="B24" s="13" t="s">
        <v>127</v>
      </c>
      <c r="C24" s="13" t="str">
        <f t="shared" si="0"/>
        <v>CESAR GREENE</v>
      </c>
      <c r="D24" s="13" t="str">
        <f t="shared" si="1"/>
        <v>cesar greene</v>
      </c>
      <c r="E24" s="13" t="str">
        <f t="shared" si="2"/>
        <v>Cesar Greene</v>
      </c>
      <c r="F24" s="13" t="str">
        <f t="shared" si="3"/>
        <v>FL</v>
      </c>
      <c r="G24" s="13" t="str">
        <f t="shared" si="4"/>
        <v>23</v>
      </c>
      <c r="H24" s="13" t="str">
        <f t="shared" si="5"/>
        <v>2500</v>
      </c>
    </row>
    <row r="25" spans="1:8" x14ac:dyDescent="0.3">
      <c r="A25" s="13" t="s">
        <v>131</v>
      </c>
      <c r="B25" s="13" t="s">
        <v>132</v>
      </c>
      <c r="C25" s="13" t="str">
        <f t="shared" si="0"/>
        <v>MELANIE CARTER</v>
      </c>
      <c r="D25" s="13" t="str">
        <f t="shared" si="1"/>
        <v>melanie carter</v>
      </c>
      <c r="E25" s="13" t="str">
        <f t="shared" si="2"/>
        <v>Melanie Carter</v>
      </c>
      <c r="F25" s="13" t="str">
        <f t="shared" si="3"/>
        <v>FL</v>
      </c>
      <c r="G25" s="13" t="str">
        <f t="shared" si="4"/>
        <v>24</v>
      </c>
      <c r="H25" s="13" t="str">
        <f t="shared" si="5"/>
        <v>2500</v>
      </c>
    </row>
    <row r="26" spans="1:8" x14ac:dyDescent="0.3">
      <c r="A26" s="13" t="s">
        <v>136</v>
      </c>
      <c r="B26" s="13" t="s">
        <v>137</v>
      </c>
      <c r="C26" s="13" t="str">
        <f t="shared" si="0"/>
        <v>JENNIFER MARTIN</v>
      </c>
      <c r="D26" s="13" t="str">
        <f t="shared" si="1"/>
        <v>jennifer martin</v>
      </c>
      <c r="E26" s="13" t="str">
        <f t="shared" si="2"/>
        <v>Jennifer Martin</v>
      </c>
      <c r="F26" s="13" t="str">
        <f t="shared" si="3"/>
        <v>FL</v>
      </c>
      <c r="G26" s="13" t="str">
        <f t="shared" si="4"/>
        <v>25</v>
      </c>
      <c r="H26" s="13" t="str">
        <f t="shared" si="5"/>
        <v>2500</v>
      </c>
    </row>
    <row r="27" spans="1:8" x14ac:dyDescent="0.3">
      <c r="A27" s="13" t="s">
        <v>138</v>
      </c>
      <c r="B27" s="13" t="s">
        <v>139</v>
      </c>
      <c r="C27" s="13" t="str">
        <f t="shared" si="0"/>
        <v>ANNA MCCANN</v>
      </c>
      <c r="D27" s="13" t="str">
        <f t="shared" si="1"/>
        <v>anna mccann</v>
      </c>
      <c r="E27" s="13" t="str">
        <f t="shared" si="2"/>
        <v>Anna Mccann</v>
      </c>
      <c r="F27" s="13" t="str">
        <f t="shared" si="3"/>
        <v>FL</v>
      </c>
      <c r="G27" s="13" t="str">
        <f t="shared" si="4"/>
        <v>26</v>
      </c>
      <c r="H27" s="13" t="str">
        <f t="shared" si="5"/>
        <v>2500</v>
      </c>
    </row>
    <row r="28" spans="1:8" x14ac:dyDescent="0.3">
      <c r="A28" s="13" t="s">
        <v>140</v>
      </c>
      <c r="B28" s="13" t="s">
        <v>141</v>
      </c>
      <c r="C28" s="13" t="str">
        <f t="shared" si="0"/>
        <v>MARISSA BASS</v>
      </c>
      <c r="D28" s="13" t="str">
        <f t="shared" si="1"/>
        <v>marissa bass</v>
      </c>
      <c r="E28" s="13" t="str">
        <f t="shared" si="2"/>
        <v>Marissa Bass</v>
      </c>
      <c r="F28" s="13" t="str">
        <f t="shared" si="3"/>
        <v>FL</v>
      </c>
      <c r="G28" s="13" t="str">
        <f t="shared" si="4"/>
        <v>27</v>
      </c>
      <c r="H28" s="13" t="str">
        <f t="shared" si="5"/>
        <v>2500</v>
      </c>
    </row>
    <row r="29" spans="1:8" x14ac:dyDescent="0.3">
      <c r="A29" s="13" t="s">
        <v>143</v>
      </c>
      <c r="B29" s="13" t="s">
        <v>144</v>
      </c>
      <c r="C29" s="13" t="str">
        <f t="shared" si="0"/>
        <v>ALEXIS DAY</v>
      </c>
      <c r="D29" s="13" t="str">
        <f t="shared" si="1"/>
        <v>alexis day</v>
      </c>
      <c r="E29" s="13" t="str">
        <f t="shared" si="2"/>
        <v>Alexis Day</v>
      </c>
      <c r="F29" s="13" t="str">
        <f t="shared" si="3"/>
        <v>FL</v>
      </c>
      <c r="G29" s="13" t="str">
        <f t="shared" si="4"/>
        <v>28</v>
      </c>
      <c r="H29" s="13" t="str">
        <f t="shared" si="5"/>
        <v>2500</v>
      </c>
    </row>
    <row r="30" spans="1:8" x14ac:dyDescent="0.3">
      <c r="A30" s="13" t="s">
        <v>147</v>
      </c>
      <c r="B30" s="13" t="s">
        <v>148</v>
      </c>
      <c r="C30" s="13" t="str">
        <f t="shared" si="0"/>
        <v>MEGAN JONES</v>
      </c>
      <c r="D30" s="13" t="str">
        <f t="shared" si="1"/>
        <v>megan jones</v>
      </c>
      <c r="E30" s="13" t="str">
        <f t="shared" si="2"/>
        <v>Megan Jones</v>
      </c>
      <c r="F30" s="13" t="str">
        <f t="shared" si="3"/>
        <v>FL</v>
      </c>
      <c r="G30" s="13" t="str">
        <f t="shared" si="4"/>
        <v>29</v>
      </c>
      <c r="H30" s="13" t="str">
        <f t="shared" si="5"/>
        <v>2500</v>
      </c>
    </row>
    <row r="31" spans="1:8" x14ac:dyDescent="0.3">
      <c r="A31" s="13" t="s">
        <v>150</v>
      </c>
      <c r="B31" s="13" t="s">
        <v>151</v>
      </c>
      <c r="C31" s="13" t="str">
        <f t="shared" si="0"/>
        <v>LORI SMITH</v>
      </c>
      <c r="D31" s="13" t="str">
        <f t="shared" si="1"/>
        <v>lori smith</v>
      </c>
      <c r="E31" s="13" t="str">
        <f t="shared" si="2"/>
        <v>Lori Smith</v>
      </c>
      <c r="F31" s="13" t="str">
        <f t="shared" si="3"/>
        <v>FL</v>
      </c>
      <c r="G31" s="13" t="str">
        <f t="shared" si="4"/>
        <v>30</v>
      </c>
      <c r="H31" s="13" t="str">
        <f t="shared" si="5"/>
        <v>2500</v>
      </c>
    </row>
    <row r="32" spans="1:8" x14ac:dyDescent="0.3">
      <c r="A32" s="13" t="s">
        <v>152</v>
      </c>
      <c r="B32" s="13" t="s">
        <v>153</v>
      </c>
      <c r="C32" s="13" t="str">
        <f t="shared" si="0"/>
        <v>ERIC CARPENTER</v>
      </c>
      <c r="D32" s="13" t="str">
        <f t="shared" si="1"/>
        <v>eric carpenter</v>
      </c>
      <c r="E32" s="13" t="str">
        <f t="shared" si="2"/>
        <v>Eric Carpenter</v>
      </c>
      <c r="F32" s="13" t="str">
        <f t="shared" si="3"/>
        <v>FL</v>
      </c>
      <c r="G32" s="13" t="str">
        <f t="shared" si="4"/>
        <v>31</v>
      </c>
      <c r="H32" s="13" t="str">
        <f t="shared" si="5"/>
        <v>2500</v>
      </c>
    </row>
    <row r="33" spans="1:8" x14ac:dyDescent="0.3">
      <c r="A33" s="13" t="s">
        <v>154</v>
      </c>
      <c r="B33" s="13" t="s">
        <v>155</v>
      </c>
      <c r="C33" s="13" t="str">
        <f t="shared" si="0"/>
        <v>TIMOTHY DANIELS</v>
      </c>
      <c r="D33" s="13" t="str">
        <f t="shared" si="1"/>
        <v>timothy daniels</v>
      </c>
      <c r="E33" s="13" t="str">
        <f t="shared" si="2"/>
        <v>Timothy Daniels</v>
      </c>
      <c r="F33" s="13" t="str">
        <f t="shared" si="3"/>
        <v>FL</v>
      </c>
      <c r="G33" s="13" t="str">
        <f t="shared" si="4"/>
        <v>32</v>
      </c>
      <c r="H33" s="13" t="str">
        <f t="shared" si="5"/>
        <v>2500</v>
      </c>
    </row>
    <row r="34" spans="1:8" x14ac:dyDescent="0.3">
      <c r="A34" s="13" t="s">
        <v>158</v>
      </c>
      <c r="B34" s="13" t="s">
        <v>159</v>
      </c>
      <c r="C34" s="13" t="str">
        <f t="shared" si="0"/>
        <v>ROBERT NELSON</v>
      </c>
      <c r="D34" s="13" t="str">
        <f t="shared" si="1"/>
        <v>robert nelson</v>
      </c>
      <c r="E34" s="13" t="str">
        <f t="shared" si="2"/>
        <v>Robert Nelson</v>
      </c>
      <c r="F34" s="13" t="str">
        <f t="shared" si="3"/>
        <v>FL</v>
      </c>
      <c r="G34" s="13" t="str">
        <f t="shared" si="4"/>
        <v>33</v>
      </c>
      <c r="H34" s="13" t="str">
        <f t="shared" si="5"/>
        <v>2500</v>
      </c>
    </row>
    <row r="35" spans="1:8" x14ac:dyDescent="0.3">
      <c r="A35" s="13" t="s">
        <v>163</v>
      </c>
      <c r="B35" s="13" t="s">
        <v>164</v>
      </c>
      <c r="C35" s="13" t="str">
        <f t="shared" si="0"/>
        <v>MICHAEL ANDERSON</v>
      </c>
      <c r="D35" s="13" t="str">
        <f t="shared" si="1"/>
        <v>michael anderson</v>
      </c>
      <c r="E35" s="13" t="str">
        <f t="shared" si="2"/>
        <v>Michael Anderson</v>
      </c>
      <c r="F35" s="13" t="str">
        <f t="shared" si="3"/>
        <v>FL</v>
      </c>
      <c r="G35" s="13" t="str">
        <f t="shared" si="4"/>
        <v>34</v>
      </c>
      <c r="H35" s="13" t="str">
        <f t="shared" si="5"/>
        <v>2500</v>
      </c>
    </row>
    <row r="36" spans="1:8" x14ac:dyDescent="0.3">
      <c r="A36" s="13" t="s">
        <v>165</v>
      </c>
      <c r="B36" s="13" t="s">
        <v>166</v>
      </c>
      <c r="C36" s="13" t="str">
        <f t="shared" si="0"/>
        <v>JESSICA SNYDER</v>
      </c>
      <c r="D36" s="13" t="str">
        <f t="shared" si="1"/>
        <v>jessica snyder</v>
      </c>
      <c r="E36" s="13" t="str">
        <f t="shared" si="2"/>
        <v>Jessica Snyder</v>
      </c>
      <c r="F36" s="13" t="str">
        <f t="shared" si="3"/>
        <v>FL</v>
      </c>
      <c r="G36" s="13" t="str">
        <f t="shared" si="4"/>
        <v>35</v>
      </c>
      <c r="H36" s="13" t="str">
        <f t="shared" si="5"/>
        <v>2500</v>
      </c>
    </row>
    <row r="37" spans="1:8" x14ac:dyDescent="0.3">
      <c r="A37" s="13" t="s">
        <v>167</v>
      </c>
      <c r="B37" s="13" t="s">
        <v>168</v>
      </c>
      <c r="C37" s="13" t="str">
        <f t="shared" si="0"/>
        <v>EMILY DANIELS</v>
      </c>
      <c r="D37" s="13" t="str">
        <f t="shared" si="1"/>
        <v>emily daniels</v>
      </c>
      <c r="E37" s="13" t="str">
        <f t="shared" si="2"/>
        <v>Emily Daniels</v>
      </c>
      <c r="F37" s="13" t="str">
        <f t="shared" si="3"/>
        <v>FL</v>
      </c>
      <c r="G37" s="13" t="str">
        <f t="shared" si="4"/>
        <v>36</v>
      </c>
      <c r="H37" s="13" t="str">
        <f t="shared" si="5"/>
        <v>2500</v>
      </c>
    </row>
    <row r="38" spans="1:8" x14ac:dyDescent="0.3">
      <c r="A38" s="13" t="s">
        <v>169</v>
      </c>
      <c r="B38" s="13" t="s">
        <v>170</v>
      </c>
      <c r="C38" s="13" t="str">
        <f t="shared" si="0"/>
        <v>JAMIE RAMIREZ</v>
      </c>
      <c r="D38" s="13" t="str">
        <f t="shared" si="1"/>
        <v>jamie ramirez</v>
      </c>
      <c r="E38" s="13" t="str">
        <f t="shared" si="2"/>
        <v>Jamie Ramirez</v>
      </c>
      <c r="F38" s="13" t="str">
        <f t="shared" si="3"/>
        <v>FL</v>
      </c>
      <c r="G38" s="13" t="str">
        <f t="shared" si="4"/>
        <v>37</v>
      </c>
      <c r="H38" s="13" t="str">
        <f t="shared" si="5"/>
        <v>2500</v>
      </c>
    </row>
    <row r="39" spans="1:8" x14ac:dyDescent="0.3">
      <c r="A39" s="13" t="s">
        <v>171</v>
      </c>
      <c r="B39" s="13" t="s">
        <v>172</v>
      </c>
      <c r="C39" s="13" t="str">
        <f t="shared" si="0"/>
        <v>AMY HARRISON</v>
      </c>
      <c r="D39" s="13" t="str">
        <f t="shared" si="1"/>
        <v>amy harrison</v>
      </c>
      <c r="E39" s="13" t="str">
        <f t="shared" si="2"/>
        <v>Amy Harrison</v>
      </c>
      <c r="F39" s="13" t="str">
        <f t="shared" si="3"/>
        <v>FL</v>
      </c>
      <c r="G39" s="13" t="str">
        <f t="shared" si="4"/>
        <v>38</v>
      </c>
      <c r="H39" s="13" t="str">
        <f t="shared" si="5"/>
        <v>2500</v>
      </c>
    </row>
    <row r="40" spans="1:8" x14ac:dyDescent="0.3">
      <c r="A40" s="13" t="s">
        <v>173</v>
      </c>
      <c r="B40" s="13" t="s">
        <v>174</v>
      </c>
      <c r="C40" s="13" t="str">
        <f t="shared" si="0"/>
        <v>MELINDA WHITE</v>
      </c>
      <c r="D40" s="13" t="str">
        <f t="shared" si="1"/>
        <v>melinda white</v>
      </c>
      <c r="E40" s="13" t="str">
        <f t="shared" si="2"/>
        <v>Melinda White</v>
      </c>
      <c r="F40" s="13" t="str">
        <f t="shared" si="3"/>
        <v>FL</v>
      </c>
      <c r="G40" s="13" t="str">
        <f t="shared" si="4"/>
        <v>39</v>
      </c>
      <c r="H40" s="13" t="str">
        <f t="shared" si="5"/>
        <v>2500</v>
      </c>
    </row>
    <row r="41" spans="1:8" x14ac:dyDescent="0.3">
      <c r="A41" s="13" t="s">
        <v>177</v>
      </c>
      <c r="B41" s="13" t="s">
        <v>178</v>
      </c>
      <c r="C41" s="13" t="str">
        <f t="shared" si="0"/>
        <v>JAMES HERNANDEZ</v>
      </c>
      <c r="D41" s="13" t="str">
        <f t="shared" si="1"/>
        <v>james hernandez</v>
      </c>
      <c r="E41" s="13" t="str">
        <f t="shared" si="2"/>
        <v>James Hernandez</v>
      </c>
      <c r="F41" s="13" t="str">
        <f t="shared" si="3"/>
        <v>FL</v>
      </c>
      <c r="G41" s="13" t="str">
        <f t="shared" si="4"/>
        <v>40</v>
      </c>
      <c r="H41" s="13" t="str">
        <f t="shared" si="5"/>
        <v>2500</v>
      </c>
    </row>
    <row r="42" spans="1:8" x14ac:dyDescent="0.3">
      <c r="A42" s="13" t="s">
        <v>179</v>
      </c>
      <c r="B42" s="13" t="s">
        <v>180</v>
      </c>
      <c r="C42" s="13" t="str">
        <f t="shared" si="0"/>
        <v>ANGELICA ROGERS</v>
      </c>
      <c r="D42" s="13" t="str">
        <f t="shared" si="1"/>
        <v>angelica rogers</v>
      </c>
      <c r="E42" s="13" t="str">
        <f t="shared" si="2"/>
        <v>Angelica Rogers</v>
      </c>
      <c r="F42" s="13" t="str">
        <f t="shared" si="3"/>
        <v>FL</v>
      </c>
      <c r="G42" s="13" t="str">
        <f t="shared" si="4"/>
        <v>41</v>
      </c>
      <c r="H42" s="13" t="str">
        <f t="shared" si="5"/>
        <v>2500</v>
      </c>
    </row>
    <row r="43" spans="1:8" x14ac:dyDescent="0.3">
      <c r="A43" s="13" t="s">
        <v>182</v>
      </c>
      <c r="B43" s="13" t="s">
        <v>183</v>
      </c>
      <c r="C43" s="13" t="str">
        <f t="shared" si="0"/>
        <v>SAVANNAH WILLIAMS</v>
      </c>
      <c r="D43" s="13" t="str">
        <f t="shared" si="1"/>
        <v>savannah williams</v>
      </c>
      <c r="E43" s="13" t="str">
        <f t="shared" si="2"/>
        <v>Savannah Williams</v>
      </c>
      <c r="F43" s="13" t="str">
        <f t="shared" si="3"/>
        <v>FL</v>
      </c>
      <c r="G43" s="13" t="str">
        <f t="shared" si="4"/>
        <v>42</v>
      </c>
      <c r="H43" s="13" t="str">
        <f t="shared" si="5"/>
        <v>2500</v>
      </c>
    </row>
    <row r="44" spans="1:8" x14ac:dyDescent="0.3">
      <c r="A44" s="13" t="s">
        <v>184</v>
      </c>
      <c r="B44" s="13" t="s">
        <v>185</v>
      </c>
      <c r="C44" s="13" t="str">
        <f t="shared" si="0"/>
        <v>KAITLYN SCHMIDT</v>
      </c>
      <c r="D44" s="13" t="str">
        <f t="shared" si="1"/>
        <v>kaitlyn schmidt</v>
      </c>
      <c r="E44" s="13" t="str">
        <f t="shared" si="2"/>
        <v>Kaitlyn Schmidt</v>
      </c>
      <c r="F44" s="13" t="str">
        <f t="shared" si="3"/>
        <v>FL</v>
      </c>
      <c r="G44" s="13" t="str">
        <f t="shared" si="4"/>
        <v>43</v>
      </c>
      <c r="H44" s="13" t="str">
        <f t="shared" si="5"/>
        <v>2500</v>
      </c>
    </row>
    <row r="45" spans="1:8" x14ac:dyDescent="0.3">
      <c r="A45" s="13" t="s">
        <v>186</v>
      </c>
      <c r="B45" s="13" t="s">
        <v>187</v>
      </c>
      <c r="C45" s="13" t="str">
        <f t="shared" si="0"/>
        <v>JASON SINGH</v>
      </c>
      <c r="D45" s="13" t="str">
        <f t="shared" si="1"/>
        <v>jason singh</v>
      </c>
      <c r="E45" s="13" t="str">
        <f t="shared" si="2"/>
        <v>Jason Singh</v>
      </c>
      <c r="F45" s="13" t="str">
        <f t="shared" si="3"/>
        <v>FL</v>
      </c>
      <c r="G45" s="13" t="str">
        <f t="shared" si="4"/>
        <v>44</v>
      </c>
      <c r="H45" s="13" t="str">
        <f t="shared" si="5"/>
        <v>2500</v>
      </c>
    </row>
    <row r="46" spans="1:8" x14ac:dyDescent="0.3">
      <c r="A46" s="13" t="s">
        <v>188</v>
      </c>
      <c r="B46" s="13" t="s">
        <v>189</v>
      </c>
      <c r="C46" s="13" t="str">
        <f t="shared" si="0"/>
        <v>MICHELLE RAMIREZ</v>
      </c>
      <c r="D46" s="13" t="str">
        <f t="shared" si="1"/>
        <v>michelle ramirez</v>
      </c>
      <c r="E46" s="13" t="str">
        <f t="shared" si="2"/>
        <v>Michelle Ramirez</v>
      </c>
      <c r="F46" s="13" t="str">
        <f t="shared" si="3"/>
        <v>FL</v>
      </c>
      <c r="G46" s="13" t="str">
        <f t="shared" si="4"/>
        <v>45</v>
      </c>
      <c r="H46" s="13" t="str">
        <f t="shared" si="5"/>
        <v>2500</v>
      </c>
    </row>
    <row r="47" spans="1:8" x14ac:dyDescent="0.3">
      <c r="A47" s="13" t="s">
        <v>190</v>
      </c>
      <c r="B47" s="13" t="s">
        <v>191</v>
      </c>
      <c r="C47" s="13" t="str">
        <f t="shared" si="0"/>
        <v>JAMES BROWN</v>
      </c>
      <c r="D47" s="13" t="str">
        <f t="shared" si="1"/>
        <v>james brown</v>
      </c>
      <c r="E47" s="13" t="str">
        <f t="shared" si="2"/>
        <v>James Brown</v>
      </c>
      <c r="F47" s="13" t="str">
        <f t="shared" si="3"/>
        <v>FL</v>
      </c>
      <c r="G47" s="13" t="str">
        <f t="shared" si="4"/>
        <v>46</v>
      </c>
      <c r="H47" s="13" t="str">
        <f t="shared" si="5"/>
        <v>2500</v>
      </c>
    </row>
    <row r="48" spans="1:8" x14ac:dyDescent="0.3">
      <c r="A48" s="13" t="s">
        <v>193</v>
      </c>
      <c r="B48" s="13" t="s">
        <v>194</v>
      </c>
      <c r="C48" s="13" t="str">
        <f t="shared" si="0"/>
        <v>MRS. SAMANTHA SIMMONS</v>
      </c>
      <c r="D48" s="13" t="str">
        <f t="shared" si="1"/>
        <v>mrs. samantha simmons</v>
      </c>
      <c r="E48" s="13" t="str">
        <f t="shared" si="2"/>
        <v>Mrs. Samantha Simmons</v>
      </c>
      <c r="F48" s="13" t="str">
        <f t="shared" si="3"/>
        <v>FL</v>
      </c>
      <c r="G48" s="13" t="str">
        <f t="shared" si="4"/>
        <v>47</v>
      </c>
      <c r="H48" s="13" t="str">
        <f t="shared" si="5"/>
        <v>2500</v>
      </c>
    </row>
    <row r="49" spans="1:8" x14ac:dyDescent="0.3">
      <c r="A49" s="13" t="s">
        <v>195</v>
      </c>
      <c r="B49" s="13" t="s">
        <v>196</v>
      </c>
      <c r="C49" s="13" t="str">
        <f t="shared" si="0"/>
        <v>CHASE MASON</v>
      </c>
      <c r="D49" s="13" t="str">
        <f t="shared" si="1"/>
        <v>chase mason</v>
      </c>
      <c r="E49" s="13" t="str">
        <f t="shared" si="2"/>
        <v>Chase Mason</v>
      </c>
      <c r="F49" s="13" t="str">
        <f t="shared" si="3"/>
        <v>FL</v>
      </c>
      <c r="G49" s="13" t="str">
        <f t="shared" si="4"/>
        <v>48</v>
      </c>
      <c r="H49" s="13" t="str">
        <f t="shared" si="5"/>
        <v>2500</v>
      </c>
    </row>
    <row r="50" spans="1:8" x14ac:dyDescent="0.3">
      <c r="A50" s="13" t="s">
        <v>199</v>
      </c>
      <c r="B50" s="13" t="s">
        <v>200</v>
      </c>
      <c r="C50" s="13" t="str">
        <f t="shared" si="0"/>
        <v>DOMINIQUE WARD</v>
      </c>
      <c r="D50" s="13" t="str">
        <f t="shared" si="1"/>
        <v>dominique ward</v>
      </c>
      <c r="E50" s="13" t="str">
        <f t="shared" si="2"/>
        <v>Dominique Ward</v>
      </c>
      <c r="F50" s="13" t="str">
        <f t="shared" si="3"/>
        <v>FL</v>
      </c>
      <c r="G50" s="13" t="str">
        <f t="shared" si="4"/>
        <v>49</v>
      </c>
      <c r="H50" s="13" t="str">
        <f t="shared" si="5"/>
        <v>2500</v>
      </c>
    </row>
    <row r="51" spans="1:8" x14ac:dyDescent="0.3">
      <c r="A51" s="13" t="s">
        <v>202</v>
      </c>
      <c r="B51" s="13" t="s">
        <v>203</v>
      </c>
      <c r="C51" s="13" t="str">
        <f t="shared" si="0"/>
        <v>LANCE GRIFFIN</v>
      </c>
      <c r="D51" s="13" t="str">
        <f t="shared" si="1"/>
        <v>lance griffin</v>
      </c>
      <c r="E51" s="13" t="str">
        <f t="shared" si="2"/>
        <v>Lance Griffin</v>
      </c>
      <c r="F51" s="13" t="str">
        <f t="shared" si="3"/>
        <v>FL</v>
      </c>
      <c r="G51" s="13" t="str">
        <f t="shared" si="4"/>
        <v>50</v>
      </c>
      <c r="H51" s="13" t="str">
        <f t="shared" si="5"/>
        <v>2500</v>
      </c>
    </row>
    <row r="52" spans="1:8" x14ac:dyDescent="0.3">
      <c r="A52" s="13" t="s">
        <v>204</v>
      </c>
      <c r="B52" s="13" t="s">
        <v>205</v>
      </c>
      <c r="C52" s="13" t="str">
        <f t="shared" si="0"/>
        <v>JULIE BURGESS</v>
      </c>
      <c r="D52" s="13" t="str">
        <f t="shared" si="1"/>
        <v>julie burgess</v>
      </c>
      <c r="E52" s="13" t="str">
        <f t="shared" si="2"/>
        <v>Julie Burgess</v>
      </c>
      <c r="F52" s="13" t="str">
        <f t="shared" si="3"/>
        <v>FL</v>
      </c>
      <c r="G52" s="13" t="str">
        <f t="shared" si="4"/>
        <v>51</v>
      </c>
      <c r="H52" s="13" t="str">
        <f t="shared" si="5"/>
        <v>2500</v>
      </c>
    </row>
    <row r="53" spans="1:8" x14ac:dyDescent="0.3">
      <c r="A53" s="13" t="s">
        <v>206</v>
      </c>
      <c r="B53" s="13" t="s">
        <v>207</v>
      </c>
      <c r="C53" s="13" t="str">
        <f t="shared" si="0"/>
        <v>DON SCOTT</v>
      </c>
      <c r="D53" s="13" t="str">
        <f t="shared" si="1"/>
        <v>don scott</v>
      </c>
      <c r="E53" s="13" t="str">
        <f t="shared" si="2"/>
        <v>Don Scott</v>
      </c>
      <c r="F53" s="13" t="str">
        <f t="shared" si="3"/>
        <v>FL</v>
      </c>
      <c r="G53" s="13" t="str">
        <f t="shared" si="4"/>
        <v>52</v>
      </c>
      <c r="H53" s="13" t="str">
        <f t="shared" si="5"/>
        <v>2500</v>
      </c>
    </row>
    <row r="54" spans="1:8" x14ac:dyDescent="0.3">
      <c r="A54" s="13" t="s">
        <v>208</v>
      </c>
      <c r="B54" s="13" t="s">
        <v>209</v>
      </c>
      <c r="C54" s="13" t="str">
        <f t="shared" si="0"/>
        <v>KYLE ATKINSON</v>
      </c>
      <c r="D54" s="13" t="str">
        <f t="shared" si="1"/>
        <v>kyle atkinson</v>
      </c>
      <c r="E54" s="13" t="str">
        <f t="shared" si="2"/>
        <v>Kyle Atkinson</v>
      </c>
      <c r="F54" s="13" t="str">
        <f t="shared" si="3"/>
        <v>FL</v>
      </c>
      <c r="G54" s="13" t="str">
        <f t="shared" si="4"/>
        <v>53</v>
      </c>
      <c r="H54" s="13" t="str">
        <f t="shared" si="5"/>
        <v>2500</v>
      </c>
    </row>
    <row r="55" spans="1:8" x14ac:dyDescent="0.3">
      <c r="A55" s="13" t="s">
        <v>210</v>
      </c>
      <c r="B55" s="13" t="s">
        <v>211</v>
      </c>
      <c r="C55" s="13" t="str">
        <f t="shared" si="0"/>
        <v>JIMMY HOGAN</v>
      </c>
      <c r="D55" s="13" t="str">
        <f t="shared" si="1"/>
        <v>jimmy hogan</v>
      </c>
      <c r="E55" s="13" t="str">
        <f t="shared" si="2"/>
        <v>Jimmy Hogan</v>
      </c>
      <c r="F55" s="13" t="str">
        <f t="shared" si="3"/>
        <v>FL</v>
      </c>
      <c r="G55" s="13" t="str">
        <f t="shared" si="4"/>
        <v>54</v>
      </c>
      <c r="H55" s="13" t="str">
        <f t="shared" si="5"/>
        <v>2500</v>
      </c>
    </row>
    <row r="56" spans="1:8" x14ac:dyDescent="0.3">
      <c r="A56" s="13" t="s">
        <v>213</v>
      </c>
      <c r="B56" s="13" t="s">
        <v>214</v>
      </c>
      <c r="C56" s="13" t="str">
        <f t="shared" si="0"/>
        <v>JENNIFER MCINTYRE</v>
      </c>
      <c r="D56" s="13" t="str">
        <f t="shared" si="1"/>
        <v>jennifer mcintyre</v>
      </c>
      <c r="E56" s="13" t="str">
        <f t="shared" si="2"/>
        <v>Jennifer Mcintyre</v>
      </c>
      <c r="F56" s="13" t="str">
        <f t="shared" si="3"/>
        <v>FL</v>
      </c>
      <c r="G56" s="13" t="str">
        <f t="shared" si="4"/>
        <v>55</v>
      </c>
      <c r="H56" s="13" t="str">
        <f t="shared" si="5"/>
        <v>2500</v>
      </c>
    </row>
    <row r="57" spans="1:8" x14ac:dyDescent="0.3">
      <c r="A57" s="13" t="s">
        <v>215</v>
      </c>
      <c r="B57" s="13" t="s">
        <v>216</v>
      </c>
      <c r="C57" s="13" t="str">
        <f t="shared" si="0"/>
        <v>LARRY SIMPSON</v>
      </c>
      <c r="D57" s="13" t="str">
        <f t="shared" si="1"/>
        <v>larry simpson</v>
      </c>
      <c r="E57" s="13" t="str">
        <f t="shared" si="2"/>
        <v>Larry Simpson</v>
      </c>
      <c r="F57" s="13" t="str">
        <f t="shared" si="3"/>
        <v>FL</v>
      </c>
      <c r="G57" s="13" t="str">
        <f t="shared" si="4"/>
        <v>56</v>
      </c>
      <c r="H57" s="13" t="str">
        <f t="shared" si="5"/>
        <v>2500</v>
      </c>
    </row>
    <row r="58" spans="1:8" x14ac:dyDescent="0.3">
      <c r="A58" s="13" t="s">
        <v>217</v>
      </c>
      <c r="B58" s="13" t="s">
        <v>218</v>
      </c>
      <c r="C58" s="13" t="str">
        <f t="shared" si="0"/>
        <v>LAURA PRICE</v>
      </c>
      <c r="D58" s="13" t="str">
        <f t="shared" si="1"/>
        <v>laura price</v>
      </c>
      <c r="E58" s="13" t="str">
        <f t="shared" si="2"/>
        <v>Laura Price</v>
      </c>
      <c r="F58" s="13" t="str">
        <f t="shared" si="3"/>
        <v>FL</v>
      </c>
      <c r="G58" s="13" t="str">
        <f t="shared" si="4"/>
        <v>57</v>
      </c>
      <c r="H58" s="13" t="str">
        <f t="shared" si="5"/>
        <v>2500</v>
      </c>
    </row>
    <row r="59" spans="1:8" x14ac:dyDescent="0.3">
      <c r="A59" s="13" t="s">
        <v>219</v>
      </c>
      <c r="B59" s="13" t="s">
        <v>220</v>
      </c>
      <c r="C59" s="13" t="str">
        <f t="shared" si="0"/>
        <v>MARK WRIGHT</v>
      </c>
      <c r="D59" s="13" t="str">
        <f t="shared" si="1"/>
        <v>mark wright</v>
      </c>
      <c r="E59" s="13" t="str">
        <f t="shared" si="2"/>
        <v>Mark Wright</v>
      </c>
      <c r="F59" s="13" t="str">
        <f t="shared" si="3"/>
        <v>FL</v>
      </c>
      <c r="G59" s="13" t="str">
        <f t="shared" si="4"/>
        <v>58</v>
      </c>
      <c r="H59" s="13" t="str">
        <f t="shared" si="5"/>
        <v>2500</v>
      </c>
    </row>
    <row r="60" spans="1:8" x14ac:dyDescent="0.3">
      <c r="A60" s="13" t="s">
        <v>221</v>
      </c>
      <c r="B60" s="13" t="s">
        <v>222</v>
      </c>
      <c r="C60" s="13" t="str">
        <f t="shared" si="0"/>
        <v>SAMANTHA MCDANIEL</v>
      </c>
      <c r="D60" s="13" t="str">
        <f t="shared" si="1"/>
        <v>samantha mcdaniel</v>
      </c>
      <c r="E60" s="13" t="str">
        <f t="shared" si="2"/>
        <v>Samantha Mcdaniel</v>
      </c>
      <c r="F60" s="13" t="str">
        <f t="shared" si="3"/>
        <v>FL</v>
      </c>
      <c r="G60" s="13" t="str">
        <f t="shared" si="4"/>
        <v>59</v>
      </c>
      <c r="H60" s="13" t="str">
        <f t="shared" si="5"/>
        <v>2500</v>
      </c>
    </row>
    <row r="61" spans="1:8" x14ac:dyDescent="0.3">
      <c r="A61" s="13" t="s">
        <v>223</v>
      </c>
      <c r="B61" s="13" t="s">
        <v>224</v>
      </c>
      <c r="C61" s="13" t="str">
        <f t="shared" si="0"/>
        <v>BARBARA FOSTER</v>
      </c>
      <c r="D61" s="13" t="str">
        <f t="shared" si="1"/>
        <v>barbara foster</v>
      </c>
      <c r="E61" s="13" t="str">
        <f t="shared" si="2"/>
        <v>Barbara Foster</v>
      </c>
      <c r="F61" s="13" t="str">
        <f t="shared" si="3"/>
        <v>FL</v>
      </c>
      <c r="G61" s="13" t="str">
        <f t="shared" si="4"/>
        <v>60</v>
      </c>
      <c r="H61" s="13" t="str">
        <f t="shared" si="5"/>
        <v>2500</v>
      </c>
    </row>
    <row r="62" spans="1:8" x14ac:dyDescent="0.3">
      <c r="A62" s="13" t="s">
        <v>225</v>
      </c>
      <c r="B62" s="13" t="s">
        <v>226</v>
      </c>
      <c r="C62" s="13" t="str">
        <f t="shared" si="0"/>
        <v>COURTNEY TRAN</v>
      </c>
      <c r="D62" s="13" t="str">
        <f t="shared" si="1"/>
        <v>courtney tran</v>
      </c>
      <c r="E62" s="13" t="str">
        <f t="shared" si="2"/>
        <v>Courtney Tran</v>
      </c>
      <c r="F62" s="13" t="str">
        <f t="shared" si="3"/>
        <v>FL</v>
      </c>
      <c r="G62" s="13" t="str">
        <f t="shared" si="4"/>
        <v>61</v>
      </c>
      <c r="H62" s="13" t="str">
        <f t="shared" si="5"/>
        <v>2500</v>
      </c>
    </row>
    <row r="63" spans="1:8" x14ac:dyDescent="0.3">
      <c r="A63" s="13" t="s">
        <v>227</v>
      </c>
      <c r="B63" s="13" t="s">
        <v>228</v>
      </c>
      <c r="C63" s="13" t="str">
        <f t="shared" si="0"/>
        <v>EDDIE TODD</v>
      </c>
      <c r="D63" s="13" t="str">
        <f t="shared" si="1"/>
        <v>eddie todd</v>
      </c>
      <c r="E63" s="13" t="str">
        <f t="shared" si="2"/>
        <v>Eddie Todd</v>
      </c>
      <c r="F63" s="13" t="str">
        <f t="shared" si="3"/>
        <v>FL</v>
      </c>
      <c r="G63" s="13" t="str">
        <f t="shared" si="4"/>
        <v>62</v>
      </c>
      <c r="H63" s="13" t="str">
        <f t="shared" si="5"/>
        <v>2500</v>
      </c>
    </row>
    <row r="64" spans="1:8" x14ac:dyDescent="0.3">
      <c r="A64" s="13" t="s">
        <v>229</v>
      </c>
      <c r="B64" s="13" t="s">
        <v>230</v>
      </c>
      <c r="C64" s="13" t="str">
        <f t="shared" si="0"/>
        <v>CHRISTINE JOHNSON</v>
      </c>
      <c r="D64" s="13" t="str">
        <f t="shared" si="1"/>
        <v>christine johnson</v>
      </c>
      <c r="E64" s="13" t="str">
        <f t="shared" si="2"/>
        <v>Christine Johnson</v>
      </c>
      <c r="F64" s="13" t="str">
        <f t="shared" si="3"/>
        <v>FL</v>
      </c>
      <c r="G64" s="13" t="str">
        <f t="shared" si="4"/>
        <v>63</v>
      </c>
      <c r="H64" s="13" t="str">
        <f t="shared" si="5"/>
        <v>2500</v>
      </c>
    </row>
    <row r="65" spans="1:8" x14ac:dyDescent="0.3">
      <c r="A65" s="13" t="s">
        <v>231</v>
      </c>
      <c r="B65" s="13" t="s">
        <v>232</v>
      </c>
      <c r="C65" s="13" t="str">
        <f t="shared" si="0"/>
        <v>LEAH PHELPS</v>
      </c>
      <c r="D65" s="13" t="str">
        <f t="shared" si="1"/>
        <v>leah phelps</v>
      </c>
      <c r="E65" s="13" t="str">
        <f t="shared" si="2"/>
        <v>Leah Phelps</v>
      </c>
      <c r="F65" s="13" t="str">
        <f t="shared" si="3"/>
        <v>FL</v>
      </c>
      <c r="G65" s="13" t="str">
        <f t="shared" si="4"/>
        <v>64</v>
      </c>
      <c r="H65" s="13" t="str">
        <f t="shared" si="5"/>
        <v>2500</v>
      </c>
    </row>
    <row r="66" spans="1:8" x14ac:dyDescent="0.3">
      <c r="A66" s="13" t="s">
        <v>233</v>
      </c>
      <c r="B66" s="13" t="s">
        <v>234</v>
      </c>
      <c r="C66" s="13" t="str">
        <f t="shared" si="0"/>
        <v>REBEKAH WILLIAMS</v>
      </c>
      <c r="D66" s="13" t="str">
        <f t="shared" si="1"/>
        <v>rebekah williams</v>
      </c>
      <c r="E66" s="13" t="str">
        <f t="shared" si="2"/>
        <v>Rebekah Williams</v>
      </c>
      <c r="F66" s="13" t="str">
        <f t="shared" si="3"/>
        <v>FL</v>
      </c>
      <c r="G66" s="13" t="str">
        <f t="shared" si="4"/>
        <v>65</v>
      </c>
      <c r="H66" s="13" t="str">
        <f t="shared" si="5"/>
        <v>2500</v>
      </c>
    </row>
    <row r="67" spans="1:8" x14ac:dyDescent="0.3">
      <c r="A67" s="13" t="s">
        <v>235</v>
      </c>
      <c r="B67" s="13" t="s">
        <v>236</v>
      </c>
      <c r="C67" s="13" t="str">
        <f t="shared" ref="C67:C130" si="6">UPPER(B67)</f>
        <v>CRYSTAL WILSON</v>
      </c>
      <c r="D67" s="13" t="str">
        <f t="shared" ref="D67:D130" si="7">LOWER(B67)</f>
        <v>crystal wilson</v>
      </c>
      <c r="E67" s="13" t="str">
        <f t="shared" ref="E67:E130" si="8">PROPER(C67)</f>
        <v>Crystal Wilson</v>
      </c>
      <c r="F67" s="13" t="str">
        <f t="shared" ref="F67:F130" si="9">LEFT(A67,2)</f>
        <v>FL</v>
      </c>
      <c r="G67" s="13" t="str">
        <f t="shared" ref="G67:G130" si="10">RIGHT(A67,2)</f>
        <v>66</v>
      </c>
      <c r="H67" s="13" t="str">
        <f t="shared" ref="H67:H130" si="11">MID(A67,3,4)</f>
        <v>2500</v>
      </c>
    </row>
    <row r="68" spans="1:8" x14ac:dyDescent="0.3">
      <c r="A68" s="13" t="s">
        <v>237</v>
      </c>
      <c r="B68" s="13" t="s">
        <v>238</v>
      </c>
      <c r="C68" s="13" t="str">
        <f t="shared" si="6"/>
        <v>ASHLEY CORDOVA</v>
      </c>
      <c r="D68" s="13" t="str">
        <f t="shared" si="7"/>
        <v>ashley cordova</v>
      </c>
      <c r="E68" s="13" t="str">
        <f t="shared" si="8"/>
        <v>Ashley Cordova</v>
      </c>
      <c r="F68" s="13" t="str">
        <f t="shared" si="9"/>
        <v>FL</v>
      </c>
      <c r="G68" s="13" t="str">
        <f t="shared" si="10"/>
        <v>67</v>
      </c>
      <c r="H68" s="13" t="str">
        <f t="shared" si="11"/>
        <v>2500</v>
      </c>
    </row>
    <row r="69" spans="1:8" x14ac:dyDescent="0.3">
      <c r="A69" s="13" t="s">
        <v>239</v>
      </c>
      <c r="B69" s="13" t="s">
        <v>240</v>
      </c>
      <c r="C69" s="13" t="str">
        <f t="shared" si="6"/>
        <v>VICKI KELLY</v>
      </c>
      <c r="D69" s="13" t="str">
        <f t="shared" si="7"/>
        <v>vicki kelly</v>
      </c>
      <c r="E69" s="13" t="str">
        <f t="shared" si="8"/>
        <v>Vicki Kelly</v>
      </c>
      <c r="F69" s="13" t="str">
        <f t="shared" si="9"/>
        <v>FL</v>
      </c>
      <c r="G69" s="13" t="str">
        <f t="shared" si="10"/>
        <v>68</v>
      </c>
      <c r="H69" s="13" t="str">
        <f t="shared" si="11"/>
        <v>2500</v>
      </c>
    </row>
    <row r="70" spans="1:8" x14ac:dyDescent="0.3">
      <c r="A70" s="13" t="s">
        <v>241</v>
      </c>
      <c r="B70" s="13" t="s">
        <v>242</v>
      </c>
      <c r="C70" s="13" t="str">
        <f t="shared" si="6"/>
        <v>COREY WARREN</v>
      </c>
      <c r="D70" s="13" t="str">
        <f t="shared" si="7"/>
        <v>corey warren</v>
      </c>
      <c r="E70" s="13" t="str">
        <f t="shared" si="8"/>
        <v>Corey Warren</v>
      </c>
      <c r="F70" s="13" t="str">
        <f t="shared" si="9"/>
        <v>FL</v>
      </c>
      <c r="G70" s="13" t="str">
        <f t="shared" si="10"/>
        <v>69</v>
      </c>
      <c r="H70" s="13" t="str">
        <f t="shared" si="11"/>
        <v>2500</v>
      </c>
    </row>
    <row r="71" spans="1:8" x14ac:dyDescent="0.3">
      <c r="A71" s="13" t="s">
        <v>243</v>
      </c>
      <c r="B71" s="13" t="s">
        <v>244</v>
      </c>
      <c r="C71" s="13" t="str">
        <f t="shared" si="6"/>
        <v>GINA THOMPSON</v>
      </c>
      <c r="D71" s="13" t="str">
        <f t="shared" si="7"/>
        <v>gina thompson</v>
      </c>
      <c r="E71" s="13" t="str">
        <f t="shared" si="8"/>
        <v>Gina Thompson</v>
      </c>
      <c r="F71" s="13" t="str">
        <f t="shared" si="9"/>
        <v>FL</v>
      </c>
      <c r="G71" s="13" t="str">
        <f t="shared" si="10"/>
        <v>70</v>
      </c>
      <c r="H71" s="13" t="str">
        <f t="shared" si="11"/>
        <v>2500</v>
      </c>
    </row>
    <row r="72" spans="1:8" x14ac:dyDescent="0.3">
      <c r="A72" s="13" t="s">
        <v>245</v>
      </c>
      <c r="B72" s="13" t="s">
        <v>246</v>
      </c>
      <c r="C72" s="13" t="str">
        <f t="shared" si="6"/>
        <v>YVONNE BERG</v>
      </c>
      <c r="D72" s="13" t="str">
        <f t="shared" si="7"/>
        <v>yvonne berg</v>
      </c>
      <c r="E72" s="13" t="str">
        <f t="shared" si="8"/>
        <v>Yvonne Berg</v>
      </c>
      <c r="F72" s="13" t="str">
        <f t="shared" si="9"/>
        <v>FL</v>
      </c>
      <c r="G72" s="13" t="str">
        <f t="shared" si="10"/>
        <v>71</v>
      </c>
      <c r="H72" s="13" t="str">
        <f t="shared" si="11"/>
        <v>2500</v>
      </c>
    </row>
    <row r="73" spans="1:8" x14ac:dyDescent="0.3">
      <c r="A73" s="13" t="s">
        <v>247</v>
      </c>
      <c r="B73" s="13" t="s">
        <v>248</v>
      </c>
      <c r="C73" s="13" t="str">
        <f t="shared" si="6"/>
        <v>THOMAS MILLER</v>
      </c>
      <c r="D73" s="13" t="str">
        <f t="shared" si="7"/>
        <v>thomas miller</v>
      </c>
      <c r="E73" s="13" t="str">
        <f t="shared" si="8"/>
        <v>Thomas Miller</v>
      </c>
      <c r="F73" s="13" t="str">
        <f t="shared" si="9"/>
        <v>FL</v>
      </c>
      <c r="G73" s="13" t="str">
        <f t="shared" si="10"/>
        <v>72</v>
      </c>
      <c r="H73" s="13" t="str">
        <f t="shared" si="11"/>
        <v>2500</v>
      </c>
    </row>
    <row r="74" spans="1:8" x14ac:dyDescent="0.3">
      <c r="A74" s="13" t="s">
        <v>249</v>
      </c>
      <c r="B74" s="13" t="s">
        <v>250</v>
      </c>
      <c r="C74" s="13" t="str">
        <f t="shared" si="6"/>
        <v>NICHOLAS BURTON</v>
      </c>
      <c r="D74" s="13" t="str">
        <f t="shared" si="7"/>
        <v>nicholas burton</v>
      </c>
      <c r="E74" s="13" t="str">
        <f t="shared" si="8"/>
        <v>Nicholas Burton</v>
      </c>
      <c r="F74" s="13" t="str">
        <f t="shared" si="9"/>
        <v>FL</v>
      </c>
      <c r="G74" s="13" t="str">
        <f t="shared" si="10"/>
        <v>73</v>
      </c>
      <c r="H74" s="13" t="str">
        <f t="shared" si="11"/>
        <v>2500</v>
      </c>
    </row>
    <row r="75" spans="1:8" x14ac:dyDescent="0.3">
      <c r="A75" s="13" t="s">
        <v>252</v>
      </c>
      <c r="B75" s="13" t="s">
        <v>253</v>
      </c>
      <c r="C75" s="13" t="str">
        <f t="shared" si="6"/>
        <v>JORGE RILEY</v>
      </c>
      <c r="D75" s="13" t="str">
        <f t="shared" si="7"/>
        <v>jorge riley</v>
      </c>
      <c r="E75" s="13" t="str">
        <f t="shared" si="8"/>
        <v>Jorge Riley</v>
      </c>
      <c r="F75" s="13" t="str">
        <f t="shared" si="9"/>
        <v>FL</v>
      </c>
      <c r="G75" s="13" t="str">
        <f t="shared" si="10"/>
        <v>74</v>
      </c>
      <c r="H75" s="13" t="str">
        <f t="shared" si="11"/>
        <v>2500</v>
      </c>
    </row>
    <row r="76" spans="1:8" x14ac:dyDescent="0.3">
      <c r="A76" s="13" t="s">
        <v>254</v>
      </c>
      <c r="B76" s="13" t="s">
        <v>255</v>
      </c>
      <c r="C76" s="13" t="str">
        <f t="shared" si="6"/>
        <v>MELVIN HARRIS</v>
      </c>
      <c r="D76" s="13" t="str">
        <f t="shared" si="7"/>
        <v>melvin harris</v>
      </c>
      <c r="E76" s="13" t="str">
        <f t="shared" si="8"/>
        <v>Melvin Harris</v>
      </c>
      <c r="F76" s="13" t="str">
        <f t="shared" si="9"/>
        <v>FL</v>
      </c>
      <c r="G76" s="13" t="str">
        <f t="shared" si="10"/>
        <v>75</v>
      </c>
      <c r="H76" s="13" t="str">
        <f t="shared" si="11"/>
        <v>2500</v>
      </c>
    </row>
    <row r="77" spans="1:8" x14ac:dyDescent="0.3">
      <c r="A77" s="13" t="s">
        <v>256</v>
      </c>
      <c r="B77" s="13" t="s">
        <v>257</v>
      </c>
      <c r="C77" s="13" t="str">
        <f t="shared" si="6"/>
        <v>JEREMY MEYER</v>
      </c>
      <c r="D77" s="13" t="str">
        <f t="shared" si="7"/>
        <v>jeremy meyer</v>
      </c>
      <c r="E77" s="13" t="str">
        <f t="shared" si="8"/>
        <v>Jeremy Meyer</v>
      </c>
      <c r="F77" s="13" t="str">
        <f t="shared" si="9"/>
        <v>FL</v>
      </c>
      <c r="G77" s="13" t="str">
        <f t="shared" si="10"/>
        <v>76</v>
      </c>
      <c r="H77" s="13" t="str">
        <f t="shared" si="11"/>
        <v>2500</v>
      </c>
    </row>
    <row r="78" spans="1:8" x14ac:dyDescent="0.3">
      <c r="A78" s="13" t="s">
        <v>258</v>
      </c>
      <c r="B78" s="13" t="s">
        <v>259</v>
      </c>
      <c r="C78" s="13" t="str">
        <f t="shared" si="6"/>
        <v>TIMOTHY LEE</v>
      </c>
      <c r="D78" s="13" t="str">
        <f t="shared" si="7"/>
        <v>timothy lee</v>
      </c>
      <c r="E78" s="13" t="str">
        <f t="shared" si="8"/>
        <v>Timothy Lee</v>
      </c>
      <c r="F78" s="13" t="str">
        <f t="shared" si="9"/>
        <v>FL</v>
      </c>
      <c r="G78" s="13" t="str">
        <f t="shared" si="10"/>
        <v>77</v>
      </c>
      <c r="H78" s="13" t="str">
        <f t="shared" si="11"/>
        <v>2500</v>
      </c>
    </row>
    <row r="79" spans="1:8" x14ac:dyDescent="0.3">
      <c r="A79" s="13" t="s">
        <v>260</v>
      </c>
      <c r="B79" s="13" t="s">
        <v>261</v>
      </c>
      <c r="C79" s="13" t="str">
        <f t="shared" si="6"/>
        <v>DIANA BAUTISTA</v>
      </c>
      <c r="D79" s="13" t="str">
        <f t="shared" si="7"/>
        <v>diana bautista</v>
      </c>
      <c r="E79" s="13" t="str">
        <f t="shared" si="8"/>
        <v>Diana Bautista</v>
      </c>
      <c r="F79" s="13" t="str">
        <f t="shared" si="9"/>
        <v>FL</v>
      </c>
      <c r="G79" s="13" t="str">
        <f t="shared" si="10"/>
        <v>78</v>
      </c>
      <c r="H79" s="13" t="str">
        <f t="shared" si="11"/>
        <v>2500</v>
      </c>
    </row>
    <row r="80" spans="1:8" x14ac:dyDescent="0.3">
      <c r="A80" s="13" t="s">
        <v>262</v>
      </c>
      <c r="B80" s="13" t="s">
        <v>263</v>
      </c>
      <c r="C80" s="13" t="str">
        <f t="shared" si="6"/>
        <v>LESLIE RODRIGUEZ</v>
      </c>
      <c r="D80" s="13" t="str">
        <f t="shared" si="7"/>
        <v>leslie rodriguez</v>
      </c>
      <c r="E80" s="13" t="str">
        <f t="shared" si="8"/>
        <v>Leslie Rodriguez</v>
      </c>
      <c r="F80" s="13" t="str">
        <f t="shared" si="9"/>
        <v>FL</v>
      </c>
      <c r="G80" s="13" t="str">
        <f t="shared" si="10"/>
        <v>79</v>
      </c>
      <c r="H80" s="13" t="str">
        <f t="shared" si="11"/>
        <v>2500</v>
      </c>
    </row>
    <row r="81" spans="1:8" x14ac:dyDescent="0.3">
      <c r="A81" s="13" t="s">
        <v>264</v>
      </c>
      <c r="B81" s="13" t="s">
        <v>265</v>
      </c>
      <c r="C81" s="13" t="str">
        <f t="shared" si="6"/>
        <v>NOAH WIGGINS</v>
      </c>
      <c r="D81" s="13" t="str">
        <f t="shared" si="7"/>
        <v>noah wiggins</v>
      </c>
      <c r="E81" s="13" t="str">
        <f t="shared" si="8"/>
        <v>Noah Wiggins</v>
      </c>
      <c r="F81" s="13" t="str">
        <f t="shared" si="9"/>
        <v>FL</v>
      </c>
      <c r="G81" s="13" t="str">
        <f t="shared" si="10"/>
        <v>80</v>
      </c>
      <c r="H81" s="13" t="str">
        <f t="shared" si="11"/>
        <v>2500</v>
      </c>
    </row>
    <row r="82" spans="1:8" x14ac:dyDescent="0.3">
      <c r="A82" s="13" t="s">
        <v>266</v>
      </c>
      <c r="B82" s="13" t="s">
        <v>267</v>
      </c>
      <c r="C82" s="13" t="str">
        <f t="shared" si="6"/>
        <v>BRIDGET WILLIAMS</v>
      </c>
      <c r="D82" s="13" t="str">
        <f t="shared" si="7"/>
        <v>bridget williams</v>
      </c>
      <c r="E82" s="13" t="str">
        <f t="shared" si="8"/>
        <v>Bridget Williams</v>
      </c>
      <c r="F82" s="13" t="str">
        <f t="shared" si="9"/>
        <v>FL</v>
      </c>
      <c r="G82" s="13" t="str">
        <f t="shared" si="10"/>
        <v>81</v>
      </c>
      <c r="H82" s="13" t="str">
        <f t="shared" si="11"/>
        <v>2500</v>
      </c>
    </row>
    <row r="83" spans="1:8" x14ac:dyDescent="0.3">
      <c r="A83" s="13" t="s">
        <v>268</v>
      </c>
      <c r="B83" s="13" t="s">
        <v>269</v>
      </c>
      <c r="C83" s="13" t="str">
        <f t="shared" si="6"/>
        <v>VERONICA BAKER</v>
      </c>
      <c r="D83" s="13" t="str">
        <f t="shared" si="7"/>
        <v>veronica baker</v>
      </c>
      <c r="E83" s="13" t="str">
        <f t="shared" si="8"/>
        <v>Veronica Baker</v>
      </c>
      <c r="F83" s="13" t="str">
        <f t="shared" si="9"/>
        <v>FL</v>
      </c>
      <c r="G83" s="13" t="str">
        <f t="shared" si="10"/>
        <v>82</v>
      </c>
      <c r="H83" s="13" t="str">
        <f t="shared" si="11"/>
        <v>2500</v>
      </c>
    </row>
    <row r="84" spans="1:8" x14ac:dyDescent="0.3">
      <c r="A84" s="13" t="s">
        <v>270</v>
      </c>
      <c r="B84" s="13" t="s">
        <v>271</v>
      </c>
      <c r="C84" s="13" t="str">
        <f t="shared" si="6"/>
        <v>ANDREW AVILA</v>
      </c>
      <c r="D84" s="13" t="str">
        <f t="shared" si="7"/>
        <v>andrew avila</v>
      </c>
      <c r="E84" s="13" t="str">
        <f t="shared" si="8"/>
        <v>Andrew Avila</v>
      </c>
      <c r="F84" s="13" t="str">
        <f t="shared" si="9"/>
        <v>FL</v>
      </c>
      <c r="G84" s="13" t="str">
        <f t="shared" si="10"/>
        <v>83</v>
      </c>
      <c r="H84" s="13" t="str">
        <f t="shared" si="11"/>
        <v>2500</v>
      </c>
    </row>
    <row r="85" spans="1:8" x14ac:dyDescent="0.3">
      <c r="A85" s="13" t="s">
        <v>272</v>
      </c>
      <c r="B85" s="13" t="s">
        <v>273</v>
      </c>
      <c r="C85" s="13" t="str">
        <f t="shared" si="6"/>
        <v>MICHAEL ROBERSON</v>
      </c>
      <c r="D85" s="13" t="str">
        <f t="shared" si="7"/>
        <v>michael roberson</v>
      </c>
      <c r="E85" s="13" t="str">
        <f t="shared" si="8"/>
        <v>Michael Roberson</v>
      </c>
      <c r="F85" s="13" t="str">
        <f t="shared" si="9"/>
        <v>FL</v>
      </c>
      <c r="G85" s="13" t="str">
        <f t="shared" si="10"/>
        <v>84</v>
      </c>
      <c r="H85" s="13" t="str">
        <f t="shared" si="11"/>
        <v>2500</v>
      </c>
    </row>
    <row r="86" spans="1:8" x14ac:dyDescent="0.3">
      <c r="A86" s="13" t="s">
        <v>274</v>
      </c>
      <c r="B86" s="13" t="s">
        <v>275</v>
      </c>
      <c r="C86" s="13" t="str">
        <f t="shared" si="6"/>
        <v>AUSTIN JENKINS</v>
      </c>
      <c r="D86" s="13" t="str">
        <f t="shared" si="7"/>
        <v>austin jenkins</v>
      </c>
      <c r="E86" s="13" t="str">
        <f t="shared" si="8"/>
        <v>Austin Jenkins</v>
      </c>
      <c r="F86" s="13" t="str">
        <f t="shared" si="9"/>
        <v>FL</v>
      </c>
      <c r="G86" s="13" t="str">
        <f t="shared" si="10"/>
        <v>85</v>
      </c>
      <c r="H86" s="13" t="str">
        <f t="shared" si="11"/>
        <v>2500</v>
      </c>
    </row>
    <row r="87" spans="1:8" x14ac:dyDescent="0.3">
      <c r="A87" s="13" t="s">
        <v>276</v>
      </c>
      <c r="B87" s="13" t="s">
        <v>277</v>
      </c>
      <c r="C87" s="13" t="str">
        <f t="shared" si="6"/>
        <v>BRENDA GREEN</v>
      </c>
      <c r="D87" s="13" t="str">
        <f t="shared" si="7"/>
        <v>brenda green</v>
      </c>
      <c r="E87" s="13" t="str">
        <f t="shared" si="8"/>
        <v>Brenda Green</v>
      </c>
      <c r="F87" s="13" t="str">
        <f t="shared" si="9"/>
        <v>FL</v>
      </c>
      <c r="G87" s="13" t="str">
        <f t="shared" si="10"/>
        <v>86</v>
      </c>
      <c r="H87" s="13" t="str">
        <f t="shared" si="11"/>
        <v>2500</v>
      </c>
    </row>
    <row r="88" spans="1:8" x14ac:dyDescent="0.3">
      <c r="A88" s="13" t="s">
        <v>278</v>
      </c>
      <c r="B88" s="13" t="s">
        <v>279</v>
      </c>
      <c r="C88" s="13" t="str">
        <f t="shared" si="6"/>
        <v>SAMUEL PIERCE</v>
      </c>
      <c r="D88" s="13" t="str">
        <f t="shared" si="7"/>
        <v>samuel pierce</v>
      </c>
      <c r="E88" s="13" t="str">
        <f t="shared" si="8"/>
        <v>Samuel Pierce</v>
      </c>
      <c r="F88" s="13" t="str">
        <f t="shared" si="9"/>
        <v>FL</v>
      </c>
      <c r="G88" s="13" t="str">
        <f t="shared" si="10"/>
        <v>87</v>
      </c>
      <c r="H88" s="13" t="str">
        <f t="shared" si="11"/>
        <v>2500</v>
      </c>
    </row>
    <row r="89" spans="1:8" x14ac:dyDescent="0.3">
      <c r="A89" s="13" t="s">
        <v>280</v>
      </c>
      <c r="B89" s="13" t="s">
        <v>281</v>
      </c>
      <c r="C89" s="13" t="str">
        <f t="shared" si="6"/>
        <v>BRIANA SMITH</v>
      </c>
      <c r="D89" s="13" t="str">
        <f t="shared" si="7"/>
        <v>briana smith</v>
      </c>
      <c r="E89" s="13" t="str">
        <f t="shared" si="8"/>
        <v>Briana Smith</v>
      </c>
      <c r="F89" s="13" t="str">
        <f t="shared" si="9"/>
        <v>FL</v>
      </c>
      <c r="G89" s="13" t="str">
        <f t="shared" si="10"/>
        <v>88</v>
      </c>
      <c r="H89" s="13" t="str">
        <f t="shared" si="11"/>
        <v>2500</v>
      </c>
    </row>
    <row r="90" spans="1:8" x14ac:dyDescent="0.3">
      <c r="A90" s="13" t="s">
        <v>282</v>
      </c>
      <c r="B90" s="13" t="s">
        <v>283</v>
      </c>
      <c r="C90" s="13" t="str">
        <f t="shared" si="6"/>
        <v>RONALD BARRETT</v>
      </c>
      <c r="D90" s="13" t="str">
        <f t="shared" si="7"/>
        <v>ronald barrett</v>
      </c>
      <c r="E90" s="13" t="str">
        <f t="shared" si="8"/>
        <v>Ronald Barrett</v>
      </c>
      <c r="F90" s="13" t="str">
        <f t="shared" si="9"/>
        <v>FL</v>
      </c>
      <c r="G90" s="13" t="str">
        <f t="shared" si="10"/>
        <v>89</v>
      </c>
      <c r="H90" s="13" t="str">
        <f t="shared" si="11"/>
        <v>2500</v>
      </c>
    </row>
    <row r="91" spans="1:8" x14ac:dyDescent="0.3">
      <c r="A91" s="13" t="s">
        <v>284</v>
      </c>
      <c r="B91" s="13" t="s">
        <v>285</v>
      </c>
      <c r="C91" s="13" t="str">
        <f t="shared" si="6"/>
        <v>MATTHEW SMITH</v>
      </c>
      <c r="D91" s="13" t="str">
        <f t="shared" si="7"/>
        <v>matthew smith</v>
      </c>
      <c r="E91" s="13" t="str">
        <f t="shared" si="8"/>
        <v>Matthew Smith</v>
      </c>
      <c r="F91" s="13" t="str">
        <f t="shared" si="9"/>
        <v>FL</v>
      </c>
      <c r="G91" s="13" t="str">
        <f t="shared" si="10"/>
        <v>90</v>
      </c>
      <c r="H91" s="13" t="str">
        <f t="shared" si="11"/>
        <v>2500</v>
      </c>
    </row>
    <row r="92" spans="1:8" x14ac:dyDescent="0.3">
      <c r="A92" s="13" t="s">
        <v>286</v>
      </c>
      <c r="B92" s="13" t="s">
        <v>287</v>
      </c>
      <c r="C92" s="13" t="str">
        <f t="shared" si="6"/>
        <v>LOGAN HUANG</v>
      </c>
      <c r="D92" s="13" t="str">
        <f t="shared" si="7"/>
        <v>logan huang</v>
      </c>
      <c r="E92" s="13" t="str">
        <f t="shared" si="8"/>
        <v>Logan Huang</v>
      </c>
      <c r="F92" s="13" t="str">
        <f t="shared" si="9"/>
        <v>FL</v>
      </c>
      <c r="G92" s="13" t="str">
        <f t="shared" si="10"/>
        <v>91</v>
      </c>
      <c r="H92" s="13" t="str">
        <f t="shared" si="11"/>
        <v>2500</v>
      </c>
    </row>
    <row r="93" spans="1:8" x14ac:dyDescent="0.3">
      <c r="A93" s="13" t="s">
        <v>288</v>
      </c>
      <c r="B93" s="13" t="s">
        <v>289</v>
      </c>
      <c r="C93" s="13" t="str">
        <f t="shared" si="6"/>
        <v>MIRANDA HUTCHINSON</v>
      </c>
      <c r="D93" s="13" t="str">
        <f t="shared" si="7"/>
        <v>miranda hutchinson</v>
      </c>
      <c r="E93" s="13" t="str">
        <f t="shared" si="8"/>
        <v>Miranda Hutchinson</v>
      </c>
      <c r="F93" s="13" t="str">
        <f t="shared" si="9"/>
        <v>FL</v>
      </c>
      <c r="G93" s="13" t="str">
        <f t="shared" si="10"/>
        <v>92</v>
      </c>
      <c r="H93" s="13" t="str">
        <f t="shared" si="11"/>
        <v>2500</v>
      </c>
    </row>
    <row r="94" spans="1:8" x14ac:dyDescent="0.3">
      <c r="A94" s="13" t="s">
        <v>290</v>
      </c>
      <c r="B94" s="13" t="s">
        <v>291</v>
      </c>
      <c r="C94" s="13" t="str">
        <f t="shared" si="6"/>
        <v>PAUL RICHARDSON</v>
      </c>
      <c r="D94" s="13" t="str">
        <f t="shared" si="7"/>
        <v>paul richardson</v>
      </c>
      <c r="E94" s="13" t="str">
        <f t="shared" si="8"/>
        <v>Paul Richardson</v>
      </c>
      <c r="F94" s="13" t="str">
        <f t="shared" si="9"/>
        <v>FL</v>
      </c>
      <c r="G94" s="13" t="str">
        <f t="shared" si="10"/>
        <v>93</v>
      </c>
      <c r="H94" s="13" t="str">
        <f t="shared" si="11"/>
        <v>2500</v>
      </c>
    </row>
    <row r="95" spans="1:8" x14ac:dyDescent="0.3">
      <c r="A95" s="13" t="s">
        <v>292</v>
      </c>
      <c r="B95" s="13" t="s">
        <v>293</v>
      </c>
      <c r="C95" s="13" t="str">
        <f t="shared" si="6"/>
        <v>JOSE JONES</v>
      </c>
      <c r="D95" s="13" t="str">
        <f t="shared" si="7"/>
        <v>jose jones</v>
      </c>
      <c r="E95" s="13" t="str">
        <f t="shared" si="8"/>
        <v>Jose Jones</v>
      </c>
      <c r="F95" s="13" t="str">
        <f t="shared" si="9"/>
        <v>FL</v>
      </c>
      <c r="G95" s="13" t="str">
        <f t="shared" si="10"/>
        <v>94</v>
      </c>
      <c r="H95" s="13" t="str">
        <f t="shared" si="11"/>
        <v>2500</v>
      </c>
    </row>
    <row r="96" spans="1:8" x14ac:dyDescent="0.3">
      <c r="A96" s="13" t="s">
        <v>294</v>
      </c>
      <c r="B96" s="13" t="s">
        <v>295</v>
      </c>
      <c r="C96" s="13" t="str">
        <f t="shared" si="6"/>
        <v>DENISE SMITH</v>
      </c>
      <c r="D96" s="13" t="str">
        <f t="shared" si="7"/>
        <v>denise smith</v>
      </c>
      <c r="E96" s="13" t="str">
        <f t="shared" si="8"/>
        <v>Denise Smith</v>
      </c>
      <c r="F96" s="13" t="str">
        <f t="shared" si="9"/>
        <v>FL</v>
      </c>
      <c r="G96" s="13" t="str">
        <f t="shared" si="10"/>
        <v>95</v>
      </c>
      <c r="H96" s="13" t="str">
        <f t="shared" si="11"/>
        <v>2500</v>
      </c>
    </row>
    <row r="97" spans="1:8" x14ac:dyDescent="0.3">
      <c r="A97" s="13" t="s">
        <v>296</v>
      </c>
      <c r="B97" s="13" t="s">
        <v>297</v>
      </c>
      <c r="C97" s="13" t="str">
        <f t="shared" si="6"/>
        <v>SHELBY MCMAHON</v>
      </c>
      <c r="D97" s="13" t="str">
        <f t="shared" si="7"/>
        <v>shelby mcmahon</v>
      </c>
      <c r="E97" s="13" t="str">
        <f t="shared" si="8"/>
        <v>Shelby Mcmahon</v>
      </c>
      <c r="F97" s="13" t="str">
        <f t="shared" si="9"/>
        <v>FL</v>
      </c>
      <c r="G97" s="13" t="str">
        <f t="shared" si="10"/>
        <v>96</v>
      </c>
      <c r="H97" s="13" t="str">
        <f t="shared" si="11"/>
        <v>2500</v>
      </c>
    </row>
    <row r="98" spans="1:8" x14ac:dyDescent="0.3">
      <c r="A98" s="13" t="s">
        <v>298</v>
      </c>
      <c r="B98" s="13" t="s">
        <v>299</v>
      </c>
      <c r="C98" s="13" t="str">
        <f t="shared" si="6"/>
        <v>BETHANY WRIGHT</v>
      </c>
      <c r="D98" s="13" t="str">
        <f t="shared" si="7"/>
        <v>bethany wright</v>
      </c>
      <c r="E98" s="13" t="str">
        <f t="shared" si="8"/>
        <v>Bethany Wright</v>
      </c>
      <c r="F98" s="13" t="str">
        <f t="shared" si="9"/>
        <v>FL</v>
      </c>
      <c r="G98" s="13" t="str">
        <f t="shared" si="10"/>
        <v>97</v>
      </c>
      <c r="H98" s="13" t="str">
        <f t="shared" si="11"/>
        <v>2500</v>
      </c>
    </row>
    <row r="99" spans="1:8" x14ac:dyDescent="0.3">
      <c r="A99" s="13" t="s">
        <v>300</v>
      </c>
      <c r="B99" s="13" t="s">
        <v>301</v>
      </c>
      <c r="C99" s="13" t="str">
        <f t="shared" si="6"/>
        <v>DAVID ORTIZ</v>
      </c>
      <c r="D99" s="13" t="str">
        <f t="shared" si="7"/>
        <v>david ortiz</v>
      </c>
      <c r="E99" s="13" t="str">
        <f t="shared" si="8"/>
        <v>David Ortiz</v>
      </c>
      <c r="F99" s="13" t="str">
        <f t="shared" si="9"/>
        <v>FL</v>
      </c>
      <c r="G99" s="13" t="str">
        <f t="shared" si="10"/>
        <v>98</v>
      </c>
      <c r="H99" s="13" t="str">
        <f t="shared" si="11"/>
        <v>2500</v>
      </c>
    </row>
    <row r="100" spans="1:8" x14ac:dyDescent="0.3">
      <c r="A100" s="13" t="s">
        <v>302</v>
      </c>
      <c r="B100" s="13" t="s">
        <v>303</v>
      </c>
      <c r="C100" s="13" t="str">
        <f t="shared" si="6"/>
        <v>ANDREW LYNCH</v>
      </c>
      <c r="D100" s="13" t="str">
        <f t="shared" si="7"/>
        <v>andrew lynch</v>
      </c>
      <c r="E100" s="13" t="str">
        <f t="shared" si="8"/>
        <v>Andrew Lynch</v>
      </c>
      <c r="F100" s="13" t="str">
        <f t="shared" si="9"/>
        <v>FL</v>
      </c>
      <c r="G100" s="13" t="str">
        <f t="shared" si="10"/>
        <v>99</v>
      </c>
      <c r="H100" s="13" t="str">
        <f t="shared" si="11"/>
        <v>2500</v>
      </c>
    </row>
    <row r="101" spans="1:8" x14ac:dyDescent="0.3">
      <c r="A101" s="13" t="s">
        <v>304</v>
      </c>
      <c r="B101" s="13" t="s">
        <v>305</v>
      </c>
      <c r="C101" s="13" t="str">
        <f t="shared" si="6"/>
        <v>KRISTOPHER MEYERS</v>
      </c>
      <c r="D101" s="13" t="str">
        <f t="shared" si="7"/>
        <v>kristopher meyers</v>
      </c>
      <c r="E101" s="13" t="str">
        <f t="shared" si="8"/>
        <v>Kristopher Meyers</v>
      </c>
      <c r="F101" s="13" t="str">
        <f t="shared" si="9"/>
        <v>FL</v>
      </c>
      <c r="G101" s="13" t="str">
        <f t="shared" si="10"/>
        <v>00</v>
      </c>
      <c r="H101" s="13" t="str">
        <f t="shared" si="11"/>
        <v>2501</v>
      </c>
    </row>
    <row r="102" spans="1:8" x14ac:dyDescent="0.3">
      <c r="A102" s="13" t="s">
        <v>306</v>
      </c>
      <c r="B102" s="13" t="s">
        <v>307</v>
      </c>
      <c r="C102" s="13" t="str">
        <f t="shared" si="6"/>
        <v>THOMAS ROTH</v>
      </c>
      <c r="D102" s="13" t="str">
        <f t="shared" si="7"/>
        <v>thomas roth</v>
      </c>
      <c r="E102" s="13" t="str">
        <f t="shared" si="8"/>
        <v>Thomas Roth</v>
      </c>
      <c r="F102" s="13" t="str">
        <f t="shared" si="9"/>
        <v>FL</v>
      </c>
      <c r="G102" s="13" t="str">
        <f t="shared" si="10"/>
        <v>01</v>
      </c>
      <c r="H102" s="13" t="str">
        <f t="shared" si="11"/>
        <v>2501</v>
      </c>
    </row>
    <row r="103" spans="1:8" x14ac:dyDescent="0.3">
      <c r="A103" s="13" t="s">
        <v>308</v>
      </c>
      <c r="B103" s="13" t="s">
        <v>309</v>
      </c>
      <c r="C103" s="13" t="str">
        <f t="shared" si="6"/>
        <v>VICKI BROWN</v>
      </c>
      <c r="D103" s="13" t="str">
        <f t="shared" si="7"/>
        <v>vicki brown</v>
      </c>
      <c r="E103" s="13" t="str">
        <f t="shared" si="8"/>
        <v>Vicki Brown</v>
      </c>
      <c r="F103" s="13" t="str">
        <f t="shared" si="9"/>
        <v>FL</v>
      </c>
      <c r="G103" s="13" t="str">
        <f t="shared" si="10"/>
        <v>02</v>
      </c>
      <c r="H103" s="13" t="str">
        <f t="shared" si="11"/>
        <v>2501</v>
      </c>
    </row>
    <row r="104" spans="1:8" x14ac:dyDescent="0.3">
      <c r="A104" s="13" t="s">
        <v>310</v>
      </c>
      <c r="B104" s="13" t="s">
        <v>311</v>
      </c>
      <c r="C104" s="13" t="str">
        <f t="shared" si="6"/>
        <v>STACY SUTTON</v>
      </c>
      <c r="D104" s="13" t="str">
        <f t="shared" si="7"/>
        <v>stacy sutton</v>
      </c>
      <c r="E104" s="13" t="str">
        <f t="shared" si="8"/>
        <v>Stacy Sutton</v>
      </c>
      <c r="F104" s="13" t="str">
        <f t="shared" si="9"/>
        <v>FL</v>
      </c>
      <c r="G104" s="13" t="str">
        <f t="shared" si="10"/>
        <v>03</v>
      </c>
      <c r="H104" s="13" t="str">
        <f t="shared" si="11"/>
        <v>2501</v>
      </c>
    </row>
    <row r="105" spans="1:8" x14ac:dyDescent="0.3">
      <c r="A105" s="13" t="s">
        <v>312</v>
      </c>
      <c r="B105" s="13" t="s">
        <v>313</v>
      </c>
      <c r="C105" s="13" t="str">
        <f t="shared" si="6"/>
        <v>KIMBERLY HOLLAND</v>
      </c>
      <c r="D105" s="13" t="str">
        <f t="shared" si="7"/>
        <v>kimberly holland</v>
      </c>
      <c r="E105" s="13" t="str">
        <f t="shared" si="8"/>
        <v>Kimberly Holland</v>
      </c>
      <c r="F105" s="13" t="str">
        <f t="shared" si="9"/>
        <v>FL</v>
      </c>
      <c r="G105" s="13" t="str">
        <f t="shared" si="10"/>
        <v>04</v>
      </c>
      <c r="H105" s="13" t="str">
        <f t="shared" si="11"/>
        <v>2501</v>
      </c>
    </row>
    <row r="106" spans="1:8" x14ac:dyDescent="0.3">
      <c r="A106" s="13" t="s">
        <v>314</v>
      </c>
      <c r="B106" s="13" t="s">
        <v>315</v>
      </c>
      <c r="C106" s="13" t="str">
        <f t="shared" si="6"/>
        <v>TRAVIS RICHARDSON</v>
      </c>
      <c r="D106" s="13" t="str">
        <f t="shared" si="7"/>
        <v>travis richardson</v>
      </c>
      <c r="E106" s="13" t="str">
        <f t="shared" si="8"/>
        <v>Travis Richardson</v>
      </c>
      <c r="F106" s="13" t="str">
        <f t="shared" si="9"/>
        <v>FL</v>
      </c>
      <c r="G106" s="13" t="str">
        <f t="shared" si="10"/>
        <v>05</v>
      </c>
      <c r="H106" s="13" t="str">
        <f t="shared" si="11"/>
        <v>2501</v>
      </c>
    </row>
    <row r="107" spans="1:8" x14ac:dyDescent="0.3">
      <c r="A107" s="13" t="s">
        <v>316</v>
      </c>
      <c r="B107" s="13" t="s">
        <v>317</v>
      </c>
      <c r="C107" s="13" t="str">
        <f t="shared" si="6"/>
        <v>JASMIN HO</v>
      </c>
      <c r="D107" s="13" t="str">
        <f t="shared" si="7"/>
        <v>jasmin ho</v>
      </c>
      <c r="E107" s="13" t="str">
        <f t="shared" si="8"/>
        <v>Jasmin Ho</v>
      </c>
      <c r="F107" s="13" t="str">
        <f t="shared" si="9"/>
        <v>FL</v>
      </c>
      <c r="G107" s="13" t="str">
        <f t="shared" si="10"/>
        <v>06</v>
      </c>
      <c r="H107" s="13" t="str">
        <f t="shared" si="11"/>
        <v>2501</v>
      </c>
    </row>
    <row r="108" spans="1:8" x14ac:dyDescent="0.3">
      <c r="A108" s="13" t="s">
        <v>318</v>
      </c>
      <c r="B108" s="13" t="s">
        <v>319</v>
      </c>
      <c r="C108" s="13" t="str">
        <f t="shared" si="6"/>
        <v>MARK PAUL</v>
      </c>
      <c r="D108" s="13" t="str">
        <f t="shared" si="7"/>
        <v>mark paul</v>
      </c>
      <c r="E108" s="13" t="str">
        <f t="shared" si="8"/>
        <v>Mark Paul</v>
      </c>
      <c r="F108" s="13" t="str">
        <f t="shared" si="9"/>
        <v>FL</v>
      </c>
      <c r="G108" s="13" t="str">
        <f t="shared" si="10"/>
        <v>07</v>
      </c>
      <c r="H108" s="13" t="str">
        <f t="shared" si="11"/>
        <v>2501</v>
      </c>
    </row>
    <row r="109" spans="1:8" x14ac:dyDescent="0.3">
      <c r="A109" s="13" t="s">
        <v>320</v>
      </c>
      <c r="B109" s="13" t="s">
        <v>321</v>
      </c>
      <c r="C109" s="13" t="str">
        <f t="shared" si="6"/>
        <v>JENNIFER LEWIS</v>
      </c>
      <c r="D109" s="13" t="str">
        <f t="shared" si="7"/>
        <v>jennifer lewis</v>
      </c>
      <c r="E109" s="13" t="str">
        <f t="shared" si="8"/>
        <v>Jennifer Lewis</v>
      </c>
      <c r="F109" s="13" t="str">
        <f t="shared" si="9"/>
        <v>FL</v>
      </c>
      <c r="G109" s="13" t="str">
        <f t="shared" si="10"/>
        <v>08</v>
      </c>
      <c r="H109" s="13" t="str">
        <f t="shared" si="11"/>
        <v>2501</v>
      </c>
    </row>
    <row r="110" spans="1:8" x14ac:dyDescent="0.3">
      <c r="A110" s="13" t="s">
        <v>322</v>
      </c>
      <c r="B110" s="13" t="s">
        <v>323</v>
      </c>
      <c r="C110" s="13" t="str">
        <f t="shared" si="6"/>
        <v>ELIZABETH LESTER</v>
      </c>
      <c r="D110" s="13" t="str">
        <f t="shared" si="7"/>
        <v>elizabeth lester</v>
      </c>
      <c r="E110" s="13" t="str">
        <f t="shared" si="8"/>
        <v>Elizabeth Lester</v>
      </c>
      <c r="F110" s="13" t="str">
        <f t="shared" si="9"/>
        <v>FL</v>
      </c>
      <c r="G110" s="13" t="str">
        <f t="shared" si="10"/>
        <v>09</v>
      </c>
      <c r="H110" s="13" t="str">
        <f t="shared" si="11"/>
        <v>2501</v>
      </c>
    </row>
    <row r="111" spans="1:8" x14ac:dyDescent="0.3">
      <c r="A111" s="13" t="s">
        <v>324</v>
      </c>
      <c r="B111" s="13" t="s">
        <v>325</v>
      </c>
      <c r="C111" s="13" t="str">
        <f t="shared" si="6"/>
        <v>KIMBERLY GRIFFIN</v>
      </c>
      <c r="D111" s="13" t="str">
        <f t="shared" si="7"/>
        <v>kimberly griffin</v>
      </c>
      <c r="E111" s="13" t="str">
        <f t="shared" si="8"/>
        <v>Kimberly Griffin</v>
      </c>
      <c r="F111" s="13" t="str">
        <f t="shared" si="9"/>
        <v>FL</v>
      </c>
      <c r="G111" s="13" t="str">
        <f t="shared" si="10"/>
        <v>10</v>
      </c>
      <c r="H111" s="13" t="str">
        <f t="shared" si="11"/>
        <v>2501</v>
      </c>
    </row>
    <row r="112" spans="1:8" x14ac:dyDescent="0.3">
      <c r="A112" s="13" t="s">
        <v>326</v>
      </c>
      <c r="B112" s="13" t="s">
        <v>327</v>
      </c>
      <c r="C112" s="13" t="str">
        <f t="shared" si="6"/>
        <v>TYLER WARNER</v>
      </c>
      <c r="D112" s="13" t="str">
        <f t="shared" si="7"/>
        <v>tyler warner</v>
      </c>
      <c r="E112" s="13" t="str">
        <f t="shared" si="8"/>
        <v>Tyler Warner</v>
      </c>
      <c r="F112" s="13" t="str">
        <f t="shared" si="9"/>
        <v>FL</v>
      </c>
      <c r="G112" s="13" t="str">
        <f t="shared" si="10"/>
        <v>11</v>
      </c>
      <c r="H112" s="13" t="str">
        <f t="shared" si="11"/>
        <v>2501</v>
      </c>
    </row>
    <row r="113" spans="1:8" x14ac:dyDescent="0.3">
      <c r="A113" s="13" t="s">
        <v>328</v>
      </c>
      <c r="B113" s="13" t="s">
        <v>329</v>
      </c>
      <c r="C113" s="13" t="str">
        <f t="shared" si="6"/>
        <v>JANE COX</v>
      </c>
      <c r="D113" s="13" t="str">
        <f t="shared" si="7"/>
        <v>jane cox</v>
      </c>
      <c r="E113" s="13" t="str">
        <f t="shared" si="8"/>
        <v>Jane Cox</v>
      </c>
      <c r="F113" s="13" t="str">
        <f t="shared" si="9"/>
        <v>FL</v>
      </c>
      <c r="G113" s="13" t="str">
        <f t="shared" si="10"/>
        <v>12</v>
      </c>
      <c r="H113" s="13" t="str">
        <f t="shared" si="11"/>
        <v>2501</v>
      </c>
    </row>
    <row r="114" spans="1:8" x14ac:dyDescent="0.3">
      <c r="A114" s="13" t="s">
        <v>330</v>
      </c>
      <c r="B114" s="13" t="s">
        <v>331</v>
      </c>
      <c r="C114" s="13" t="str">
        <f t="shared" si="6"/>
        <v>LEAH WILLIAMS</v>
      </c>
      <c r="D114" s="13" t="str">
        <f t="shared" si="7"/>
        <v>leah williams</v>
      </c>
      <c r="E114" s="13" t="str">
        <f t="shared" si="8"/>
        <v>Leah Williams</v>
      </c>
      <c r="F114" s="13" t="str">
        <f t="shared" si="9"/>
        <v>FL</v>
      </c>
      <c r="G114" s="13" t="str">
        <f t="shared" si="10"/>
        <v>13</v>
      </c>
      <c r="H114" s="13" t="str">
        <f t="shared" si="11"/>
        <v>2501</v>
      </c>
    </row>
    <row r="115" spans="1:8" x14ac:dyDescent="0.3">
      <c r="A115" s="13" t="s">
        <v>332</v>
      </c>
      <c r="B115" s="13" t="s">
        <v>333</v>
      </c>
      <c r="C115" s="13" t="str">
        <f t="shared" si="6"/>
        <v>KEVIN WONG</v>
      </c>
      <c r="D115" s="13" t="str">
        <f t="shared" si="7"/>
        <v>kevin wong</v>
      </c>
      <c r="E115" s="13" t="str">
        <f t="shared" si="8"/>
        <v>Kevin Wong</v>
      </c>
      <c r="F115" s="13" t="str">
        <f t="shared" si="9"/>
        <v>FL</v>
      </c>
      <c r="G115" s="13" t="str">
        <f t="shared" si="10"/>
        <v>14</v>
      </c>
      <c r="H115" s="13" t="str">
        <f t="shared" si="11"/>
        <v>2501</v>
      </c>
    </row>
    <row r="116" spans="1:8" x14ac:dyDescent="0.3">
      <c r="A116" s="13" t="s">
        <v>334</v>
      </c>
      <c r="B116" s="13" t="s">
        <v>335</v>
      </c>
      <c r="C116" s="13" t="str">
        <f t="shared" si="6"/>
        <v>ROBERT ANDREWS</v>
      </c>
      <c r="D116" s="13" t="str">
        <f t="shared" si="7"/>
        <v>robert andrews</v>
      </c>
      <c r="E116" s="13" t="str">
        <f t="shared" si="8"/>
        <v>Robert Andrews</v>
      </c>
      <c r="F116" s="13" t="str">
        <f t="shared" si="9"/>
        <v>FL</v>
      </c>
      <c r="G116" s="13" t="str">
        <f t="shared" si="10"/>
        <v>15</v>
      </c>
      <c r="H116" s="13" t="str">
        <f t="shared" si="11"/>
        <v>2501</v>
      </c>
    </row>
    <row r="117" spans="1:8" x14ac:dyDescent="0.3">
      <c r="A117" s="13" t="s">
        <v>337</v>
      </c>
      <c r="B117" s="13" t="s">
        <v>338</v>
      </c>
      <c r="C117" s="13" t="str">
        <f t="shared" si="6"/>
        <v>JESSICA TORRES</v>
      </c>
      <c r="D117" s="13" t="str">
        <f t="shared" si="7"/>
        <v>jessica torres</v>
      </c>
      <c r="E117" s="13" t="str">
        <f t="shared" si="8"/>
        <v>Jessica Torres</v>
      </c>
      <c r="F117" s="13" t="str">
        <f t="shared" si="9"/>
        <v>FL</v>
      </c>
      <c r="G117" s="13" t="str">
        <f t="shared" si="10"/>
        <v>16</v>
      </c>
      <c r="H117" s="13" t="str">
        <f t="shared" si="11"/>
        <v>2501</v>
      </c>
    </row>
    <row r="118" spans="1:8" x14ac:dyDescent="0.3">
      <c r="A118" s="13" t="s">
        <v>339</v>
      </c>
      <c r="B118" s="13" t="s">
        <v>340</v>
      </c>
      <c r="C118" s="13" t="str">
        <f t="shared" si="6"/>
        <v>TERESA KIM</v>
      </c>
      <c r="D118" s="13" t="str">
        <f t="shared" si="7"/>
        <v>teresa kim</v>
      </c>
      <c r="E118" s="13" t="str">
        <f t="shared" si="8"/>
        <v>Teresa Kim</v>
      </c>
      <c r="F118" s="13" t="str">
        <f t="shared" si="9"/>
        <v>FL</v>
      </c>
      <c r="G118" s="13" t="str">
        <f t="shared" si="10"/>
        <v>17</v>
      </c>
      <c r="H118" s="13" t="str">
        <f t="shared" si="11"/>
        <v>2501</v>
      </c>
    </row>
    <row r="119" spans="1:8" x14ac:dyDescent="0.3">
      <c r="A119" s="13" t="s">
        <v>341</v>
      </c>
      <c r="B119" s="13" t="s">
        <v>342</v>
      </c>
      <c r="C119" s="13" t="str">
        <f t="shared" si="6"/>
        <v>JON MORGAN</v>
      </c>
      <c r="D119" s="13" t="str">
        <f t="shared" si="7"/>
        <v>jon morgan</v>
      </c>
      <c r="E119" s="13" t="str">
        <f t="shared" si="8"/>
        <v>Jon Morgan</v>
      </c>
      <c r="F119" s="13" t="str">
        <f t="shared" si="9"/>
        <v>FL</v>
      </c>
      <c r="G119" s="13" t="str">
        <f t="shared" si="10"/>
        <v>18</v>
      </c>
      <c r="H119" s="13" t="str">
        <f t="shared" si="11"/>
        <v>2501</v>
      </c>
    </row>
    <row r="120" spans="1:8" x14ac:dyDescent="0.3">
      <c r="A120" s="13" t="s">
        <v>343</v>
      </c>
      <c r="B120" s="13" t="s">
        <v>344</v>
      </c>
      <c r="C120" s="13" t="str">
        <f t="shared" si="6"/>
        <v>GLORIA CHANEY</v>
      </c>
      <c r="D120" s="13" t="str">
        <f t="shared" si="7"/>
        <v>gloria chaney</v>
      </c>
      <c r="E120" s="13" t="str">
        <f t="shared" si="8"/>
        <v>Gloria Chaney</v>
      </c>
      <c r="F120" s="13" t="str">
        <f t="shared" si="9"/>
        <v>FL</v>
      </c>
      <c r="G120" s="13" t="str">
        <f t="shared" si="10"/>
        <v>19</v>
      </c>
      <c r="H120" s="13" t="str">
        <f t="shared" si="11"/>
        <v>2501</v>
      </c>
    </row>
    <row r="121" spans="1:8" x14ac:dyDescent="0.3">
      <c r="A121" s="13" t="s">
        <v>345</v>
      </c>
      <c r="B121" s="13" t="s">
        <v>346</v>
      </c>
      <c r="C121" s="13" t="str">
        <f t="shared" si="6"/>
        <v>JESSE CAMPBELL</v>
      </c>
      <c r="D121" s="13" t="str">
        <f t="shared" si="7"/>
        <v>jesse campbell</v>
      </c>
      <c r="E121" s="13" t="str">
        <f t="shared" si="8"/>
        <v>Jesse Campbell</v>
      </c>
      <c r="F121" s="13" t="str">
        <f t="shared" si="9"/>
        <v>FL</v>
      </c>
      <c r="G121" s="13" t="str">
        <f t="shared" si="10"/>
        <v>20</v>
      </c>
      <c r="H121" s="13" t="str">
        <f t="shared" si="11"/>
        <v>2501</v>
      </c>
    </row>
    <row r="122" spans="1:8" x14ac:dyDescent="0.3">
      <c r="A122" s="13" t="s">
        <v>347</v>
      </c>
      <c r="B122" s="13" t="s">
        <v>348</v>
      </c>
      <c r="C122" s="13" t="str">
        <f t="shared" si="6"/>
        <v>ALLISON TUCKER MD</v>
      </c>
      <c r="D122" s="13" t="str">
        <f t="shared" si="7"/>
        <v>allison tucker md</v>
      </c>
      <c r="E122" s="13" t="str">
        <f t="shared" si="8"/>
        <v>Allison Tucker Md</v>
      </c>
      <c r="F122" s="13" t="str">
        <f t="shared" si="9"/>
        <v>FL</v>
      </c>
      <c r="G122" s="13" t="str">
        <f t="shared" si="10"/>
        <v>21</v>
      </c>
      <c r="H122" s="13" t="str">
        <f t="shared" si="11"/>
        <v>2501</v>
      </c>
    </row>
    <row r="123" spans="1:8" x14ac:dyDescent="0.3">
      <c r="A123" s="13" t="s">
        <v>349</v>
      </c>
      <c r="B123" s="13" t="s">
        <v>350</v>
      </c>
      <c r="C123" s="13" t="str">
        <f t="shared" si="6"/>
        <v>CANDICE PETERSEN</v>
      </c>
      <c r="D123" s="13" t="str">
        <f t="shared" si="7"/>
        <v>candice petersen</v>
      </c>
      <c r="E123" s="13" t="str">
        <f t="shared" si="8"/>
        <v>Candice Petersen</v>
      </c>
      <c r="F123" s="13" t="str">
        <f t="shared" si="9"/>
        <v>FL</v>
      </c>
      <c r="G123" s="13" t="str">
        <f t="shared" si="10"/>
        <v>22</v>
      </c>
      <c r="H123" s="13" t="str">
        <f t="shared" si="11"/>
        <v>2501</v>
      </c>
    </row>
    <row r="124" spans="1:8" x14ac:dyDescent="0.3">
      <c r="A124" s="13" t="s">
        <v>351</v>
      </c>
      <c r="B124" s="13" t="s">
        <v>352</v>
      </c>
      <c r="C124" s="13" t="str">
        <f t="shared" si="6"/>
        <v>CHRISTOPHER NICHOLS</v>
      </c>
      <c r="D124" s="13" t="str">
        <f t="shared" si="7"/>
        <v>christopher nichols</v>
      </c>
      <c r="E124" s="13" t="str">
        <f t="shared" si="8"/>
        <v>Christopher Nichols</v>
      </c>
      <c r="F124" s="13" t="str">
        <f t="shared" si="9"/>
        <v>FL</v>
      </c>
      <c r="G124" s="13" t="str">
        <f t="shared" si="10"/>
        <v>23</v>
      </c>
      <c r="H124" s="13" t="str">
        <f t="shared" si="11"/>
        <v>2501</v>
      </c>
    </row>
    <row r="125" spans="1:8" x14ac:dyDescent="0.3">
      <c r="A125" s="13" t="s">
        <v>353</v>
      </c>
      <c r="B125" s="13" t="s">
        <v>354</v>
      </c>
      <c r="C125" s="13" t="str">
        <f t="shared" si="6"/>
        <v>DEBRA GARCIA</v>
      </c>
      <c r="D125" s="13" t="str">
        <f t="shared" si="7"/>
        <v>debra garcia</v>
      </c>
      <c r="E125" s="13" t="str">
        <f t="shared" si="8"/>
        <v>Debra Garcia</v>
      </c>
      <c r="F125" s="13" t="str">
        <f t="shared" si="9"/>
        <v>FL</v>
      </c>
      <c r="G125" s="13" t="str">
        <f t="shared" si="10"/>
        <v>24</v>
      </c>
      <c r="H125" s="13" t="str">
        <f t="shared" si="11"/>
        <v>2501</v>
      </c>
    </row>
    <row r="126" spans="1:8" x14ac:dyDescent="0.3">
      <c r="A126" s="13" t="s">
        <v>355</v>
      </c>
      <c r="B126" s="13" t="s">
        <v>356</v>
      </c>
      <c r="C126" s="13" t="str">
        <f t="shared" si="6"/>
        <v>ANDREW FUENTES</v>
      </c>
      <c r="D126" s="13" t="str">
        <f t="shared" si="7"/>
        <v>andrew fuentes</v>
      </c>
      <c r="E126" s="13" t="str">
        <f t="shared" si="8"/>
        <v>Andrew Fuentes</v>
      </c>
      <c r="F126" s="13" t="str">
        <f t="shared" si="9"/>
        <v>FL</v>
      </c>
      <c r="G126" s="13" t="str">
        <f t="shared" si="10"/>
        <v>25</v>
      </c>
      <c r="H126" s="13" t="str">
        <f t="shared" si="11"/>
        <v>2501</v>
      </c>
    </row>
    <row r="127" spans="1:8" x14ac:dyDescent="0.3">
      <c r="A127" s="13" t="s">
        <v>357</v>
      </c>
      <c r="B127" s="13" t="s">
        <v>358</v>
      </c>
      <c r="C127" s="13" t="str">
        <f t="shared" si="6"/>
        <v>JASON CARTER</v>
      </c>
      <c r="D127" s="13" t="str">
        <f t="shared" si="7"/>
        <v>jason carter</v>
      </c>
      <c r="E127" s="13" t="str">
        <f t="shared" si="8"/>
        <v>Jason Carter</v>
      </c>
      <c r="F127" s="13" t="str">
        <f t="shared" si="9"/>
        <v>FL</v>
      </c>
      <c r="G127" s="13" t="str">
        <f t="shared" si="10"/>
        <v>26</v>
      </c>
      <c r="H127" s="13" t="str">
        <f t="shared" si="11"/>
        <v>2501</v>
      </c>
    </row>
    <row r="128" spans="1:8" x14ac:dyDescent="0.3">
      <c r="A128" s="13" t="s">
        <v>359</v>
      </c>
      <c r="B128" s="13" t="s">
        <v>360</v>
      </c>
      <c r="C128" s="13" t="str">
        <f t="shared" si="6"/>
        <v>AUSTIN ROMERO</v>
      </c>
      <c r="D128" s="13" t="str">
        <f t="shared" si="7"/>
        <v>austin romero</v>
      </c>
      <c r="E128" s="13" t="str">
        <f t="shared" si="8"/>
        <v>Austin Romero</v>
      </c>
      <c r="F128" s="13" t="str">
        <f t="shared" si="9"/>
        <v>FL</v>
      </c>
      <c r="G128" s="13" t="str">
        <f t="shared" si="10"/>
        <v>27</v>
      </c>
      <c r="H128" s="13" t="str">
        <f t="shared" si="11"/>
        <v>2501</v>
      </c>
    </row>
    <row r="129" spans="1:8" x14ac:dyDescent="0.3">
      <c r="A129" s="13" t="s">
        <v>361</v>
      </c>
      <c r="B129" s="13" t="s">
        <v>362</v>
      </c>
      <c r="C129" s="13" t="str">
        <f t="shared" si="6"/>
        <v>CLAYTON BURNS</v>
      </c>
      <c r="D129" s="13" t="str">
        <f t="shared" si="7"/>
        <v>clayton burns</v>
      </c>
      <c r="E129" s="13" t="str">
        <f t="shared" si="8"/>
        <v>Clayton Burns</v>
      </c>
      <c r="F129" s="13" t="str">
        <f t="shared" si="9"/>
        <v>FL</v>
      </c>
      <c r="G129" s="13" t="str">
        <f t="shared" si="10"/>
        <v>28</v>
      </c>
      <c r="H129" s="13" t="str">
        <f t="shared" si="11"/>
        <v>2501</v>
      </c>
    </row>
    <row r="130" spans="1:8" x14ac:dyDescent="0.3">
      <c r="A130" s="13" t="s">
        <v>363</v>
      </c>
      <c r="B130" s="13" t="s">
        <v>364</v>
      </c>
      <c r="C130" s="13" t="str">
        <f t="shared" si="6"/>
        <v>JONATHAN CLARK</v>
      </c>
      <c r="D130" s="13" t="str">
        <f t="shared" si="7"/>
        <v>jonathan clark</v>
      </c>
      <c r="E130" s="13" t="str">
        <f t="shared" si="8"/>
        <v>Jonathan Clark</v>
      </c>
      <c r="F130" s="13" t="str">
        <f t="shared" si="9"/>
        <v>FL</v>
      </c>
      <c r="G130" s="13" t="str">
        <f t="shared" si="10"/>
        <v>29</v>
      </c>
      <c r="H130" s="13" t="str">
        <f t="shared" si="11"/>
        <v>2501</v>
      </c>
    </row>
    <row r="131" spans="1:8" x14ac:dyDescent="0.3">
      <c r="A131" s="13" t="s">
        <v>365</v>
      </c>
      <c r="B131" s="13" t="s">
        <v>366</v>
      </c>
      <c r="C131" s="13" t="str">
        <f t="shared" ref="C131:C194" si="12">UPPER(B131)</f>
        <v>ALEXANDER GRIFFIN</v>
      </c>
      <c r="D131" s="13" t="str">
        <f t="shared" ref="D131:D194" si="13">LOWER(B131)</f>
        <v>alexander griffin</v>
      </c>
      <c r="E131" s="13" t="str">
        <f t="shared" ref="E131:E194" si="14">PROPER(C131)</f>
        <v>Alexander Griffin</v>
      </c>
      <c r="F131" s="13" t="str">
        <f t="shared" ref="F131:F194" si="15">LEFT(A131,2)</f>
        <v>FL</v>
      </c>
      <c r="G131" s="13" t="str">
        <f t="shared" ref="G131:G194" si="16">RIGHT(A131,2)</f>
        <v>30</v>
      </c>
      <c r="H131" s="13" t="str">
        <f t="shared" ref="H131:H194" si="17">MID(A131,3,4)</f>
        <v>2501</v>
      </c>
    </row>
    <row r="132" spans="1:8" x14ac:dyDescent="0.3">
      <c r="A132" s="13" t="s">
        <v>367</v>
      </c>
      <c r="B132" s="13" t="s">
        <v>368</v>
      </c>
      <c r="C132" s="13" t="str">
        <f t="shared" si="12"/>
        <v>SHELLY WHITEHEAD</v>
      </c>
      <c r="D132" s="13" t="str">
        <f t="shared" si="13"/>
        <v>shelly whitehead</v>
      </c>
      <c r="E132" s="13" t="str">
        <f t="shared" si="14"/>
        <v>Shelly Whitehead</v>
      </c>
      <c r="F132" s="13" t="str">
        <f t="shared" si="15"/>
        <v>FL</v>
      </c>
      <c r="G132" s="13" t="str">
        <f t="shared" si="16"/>
        <v>31</v>
      </c>
      <c r="H132" s="13" t="str">
        <f t="shared" si="17"/>
        <v>2501</v>
      </c>
    </row>
    <row r="133" spans="1:8" x14ac:dyDescent="0.3">
      <c r="A133" s="13" t="s">
        <v>369</v>
      </c>
      <c r="B133" s="13" t="s">
        <v>370</v>
      </c>
      <c r="C133" s="13" t="str">
        <f t="shared" si="12"/>
        <v>KAITLYN DAVIS</v>
      </c>
      <c r="D133" s="13" t="str">
        <f t="shared" si="13"/>
        <v>kaitlyn davis</v>
      </c>
      <c r="E133" s="13" t="str">
        <f t="shared" si="14"/>
        <v>Kaitlyn Davis</v>
      </c>
      <c r="F133" s="13" t="str">
        <f t="shared" si="15"/>
        <v>FL</v>
      </c>
      <c r="G133" s="13" t="str">
        <f t="shared" si="16"/>
        <v>32</v>
      </c>
      <c r="H133" s="13" t="str">
        <f t="shared" si="17"/>
        <v>2501</v>
      </c>
    </row>
    <row r="134" spans="1:8" x14ac:dyDescent="0.3">
      <c r="A134" s="13" t="s">
        <v>371</v>
      </c>
      <c r="B134" s="13" t="s">
        <v>372</v>
      </c>
      <c r="C134" s="13" t="str">
        <f t="shared" si="12"/>
        <v>CHRISTOPHER JONES</v>
      </c>
      <c r="D134" s="13" t="str">
        <f t="shared" si="13"/>
        <v>christopher jones</v>
      </c>
      <c r="E134" s="13" t="str">
        <f t="shared" si="14"/>
        <v>Christopher Jones</v>
      </c>
      <c r="F134" s="13" t="str">
        <f t="shared" si="15"/>
        <v>FL</v>
      </c>
      <c r="G134" s="13" t="str">
        <f t="shared" si="16"/>
        <v>33</v>
      </c>
      <c r="H134" s="13" t="str">
        <f t="shared" si="17"/>
        <v>2501</v>
      </c>
    </row>
    <row r="135" spans="1:8" x14ac:dyDescent="0.3">
      <c r="A135" s="13" t="s">
        <v>373</v>
      </c>
      <c r="B135" s="13" t="s">
        <v>374</v>
      </c>
      <c r="C135" s="13" t="str">
        <f t="shared" si="12"/>
        <v>CINDY JACOBS</v>
      </c>
      <c r="D135" s="13" t="str">
        <f t="shared" si="13"/>
        <v>cindy jacobs</v>
      </c>
      <c r="E135" s="13" t="str">
        <f t="shared" si="14"/>
        <v>Cindy Jacobs</v>
      </c>
      <c r="F135" s="13" t="str">
        <f t="shared" si="15"/>
        <v>FL</v>
      </c>
      <c r="G135" s="13" t="str">
        <f t="shared" si="16"/>
        <v>34</v>
      </c>
      <c r="H135" s="13" t="str">
        <f t="shared" si="17"/>
        <v>2501</v>
      </c>
    </row>
    <row r="136" spans="1:8" x14ac:dyDescent="0.3">
      <c r="A136" s="13" t="s">
        <v>375</v>
      </c>
      <c r="B136" s="13" t="s">
        <v>376</v>
      </c>
      <c r="C136" s="13" t="str">
        <f t="shared" si="12"/>
        <v>PENNY DAY</v>
      </c>
      <c r="D136" s="13" t="str">
        <f t="shared" si="13"/>
        <v>penny day</v>
      </c>
      <c r="E136" s="13" t="str">
        <f t="shared" si="14"/>
        <v>Penny Day</v>
      </c>
      <c r="F136" s="13" t="str">
        <f t="shared" si="15"/>
        <v>FL</v>
      </c>
      <c r="G136" s="13" t="str">
        <f t="shared" si="16"/>
        <v>35</v>
      </c>
      <c r="H136" s="13" t="str">
        <f t="shared" si="17"/>
        <v>2501</v>
      </c>
    </row>
    <row r="137" spans="1:8" x14ac:dyDescent="0.3">
      <c r="A137" s="13" t="s">
        <v>377</v>
      </c>
      <c r="B137" s="13" t="s">
        <v>378</v>
      </c>
      <c r="C137" s="13" t="str">
        <f t="shared" si="12"/>
        <v>THOMAS INGRAM</v>
      </c>
      <c r="D137" s="13" t="str">
        <f t="shared" si="13"/>
        <v>thomas ingram</v>
      </c>
      <c r="E137" s="13" t="str">
        <f t="shared" si="14"/>
        <v>Thomas Ingram</v>
      </c>
      <c r="F137" s="13" t="str">
        <f t="shared" si="15"/>
        <v>FL</v>
      </c>
      <c r="G137" s="13" t="str">
        <f t="shared" si="16"/>
        <v>36</v>
      </c>
      <c r="H137" s="13" t="str">
        <f t="shared" si="17"/>
        <v>2501</v>
      </c>
    </row>
    <row r="138" spans="1:8" x14ac:dyDescent="0.3">
      <c r="A138" s="13" t="s">
        <v>379</v>
      </c>
      <c r="B138" s="13" t="s">
        <v>380</v>
      </c>
      <c r="C138" s="13" t="str">
        <f t="shared" si="12"/>
        <v>DONNA HANSEN</v>
      </c>
      <c r="D138" s="13" t="str">
        <f t="shared" si="13"/>
        <v>donna hansen</v>
      </c>
      <c r="E138" s="13" t="str">
        <f t="shared" si="14"/>
        <v>Donna Hansen</v>
      </c>
      <c r="F138" s="13" t="str">
        <f t="shared" si="15"/>
        <v>FL</v>
      </c>
      <c r="G138" s="13" t="str">
        <f t="shared" si="16"/>
        <v>37</v>
      </c>
      <c r="H138" s="13" t="str">
        <f t="shared" si="17"/>
        <v>2501</v>
      </c>
    </row>
    <row r="139" spans="1:8" x14ac:dyDescent="0.3">
      <c r="A139" s="13" t="s">
        <v>381</v>
      </c>
      <c r="B139" s="13" t="s">
        <v>382</v>
      </c>
      <c r="C139" s="13" t="str">
        <f t="shared" si="12"/>
        <v>DONNA BAILEY</v>
      </c>
      <c r="D139" s="13" t="str">
        <f t="shared" si="13"/>
        <v>donna bailey</v>
      </c>
      <c r="E139" s="13" t="str">
        <f t="shared" si="14"/>
        <v>Donna Bailey</v>
      </c>
      <c r="F139" s="13" t="str">
        <f t="shared" si="15"/>
        <v>FL</v>
      </c>
      <c r="G139" s="13" t="str">
        <f t="shared" si="16"/>
        <v>38</v>
      </c>
      <c r="H139" s="13" t="str">
        <f t="shared" si="17"/>
        <v>2501</v>
      </c>
    </row>
    <row r="140" spans="1:8" x14ac:dyDescent="0.3">
      <c r="A140" s="13" t="s">
        <v>383</v>
      </c>
      <c r="B140" s="13" t="s">
        <v>384</v>
      </c>
      <c r="C140" s="13" t="str">
        <f t="shared" si="12"/>
        <v>JOSHUA ARMSTRONG</v>
      </c>
      <c r="D140" s="13" t="str">
        <f t="shared" si="13"/>
        <v>joshua armstrong</v>
      </c>
      <c r="E140" s="13" t="str">
        <f t="shared" si="14"/>
        <v>Joshua Armstrong</v>
      </c>
      <c r="F140" s="13" t="str">
        <f t="shared" si="15"/>
        <v>FL</v>
      </c>
      <c r="G140" s="13" t="str">
        <f t="shared" si="16"/>
        <v>39</v>
      </c>
      <c r="H140" s="13" t="str">
        <f t="shared" si="17"/>
        <v>2501</v>
      </c>
    </row>
    <row r="141" spans="1:8" x14ac:dyDescent="0.3">
      <c r="A141" s="13" t="s">
        <v>385</v>
      </c>
      <c r="B141" s="13" t="s">
        <v>386</v>
      </c>
      <c r="C141" s="13" t="str">
        <f t="shared" si="12"/>
        <v>JONATHAN GARZA</v>
      </c>
      <c r="D141" s="13" t="str">
        <f t="shared" si="13"/>
        <v>jonathan garza</v>
      </c>
      <c r="E141" s="13" t="str">
        <f t="shared" si="14"/>
        <v>Jonathan Garza</v>
      </c>
      <c r="F141" s="13" t="str">
        <f t="shared" si="15"/>
        <v>FL</v>
      </c>
      <c r="G141" s="13" t="str">
        <f t="shared" si="16"/>
        <v>40</v>
      </c>
      <c r="H141" s="13" t="str">
        <f t="shared" si="17"/>
        <v>2501</v>
      </c>
    </row>
    <row r="142" spans="1:8" x14ac:dyDescent="0.3">
      <c r="A142" s="13" t="s">
        <v>387</v>
      </c>
      <c r="B142" s="13" t="s">
        <v>388</v>
      </c>
      <c r="C142" s="13" t="str">
        <f t="shared" si="12"/>
        <v>CHARLES JONES</v>
      </c>
      <c r="D142" s="13" t="str">
        <f t="shared" si="13"/>
        <v>charles jones</v>
      </c>
      <c r="E142" s="13" t="str">
        <f t="shared" si="14"/>
        <v>Charles Jones</v>
      </c>
      <c r="F142" s="13" t="str">
        <f t="shared" si="15"/>
        <v>FL</v>
      </c>
      <c r="G142" s="13" t="str">
        <f t="shared" si="16"/>
        <v>41</v>
      </c>
      <c r="H142" s="13" t="str">
        <f t="shared" si="17"/>
        <v>2501</v>
      </c>
    </row>
    <row r="143" spans="1:8" x14ac:dyDescent="0.3">
      <c r="A143" s="13" t="s">
        <v>389</v>
      </c>
      <c r="B143" s="13" t="s">
        <v>390</v>
      </c>
      <c r="C143" s="13" t="str">
        <f t="shared" si="12"/>
        <v>LINDSEY MILES</v>
      </c>
      <c r="D143" s="13" t="str">
        <f t="shared" si="13"/>
        <v>lindsey miles</v>
      </c>
      <c r="E143" s="13" t="str">
        <f t="shared" si="14"/>
        <v>Lindsey Miles</v>
      </c>
      <c r="F143" s="13" t="str">
        <f t="shared" si="15"/>
        <v>FL</v>
      </c>
      <c r="G143" s="13" t="str">
        <f t="shared" si="16"/>
        <v>42</v>
      </c>
      <c r="H143" s="13" t="str">
        <f t="shared" si="17"/>
        <v>2501</v>
      </c>
    </row>
    <row r="144" spans="1:8" x14ac:dyDescent="0.3">
      <c r="A144" s="13" t="s">
        <v>391</v>
      </c>
      <c r="B144" s="13" t="s">
        <v>392</v>
      </c>
      <c r="C144" s="13" t="str">
        <f t="shared" si="12"/>
        <v>EDUARDO REED</v>
      </c>
      <c r="D144" s="13" t="str">
        <f t="shared" si="13"/>
        <v>eduardo reed</v>
      </c>
      <c r="E144" s="13" t="str">
        <f t="shared" si="14"/>
        <v>Eduardo Reed</v>
      </c>
      <c r="F144" s="13" t="str">
        <f t="shared" si="15"/>
        <v>FL</v>
      </c>
      <c r="G144" s="13" t="str">
        <f t="shared" si="16"/>
        <v>43</v>
      </c>
      <c r="H144" s="13" t="str">
        <f t="shared" si="17"/>
        <v>2501</v>
      </c>
    </row>
    <row r="145" spans="1:8" x14ac:dyDescent="0.3">
      <c r="A145" s="13" t="s">
        <v>393</v>
      </c>
      <c r="B145" s="13" t="s">
        <v>394</v>
      </c>
      <c r="C145" s="13" t="str">
        <f t="shared" si="12"/>
        <v>LEE FOWLER</v>
      </c>
      <c r="D145" s="13" t="str">
        <f t="shared" si="13"/>
        <v>lee fowler</v>
      </c>
      <c r="E145" s="13" t="str">
        <f t="shared" si="14"/>
        <v>Lee Fowler</v>
      </c>
      <c r="F145" s="13" t="str">
        <f t="shared" si="15"/>
        <v>FL</v>
      </c>
      <c r="G145" s="13" t="str">
        <f t="shared" si="16"/>
        <v>44</v>
      </c>
      <c r="H145" s="13" t="str">
        <f t="shared" si="17"/>
        <v>2501</v>
      </c>
    </row>
    <row r="146" spans="1:8" x14ac:dyDescent="0.3">
      <c r="A146" s="13" t="s">
        <v>395</v>
      </c>
      <c r="B146" s="13" t="s">
        <v>396</v>
      </c>
      <c r="C146" s="13" t="str">
        <f t="shared" si="12"/>
        <v>STEVEN JONES JR.</v>
      </c>
      <c r="D146" s="13" t="str">
        <f t="shared" si="13"/>
        <v>steven jones jr.</v>
      </c>
      <c r="E146" s="13" t="str">
        <f t="shared" si="14"/>
        <v>Steven Jones Jr.</v>
      </c>
      <c r="F146" s="13" t="str">
        <f t="shared" si="15"/>
        <v>FL</v>
      </c>
      <c r="G146" s="13" t="str">
        <f t="shared" si="16"/>
        <v>45</v>
      </c>
      <c r="H146" s="13" t="str">
        <f t="shared" si="17"/>
        <v>2501</v>
      </c>
    </row>
    <row r="147" spans="1:8" x14ac:dyDescent="0.3">
      <c r="A147" s="13" t="s">
        <v>397</v>
      </c>
      <c r="B147" s="13" t="s">
        <v>398</v>
      </c>
      <c r="C147" s="13" t="str">
        <f t="shared" si="12"/>
        <v>ASHLEY CHEN</v>
      </c>
      <c r="D147" s="13" t="str">
        <f t="shared" si="13"/>
        <v>ashley chen</v>
      </c>
      <c r="E147" s="13" t="str">
        <f t="shared" si="14"/>
        <v>Ashley Chen</v>
      </c>
      <c r="F147" s="13" t="str">
        <f t="shared" si="15"/>
        <v>FL</v>
      </c>
      <c r="G147" s="13" t="str">
        <f t="shared" si="16"/>
        <v>46</v>
      </c>
      <c r="H147" s="13" t="str">
        <f t="shared" si="17"/>
        <v>2501</v>
      </c>
    </row>
    <row r="148" spans="1:8" x14ac:dyDescent="0.3">
      <c r="A148" s="13" t="s">
        <v>399</v>
      </c>
      <c r="B148" s="13" t="s">
        <v>400</v>
      </c>
      <c r="C148" s="13" t="str">
        <f t="shared" si="12"/>
        <v>ERICA DAVIS</v>
      </c>
      <c r="D148" s="13" t="str">
        <f t="shared" si="13"/>
        <v>erica davis</v>
      </c>
      <c r="E148" s="13" t="str">
        <f t="shared" si="14"/>
        <v>Erica Davis</v>
      </c>
      <c r="F148" s="13" t="str">
        <f t="shared" si="15"/>
        <v>FL</v>
      </c>
      <c r="G148" s="13" t="str">
        <f t="shared" si="16"/>
        <v>47</v>
      </c>
      <c r="H148" s="13" t="str">
        <f t="shared" si="17"/>
        <v>2501</v>
      </c>
    </row>
    <row r="149" spans="1:8" x14ac:dyDescent="0.3">
      <c r="A149" s="13" t="s">
        <v>401</v>
      </c>
      <c r="B149" s="13" t="s">
        <v>402</v>
      </c>
      <c r="C149" s="13" t="str">
        <f t="shared" si="12"/>
        <v>WAYNE GONZALES</v>
      </c>
      <c r="D149" s="13" t="str">
        <f t="shared" si="13"/>
        <v>wayne gonzales</v>
      </c>
      <c r="E149" s="13" t="str">
        <f t="shared" si="14"/>
        <v>Wayne Gonzales</v>
      </c>
      <c r="F149" s="13" t="str">
        <f t="shared" si="15"/>
        <v>FL</v>
      </c>
      <c r="G149" s="13" t="str">
        <f t="shared" si="16"/>
        <v>48</v>
      </c>
      <c r="H149" s="13" t="str">
        <f t="shared" si="17"/>
        <v>2501</v>
      </c>
    </row>
    <row r="150" spans="1:8" x14ac:dyDescent="0.3">
      <c r="A150" s="13" t="s">
        <v>403</v>
      </c>
      <c r="B150" s="13" t="s">
        <v>404</v>
      </c>
      <c r="C150" s="13" t="str">
        <f t="shared" si="12"/>
        <v>GARY BALLARD</v>
      </c>
      <c r="D150" s="13" t="str">
        <f t="shared" si="13"/>
        <v>gary ballard</v>
      </c>
      <c r="E150" s="13" t="str">
        <f t="shared" si="14"/>
        <v>Gary Ballard</v>
      </c>
      <c r="F150" s="13" t="str">
        <f t="shared" si="15"/>
        <v>FL</v>
      </c>
      <c r="G150" s="13" t="str">
        <f t="shared" si="16"/>
        <v>49</v>
      </c>
      <c r="H150" s="13" t="str">
        <f t="shared" si="17"/>
        <v>2501</v>
      </c>
    </row>
    <row r="151" spans="1:8" x14ac:dyDescent="0.3">
      <c r="A151" s="13" t="s">
        <v>405</v>
      </c>
      <c r="B151" s="13" t="s">
        <v>406</v>
      </c>
      <c r="C151" s="13" t="str">
        <f t="shared" si="12"/>
        <v>MARIA MCGUIRE</v>
      </c>
      <c r="D151" s="13" t="str">
        <f t="shared" si="13"/>
        <v>maria mcguire</v>
      </c>
      <c r="E151" s="13" t="str">
        <f t="shared" si="14"/>
        <v>Maria Mcguire</v>
      </c>
      <c r="F151" s="13" t="str">
        <f t="shared" si="15"/>
        <v>FL</v>
      </c>
      <c r="G151" s="13" t="str">
        <f t="shared" si="16"/>
        <v>50</v>
      </c>
      <c r="H151" s="13" t="str">
        <f t="shared" si="17"/>
        <v>2501</v>
      </c>
    </row>
    <row r="152" spans="1:8" x14ac:dyDescent="0.3">
      <c r="A152" s="13" t="s">
        <v>407</v>
      </c>
      <c r="B152" s="13" t="s">
        <v>408</v>
      </c>
      <c r="C152" s="13" t="str">
        <f t="shared" si="12"/>
        <v>MATTHEW RICHARDS</v>
      </c>
      <c r="D152" s="13" t="str">
        <f t="shared" si="13"/>
        <v>matthew richards</v>
      </c>
      <c r="E152" s="13" t="str">
        <f t="shared" si="14"/>
        <v>Matthew Richards</v>
      </c>
      <c r="F152" s="13" t="str">
        <f t="shared" si="15"/>
        <v>FL</v>
      </c>
      <c r="G152" s="13" t="str">
        <f t="shared" si="16"/>
        <v>51</v>
      </c>
      <c r="H152" s="13" t="str">
        <f t="shared" si="17"/>
        <v>2501</v>
      </c>
    </row>
    <row r="153" spans="1:8" x14ac:dyDescent="0.3">
      <c r="A153" s="13" t="s">
        <v>409</v>
      </c>
      <c r="B153" s="13" t="s">
        <v>410</v>
      </c>
      <c r="C153" s="13" t="str">
        <f t="shared" si="12"/>
        <v>PATRICK MALONE</v>
      </c>
      <c r="D153" s="13" t="str">
        <f t="shared" si="13"/>
        <v>patrick malone</v>
      </c>
      <c r="E153" s="13" t="str">
        <f t="shared" si="14"/>
        <v>Patrick Malone</v>
      </c>
      <c r="F153" s="13" t="str">
        <f t="shared" si="15"/>
        <v>FL</v>
      </c>
      <c r="G153" s="13" t="str">
        <f t="shared" si="16"/>
        <v>52</v>
      </c>
      <c r="H153" s="13" t="str">
        <f t="shared" si="17"/>
        <v>2501</v>
      </c>
    </row>
    <row r="154" spans="1:8" x14ac:dyDescent="0.3">
      <c r="A154" s="13" t="s">
        <v>411</v>
      </c>
      <c r="B154" s="13" t="s">
        <v>412</v>
      </c>
      <c r="C154" s="13" t="str">
        <f t="shared" si="12"/>
        <v>CINDY MARTIN</v>
      </c>
      <c r="D154" s="13" t="str">
        <f t="shared" si="13"/>
        <v>cindy martin</v>
      </c>
      <c r="E154" s="13" t="str">
        <f t="shared" si="14"/>
        <v>Cindy Martin</v>
      </c>
      <c r="F154" s="13" t="str">
        <f t="shared" si="15"/>
        <v>FL</v>
      </c>
      <c r="G154" s="13" t="str">
        <f t="shared" si="16"/>
        <v>53</v>
      </c>
      <c r="H154" s="13" t="str">
        <f t="shared" si="17"/>
        <v>2501</v>
      </c>
    </row>
    <row r="155" spans="1:8" x14ac:dyDescent="0.3">
      <c r="A155" s="13" t="s">
        <v>413</v>
      </c>
      <c r="B155" s="13" t="s">
        <v>414</v>
      </c>
      <c r="C155" s="13" t="str">
        <f t="shared" si="12"/>
        <v>ANNE EDWARDS</v>
      </c>
      <c r="D155" s="13" t="str">
        <f t="shared" si="13"/>
        <v>anne edwards</v>
      </c>
      <c r="E155" s="13" t="str">
        <f t="shared" si="14"/>
        <v>Anne Edwards</v>
      </c>
      <c r="F155" s="13" t="str">
        <f t="shared" si="15"/>
        <v>FL</v>
      </c>
      <c r="G155" s="13" t="str">
        <f t="shared" si="16"/>
        <v>54</v>
      </c>
      <c r="H155" s="13" t="str">
        <f t="shared" si="17"/>
        <v>2501</v>
      </c>
    </row>
    <row r="156" spans="1:8" x14ac:dyDescent="0.3">
      <c r="A156" s="13" t="s">
        <v>415</v>
      </c>
      <c r="B156" s="13" t="s">
        <v>416</v>
      </c>
      <c r="C156" s="13" t="str">
        <f t="shared" si="12"/>
        <v>MITCHELL MARTIN</v>
      </c>
      <c r="D156" s="13" t="str">
        <f t="shared" si="13"/>
        <v>mitchell martin</v>
      </c>
      <c r="E156" s="13" t="str">
        <f t="shared" si="14"/>
        <v>Mitchell Martin</v>
      </c>
      <c r="F156" s="13" t="str">
        <f t="shared" si="15"/>
        <v>FL</v>
      </c>
      <c r="G156" s="13" t="str">
        <f t="shared" si="16"/>
        <v>55</v>
      </c>
      <c r="H156" s="13" t="str">
        <f t="shared" si="17"/>
        <v>2501</v>
      </c>
    </row>
    <row r="157" spans="1:8" x14ac:dyDescent="0.3">
      <c r="A157" s="13" t="s">
        <v>417</v>
      </c>
      <c r="B157" s="13" t="s">
        <v>418</v>
      </c>
      <c r="C157" s="13" t="str">
        <f t="shared" si="12"/>
        <v>MITCHELL PATRICK</v>
      </c>
      <c r="D157" s="13" t="str">
        <f t="shared" si="13"/>
        <v>mitchell patrick</v>
      </c>
      <c r="E157" s="13" t="str">
        <f t="shared" si="14"/>
        <v>Mitchell Patrick</v>
      </c>
      <c r="F157" s="13" t="str">
        <f t="shared" si="15"/>
        <v>FL</v>
      </c>
      <c r="G157" s="13" t="str">
        <f t="shared" si="16"/>
        <v>56</v>
      </c>
      <c r="H157" s="13" t="str">
        <f t="shared" si="17"/>
        <v>2501</v>
      </c>
    </row>
    <row r="158" spans="1:8" x14ac:dyDescent="0.3">
      <c r="A158" s="13" t="s">
        <v>419</v>
      </c>
      <c r="B158" s="13" t="s">
        <v>420</v>
      </c>
      <c r="C158" s="13" t="str">
        <f t="shared" si="12"/>
        <v>REBECCA LYONS</v>
      </c>
      <c r="D158" s="13" t="str">
        <f t="shared" si="13"/>
        <v>rebecca lyons</v>
      </c>
      <c r="E158" s="13" t="str">
        <f t="shared" si="14"/>
        <v>Rebecca Lyons</v>
      </c>
      <c r="F158" s="13" t="str">
        <f t="shared" si="15"/>
        <v>FL</v>
      </c>
      <c r="G158" s="13" t="str">
        <f t="shared" si="16"/>
        <v>57</v>
      </c>
      <c r="H158" s="13" t="str">
        <f t="shared" si="17"/>
        <v>2501</v>
      </c>
    </row>
    <row r="159" spans="1:8" x14ac:dyDescent="0.3">
      <c r="A159" s="13" t="s">
        <v>421</v>
      </c>
      <c r="B159" s="13" t="s">
        <v>422</v>
      </c>
      <c r="C159" s="13" t="str">
        <f t="shared" si="12"/>
        <v>CHRISTIAN LOPEZ</v>
      </c>
      <c r="D159" s="13" t="str">
        <f t="shared" si="13"/>
        <v>christian lopez</v>
      </c>
      <c r="E159" s="13" t="str">
        <f t="shared" si="14"/>
        <v>Christian Lopez</v>
      </c>
      <c r="F159" s="13" t="str">
        <f t="shared" si="15"/>
        <v>FL</v>
      </c>
      <c r="G159" s="13" t="str">
        <f t="shared" si="16"/>
        <v>58</v>
      </c>
      <c r="H159" s="13" t="str">
        <f t="shared" si="17"/>
        <v>2501</v>
      </c>
    </row>
    <row r="160" spans="1:8" x14ac:dyDescent="0.3">
      <c r="A160" s="13" t="s">
        <v>423</v>
      </c>
      <c r="B160" s="13" t="s">
        <v>424</v>
      </c>
      <c r="C160" s="13" t="str">
        <f t="shared" si="12"/>
        <v>NATHAN BLAIR</v>
      </c>
      <c r="D160" s="13" t="str">
        <f t="shared" si="13"/>
        <v>nathan blair</v>
      </c>
      <c r="E160" s="13" t="str">
        <f t="shared" si="14"/>
        <v>Nathan Blair</v>
      </c>
      <c r="F160" s="13" t="str">
        <f t="shared" si="15"/>
        <v>FL</v>
      </c>
      <c r="G160" s="13" t="str">
        <f t="shared" si="16"/>
        <v>59</v>
      </c>
      <c r="H160" s="13" t="str">
        <f t="shared" si="17"/>
        <v>2501</v>
      </c>
    </row>
    <row r="161" spans="1:8" x14ac:dyDescent="0.3">
      <c r="A161" s="13" t="s">
        <v>425</v>
      </c>
      <c r="B161" s="13" t="s">
        <v>426</v>
      </c>
      <c r="C161" s="13" t="str">
        <f t="shared" si="12"/>
        <v>PATRICIA LOPEZ</v>
      </c>
      <c r="D161" s="13" t="str">
        <f t="shared" si="13"/>
        <v>patricia lopez</v>
      </c>
      <c r="E161" s="13" t="str">
        <f t="shared" si="14"/>
        <v>Patricia Lopez</v>
      </c>
      <c r="F161" s="13" t="str">
        <f t="shared" si="15"/>
        <v>FL</v>
      </c>
      <c r="G161" s="13" t="str">
        <f t="shared" si="16"/>
        <v>60</v>
      </c>
      <c r="H161" s="13" t="str">
        <f t="shared" si="17"/>
        <v>2501</v>
      </c>
    </row>
    <row r="162" spans="1:8" x14ac:dyDescent="0.3">
      <c r="A162" s="13" t="s">
        <v>427</v>
      </c>
      <c r="B162" s="13" t="s">
        <v>428</v>
      </c>
      <c r="C162" s="13" t="str">
        <f t="shared" si="12"/>
        <v>MICHELLE WU</v>
      </c>
      <c r="D162" s="13" t="str">
        <f t="shared" si="13"/>
        <v>michelle wu</v>
      </c>
      <c r="E162" s="13" t="str">
        <f t="shared" si="14"/>
        <v>Michelle Wu</v>
      </c>
      <c r="F162" s="13" t="str">
        <f t="shared" si="15"/>
        <v>FL</v>
      </c>
      <c r="G162" s="13" t="str">
        <f t="shared" si="16"/>
        <v>61</v>
      </c>
      <c r="H162" s="13" t="str">
        <f t="shared" si="17"/>
        <v>2501</v>
      </c>
    </row>
    <row r="163" spans="1:8" x14ac:dyDescent="0.3">
      <c r="A163" s="13" t="s">
        <v>429</v>
      </c>
      <c r="B163" s="13" t="s">
        <v>430</v>
      </c>
      <c r="C163" s="13" t="str">
        <f t="shared" si="12"/>
        <v>DONALD MITCHELL</v>
      </c>
      <c r="D163" s="13" t="str">
        <f t="shared" si="13"/>
        <v>donald mitchell</v>
      </c>
      <c r="E163" s="13" t="str">
        <f t="shared" si="14"/>
        <v>Donald Mitchell</v>
      </c>
      <c r="F163" s="13" t="str">
        <f t="shared" si="15"/>
        <v>FL</v>
      </c>
      <c r="G163" s="13" t="str">
        <f t="shared" si="16"/>
        <v>62</v>
      </c>
      <c r="H163" s="13" t="str">
        <f t="shared" si="17"/>
        <v>2501</v>
      </c>
    </row>
    <row r="164" spans="1:8" x14ac:dyDescent="0.3">
      <c r="A164" s="13" t="s">
        <v>431</v>
      </c>
      <c r="B164" s="13" t="s">
        <v>432</v>
      </c>
      <c r="C164" s="13" t="str">
        <f t="shared" si="12"/>
        <v>SEAN GORDON</v>
      </c>
      <c r="D164" s="13" t="str">
        <f t="shared" si="13"/>
        <v>sean gordon</v>
      </c>
      <c r="E164" s="13" t="str">
        <f t="shared" si="14"/>
        <v>Sean Gordon</v>
      </c>
      <c r="F164" s="13" t="str">
        <f t="shared" si="15"/>
        <v>FL</v>
      </c>
      <c r="G164" s="13" t="str">
        <f t="shared" si="16"/>
        <v>63</v>
      </c>
      <c r="H164" s="13" t="str">
        <f t="shared" si="17"/>
        <v>2501</v>
      </c>
    </row>
    <row r="165" spans="1:8" x14ac:dyDescent="0.3">
      <c r="A165" s="13" t="s">
        <v>433</v>
      </c>
      <c r="B165" s="13" t="s">
        <v>434</v>
      </c>
      <c r="C165" s="13" t="str">
        <f t="shared" si="12"/>
        <v>GREGORY CLARKE</v>
      </c>
      <c r="D165" s="13" t="str">
        <f t="shared" si="13"/>
        <v>gregory clarke</v>
      </c>
      <c r="E165" s="13" t="str">
        <f t="shared" si="14"/>
        <v>Gregory Clarke</v>
      </c>
      <c r="F165" s="13" t="str">
        <f t="shared" si="15"/>
        <v>FL</v>
      </c>
      <c r="G165" s="13" t="str">
        <f t="shared" si="16"/>
        <v>64</v>
      </c>
      <c r="H165" s="13" t="str">
        <f t="shared" si="17"/>
        <v>2501</v>
      </c>
    </row>
    <row r="166" spans="1:8" x14ac:dyDescent="0.3">
      <c r="A166" s="13" t="s">
        <v>435</v>
      </c>
      <c r="B166" s="13" t="s">
        <v>436</v>
      </c>
      <c r="C166" s="13" t="str">
        <f t="shared" si="12"/>
        <v>STEVEN WHITNEY</v>
      </c>
      <c r="D166" s="13" t="str">
        <f t="shared" si="13"/>
        <v>steven whitney</v>
      </c>
      <c r="E166" s="13" t="str">
        <f t="shared" si="14"/>
        <v>Steven Whitney</v>
      </c>
      <c r="F166" s="13" t="str">
        <f t="shared" si="15"/>
        <v>FL</v>
      </c>
      <c r="G166" s="13" t="str">
        <f t="shared" si="16"/>
        <v>65</v>
      </c>
      <c r="H166" s="13" t="str">
        <f t="shared" si="17"/>
        <v>2501</v>
      </c>
    </row>
    <row r="167" spans="1:8" x14ac:dyDescent="0.3">
      <c r="A167" s="13" t="s">
        <v>437</v>
      </c>
      <c r="B167" s="13" t="s">
        <v>438</v>
      </c>
      <c r="C167" s="13" t="str">
        <f t="shared" si="12"/>
        <v>ROBIN ACOSTA</v>
      </c>
      <c r="D167" s="13" t="str">
        <f t="shared" si="13"/>
        <v>robin acosta</v>
      </c>
      <c r="E167" s="13" t="str">
        <f t="shared" si="14"/>
        <v>Robin Acosta</v>
      </c>
      <c r="F167" s="13" t="str">
        <f t="shared" si="15"/>
        <v>FL</v>
      </c>
      <c r="G167" s="13" t="str">
        <f t="shared" si="16"/>
        <v>66</v>
      </c>
      <c r="H167" s="13" t="str">
        <f t="shared" si="17"/>
        <v>2501</v>
      </c>
    </row>
    <row r="168" spans="1:8" x14ac:dyDescent="0.3">
      <c r="A168" s="13" t="s">
        <v>439</v>
      </c>
      <c r="B168" s="13" t="s">
        <v>440</v>
      </c>
      <c r="C168" s="13" t="str">
        <f t="shared" si="12"/>
        <v>JOHN SMITH</v>
      </c>
      <c r="D168" s="13" t="str">
        <f t="shared" si="13"/>
        <v>john smith</v>
      </c>
      <c r="E168" s="13" t="str">
        <f t="shared" si="14"/>
        <v>John Smith</v>
      </c>
      <c r="F168" s="13" t="str">
        <f t="shared" si="15"/>
        <v>FL</v>
      </c>
      <c r="G168" s="13" t="str">
        <f t="shared" si="16"/>
        <v>67</v>
      </c>
      <c r="H168" s="13" t="str">
        <f t="shared" si="17"/>
        <v>2501</v>
      </c>
    </row>
    <row r="169" spans="1:8" x14ac:dyDescent="0.3">
      <c r="A169" s="13" t="s">
        <v>441</v>
      </c>
      <c r="B169" s="13" t="s">
        <v>442</v>
      </c>
      <c r="C169" s="13" t="str">
        <f t="shared" si="12"/>
        <v>SUSAN BAKER</v>
      </c>
      <c r="D169" s="13" t="str">
        <f t="shared" si="13"/>
        <v>susan baker</v>
      </c>
      <c r="E169" s="13" t="str">
        <f t="shared" si="14"/>
        <v>Susan Baker</v>
      </c>
      <c r="F169" s="13" t="str">
        <f t="shared" si="15"/>
        <v>FL</v>
      </c>
      <c r="G169" s="13" t="str">
        <f t="shared" si="16"/>
        <v>68</v>
      </c>
      <c r="H169" s="13" t="str">
        <f t="shared" si="17"/>
        <v>2501</v>
      </c>
    </row>
    <row r="170" spans="1:8" x14ac:dyDescent="0.3">
      <c r="A170" s="13" t="s">
        <v>443</v>
      </c>
      <c r="B170" s="13" t="s">
        <v>444</v>
      </c>
      <c r="C170" s="13" t="str">
        <f t="shared" si="12"/>
        <v>ANTHONY LARSEN</v>
      </c>
      <c r="D170" s="13" t="str">
        <f t="shared" si="13"/>
        <v>anthony larsen</v>
      </c>
      <c r="E170" s="13" t="str">
        <f t="shared" si="14"/>
        <v>Anthony Larsen</v>
      </c>
      <c r="F170" s="13" t="str">
        <f t="shared" si="15"/>
        <v>FL</v>
      </c>
      <c r="G170" s="13" t="str">
        <f t="shared" si="16"/>
        <v>69</v>
      </c>
      <c r="H170" s="13" t="str">
        <f t="shared" si="17"/>
        <v>2501</v>
      </c>
    </row>
    <row r="171" spans="1:8" x14ac:dyDescent="0.3">
      <c r="A171" s="13" t="s">
        <v>445</v>
      </c>
      <c r="B171" s="13" t="s">
        <v>446</v>
      </c>
      <c r="C171" s="13" t="str">
        <f t="shared" si="12"/>
        <v>NICHOLAS CARPENTER</v>
      </c>
      <c r="D171" s="13" t="str">
        <f t="shared" si="13"/>
        <v>nicholas carpenter</v>
      </c>
      <c r="E171" s="13" t="str">
        <f t="shared" si="14"/>
        <v>Nicholas Carpenter</v>
      </c>
      <c r="F171" s="13" t="str">
        <f t="shared" si="15"/>
        <v>FL</v>
      </c>
      <c r="G171" s="13" t="str">
        <f t="shared" si="16"/>
        <v>70</v>
      </c>
      <c r="H171" s="13" t="str">
        <f t="shared" si="17"/>
        <v>2501</v>
      </c>
    </row>
    <row r="172" spans="1:8" x14ac:dyDescent="0.3">
      <c r="A172" s="13" t="s">
        <v>447</v>
      </c>
      <c r="B172" s="13" t="s">
        <v>448</v>
      </c>
      <c r="C172" s="13" t="str">
        <f t="shared" si="12"/>
        <v>DEBRA SALAZAR</v>
      </c>
      <c r="D172" s="13" t="str">
        <f t="shared" si="13"/>
        <v>debra salazar</v>
      </c>
      <c r="E172" s="13" t="str">
        <f t="shared" si="14"/>
        <v>Debra Salazar</v>
      </c>
      <c r="F172" s="13" t="str">
        <f t="shared" si="15"/>
        <v>FL</v>
      </c>
      <c r="G172" s="13" t="str">
        <f t="shared" si="16"/>
        <v>71</v>
      </c>
      <c r="H172" s="13" t="str">
        <f t="shared" si="17"/>
        <v>2501</v>
      </c>
    </row>
    <row r="173" spans="1:8" x14ac:dyDescent="0.3">
      <c r="A173" s="13" t="s">
        <v>449</v>
      </c>
      <c r="B173" s="13" t="s">
        <v>450</v>
      </c>
      <c r="C173" s="13" t="str">
        <f t="shared" si="12"/>
        <v>WILLIAM SMITH</v>
      </c>
      <c r="D173" s="13" t="str">
        <f t="shared" si="13"/>
        <v>william smith</v>
      </c>
      <c r="E173" s="13" t="str">
        <f t="shared" si="14"/>
        <v>William Smith</v>
      </c>
      <c r="F173" s="13" t="str">
        <f t="shared" si="15"/>
        <v>FL</v>
      </c>
      <c r="G173" s="13" t="str">
        <f t="shared" si="16"/>
        <v>72</v>
      </c>
      <c r="H173" s="13" t="str">
        <f t="shared" si="17"/>
        <v>2501</v>
      </c>
    </row>
    <row r="174" spans="1:8" x14ac:dyDescent="0.3">
      <c r="A174" s="13" t="s">
        <v>451</v>
      </c>
      <c r="B174" s="13" t="s">
        <v>452</v>
      </c>
      <c r="C174" s="13" t="str">
        <f t="shared" si="12"/>
        <v>CAROLINE GROSS</v>
      </c>
      <c r="D174" s="13" t="str">
        <f t="shared" si="13"/>
        <v>caroline gross</v>
      </c>
      <c r="E174" s="13" t="str">
        <f t="shared" si="14"/>
        <v>Caroline Gross</v>
      </c>
      <c r="F174" s="13" t="str">
        <f t="shared" si="15"/>
        <v>FL</v>
      </c>
      <c r="G174" s="13" t="str">
        <f t="shared" si="16"/>
        <v>73</v>
      </c>
      <c r="H174" s="13" t="str">
        <f t="shared" si="17"/>
        <v>2501</v>
      </c>
    </row>
    <row r="175" spans="1:8" x14ac:dyDescent="0.3">
      <c r="A175" s="13" t="s">
        <v>453</v>
      </c>
      <c r="B175" s="13" t="s">
        <v>454</v>
      </c>
      <c r="C175" s="13" t="str">
        <f t="shared" si="12"/>
        <v>JEREMY SAWYER</v>
      </c>
      <c r="D175" s="13" t="str">
        <f t="shared" si="13"/>
        <v>jeremy sawyer</v>
      </c>
      <c r="E175" s="13" t="str">
        <f t="shared" si="14"/>
        <v>Jeremy Sawyer</v>
      </c>
      <c r="F175" s="13" t="str">
        <f t="shared" si="15"/>
        <v>FL</v>
      </c>
      <c r="G175" s="13" t="str">
        <f t="shared" si="16"/>
        <v>74</v>
      </c>
      <c r="H175" s="13" t="str">
        <f t="shared" si="17"/>
        <v>2501</v>
      </c>
    </row>
    <row r="176" spans="1:8" x14ac:dyDescent="0.3">
      <c r="A176" s="13" t="s">
        <v>455</v>
      </c>
      <c r="B176" s="13" t="s">
        <v>456</v>
      </c>
      <c r="C176" s="13" t="str">
        <f t="shared" si="12"/>
        <v>EDUARDO BURNS</v>
      </c>
      <c r="D176" s="13" t="str">
        <f t="shared" si="13"/>
        <v>eduardo burns</v>
      </c>
      <c r="E176" s="13" t="str">
        <f t="shared" si="14"/>
        <v>Eduardo Burns</v>
      </c>
      <c r="F176" s="13" t="str">
        <f t="shared" si="15"/>
        <v>FL</v>
      </c>
      <c r="G176" s="13" t="str">
        <f t="shared" si="16"/>
        <v>75</v>
      </c>
      <c r="H176" s="13" t="str">
        <f t="shared" si="17"/>
        <v>2501</v>
      </c>
    </row>
    <row r="177" spans="1:8" x14ac:dyDescent="0.3">
      <c r="A177" s="13" t="s">
        <v>457</v>
      </c>
      <c r="B177" s="13" t="s">
        <v>458</v>
      </c>
      <c r="C177" s="13" t="str">
        <f t="shared" si="12"/>
        <v>AMANDA JONES</v>
      </c>
      <c r="D177" s="13" t="str">
        <f t="shared" si="13"/>
        <v>amanda jones</v>
      </c>
      <c r="E177" s="13" t="str">
        <f t="shared" si="14"/>
        <v>Amanda Jones</v>
      </c>
      <c r="F177" s="13" t="str">
        <f t="shared" si="15"/>
        <v>FL</v>
      </c>
      <c r="G177" s="13" t="str">
        <f t="shared" si="16"/>
        <v>76</v>
      </c>
      <c r="H177" s="13" t="str">
        <f t="shared" si="17"/>
        <v>2501</v>
      </c>
    </row>
    <row r="178" spans="1:8" x14ac:dyDescent="0.3">
      <c r="A178" s="13" t="s">
        <v>459</v>
      </c>
      <c r="B178" s="13" t="s">
        <v>460</v>
      </c>
      <c r="C178" s="13" t="str">
        <f t="shared" si="12"/>
        <v>FREDERICK WARE</v>
      </c>
      <c r="D178" s="13" t="str">
        <f t="shared" si="13"/>
        <v>frederick ware</v>
      </c>
      <c r="E178" s="13" t="str">
        <f t="shared" si="14"/>
        <v>Frederick Ware</v>
      </c>
      <c r="F178" s="13" t="str">
        <f t="shared" si="15"/>
        <v>FL</v>
      </c>
      <c r="G178" s="13" t="str">
        <f t="shared" si="16"/>
        <v>77</v>
      </c>
      <c r="H178" s="13" t="str">
        <f t="shared" si="17"/>
        <v>2501</v>
      </c>
    </row>
    <row r="179" spans="1:8" x14ac:dyDescent="0.3">
      <c r="A179" s="13" t="s">
        <v>461</v>
      </c>
      <c r="B179" s="13" t="s">
        <v>462</v>
      </c>
      <c r="C179" s="13" t="str">
        <f t="shared" si="12"/>
        <v>MICHAEL BLACK</v>
      </c>
      <c r="D179" s="13" t="str">
        <f t="shared" si="13"/>
        <v>michael black</v>
      </c>
      <c r="E179" s="13" t="str">
        <f t="shared" si="14"/>
        <v>Michael Black</v>
      </c>
      <c r="F179" s="13" t="str">
        <f t="shared" si="15"/>
        <v>FL</v>
      </c>
      <c r="G179" s="13" t="str">
        <f t="shared" si="16"/>
        <v>78</v>
      </c>
      <c r="H179" s="13" t="str">
        <f t="shared" si="17"/>
        <v>2501</v>
      </c>
    </row>
    <row r="180" spans="1:8" x14ac:dyDescent="0.3">
      <c r="A180" s="13" t="s">
        <v>463</v>
      </c>
      <c r="B180" s="13" t="s">
        <v>464</v>
      </c>
      <c r="C180" s="13" t="str">
        <f t="shared" si="12"/>
        <v>PATRICIA SANDERS</v>
      </c>
      <c r="D180" s="13" t="str">
        <f t="shared" si="13"/>
        <v>patricia sanders</v>
      </c>
      <c r="E180" s="13" t="str">
        <f t="shared" si="14"/>
        <v>Patricia Sanders</v>
      </c>
      <c r="F180" s="13" t="str">
        <f t="shared" si="15"/>
        <v>FL</v>
      </c>
      <c r="G180" s="13" t="str">
        <f t="shared" si="16"/>
        <v>79</v>
      </c>
      <c r="H180" s="13" t="str">
        <f t="shared" si="17"/>
        <v>2501</v>
      </c>
    </row>
    <row r="181" spans="1:8" x14ac:dyDescent="0.3">
      <c r="A181" s="13" t="s">
        <v>465</v>
      </c>
      <c r="B181" s="13" t="s">
        <v>466</v>
      </c>
      <c r="C181" s="13" t="str">
        <f t="shared" si="12"/>
        <v>MARC JOSEPH</v>
      </c>
      <c r="D181" s="13" t="str">
        <f t="shared" si="13"/>
        <v>marc joseph</v>
      </c>
      <c r="E181" s="13" t="str">
        <f t="shared" si="14"/>
        <v>Marc Joseph</v>
      </c>
      <c r="F181" s="13" t="str">
        <f t="shared" si="15"/>
        <v>FL</v>
      </c>
      <c r="G181" s="13" t="str">
        <f t="shared" si="16"/>
        <v>80</v>
      </c>
      <c r="H181" s="13" t="str">
        <f t="shared" si="17"/>
        <v>2501</v>
      </c>
    </row>
    <row r="182" spans="1:8" x14ac:dyDescent="0.3">
      <c r="A182" s="13" t="s">
        <v>467</v>
      </c>
      <c r="B182" s="13" t="s">
        <v>468</v>
      </c>
      <c r="C182" s="13" t="str">
        <f t="shared" si="12"/>
        <v>VANESSA WHITE</v>
      </c>
      <c r="D182" s="13" t="str">
        <f t="shared" si="13"/>
        <v>vanessa white</v>
      </c>
      <c r="E182" s="13" t="str">
        <f t="shared" si="14"/>
        <v>Vanessa White</v>
      </c>
      <c r="F182" s="13" t="str">
        <f t="shared" si="15"/>
        <v>FL</v>
      </c>
      <c r="G182" s="13" t="str">
        <f t="shared" si="16"/>
        <v>81</v>
      </c>
      <c r="H182" s="13" t="str">
        <f t="shared" si="17"/>
        <v>2501</v>
      </c>
    </row>
    <row r="183" spans="1:8" x14ac:dyDescent="0.3">
      <c r="A183" s="13" t="s">
        <v>469</v>
      </c>
      <c r="B183" s="13" t="s">
        <v>470</v>
      </c>
      <c r="C183" s="13" t="str">
        <f t="shared" si="12"/>
        <v>JENNIFER GARCIA</v>
      </c>
      <c r="D183" s="13" t="str">
        <f t="shared" si="13"/>
        <v>jennifer garcia</v>
      </c>
      <c r="E183" s="13" t="str">
        <f t="shared" si="14"/>
        <v>Jennifer Garcia</v>
      </c>
      <c r="F183" s="13" t="str">
        <f t="shared" si="15"/>
        <v>FL</v>
      </c>
      <c r="G183" s="13" t="str">
        <f t="shared" si="16"/>
        <v>82</v>
      </c>
      <c r="H183" s="13" t="str">
        <f t="shared" si="17"/>
        <v>2501</v>
      </c>
    </row>
    <row r="184" spans="1:8" x14ac:dyDescent="0.3">
      <c r="A184" s="13" t="s">
        <v>471</v>
      </c>
      <c r="B184" s="13" t="s">
        <v>472</v>
      </c>
      <c r="C184" s="13" t="str">
        <f t="shared" si="12"/>
        <v>MICHAEL ZAVALA</v>
      </c>
      <c r="D184" s="13" t="str">
        <f t="shared" si="13"/>
        <v>michael zavala</v>
      </c>
      <c r="E184" s="13" t="str">
        <f t="shared" si="14"/>
        <v>Michael Zavala</v>
      </c>
      <c r="F184" s="13" t="str">
        <f t="shared" si="15"/>
        <v>FL</v>
      </c>
      <c r="G184" s="13" t="str">
        <f t="shared" si="16"/>
        <v>83</v>
      </c>
      <c r="H184" s="13" t="str">
        <f t="shared" si="17"/>
        <v>2501</v>
      </c>
    </row>
    <row r="185" spans="1:8" x14ac:dyDescent="0.3">
      <c r="A185" s="13" t="s">
        <v>473</v>
      </c>
      <c r="B185" s="13" t="s">
        <v>474</v>
      </c>
      <c r="C185" s="13" t="str">
        <f t="shared" si="12"/>
        <v>KIMBERLY WILLIAMS</v>
      </c>
      <c r="D185" s="13" t="str">
        <f t="shared" si="13"/>
        <v>kimberly williams</v>
      </c>
      <c r="E185" s="13" t="str">
        <f t="shared" si="14"/>
        <v>Kimberly Williams</v>
      </c>
      <c r="F185" s="13" t="str">
        <f t="shared" si="15"/>
        <v>FL</v>
      </c>
      <c r="G185" s="13" t="str">
        <f t="shared" si="16"/>
        <v>84</v>
      </c>
      <c r="H185" s="13" t="str">
        <f t="shared" si="17"/>
        <v>2501</v>
      </c>
    </row>
    <row r="186" spans="1:8" x14ac:dyDescent="0.3">
      <c r="A186" s="13" t="s">
        <v>475</v>
      </c>
      <c r="B186" s="13" t="s">
        <v>476</v>
      </c>
      <c r="C186" s="13" t="str">
        <f t="shared" si="12"/>
        <v>ELIZABETH JENKINS</v>
      </c>
      <c r="D186" s="13" t="str">
        <f t="shared" si="13"/>
        <v>elizabeth jenkins</v>
      </c>
      <c r="E186" s="13" t="str">
        <f t="shared" si="14"/>
        <v>Elizabeth Jenkins</v>
      </c>
      <c r="F186" s="13" t="str">
        <f t="shared" si="15"/>
        <v>FL</v>
      </c>
      <c r="G186" s="13" t="str">
        <f t="shared" si="16"/>
        <v>85</v>
      </c>
      <c r="H186" s="13" t="str">
        <f t="shared" si="17"/>
        <v>2501</v>
      </c>
    </row>
    <row r="187" spans="1:8" x14ac:dyDescent="0.3">
      <c r="A187" s="13" t="s">
        <v>477</v>
      </c>
      <c r="B187" s="13" t="s">
        <v>478</v>
      </c>
      <c r="C187" s="13" t="str">
        <f t="shared" si="12"/>
        <v>BRANDON FORD</v>
      </c>
      <c r="D187" s="13" t="str">
        <f t="shared" si="13"/>
        <v>brandon ford</v>
      </c>
      <c r="E187" s="13" t="str">
        <f t="shared" si="14"/>
        <v>Brandon Ford</v>
      </c>
      <c r="F187" s="13" t="str">
        <f t="shared" si="15"/>
        <v>FL</v>
      </c>
      <c r="G187" s="13" t="str">
        <f t="shared" si="16"/>
        <v>86</v>
      </c>
      <c r="H187" s="13" t="str">
        <f t="shared" si="17"/>
        <v>2501</v>
      </c>
    </row>
    <row r="188" spans="1:8" x14ac:dyDescent="0.3">
      <c r="A188" s="13" t="s">
        <v>479</v>
      </c>
      <c r="B188" s="13" t="s">
        <v>480</v>
      </c>
      <c r="C188" s="13" t="str">
        <f t="shared" si="12"/>
        <v>JUSTIN HOUSE</v>
      </c>
      <c r="D188" s="13" t="str">
        <f t="shared" si="13"/>
        <v>justin house</v>
      </c>
      <c r="E188" s="13" t="str">
        <f t="shared" si="14"/>
        <v>Justin House</v>
      </c>
      <c r="F188" s="13" t="str">
        <f t="shared" si="15"/>
        <v>FL</v>
      </c>
      <c r="G188" s="13" t="str">
        <f t="shared" si="16"/>
        <v>87</v>
      </c>
      <c r="H188" s="13" t="str">
        <f t="shared" si="17"/>
        <v>2501</v>
      </c>
    </row>
    <row r="189" spans="1:8" x14ac:dyDescent="0.3">
      <c r="A189" s="13" t="s">
        <v>481</v>
      </c>
      <c r="B189" s="13" t="s">
        <v>482</v>
      </c>
      <c r="C189" s="13" t="str">
        <f t="shared" si="12"/>
        <v>HENRY MULLEN</v>
      </c>
      <c r="D189" s="13" t="str">
        <f t="shared" si="13"/>
        <v>henry mullen</v>
      </c>
      <c r="E189" s="13" t="str">
        <f t="shared" si="14"/>
        <v>Henry Mullen</v>
      </c>
      <c r="F189" s="13" t="str">
        <f t="shared" si="15"/>
        <v>FL</v>
      </c>
      <c r="G189" s="13" t="str">
        <f t="shared" si="16"/>
        <v>88</v>
      </c>
      <c r="H189" s="13" t="str">
        <f t="shared" si="17"/>
        <v>2501</v>
      </c>
    </row>
    <row r="190" spans="1:8" x14ac:dyDescent="0.3">
      <c r="A190" s="13" t="s">
        <v>483</v>
      </c>
      <c r="B190" s="13" t="s">
        <v>484</v>
      </c>
      <c r="C190" s="13" t="str">
        <f t="shared" si="12"/>
        <v>JESSE COCHRAN</v>
      </c>
      <c r="D190" s="13" t="str">
        <f t="shared" si="13"/>
        <v>jesse cochran</v>
      </c>
      <c r="E190" s="13" t="str">
        <f t="shared" si="14"/>
        <v>Jesse Cochran</v>
      </c>
      <c r="F190" s="13" t="str">
        <f t="shared" si="15"/>
        <v>FL</v>
      </c>
      <c r="G190" s="13" t="str">
        <f t="shared" si="16"/>
        <v>89</v>
      </c>
      <c r="H190" s="13" t="str">
        <f t="shared" si="17"/>
        <v>2501</v>
      </c>
    </row>
    <row r="191" spans="1:8" x14ac:dyDescent="0.3">
      <c r="A191" s="13" t="s">
        <v>485</v>
      </c>
      <c r="B191" s="13" t="s">
        <v>486</v>
      </c>
      <c r="C191" s="13" t="str">
        <f t="shared" si="12"/>
        <v>MELISSA RICH</v>
      </c>
      <c r="D191" s="13" t="str">
        <f t="shared" si="13"/>
        <v>melissa rich</v>
      </c>
      <c r="E191" s="13" t="str">
        <f t="shared" si="14"/>
        <v>Melissa Rich</v>
      </c>
      <c r="F191" s="13" t="str">
        <f t="shared" si="15"/>
        <v>FL</v>
      </c>
      <c r="G191" s="13" t="str">
        <f t="shared" si="16"/>
        <v>90</v>
      </c>
      <c r="H191" s="13" t="str">
        <f t="shared" si="17"/>
        <v>2501</v>
      </c>
    </row>
    <row r="192" spans="1:8" x14ac:dyDescent="0.3">
      <c r="A192" s="13" t="s">
        <v>487</v>
      </c>
      <c r="B192" s="13" t="s">
        <v>488</v>
      </c>
      <c r="C192" s="13" t="str">
        <f t="shared" si="12"/>
        <v>PATRICK DUNLAP</v>
      </c>
      <c r="D192" s="13" t="str">
        <f t="shared" si="13"/>
        <v>patrick dunlap</v>
      </c>
      <c r="E192" s="13" t="str">
        <f t="shared" si="14"/>
        <v>Patrick Dunlap</v>
      </c>
      <c r="F192" s="13" t="str">
        <f t="shared" si="15"/>
        <v>FL</v>
      </c>
      <c r="G192" s="13" t="str">
        <f t="shared" si="16"/>
        <v>91</v>
      </c>
      <c r="H192" s="13" t="str">
        <f t="shared" si="17"/>
        <v>2501</v>
      </c>
    </row>
    <row r="193" spans="1:8" x14ac:dyDescent="0.3">
      <c r="A193" s="13" t="s">
        <v>489</v>
      </c>
      <c r="B193" s="13" t="s">
        <v>490</v>
      </c>
      <c r="C193" s="13" t="str">
        <f t="shared" si="12"/>
        <v>TROY CARSON</v>
      </c>
      <c r="D193" s="13" t="str">
        <f t="shared" si="13"/>
        <v>troy carson</v>
      </c>
      <c r="E193" s="13" t="str">
        <f t="shared" si="14"/>
        <v>Troy Carson</v>
      </c>
      <c r="F193" s="13" t="str">
        <f t="shared" si="15"/>
        <v>FL</v>
      </c>
      <c r="G193" s="13" t="str">
        <f t="shared" si="16"/>
        <v>92</v>
      </c>
      <c r="H193" s="13" t="str">
        <f t="shared" si="17"/>
        <v>2501</v>
      </c>
    </row>
    <row r="194" spans="1:8" x14ac:dyDescent="0.3">
      <c r="A194" s="13" t="s">
        <v>491</v>
      </c>
      <c r="B194" s="13" t="s">
        <v>285</v>
      </c>
      <c r="C194" s="13" t="str">
        <f t="shared" si="12"/>
        <v>MATTHEW SMITH</v>
      </c>
      <c r="D194" s="13" t="str">
        <f t="shared" si="13"/>
        <v>matthew smith</v>
      </c>
      <c r="E194" s="13" t="str">
        <f t="shared" si="14"/>
        <v>Matthew Smith</v>
      </c>
      <c r="F194" s="13" t="str">
        <f t="shared" si="15"/>
        <v>FL</v>
      </c>
      <c r="G194" s="13" t="str">
        <f t="shared" si="16"/>
        <v>93</v>
      </c>
      <c r="H194" s="13" t="str">
        <f t="shared" si="17"/>
        <v>2501</v>
      </c>
    </row>
    <row r="195" spans="1:8" x14ac:dyDescent="0.3">
      <c r="A195" s="13" t="s">
        <v>492</v>
      </c>
      <c r="B195" s="13" t="s">
        <v>493</v>
      </c>
      <c r="C195" s="13" t="str">
        <f t="shared" ref="C195:C258" si="18">UPPER(B195)</f>
        <v>JENNIFER CHERRY</v>
      </c>
      <c r="D195" s="13" t="str">
        <f t="shared" ref="D195:D258" si="19">LOWER(B195)</f>
        <v>jennifer cherry</v>
      </c>
      <c r="E195" s="13" t="str">
        <f t="shared" ref="E195:E258" si="20">PROPER(C195)</f>
        <v>Jennifer Cherry</v>
      </c>
      <c r="F195" s="13" t="str">
        <f t="shared" ref="F195:F258" si="21">LEFT(A195,2)</f>
        <v>FL</v>
      </c>
      <c r="G195" s="13" t="str">
        <f t="shared" ref="G195:G258" si="22">RIGHT(A195,2)</f>
        <v>94</v>
      </c>
      <c r="H195" s="13" t="str">
        <f t="shared" ref="H195:H258" si="23">MID(A195,3,4)</f>
        <v>2501</v>
      </c>
    </row>
    <row r="196" spans="1:8" x14ac:dyDescent="0.3">
      <c r="A196" s="13" t="s">
        <v>494</v>
      </c>
      <c r="B196" s="13" t="s">
        <v>495</v>
      </c>
      <c r="C196" s="13" t="str">
        <f t="shared" si="18"/>
        <v>BRANDI TUCKER</v>
      </c>
      <c r="D196" s="13" t="str">
        <f t="shared" si="19"/>
        <v>brandi tucker</v>
      </c>
      <c r="E196" s="13" t="str">
        <f t="shared" si="20"/>
        <v>Brandi Tucker</v>
      </c>
      <c r="F196" s="13" t="str">
        <f t="shared" si="21"/>
        <v>FL</v>
      </c>
      <c r="G196" s="13" t="str">
        <f t="shared" si="22"/>
        <v>95</v>
      </c>
      <c r="H196" s="13" t="str">
        <f t="shared" si="23"/>
        <v>2501</v>
      </c>
    </row>
    <row r="197" spans="1:8" x14ac:dyDescent="0.3">
      <c r="A197" s="13" t="s">
        <v>496</v>
      </c>
      <c r="B197" s="13" t="s">
        <v>497</v>
      </c>
      <c r="C197" s="13" t="str">
        <f t="shared" si="18"/>
        <v>ZACHARY BURKE</v>
      </c>
      <c r="D197" s="13" t="str">
        <f t="shared" si="19"/>
        <v>zachary burke</v>
      </c>
      <c r="E197" s="13" t="str">
        <f t="shared" si="20"/>
        <v>Zachary Burke</v>
      </c>
      <c r="F197" s="13" t="str">
        <f t="shared" si="21"/>
        <v>FL</v>
      </c>
      <c r="G197" s="13" t="str">
        <f t="shared" si="22"/>
        <v>96</v>
      </c>
      <c r="H197" s="13" t="str">
        <f t="shared" si="23"/>
        <v>2501</v>
      </c>
    </row>
    <row r="198" spans="1:8" x14ac:dyDescent="0.3">
      <c r="A198" s="13" t="s">
        <v>498</v>
      </c>
      <c r="B198" s="13" t="s">
        <v>499</v>
      </c>
      <c r="C198" s="13" t="str">
        <f t="shared" si="18"/>
        <v>THOMAS JONES</v>
      </c>
      <c r="D198" s="13" t="str">
        <f t="shared" si="19"/>
        <v>thomas jones</v>
      </c>
      <c r="E198" s="13" t="str">
        <f t="shared" si="20"/>
        <v>Thomas Jones</v>
      </c>
      <c r="F198" s="13" t="str">
        <f t="shared" si="21"/>
        <v>FL</v>
      </c>
      <c r="G198" s="13" t="str">
        <f t="shared" si="22"/>
        <v>97</v>
      </c>
      <c r="H198" s="13" t="str">
        <f t="shared" si="23"/>
        <v>2501</v>
      </c>
    </row>
    <row r="199" spans="1:8" x14ac:dyDescent="0.3">
      <c r="A199" s="13" t="s">
        <v>500</v>
      </c>
      <c r="B199" s="13" t="s">
        <v>501</v>
      </c>
      <c r="C199" s="13" t="str">
        <f t="shared" si="18"/>
        <v>BRIAN DUNN</v>
      </c>
      <c r="D199" s="13" t="str">
        <f t="shared" si="19"/>
        <v>brian dunn</v>
      </c>
      <c r="E199" s="13" t="str">
        <f t="shared" si="20"/>
        <v>Brian Dunn</v>
      </c>
      <c r="F199" s="13" t="str">
        <f t="shared" si="21"/>
        <v>FL</v>
      </c>
      <c r="G199" s="13" t="str">
        <f t="shared" si="22"/>
        <v>98</v>
      </c>
      <c r="H199" s="13" t="str">
        <f t="shared" si="23"/>
        <v>2501</v>
      </c>
    </row>
    <row r="200" spans="1:8" x14ac:dyDescent="0.3">
      <c r="A200" s="13" t="s">
        <v>502</v>
      </c>
      <c r="B200" s="13" t="s">
        <v>503</v>
      </c>
      <c r="C200" s="13" t="str">
        <f t="shared" si="18"/>
        <v>SHIRLEY STRICKLAND</v>
      </c>
      <c r="D200" s="13" t="str">
        <f t="shared" si="19"/>
        <v>shirley strickland</v>
      </c>
      <c r="E200" s="13" t="str">
        <f t="shared" si="20"/>
        <v>Shirley Strickland</v>
      </c>
      <c r="F200" s="13" t="str">
        <f t="shared" si="21"/>
        <v>FL</v>
      </c>
      <c r="G200" s="13" t="str">
        <f t="shared" si="22"/>
        <v>99</v>
      </c>
      <c r="H200" s="13" t="str">
        <f t="shared" si="23"/>
        <v>2501</v>
      </c>
    </row>
    <row r="201" spans="1:8" x14ac:dyDescent="0.3">
      <c r="A201" s="13" t="s">
        <v>504</v>
      </c>
      <c r="B201" s="13" t="s">
        <v>505</v>
      </c>
      <c r="C201" s="13" t="str">
        <f t="shared" si="18"/>
        <v>NICOLE MEYERS</v>
      </c>
      <c r="D201" s="13" t="str">
        <f t="shared" si="19"/>
        <v>nicole meyers</v>
      </c>
      <c r="E201" s="13" t="str">
        <f t="shared" si="20"/>
        <v>Nicole Meyers</v>
      </c>
      <c r="F201" s="13" t="str">
        <f t="shared" si="21"/>
        <v>FL</v>
      </c>
      <c r="G201" s="13" t="str">
        <f t="shared" si="22"/>
        <v>00</v>
      </c>
      <c r="H201" s="13" t="str">
        <f t="shared" si="23"/>
        <v>2502</v>
      </c>
    </row>
    <row r="202" spans="1:8" x14ac:dyDescent="0.3">
      <c r="A202" s="13" t="s">
        <v>506</v>
      </c>
      <c r="B202" s="13" t="s">
        <v>507</v>
      </c>
      <c r="C202" s="13" t="str">
        <f t="shared" si="18"/>
        <v>JILL STEPHENS</v>
      </c>
      <c r="D202" s="13" t="str">
        <f t="shared" si="19"/>
        <v>jill stephens</v>
      </c>
      <c r="E202" s="13" t="str">
        <f t="shared" si="20"/>
        <v>Jill Stephens</v>
      </c>
      <c r="F202" s="13" t="str">
        <f t="shared" si="21"/>
        <v>FL</v>
      </c>
      <c r="G202" s="13" t="str">
        <f t="shared" si="22"/>
        <v>01</v>
      </c>
      <c r="H202" s="13" t="str">
        <f t="shared" si="23"/>
        <v>2502</v>
      </c>
    </row>
    <row r="203" spans="1:8" x14ac:dyDescent="0.3">
      <c r="A203" s="13" t="s">
        <v>508</v>
      </c>
      <c r="B203" s="13" t="s">
        <v>509</v>
      </c>
      <c r="C203" s="13" t="str">
        <f t="shared" si="18"/>
        <v>HEIDI MIRANDA</v>
      </c>
      <c r="D203" s="13" t="str">
        <f t="shared" si="19"/>
        <v>heidi miranda</v>
      </c>
      <c r="E203" s="13" t="str">
        <f t="shared" si="20"/>
        <v>Heidi Miranda</v>
      </c>
      <c r="F203" s="13" t="str">
        <f t="shared" si="21"/>
        <v>FL</v>
      </c>
      <c r="G203" s="13" t="str">
        <f t="shared" si="22"/>
        <v>02</v>
      </c>
      <c r="H203" s="13" t="str">
        <f t="shared" si="23"/>
        <v>2502</v>
      </c>
    </row>
    <row r="204" spans="1:8" x14ac:dyDescent="0.3">
      <c r="A204" s="13" t="s">
        <v>510</v>
      </c>
      <c r="B204" s="13" t="s">
        <v>511</v>
      </c>
      <c r="C204" s="13" t="str">
        <f t="shared" si="18"/>
        <v>JESUS MARTINEZ</v>
      </c>
      <c r="D204" s="13" t="str">
        <f t="shared" si="19"/>
        <v>jesus martinez</v>
      </c>
      <c r="E204" s="13" t="str">
        <f t="shared" si="20"/>
        <v>Jesus Martinez</v>
      </c>
      <c r="F204" s="13" t="str">
        <f t="shared" si="21"/>
        <v>FL</v>
      </c>
      <c r="G204" s="13" t="str">
        <f t="shared" si="22"/>
        <v>03</v>
      </c>
      <c r="H204" s="13" t="str">
        <f t="shared" si="23"/>
        <v>2502</v>
      </c>
    </row>
    <row r="205" spans="1:8" x14ac:dyDescent="0.3">
      <c r="A205" s="13" t="s">
        <v>512</v>
      </c>
      <c r="B205" s="13" t="s">
        <v>513</v>
      </c>
      <c r="C205" s="13" t="str">
        <f t="shared" si="18"/>
        <v>ADAM PAYNE</v>
      </c>
      <c r="D205" s="13" t="str">
        <f t="shared" si="19"/>
        <v>adam payne</v>
      </c>
      <c r="E205" s="13" t="str">
        <f t="shared" si="20"/>
        <v>Adam Payne</v>
      </c>
      <c r="F205" s="13" t="str">
        <f t="shared" si="21"/>
        <v>FL</v>
      </c>
      <c r="G205" s="13" t="str">
        <f t="shared" si="22"/>
        <v>04</v>
      </c>
      <c r="H205" s="13" t="str">
        <f t="shared" si="23"/>
        <v>2502</v>
      </c>
    </row>
    <row r="206" spans="1:8" x14ac:dyDescent="0.3">
      <c r="A206" s="13" t="s">
        <v>514</v>
      </c>
      <c r="B206" s="13" t="s">
        <v>515</v>
      </c>
      <c r="C206" s="13" t="str">
        <f t="shared" si="18"/>
        <v>WALTER WILLIAMS</v>
      </c>
      <c r="D206" s="13" t="str">
        <f t="shared" si="19"/>
        <v>walter williams</v>
      </c>
      <c r="E206" s="13" t="str">
        <f t="shared" si="20"/>
        <v>Walter Williams</v>
      </c>
      <c r="F206" s="13" t="str">
        <f t="shared" si="21"/>
        <v>FL</v>
      </c>
      <c r="G206" s="13" t="str">
        <f t="shared" si="22"/>
        <v>05</v>
      </c>
      <c r="H206" s="13" t="str">
        <f t="shared" si="23"/>
        <v>2502</v>
      </c>
    </row>
    <row r="207" spans="1:8" x14ac:dyDescent="0.3">
      <c r="A207" s="13" t="s">
        <v>516</v>
      </c>
      <c r="B207" s="13" t="s">
        <v>517</v>
      </c>
      <c r="C207" s="13" t="str">
        <f t="shared" si="18"/>
        <v>SHANNON FARMER</v>
      </c>
      <c r="D207" s="13" t="str">
        <f t="shared" si="19"/>
        <v>shannon farmer</v>
      </c>
      <c r="E207" s="13" t="str">
        <f t="shared" si="20"/>
        <v>Shannon Farmer</v>
      </c>
      <c r="F207" s="13" t="str">
        <f t="shared" si="21"/>
        <v>FL</v>
      </c>
      <c r="G207" s="13" t="str">
        <f t="shared" si="22"/>
        <v>06</v>
      </c>
      <c r="H207" s="13" t="str">
        <f t="shared" si="23"/>
        <v>2502</v>
      </c>
    </row>
    <row r="208" spans="1:8" x14ac:dyDescent="0.3">
      <c r="A208" s="13" t="s">
        <v>518</v>
      </c>
      <c r="B208" s="13" t="s">
        <v>519</v>
      </c>
      <c r="C208" s="13" t="str">
        <f t="shared" si="18"/>
        <v>PETER REYES</v>
      </c>
      <c r="D208" s="13" t="str">
        <f t="shared" si="19"/>
        <v>peter reyes</v>
      </c>
      <c r="E208" s="13" t="str">
        <f t="shared" si="20"/>
        <v>Peter Reyes</v>
      </c>
      <c r="F208" s="13" t="str">
        <f t="shared" si="21"/>
        <v>FL</v>
      </c>
      <c r="G208" s="13" t="str">
        <f t="shared" si="22"/>
        <v>07</v>
      </c>
      <c r="H208" s="13" t="str">
        <f t="shared" si="23"/>
        <v>2502</v>
      </c>
    </row>
    <row r="209" spans="1:8" x14ac:dyDescent="0.3">
      <c r="A209" s="13" t="s">
        <v>520</v>
      </c>
      <c r="B209" s="13" t="s">
        <v>521</v>
      </c>
      <c r="C209" s="13" t="str">
        <f t="shared" si="18"/>
        <v>KRISTEN KNIGHT</v>
      </c>
      <c r="D209" s="13" t="str">
        <f t="shared" si="19"/>
        <v>kristen knight</v>
      </c>
      <c r="E209" s="13" t="str">
        <f t="shared" si="20"/>
        <v>Kristen Knight</v>
      </c>
      <c r="F209" s="13" t="str">
        <f t="shared" si="21"/>
        <v>FL</v>
      </c>
      <c r="G209" s="13" t="str">
        <f t="shared" si="22"/>
        <v>08</v>
      </c>
      <c r="H209" s="13" t="str">
        <f t="shared" si="23"/>
        <v>2502</v>
      </c>
    </row>
    <row r="210" spans="1:8" x14ac:dyDescent="0.3">
      <c r="A210" s="13" t="s">
        <v>522</v>
      </c>
      <c r="B210" s="13" t="s">
        <v>523</v>
      </c>
      <c r="C210" s="13" t="str">
        <f t="shared" si="18"/>
        <v>WILLIAM MOORE JR.</v>
      </c>
      <c r="D210" s="13" t="str">
        <f t="shared" si="19"/>
        <v>william moore jr.</v>
      </c>
      <c r="E210" s="13" t="str">
        <f t="shared" si="20"/>
        <v>William Moore Jr.</v>
      </c>
      <c r="F210" s="13" t="str">
        <f t="shared" si="21"/>
        <v>FL</v>
      </c>
      <c r="G210" s="13" t="str">
        <f t="shared" si="22"/>
        <v>09</v>
      </c>
      <c r="H210" s="13" t="str">
        <f t="shared" si="23"/>
        <v>2502</v>
      </c>
    </row>
    <row r="211" spans="1:8" x14ac:dyDescent="0.3">
      <c r="A211" s="13" t="s">
        <v>524</v>
      </c>
      <c r="B211" s="13" t="s">
        <v>525</v>
      </c>
      <c r="C211" s="13" t="str">
        <f t="shared" si="18"/>
        <v>JENNIFER ROWE</v>
      </c>
      <c r="D211" s="13" t="str">
        <f t="shared" si="19"/>
        <v>jennifer rowe</v>
      </c>
      <c r="E211" s="13" t="str">
        <f t="shared" si="20"/>
        <v>Jennifer Rowe</v>
      </c>
      <c r="F211" s="13" t="str">
        <f t="shared" si="21"/>
        <v>FL</v>
      </c>
      <c r="G211" s="13" t="str">
        <f t="shared" si="22"/>
        <v>10</v>
      </c>
      <c r="H211" s="13" t="str">
        <f t="shared" si="23"/>
        <v>2502</v>
      </c>
    </row>
    <row r="212" spans="1:8" x14ac:dyDescent="0.3">
      <c r="A212" s="13" t="s">
        <v>526</v>
      </c>
      <c r="B212" s="13" t="s">
        <v>527</v>
      </c>
      <c r="C212" s="13" t="str">
        <f t="shared" si="18"/>
        <v>MIKAYLA HENRY</v>
      </c>
      <c r="D212" s="13" t="str">
        <f t="shared" si="19"/>
        <v>mikayla henry</v>
      </c>
      <c r="E212" s="13" t="str">
        <f t="shared" si="20"/>
        <v>Mikayla Henry</v>
      </c>
      <c r="F212" s="13" t="str">
        <f t="shared" si="21"/>
        <v>FL</v>
      </c>
      <c r="G212" s="13" t="str">
        <f t="shared" si="22"/>
        <v>11</v>
      </c>
      <c r="H212" s="13" t="str">
        <f t="shared" si="23"/>
        <v>2502</v>
      </c>
    </row>
    <row r="213" spans="1:8" x14ac:dyDescent="0.3">
      <c r="A213" s="13" t="s">
        <v>528</v>
      </c>
      <c r="B213" s="13" t="s">
        <v>529</v>
      </c>
      <c r="C213" s="13" t="str">
        <f t="shared" si="18"/>
        <v>JACOB KERR</v>
      </c>
      <c r="D213" s="13" t="str">
        <f t="shared" si="19"/>
        <v>jacob kerr</v>
      </c>
      <c r="E213" s="13" t="str">
        <f t="shared" si="20"/>
        <v>Jacob Kerr</v>
      </c>
      <c r="F213" s="13" t="str">
        <f t="shared" si="21"/>
        <v>FL</v>
      </c>
      <c r="G213" s="13" t="str">
        <f t="shared" si="22"/>
        <v>12</v>
      </c>
      <c r="H213" s="13" t="str">
        <f t="shared" si="23"/>
        <v>2502</v>
      </c>
    </row>
    <row r="214" spans="1:8" x14ac:dyDescent="0.3">
      <c r="A214" s="13" t="s">
        <v>530</v>
      </c>
      <c r="B214" s="13" t="s">
        <v>531</v>
      </c>
      <c r="C214" s="13" t="str">
        <f t="shared" si="18"/>
        <v>RYAN JOHNSON</v>
      </c>
      <c r="D214" s="13" t="str">
        <f t="shared" si="19"/>
        <v>ryan johnson</v>
      </c>
      <c r="E214" s="13" t="str">
        <f t="shared" si="20"/>
        <v>Ryan Johnson</v>
      </c>
      <c r="F214" s="13" t="str">
        <f t="shared" si="21"/>
        <v>FL</v>
      </c>
      <c r="G214" s="13" t="str">
        <f t="shared" si="22"/>
        <v>13</v>
      </c>
      <c r="H214" s="13" t="str">
        <f t="shared" si="23"/>
        <v>2502</v>
      </c>
    </row>
    <row r="215" spans="1:8" x14ac:dyDescent="0.3">
      <c r="A215" s="13" t="s">
        <v>532</v>
      </c>
      <c r="B215" s="13" t="s">
        <v>533</v>
      </c>
      <c r="C215" s="13" t="str">
        <f t="shared" si="18"/>
        <v>MICHAEL RUIZ</v>
      </c>
      <c r="D215" s="13" t="str">
        <f t="shared" si="19"/>
        <v>michael ruiz</v>
      </c>
      <c r="E215" s="13" t="str">
        <f t="shared" si="20"/>
        <v>Michael Ruiz</v>
      </c>
      <c r="F215" s="13" t="str">
        <f t="shared" si="21"/>
        <v>FL</v>
      </c>
      <c r="G215" s="13" t="str">
        <f t="shared" si="22"/>
        <v>14</v>
      </c>
      <c r="H215" s="13" t="str">
        <f t="shared" si="23"/>
        <v>2502</v>
      </c>
    </row>
    <row r="216" spans="1:8" x14ac:dyDescent="0.3">
      <c r="A216" s="13" t="s">
        <v>534</v>
      </c>
      <c r="B216" s="13" t="s">
        <v>535</v>
      </c>
      <c r="C216" s="13" t="str">
        <f t="shared" si="18"/>
        <v>MONICA ROBERTS</v>
      </c>
      <c r="D216" s="13" t="str">
        <f t="shared" si="19"/>
        <v>monica roberts</v>
      </c>
      <c r="E216" s="13" t="str">
        <f t="shared" si="20"/>
        <v>Monica Roberts</v>
      </c>
      <c r="F216" s="13" t="str">
        <f t="shared" si="21"/>
        <v>FL</v>
      </c>
      <c r="G216" s="13" t="str">
        <f t="shared" si="22"/>
        <v>15</v>
      </c>
      <c r="H216" s="13" t="str">
        <f t="shared" si="23"/>
        <v>2502</v>
      </c>
    </row>
    <row r="217" spans="1:8" x14ac:dyDescent="0.3">
      <c r="A217" s="13" t="s">
        <v>536</v>
      </c>
      <c r="B217" s="13" t="s">
        <v>537</v>
      </c>
      <c r="C217" s="13" t="str">
        <f t="shared" si="18"/>
        <v>DANNY BROWN</v>
      </c>
      <c r="D217" s="13" t="str">
        <f t="shared" si="19"/>
        <v>danny brown</v>
      </c>
      <c r="E217" s="13" t="str">
        <f t="shared" si="20"/>
        <v>Danny Brown</v>
      </c>
      <c r="F217" s="13" t="str">
        <f t="shared" si="21"/>
        <v>FL</v>
      </c>
      <c r="G217" s="13" t="str">
        <f t="shared" si="22"/>
        <v>16</v>
      </c>
      <c r="H217" s="13" t="str">
        <f t="shared" si="23"/>
        <v>2502</v>
      </c>
    </row>
    <row r="218" spans="1:8" x14ac:dyDescent="0.3">
      <c r="A218" s="13" t="s">
        <v>538</v>
      </c>
      <c r="B218" s="13" t="s">
        <v>539</v>
      </c>
      <c r="C218" s="13" t="str">
        <f t="shared" si="18"/>
        <v>KAREN LARSEN</v>
      </c>
      <c r="D218" s="13" t="str">
        <f t="shared" si="19"/>
        <v>karen larsen</v>
      </c>
      <c r="E218" s="13" t="str">
        <f t="shared" si="20"/>
        <v>Karen Larsen</v>
      </c>
      <c r="F218" s="13" t="str">
        <f t="shared" si="21"/>
        <v>FL</v>
      </c>
      <c r="G218" s="13" t="str">
        <f t="shared" si="22"/>
        <v>17</v>
      </c>
      <c r="H218" s="13" t="str">
        <f t="shared" si="23"/>
        <v>2502</v>
      </c>
    </row>
    <row r="219" spans="1:8" x14ac:dyDescent="0.3">
      <c r="A219" s="13" t="s">
        <v>540</v>
      </c>
      <c r="B219" s="13" t="s">
        <v>541</v>
      </c>
      <c r="C219" s="13" t="str">
        <f t="shared" si="18"/>
        <v>ROBERT EVANS</v>
      </c>
      <c r="D219" s="13" t="str">
        <f t="shared" si="19"/>
        <v>robert evans</v>
      </c>
      <c r="E219" s="13" t="str">
        <f t="shared" si="20"/>
        <v>Robert Evans</v>
      </c>
      <c r="F219" s="13" t="str">
        <f t="shared" si="21"/>
        <v>FL</v>
      </c>
      <c r="G219" s="13" t="str">
        <f t="shared" si="22"/>
        <v>18</v>
      </c>
      <c r="H219" s="13" t="str">
        <f t="shared" si="23"/>
        <v>2502</v>
      </c>
    </row>
    <row r="220" spans="1:8" x14ac:dyDescent="0.3">
      <c r="A220" s="13" t="s">
        <v>542</v>
      </c>
      <c r="B220" s="13" t="s">
        <v>543</v>
      </c>
      <c r="C220" s="13" t="str">
        <f t="shared" si="18"/>
        <v>SEAN POOLE</v>
      </c>
      <c r="D220" s="13" t="str">
        <f t="shared" si="19"/>
        <v>sean poole</v>
      </c>
      <c r="E220" s="13" t="str">
        <f t="shared" si="20"/>
        <v>Sean Poole</v>
      </c>
      <c r="F220" s="13" t="str">
        <f t="shared" si="21"/>
        <v>FL</v>
      </c>
      <c r="G220" s="13" t="str">
        <f t="shared" si="22"/>
        <v>19</v>
      </c>
      <c r="H220" s="13" t="str">
        <f t="shared" si="23"/>
        <v>2502</v>
      </c>
    </row>
    <row r="221" spans="1:8" x14ac:dyDescent="0.3">
      <c r="A221" s="13" t="s">
        <v>544</v>
      </c>
      <c r="B221" s="13" t="s">
        <v>545</v>
      </c>
      <c r="C221" s="13" t="str">
        <f t="shared" si="18"/>
        <v>RICHARD QUINN</v>
      </c>
      <c r="D221" s="13" t="str">
        <f t="shared" si="19"/>
        <v>richard quinn</v>
      </c>
      <c r="E221" s="13" t="str">
        <f t="shared" si="20"/>
        <v>Richard Quinn</v>
      </c>
      <c r="F221" s="13" t="str">
        <f t="shared" si="21"/>
        <v>FL</v>
      </c>
      <c r="G221" s="13" t="str">
        <f t="shared" si="22"/>
        <v>20</v>
      </c>
      <c r="H221" s="13" t="str">
        <f t="shared" si="23"/>
        <v>2502</v>
      </c>
    </row>
    <row r="222" spans="1:8" x14ac:dyDescent="0.3">
      <c r="A222" s="13" t="s">
        <v>546</v>
      </c>
      <c r="B222" s="13" t="s">
        <v>547</v>
      </c>
      <c r="C222" s="13" t="str">
        <f t="shared" si="18"/>
        <v>JENNIFER GONZALEZ</v>
      </c>
      <c r="D222" s="13" t="str">
        <f t="shared" si="19"/>
        <v>jennifer gonzalez</v>
      </c>
      <c r="E222" s="13" t="str">
        <f t="shared" si="20"/>
        <v>Jennifer Gonzalez</v>
      </c>
      <c r="F222" s="13" t="str">
        <f t="shared" si="21"/>
        <v>FL</v>
      </c>
      <c r="G222" s="13" t="str">
        <f t="shared" si="22"/>
        <v>21</v>
      </c>
      <c r="H222" s="13" t="str">
        <f t="shared" si="23"/>
        <v>2502</v>
      </c>
    </row>
    <row r="223" spans="1:8" x14ac:dyDescent="0.3">
      <c r="A223" s="13" t="s">
        <v>548</v>
      </c>
      <c r="B223" s="13" t="s">
        <v>549</v>
      </c>
      <c r="C223" s="13" t="str">
        <f t="shared" si="18"/>
        <v>JAMES SKINNER</v>
      </c>
      <c r="D223" s="13" t="str">
        <f t="shared" si="19"/>
        <v>james skinner</v>
      </c>
      <c r="E223" s="13" t="str">
        <f t="shared" si="20"/>
        <v>James Skinner</v>
      </c>
      <c r="F223" s="13" t="str">
        <f t="shared" si="21"/>
        <v>FL</v>
      </c>
      <c r="G223" s="13" t="str">
        <f t="shared" si="22"/>
        <v>22</v>
      </c>
      <c r="H223" s="13" t="str">
        <f t="shared" si="23"/>
        <v>2502</v>
      </c>
    </row>
    <row r="224" spans="1:8" x14ac:dyDescent="0.3">
      <c r="A224" s="13" t="s">
        <v>550</v>
      </c>
      <c r="B224" s="13" t="s">
        <v>551</v>
      </c>
      <c r="C224" s="13" t="str">
        <f t="shared" si="18"/>
        <v>MICHELLE HILL</v>
      </c>
      <c r="D224" s="13" t="str">
        <f t="shared" si="19"/>
        <v>michelle hill</v>
      </c>
      <c r="E224" s="13" t="str">
        <f t="shared" si="20"/>
        <v>Michelle Hill</v>
      </c>
      <c r="F224" s="13" t="str">
        <f t="shared" si="21"/>
        <v>FL</v>
      </c>
      <c r="G224" s="13" t="str">
        <f t="shared" si="22"/>
        <v>23</v>
      </c>
      <c r="H224" s="13" t="str">
        <f t="shared" si="23"/>
        <v>2502</v>
      </c>
    </row>
    <row r="225" spans="1:8" x14ac:dyDescent="0.3">
      <c r="A225" s="13" t="s">
        <v>552</v>
      </c>
      <c r="B225" s="13" t="s">
        <v>553</v>
      </c>
      <c r="C225" s="13" t="str">
        <f t="shared" si="18"/>
        <v>JACQUELINE WILLIAMS</v>
      </c>
      <c r="D225" s="13" t="str">
        <f t="shared" si="19"/>
        <v>jacqueline williams</v>
      </c>
      <c r="E225" s="13" t="str">
        <f t="shared" si="20"/>
        <v>Jacqueline Williams</v>
      </c>
      <c r="F225" s="13" t="str">
        <f t="shared" si="21"/>
        <v>FL</v>
      </c>
      <c r="G225" s="13" t="str">
        <f t="shared" si="22"/>
        <v>24</v>
      </c>
      <c r="H225" s="13" t="str">
        <f t="shared" si="23"/>
        <v>2502</v>
      </c>
    </row>
    <row r="226" spans="1:8" x14ac:dyDescent="0.3">
      <c r="A226" s="13" t="s">
        <v>554</v>
      </c>
      <c r="B226" s="13" t="s">
        <v>555</v>
      </c>
      <c r="C226" s="13" t="str">
        <f t="shared" si="18"/>
        <v>DARRELL JOHNSON</v>
      </c>
      <c r="D226" s="13" t="str">
        <f t="shared" si="19"/>
        <v>darrell johnson</v>
      </c>
      <c r="E226" s="13" t="str">
        <f t="shared" si="20"/>
        <v>Darrell Johnson</v>
      </c>
      <c r="F226" s="13" t="str">
        <f t="shared" si="21"/>
        <v>FL</v>
      </c>
      <c r="G226" s="13" t="str">
        <f t="shared" si="22"/>
        <v>25</v>
      </c>
      <c r="H226" s="13" t="str">
        <f t="shared" si="23"/>
        <v>2502</v>
      </c>
    </row>
    <row r="227" spans="1:8" x14ac:dyDescent="0.3">
      <c r="A227" s="13" t="s">
        <v>556</v>
      </c>
      <c r="B227" s="13" t="s">
        <v>557</v>
      </c>
      <c r="C227" s="13" t="str">
        <f t="shared" si="18"/>
        <v>RYAN CRAWFORD</v>
      </c>
      <c r="D227" s="13" t="str">
        <f t="shared" si="19"/>
        <v>ryan crawford</v>
      </c>
      <c r="E227" s="13" t="str">
        <f t="shared" si="20"/>
        <v>Ryan Crawford</v>
      </c>
      <c r="F227" s="13" t="str">
        <f t="shared" si="21"/>
        <v>FL</v>
      </c>
      <c r="G227" s="13" t="str">
        <f t="shared" si="22"/>
        <v>26</v>
      </c>
      <c r="H227" s="13" t="str">
        <f t="shared" si="23"/>
        <v>2502</v>
      </c>
    </row>
    <row r="228" spans="1:8" x14ac:dyDescent="0.3">
      <c r="A228" s="13" t="s">
        <v>558</v>
      </c>
      <c r="B228" s="13" t="s">
        <v>559</v>
      </c>
      <c r="C228" s="13" t="str">
        <f t="shared" si="18"/>
        <v>CHELSEA BARBER</v>
      </c>
      <c r="D228" s="13" t="str">
        <f t="shared" si="19"/>
        <v>chelsea barber</v>
      </c>
      <c r="E228" s="13" t="str">
        <f t="shared" si="20"/>
        <v>Chelsea Barber</v>
      </c>
      <c r="F228" s="13" t="str">
        <f t="shared" si="21"/>
        <v>FL</v>
      </c>
      <c r="G228" s="13" t="str">
        <f t="shared" si="22"/>
        <v>27</v>
      </c>
      <c r="H228" s="13" t="str">
        <f t="shared" si="23"/>
        <v>2502</v>
      </c>
    </row>
    <row r="229" spans="1:8" x14ac:dyDescent="0.3">
      <c r="A229" s="13" t="s">
        <v>560</v>
      </c>
      <c r="B229" s="13" t="s">
        <v>561</v>
      </c>
      <c r="C229" s="13" t="str">
        <f t="shared" si="18"/>
        <v>ELAINE MARTINEZ</v>
      </c>
      <c r="D229" s="13" t="str">
        <f t="shared" si="19"/>
        <v>elaine martinez</v>
      </c>
      <c r="E229" s="13" t="str">
        <f t="shared" si="20"/>
        <v>Elaine Martinez</v>
      </c>
      <c r="F229" s="13" t="str">
        <f t="shared" si="21"/>
        <v>FL</v>
      </c>
      <c r="G229" s="13" t="str">
        <f t="shared" si="22"/>
        <v>28</v>
      </c>
      <c r="H229" s="13" t="str">
        <f t="shared" si="23"/>
        <v>2502</v>
      </c>
    </row>
    <row r="230" spans="1:8" x14ac:dyDescent="0.3">
      <c r="A230" s="13" t="s">
        <v>562</v>
      </c>
      <c r="B230" s="13" t="s">
        <v>563</v>
      </c>
      <c r="C230" s="13" t="str">
        <f t="shared" si="18"/>
        <v>JOSEPH KENT</v>
      </c>
      <c r="D230" s="13" t="str">
        <f t="shared" si="19"/>
        <v>joseph kent</v>
      </c>
      <c r="E230" s="13" t="str">
        <f t="shared" si="20"/>
        <v>Joseph Kent</v>
      </c>
      <c r="F230" s="13" t="str">
        <f t="shared" si="21"/>
        <v>FL</v>
      </c>
      <c r="G230" s="13" t="str">
        <f t="shared" si="22"/>
        <v>29</v>
      </c>
      <c r="H230" s="13" t="str">
        <f t="shared" si="23"/>
        <v>2502</v>
      </c>
    </row>
    <row r="231" spans="1:8" x14ac:dyDescent="0.3">
      <c r="A231" s="13" t="s">
        <v>564</v>
      </c>
      <c r="B231" s="13" t="s">
        <v>565</v>
      </c>
      <c r="C231" s="13" t="str">
        <f t="shared" si="18"/>
        <v>MEGAN WELCH</v>
      </c>
      <c r="D231" s="13" t="str">
        <f t="shared" si="19"/>
        <v>megan welch</v>
      </c>
      <c r="E231" s="13" t="str">
        <f t="shared" si="20"/>
        <v>Megan Welch</v>
      </c>
      <c r="F231" s="13" t="str">
        <f t="shared" si="21"/>
        <v>FL</v>
      </c>
      <c r="G231" s="13" t="str">
        <f t="shared" si="22"/>
        <v>30</v>
      </c>
      <c r="H231" s="13" t="str">
        <f t="shared" si="23"/>
        <v>2502</v>
      </c>
    </row>
    <row r="232" spans="1:8" x14ac:dyDescent="0.3">
      <c r="A232" s="13" t="s">
        <v>566</v>
      </c>
      <c r="B232" s="13" t="s">
        <v>567</v>
      </c>
      <c r="C232" s="13" t="str">
        <f t="shared" si="18"/>
        <v>STEPHEN RAMIREZ</v>
      </c>
      <c r="D232" s="13" t="str">
        <f t="shared" si="19"/>
        <v>stephen ramirez</v>
      </c>
      <c r="E232" s="13" t="str">
        <f t="shared" si="20"/>
        <v>Stephen Ramirez</v>
      </c>
      <c r="F232" s="13" t="str">
        <f t="shared" si="21"/>
        <v>FL</v>
      </c>
      <c r="G232" s="13" t="str">
        <f t="shared" si="22"/>
        <v>31</v>
      </c>
      <c r="H232" s="13" t="str">
        <f t="shared" si="23"/>
        <v>2502</v>
      </c>
    </row>
    <row r="233" spans="1:8" x14ac:dyDescent="0.3">
      <c r="A233" s="13" t="s">
        <v>568</v>
      </c>
      <c r="B233" s="13" t="s">
        <v>569</v>
      </c>
      <c r="C233" s="13" t="str">
        <f t="shared" si="18"/>
        <v>CHLOE GRAY</v>
      </c>
      <c r="D233" s="13" t="str">
        <f t="shared" si="19"/>
        <v>chloe gray</v>
      </c>
      <c r="E233" s="13" t="str">
        <f t="shared" si="20"/>
        <v>Chloe Gray</v>
      </c>
      <c r="F233" s="13" t="str">
        <f t="shared" si="21"/>
        <v>FL</v>
      </c>
      <c r="G233" s="13" t="str">
        <f t="shared" si="22"/>
        <v>32</v>
      </c>
      <c r="H233" s="13" t="str">
        <f t="shared" si="23"/>
        <v>2502</v>
      </c>
    </row>
    <row r="234" spans="1:8" x14ac:dyDescent="0.3">
      <c r="A234" s="13" t="s">
        <v>570</v>
      </c>
      <c r="B234" s="13" t="s">
        <v>571</v>
      </c>
      <c r="C234" s="13" t="str">
        <f t="shared" si="18"/>
        <v>MICHAEL WILLIAMS JR.</v>
      </c>
      <c r="D234" s="13" t="str">
        <f t="shared" si="19"/>
        <v>michael williams jr.</v>
      </c>
      <c r="E234" s="13" t="str">
        <f t="shared" si="20"/>
        <v>Michael Williams Jr.</v>
      </c>
      <c r="F234" s="13" t="str">
        <f t="shared" si="21"/>
        <v>FL</v>
      </c>
      <c r="G234" s="13" t="str">
        <f t="shared" si="22"/>
        <v>33</v>
      </c>
      <c r="H234" s="13" t="str">
        <f t="shared" si="23"/>
        <v>2502</v>
      </c>
    </row>
    <row r="235" spans="1:8" x14ac:dyDescent="0.3">
      <c r="A235" s="13" t="s">
        <v>572</v>
      </c>
      <c r="B235" s="13" t="s">
        <v>573</v>
      </c>
      <c r="C235" s="13" t="str">
        <f t="shared" si="18"/>
        <v>MATTHEW MARTIN</v>
      </c>
      <c r="D235" s="13" t="str">
        <f t="shared" si="19"/>
        <v>matthew martin</v>
      </c>
      <c r="E235" s="13" t="str">
        <f t="shared" si="20"/>
        <v>Matthew Martin</v>
      </c>
      <c r="F235" s="13" t="str">
        <f t="shared" si="21"/>
        <v>FL</v>
      </c>
      <c r="G235" s="13" t="str">
        <f t="shared" si="22"/>
        <v>34</v>
      </c>
      <c r="H235" s="13" t="str">
        <f t="shared" si="23"/>
        <v>2502</v>
      </c>
    </row>
    <row r="236" spans="1:8" x14ac:dyDescent="0.3">
      <c r="A236" s="13" t="s">
        <v>574</v>
      </c>
      <c r="B236" s="13" t="s">
        <v>575</v>
      </c>
      <c r="C236" s="13" t="str">
        <f t="shared" si="18"/>
        <v>JULIA MURPHY</v>
      </c>
      <c r="D236" s="13" t="str">
        <f t="shared" si="19"/>
        <v>julia murphy</v>
      </c>
      <c r="E236" s="13" t="str">
        <f t="shared" si="20"/>
        <v>Julia Murphy</v>
      </c>
      <c r="F236" s="13" t="str">
        <f t="shared" si="21"/>
        <v>FL</v>
      </c>
      <c r="G236" s="13" t="str">
        <f t="shared" si="22"/>
        <v>35</v>
      </c>
      <c r="H236" s="13" t="str">
        <f t="shared" si="23"/>
        <v>2502</v>
      </c>
    </row>
    <row r="237" spans="1:8" x14ac:dyDescent="0.3">
      <c r="A237" s="13" t="s">
        <v>576</v>
      </c>
      <c r="B237" s="13" t="s">
        <v>577</v>
      </c>
      <c r="C237" s="13" t="str">
        <f t="shared" si="18"/>
        <v>ANNA EVANS</v>
      </c>
      <c r="D237" s="13" t="str">
        <f t="shared" si="19"/>
        <v>anna evans</v>
      </c>
      <c r="E237" s="13" t="str">
        <f t="shared" si="20"/>
        <v>Anna Evans</v>
      </c>
      <c r="F237" s="13" t="str">
        <f t="shared" si="21"/>
        <v>FL</v>
      </c>
      <c r="G237" s="13" t="str">
        <f t="shared" si="22"/>
        <v>36</v>
      </c>
      <c r="H237" s="13" t="str">
        <f t="shared" si="23"/>
        <v>2502</v>
      </c>
    </row>
    <row r="238" spans="1:8" x14ac:dyDescent="0.3">
      <c r="A238" s="13" t="s">
        <v>578</v>
      </c>
      <c r="B238" s="13" t="s">
        <v>579</v>
      </c>
      <c r="C238" s="13" t="str">
        <f t="shared" si="18"/>
        <v>BRENDA FLEMING</v>
      </c>
      <c r="D238" s="13" t="str">
        <f t="shared" si="19"/>
        <v>brenda fleming</v>
      </c>
      <c r="E238" s="13" t="str">
        <f t="shared" si="20"/>
        <v>Brenda Fleming</v>
      </c>
      <c r="F238" s="13" t="str">
        <f t="shared" si="21"/>
        <v>FL</v>
      </c>
      <c r="G238" s="13" t="str">
        <f t="shared" si="22"/>
        <v>37</v>
      </c>
      <c r="H238" s="13" t="str">
        <f t="shared" si="23"/>
        <v>2502</v>
      </c>
    </row>
    <row r="239" spans="1:8" x14ac:dyDescent="0.3">
      <c r="A239" s="13" t="s">
        <v>580</v>
      </c>
      <c r="B239" s="13" t="s">
        <v>581</v>
      </c>
      <c r="C239" s="13" t="str">
        <f t="shared" si="18"/>
        <v>DANIEL HARRINGTON</v>
      </c>
      <c r="D239" s="13" t="str">
        <f t="shared" si="19"/>
        <v>daniel harrington</v>
      </c>
      <c r="E239" s="13" t="str">
        <f t="shared" si="20"/>
        <v>Daniel Harrington</v>
      </c>
      <c r="F239" s="13" t="str">
        <f t="shared" si="21"/>
        <v>FL</v>
      </c>
      <c r="G239" s="13" t="str">
        <f t="shared" si="22"/>
        <v>38</v>
      </c>
      <c r="H239" s="13" t="str">
        <f t="shared" si="23"/>
        <v>2502</v>
      </c>
    </row>
    <row r="240" spans="1:8" x14ac:dyDescent="0.3">
      <c r="A240" s="13" t="s">
        <v>582</v>
      </c>
      <c r="B240" s="13" t="s">
        <v>583</v>
      </c>
      <c r="C240" s="13" t="str">
        <f t="shared" si="18"/>
        <v>DANIEL BARNETT</v>
      </c>
      <c r="D240" s="13" t="str">
        <f t="shared" si="19"/>
        <v>daniel barnett</v>
      </c>
      <c r="E240" s="13" t="str">
        <f t="shared" si="20"/>
        <v>Daniel Barnett</v>
      </c>
      <c r="F240" s="13" t="str">
        <f t="shared" si="21"/>
        <v>FL</v>
      </c>
      <c r="G240" s="13" t="str">
        <f t="shared" si="22"/>
        <v>39</v>
      </c>
      <c r="H240" s="13" t="str">
        <f t="shared" si="23"/>
        <v>2502</v>
      </c>
    </row>
    <row r="241" spans="1:8" x14ac:dyDescent="0.3">
      <c r="A241" s="13" t="s">
        <v>584</v>
      </c>
      <c r="B241" s="13" t="s">
        <v>585</v>
      </c>
      <c r="C241" s="13" t="str">
        <f t="shared" si="18"/>
        <v>MARK CUMMINGS</v>
      </c>
      <c r="D241" s="13" t="str">
        <f t="shared" si="19"/>
        <v>mark cummings</v>
      </c>
      <c r="E241" s="13" t="str">
        <f t="shared" si="20"/>
        <v>Mark Cummings</v>
      </c>
      <c r="F241" s="13" t="str">
        <f t="shared" si="21"/>
        <v>FL</v>
      </c>
      <c r="G241" s="13" t="str">
        <f t="shared" si="22"/>
        <v>40</v>
      </c>
      <c r="H241" s="13" t="str">
        <f t="shared" si="23"/>
        <v>2502</v>
      </c>
    </row>
    <row r="242" spans="1:8" x14ac:dyDescent="0.3">
      <c r="A242" s="13" t="s">
        <v>586</v>
      </c>
      <c r="B242" s="13" t="s">
        <v>587</v>
      </c>
      <c r="C242" s="13" t="str">
        <f t="shared" si="18"/>
        <v>CHRISTOPHER GUERRA</v>
      </c>
      <c r="D242" s="13" t="str">
        <f t="shared" si="19"/>
        <v>christopher guerra</v>
      </c>
      <c r="E242" s="13" t="str">
        <f t="shared" si="20"/>
        <v>Christopher Guerra</v>
      </c>
      <c r="F242" s="13" t="str">
        <f t="shared" si="21"/>
        <v>FL</v>
      </c>
      <c r="G242" s="13" t="str">
        <f t="shared" si="22"/>
        <v>41</v>
      </c>
      <c r="H242" s="13" t="str">
        <f t="shared" si="23"/>
        <v>2502</v>
      </c>
    </row>
    <row r="243" spans="1:8" x14ac:dyDescent="0.3">
      <c r="A243" s="13" t="s">
        <v>588</v>
      </c>
      <c r="B243" s="13" t="s">
        <v>589</v>
      </c>
      <c r="C243" s="13" t="str">
        <f t="shared" si="18"/>
        <v>SARAH HO</v>
      </c>
      <c r="D243" s="13" t="str">
        <f t="shared" si="19"/>
        <v>sarah ho</v>
      </c>
      <c r="E243" s="13" t="str">
        <f t="shared" si="20"/>
        <v>Sarah Ho</v>
      </c>
      <c r="F243" s="13" t="str">
        <f t="shared" si="21"/>
        <v>FL</v>
      </c>
      <c r="G243" s="13" t="str">
        <f t="shared" si="22"/>
        <v>42</v>
      </c>
      <c r="H243" s="13" t="str">
        <f t="shared" si="23"/>
        <v>2502</v>
      </c>
    </row>
    <row r="244" spans="1:8" x14ac:dyDescent="0.3">
      <c r="A244" s="13" t="s">
        <v>590</v>
      </c>
      <c r="B244" s="13" t="s">
        <v>591</v>
      </c>
      <c r="C244" s="13" t="str">
        <f t="shared" si="18"/>
        <v>VERONICA THOMAS</v>
      </c>
      <c r="D244" s="13" t="str">
        <f t="shared" si="19"/>
        <v>veronica thomas</v>
      </c>
      <c r="E244" s="13" t="str">
        <f t="shared" si="20"/>
        <v>Veronica Thomas</v>
      </c>
      <c r="F244" s="13" t="str">
        <f t="shared" si="21"/>
        <v>FL</v>
      </c>
      <c r="G244" s="13" t="str">
        <f t="shared" si="22"/>
        <v>43</v>
      </c>
      <c r="H244" s="13" t="str">
        <f t="shared" si="23"/>
        <v>2502</v>
      </c>
    </row>
    <row r="245" spans="1:8" x14ac:dyDescent="0.3">
      <c r="A245" s="13" t="s">
        <v>592</v>
      </c>
      <c r="B245" s="13" t="s">
        <v>593</v>
      </c>
      <c r="C245" s="13" t="str">
        <f t="shared" si="18"/>
        <v>MITCHELL WATSON</v>
      </c>
      <c r="D245" s="13" t="str">
        <f t="shared" si="19"/>
        <v>mitchell watson</v>
      </c>
      <c r="E245" s="13" t="str">
        <f t="shared" si="20"/>
        <v>Mitchell Watson</v>
      </c>
      <c r="F245" s="13" t="str">
        <f t="shared" si="21"/>
        <v>FL</v>
      </c>
      <c r="G245" s="13" t="str">
        <f t="shared" si="22"/>
        <v>44</v>
      </c>
      <c r="H245" s="13" t="str">
        <f t="shared" si="23"/>
        <v>2502</v>
      </c>
    </row>
    <row r="246" spans="1:8" x14ac:dyDescent="0.3">
      <c r="A246" s="13" t="s">
        <v>594</v>
      </c>
      <c r="B246" s="13" t="s">
        <v>595</v>
      </c>
      <c r="C246" s="13" t="str">
        <f t="shared" si="18"/>
        <v>MONICA MURPHY</v>
      </c>
      <c r="D246" s="13" t="str">
        <f t="shared" si="19"/>
        <v>monica murphy</v>
      </c>
      <c r="E246" s="13" t="str">
        <f t="shared" si="20"/>
        <v>Monica Murphy</v>
      </c>
      <c r="F246" s="13" t="str">
        <f t="shared" si="21"/>
        <v>FL</v>
      </c>
      <c r="G246" s="13" t="str">
        <f t="shared" si="22"/>
        <v>45</v>
      </c>
      <c r="H246" s="13" t="str">
        <f t="shared" si="23"/>
        <v>2502</v>
      </c>
    </row>
    <row r="247" spans="1:8" x14ac:dyDescent="0.3">
      <c r="A247" s="13" t="s">
        <v>596</v>
      </c>
      <c r="B247" s="13" t="s">
        <v>597</v>
      </c>
      <c r="C247" s="13" t="str">
        <f t="shared" si="18"/>
        <v>KRISTEN WILLIAMS</v>
      </c>
      <c r="D247" s="13" t="str">
        <f t="shared" si="19"/>
        <v>kristen williams</v>
      </c>
      <c r="E247" s="13" t="str">
        <f t="shared" si="20"/>
        <v>Kristen Williams</v>
      </c>
      <c r="F247" s="13" t="str">
        <f t="shared" si="21"/>
        <v>FL</v>
      </c>
      <c r="G247" s="13" t="str">
        <f t="shared" si="22"/>
        <v>46</v>
      </c>
      <c r="H247" s="13" t="str">
        <f t="shared" si="23"/>
        <v>2502</v>
      </c>
    </row>
    <row r="248" spans="1:8" x14ac:dyDescent="0.3">
      <c r="A248" s="13" t="s">
        <v>598</v>
      </c>
      <c r="B248" s="13" t="s">
        <v>599</v>
      </c>
      <c r="C248" s="13" t="str">
        <f t="shared" si="18"/>
        <v>NICOLE WRIGHT</v>
      </c>
      <c r="D248" s="13" t="str">
        <f t="shared" si="19"/>
        <v>nicole wright</v>
      </c>
      <c r="E248" s="13" t="str">
        <f t="shared" si="20"/>
        <v>Nicole Wright</v>
      </c>
      <c r="F248" s="13" t="str">
        <f t="shared" si="21"/>
        <v>FL</v>
      </c>
      <c r="G248" s="13" t="str">
        <f t="shared" si="22"/>
        <v>47</v>
      </c>
      <c r="H248" s="13" t="str">
        <f t="shared" si="23"/>
        <v>2502</v>
      </c>
    </row>
    <row r="249" spans="1:8" x14ac:dyDescent="0.3">
      <c r="A249" s="13" t="s">
        <v>600</v>
      </c>
      <c r="B249" s="13" t="s">
        <v>601</v>
      </c>
      <c r="C249" s="13" t="str">
        <f t="shared" si="18"/>
        <v>ANDREW RUIZ</v>
      </c>
      <c r="D249" s="13" t="str">
        <f t="shared" si="19"/>
        <v>andrew ruiz</v>
      </c>
      <c r="E249" s="13" t="str">
        <f t="shared" si="20"/>
        <v>Andrew Ruiz</v>
      </c>
      <c r="F249" s="13" t="str">
        <f t="shared" si="21"/>
        <v>FL</v>
      </c>
      <c r="G249" s="13" t="str">
        <f t="shared" si="22"/>
        <v>48</v>
      </c>
      <c r="H249" s="13" t="str">
        <f t="shared" si="23"/>
        <v>2502</v>
      </c>
    </row>
    <row r="250" spans="1:8" x14ac:dyDescent="0.3">
      <c r="A250" s="13" t="s">
        <v>602</v>
      </c>
      <c r="B250" s="13" t="s">
        <v>603</v>
      </c>
      <c r="C250" s="13" t="str">
        <f t="shared" si="18"/>
        <v>ZACHARY JACKSON</v>
      </c>
      <c r="D250" s="13" t="str">
        <f t="shared" si="19"/>
        <v>zachary jackson</v>
      </c>
      <c r="E250" s="13" t="str">
        <f t="shared" si="20"/>
        <v>Zachary Jackson</v>
      </c>
      <c r="F250" s="13" t="str">
        <f t="shared" si="21"/>
        <v>FL</v>
      </c>
      <c r="G250" s="13" t="str">
        <f t="shared" si="22"/>
        <v>49</v>
      </c>
      <c r="H250" s="13" t="str">
        <f t="shared" si="23"/>
        <v>2502</v>
      </c>
    </row>
    <row r="251" spans="1:8" x14ac:dyDescent="0.3">
      <c r="A251" s="13" t="s">
        <v>604</v>
      </c>
      <c r="B251" s="13" t="s">
        <v>605</v>
      </c>
      <c r="C251" s="13" t="str">
        <f t="shared" si="18"/>
        <v>STEPHANIE CARTER</v>
      </c>
      <c r="D251" s="13" t="str">
        <f t="shared" si="19"/>
        <v>stephanie carter</v>
      </c>
      <c r="E251" s="13" t="str">
        <f t="shared" si="20"/>
        <v>Stephanie Carter</v>
      </c>
      <c r="F251" s="13" t="str">
        <f t="shared" si="21"/>
        <v>FL</v>
      </c>
      <c r="G251" s="13" t="str">
        <f t="shared" si="22"/>
        <v>50</v>
      </c>
      <c r="H251" s="13" t="str">
        <f t="shared" si="23"/>
        <v>2502</v>
      </c>
    </row>
    <row r="252" spans="1:8" x14ac:dyDescent="0.3">
      <c r="A252" s="13" t="s">
        <v>606</v>
      </c>
      <c r="B252" s="13" t="s">
        <v>607</v>
      </c>
      <c r="C252" s="13" t="str">
        <f t="shared" si="18"/>
        <v>AMY OLSON</v>
      </c>
      <c r="D252" s="13" t="str">
        <f t="shared" si="19"/>
        <v>amy olson</v>
      </c>
      <c r="E252" s="13" t="str">
        <f t="shared" si="20"/>
        <v>Amy Olson</v>
      </c>
      <c r="F252" s="13" t="str">
        <f t="shared" si="21"/>
        <v>FL</v>
      </c>
      <c r="G252" s="13" t="str">
        <f t="shared" si="22"/>
        <v>51</v>
      </c>
      <c r="H252" s="13" t="str">
        <f t="shared" si="23"/>
        <v>2502</v>
      </c>
    </row>
    <row r="253" spans="1:8" x14ac:dyDescent="0.3">
      <c r="A253" s="13" t="s">
        <v>608</v>
      </c>
      <c r="B253" s="13" t="s">
        <v>609</v>
      </c>
      <c r="C253" s="13" t="str">
        <f t="shared" si="18"/>
        <v>FRED STARK</v>
      </c>
      <c r="D253" s="13" t="str">
        <f t="shared" si="19"/>
        <v>fred stark</v>
      </c>
      <c r="E253" s="13" t="str">
        <f t="shared" si="20"/>
        <v>Fred Stark</v>
      </c>
      <c r="F253" s="13" t="str">
        <f t="shared" si="21"/>
        <v>FL</v>
      </c>
      <c r="G253" s="13" t="str">
        <f t="shared" si="22"/>
        <v>52</v>
      </c>
      <c r="H253" s="13" t="str">
        <f t="shared" si="23"/>
        <v>2502</v>
      </c>
    </row>
    <row r="254" spans="1:8" x14ac:dyDescent="0.3">
      <c r="A254" s="13" t="s">
        <v>610</v>
      </c>
      <c r="B254" s="13" t="s">
        <v>611</v>
      </c>
      <c r="C254" s="13" t="str">
        <f t="shared" si="18"/>
        <v>JACOB GILL</v>
      </c>
      <c r="D254" s="13" t="str">
        <f t="shared" si="19"/>
        <v>jacob gill</v>
      </c>
      <c r="E254" s="13" t="str">
        <f t="shared" si="20"/>
        <v>Jacob Gill</v>
      </c>
      <c r="F254" s="13" t="str">
        <f t="shared" si="21"/>
        <v>FL</v>
      </c>
      <c r="G254" s="13" t="str">
        <f t="shared" si="22"/>
        <v>53</v>
      </c>
      <c r="H254" s="13" t="str">
        <f t="shared" si="23"/>
        <v>2502</v>
      </c>
    </row>
    <row r="255" spans="1:8" x14ac:dyDescent="0.3">
      <c r="A255" s="13" t="s">
        <v>612</v>
      </c>
      <c r="B255" s="13" t="s">
        <v>613</v>
      </c>
      <c r="C255" s="13" t="str">
        <f t="shared" si="18"/>
        <v>ANTHONY NICHOLS</v>
      </c>
      <c r="D255" s="13" t="str">
        <f t="shared" si="19"/>
        <v>anthony nichols</v>
      </c>
      <c r="E255" s="13" t="str">
        <f t="shared" si="20"/>
        <v>Anthony Nichols</v>
      </c>
      <c r="F255" s="13" t="str">
        <f t="shared" si="21"/>
        <v>FL</v>
      </c>
      <c r="G255" s="13" t="str">
        <f t="shared" si="22"/>
        <v>54</v>
      </c>
      <c r="H255" s="13" t="str">
        <f t="shared" si="23"/>
        <v>2502</v>
      </c>
    </row>
    <row r="256" spans="1:8" x14ac:dyDescent="0.3">
      <c r="A256" s="13" t="s">
        <v>614</v>
      </c>
      <c r="B256" s="13" t="s">
        <v>615</v>
      </c>
      <c r="C256" s="13" t="str">
        <f t="shared" si="18"/>
        <v>WILLIAM KNAPP</v>
      </c>
      <c r="D256" s="13" t="str">
        <f t="shared" si="19"/>
        <v>william knapp</v>
      </c>
      <c r="E256" s="13" t="str">
        <f t="shared" si="20"/>
        <v>William Knapp</v>
      </c>
      <c r="F256" s="13" t="str">
        <f t="shared" si="21"/>
        <v>FL</v>
      </c>
      <c r="G256" s="13" t="str">
        <f t="shared" si="22"/>
        <v>55</v>
      </c>
      <c r="H256" s="13" t="str">
        <f t="shared" si="23"/>
        <v>2502</v>
      </c>
    </row>
    <row r="257" spans="1:8" x14ac:dyDescent="0.3">
      <c r="A257" s="13" t="s">
        <v>616</v>
      </c>
      <c r="B257" s="13" t="s">
        <v>617</v>
      </c>
      <c r="C257" s="13" t="str">
        <f t="shared" si="18"/>
        <v>ELIZABETH WALKER</v>
      </c>
      <c r="D257" s="13" t="str">
        <f t="shared" si="19"/>
        <v>elizabeth walker</v>
      </c>
      <c r="E257" s="13" t="str">
        <f t="shared" si="20"/>
        <v>Elizabeth Walker</v>
      </c>
      <c r="F257" s="13" t="str">
        <f t="shared" si="21"/>
        <v>FL</v>
      </c>
      <c r="G257" s="13" t="str">
        <f t="shared" si="22"/>
        <v>56</v>
      </c>
      <c r="H257" s="13" t="str">
        <f t="shared" si="23"/>
        <v>2502</v>
      </c>
    </row>
    <row r="258" spans="1:8" x14ac:dyDescent="0.3">
      <c r="A258" s="13" t="s">
        <v>618</v>
      </c>
      <c r="B258" s="13" t="s">
        <v>619</v>
      </c>
      <c r="C258" s="13" t="str">
        <f t="shared" si="18"/>
        <v>BRENDA REEVES</v>
      </c>
      <c r="D258" s="13" t="str">
        <f t="shared" si="19"/>
        <v>brenda reeves</v>
      </c>
      <c r="E258" s="13" t="str">
        <f t="shared" si="20"/>
        <v>Brenda Reeves</v>
      </c>
      <c r="F258" s="13" t="str">
        <f t="shared" si="21"/>
        <v>FL</v>
      </c>
      <c r="G258" s="13" t="str">
        <f t="shared" si="22"/>
        <v>57</v>
      </c>
      <c r="H258" s="13" t="str">
        <f t="shared" si="23"/>
        <v>2502</v>
      </c>
    </row>
    <row r="259" spans="1:8" x14ac:dyDescent="0.3">
      <c r="A259" s="13" t="s">
        <v>620</v>
      </c>
      <c r="B259" s="13" t="s">
        <v>621</v>
      </c>
      <c r="C259" s="13" t="str">
        <f t="shared" ref="C259:C322" si="24">UPPER(B259)</f>
        <v>CARRIE LITTLE</v>
      </c>
      <c r="D259" s="13" t="str">
        <f t="shared" ref="D259:D322" si="25">LOWER(B259)</f>
        <v>carrie little</v>
      </c>
      <c r="E259" s="13" t="str">
        <f t="shared" ref="E259:E322" si="26">PROPER(C259)</f>
        <v>Carrie Little</v>
      </c>
      <c r="F259" s="13" t="str">
        <f t="shared" ref="F259:F322" si="27">LEFT(A259,2)</f>
        <v>FL</v>
      </c>
      <c r="G259" s="13" t="str">
        <f t="shared" ref="G259:G322" si="28">RIGHT(A259,2)</f>
        <v>58</v>
      </c>
      <c r="H259" s="13" t="str">
        <f t="shared" ref="H259:H322" si="29">MID(A259,3,4)</f>
        <v>2502</v>
      </c>
    </row>
    <row r="260" spans="1:8" x14ac:dyDescent="0.3">
      <c r="A260" s="13" t="s">
        <v>622</v>
      </c>
      <c r="B260" s="13" t="s">
        <v>623</v>
      </c>
      <c r="C260" s="13" t="str">
        <f t="shared" si="24"/>
        <v>STEVEN JACKSON</v>
      </c>
      <c r="D260" s="13" t="str">
        <f t="shared" si="25"/>
        <v>steven jackson</v>
      </c>
      <c r="E260" s="13" t="str">
        <f t="shared" si="26"/>
        <v>Steven Jackson</v>
      </c>
      <c r="F260" s="13" t="str">
        <f t="shared" si="27"/>
        <v>FL</v>
      </c>
      <c r="G260" s="13" t="str">
        <f t="shared" si="28"/>
        <v>59</v>
      </c>
      <c r="H260" s="13" t="str">
        <f t="shared" si="29"/>
        <v>2502</v>
      </c>
    </row>
    <row r="261" spans="1:8" x14ac:dyDescent="0.3">
      <c r="A261" s="13" t="s">
        <v>624</v>
      </c>
      <c r="B261" s="13" t="s">
        <v>625</v>
      </c>
      <c r="C261" s="13" t="str">
        <f t="shared" si="24"/>
        <v>MARK PERRY</v>
      </c>
      <c r="D261" s="13" t="str">
        <f t="shared" si="25"/>
        <v>mark perry</v>
      </c>
      <c r="E261" s="13" t="str">
        <f t="shared" si="26"/>
        <v>Mark Perry</v>
      </c>
      <c r="F261" s="13" t="str">
        <f t="shared" si="27"/>
        <v>FL</v>
      </c>
      <c r="G261" s="13" t="str">
        <f t="shared" si="28"/>
        <v>60</v>
      </c>
      <c r="H261" s="13" t="str">
        <f t="shared" si="29"/>
        <v>2502</v>
      </c>
    </row>
    <row r="262" spans="1:8" x14ac:dyDescent="0.3">
      <c r="A262" s="13" t="s">
        <v>626</v>
      </c>
      <c r="B262" s="13" t="s">
        <v>627</v>
      </c>
      <c r="C262" s="13" t="str">
        <f t="shared" si="24"/>
        <v>CAMERON SPENCER</v>
      </c>
      <c r="D262" s="13" t="str">
        <f t="shared" si="25"/>
        <v>cameron spencer</v>
      </c>
      <c r="E262" s="13" t="str">
        <f t="shared" si="26"/>
        <v>Cameron Spencer</v>
      </c>
      <c r="F262" s="13" t="str">
        <f t="shared" si="27"/>
        <v>FL</v>
      </c>
      <c r="G262" s="13" t="str">
        <f t="shared" si="28"/>
        <v>61</v>
      </c>
      <c r="H262" s="13" t="str">
        <f t="shared" si="29"/>
        <v>2502</v>
      </c>
    </row>
    <row r="263" spans="1:8" x14ac:dyDescent="0.3">
      <c r="A263" s="13" t="s">
        <v>628</v>
      </c>
      <c r="B263" s="13" t="s">
        <v>629</v>
      </c>
      <c r="C263" s="13" t="str">
        <f t="shared" si="24"/>
        <v>JENNIFER HOLMES</v>
      </c>
      <c r="D263" s="13" t="str">
        <f t="shared" si="25"/>
        <v>jennifer holmes</v>
      </c>
      <c r="E263" s="13" t="str">
        <f t="shared" si="26"/>
        <v>Jennifer Holmes</v>
      </c>
      <c r="F263" s="13" t="str">
        <f t="shared" si="27"/>
        <v>FL</v>
      </c>
      <c r="G263" s="13" t="str">
        <f t="shared" si="28"/>
        <v>62</v>
      </c>
      <c r="H263" s="13" t="str">
        <f t="shared" si="29"/>
        <v>2502</v>
      </c>
    </row>
    <row r="264" spans="1:8" x14ac:dyDescent="0.3">
      <c r="A264" s="13" t="s">
        <v>630</v>
      </c>
      <c r="B264" s="13" t="s">
        <v>631</v>
      </c>
      <c r="C264" s="13" t="str">
        <f t="shared" si="24"/>
        <v>JACOB JOSEPH</v>
      </c>
      <c r="D264" s="13" t="str">
        <f t="shared" si="25"/>
        <v>jacob joseph</v>
      </c>
      <c r="E264" s="13" t="str">
        <f t="shared" si="26"/>
        <v>Jacob Joseph</v>
      </c>
      <c r="F264" s="13" t="str">
        <f t="shared" si="27"/>
        <v>FL</v>
      </c>
      <c r="G264" s="13" t="str">
        <f t="shared" si="28"/>
        <v>63</v>
      </c>
      <c r="H264" s="13" t="str">
        <f t="shared" si="29"/>
        <v>2502</v>
      </c>
    </row>
    <row r="265" spans="1:8" x14ac:dyDescent="0.3">
      <c r="A265" s="13" t="s">
        <v>632</v>
      </c>
      <c r="B265" s="13" t="s">
        <v>633</v>
      </c>
      <c r="C265" s="13" t="str">
        <f t="shared" si="24"/>
        <v>JEFFERY TUCKER</v>
      </c>
      <c r="D265" s="13" t="str">
        <f t="shared" si="25"/>
        <v>jeffery tucker</v>
      </c>
      <c r="E265" s="13" t="str">
        <f t="shared" si="26"/>
        <v>Jeffery Tucker</v>
      </c>
      <c r="F265" s="13" t="str">
        <f t="shared" si="27"/>
        <v>FL</v>
      </c>
      <c r="G265" s="13" t="str">
        <f t="shared" si="28"/>
        <v>64</v>
      </c>
      <c r="H265" s="13" t="str">
        <f t="shared" si="29"/>
        <v>2502</v>
      </c>
    </row>
    <row r="266" spans="1:8" x14ac:dyDescent="0.3">
      <c r="A266" s="13" t="s">
        <v>634</v>
      </c>
      <c r="B266" s="13" t="s">
        <v>635</v>
      </c>
      <c r="C266" s="13" t="str">
        <f t="shared" si="24"/>
        <v>JACQUELINE DRAKE</v>
      </c>
      <c r="D266" s="13" t="str">
        <f t="shared" si="25"/>
        <v>jacqueline drake</v>
      </c>
      <c r="E266" s="13" t="str">
        <f t="shared" si="26"/>
        <v>Jacqueline Drake</v>
      </c>
      <c r="F266" s="13" t="str">
        <f t="shared" si="27"/>
        <v>FL</v>
      </c>
      <c r="G266" s="13" t="str">
        <f t="shared" si="28"/>
        <v>65</v>
      </c>
      <c r="H266" s="13" t="str">
        <f t="shared" si="29"/>
        <v>2502</v>
      </c>
    </row>
    <row r="267" spans="1:8" x14ac:dyDescent="0.3">
      <c r="A267" s="13" t="s">
        <v>636</v>
      </c>
      <c r="B267" s="13" t="s">
        <v>637</v>
      </c>
      <c r="C267" s="13" t="str">
        <f t="shared" si="24"/>
        <v>BRIAN BAUTISTA</v>
      </c>
      <c r="D267" s="13" t="str">
        <f t="shared" si="25"/>
        <v>brian bautista</v>
      </c>
      <c r="E267" s="13" t="str">
        <f t="shared" si="26"/>
        <v>Brian Bautista</v>
      </c>
      <c r="F267" s="13" t="str">
        <f t="shared" si="27"/>
        <v>FL</v>
      </c>
      <c r="G267" s="13" t="str">
        <f t="shared" si="28"/>
        <v>66</v>
      </c>
      <c r="H267" s="13" t="str">
        <f t="shared" si="29"/>
        <v>2502</v>
      </c>
    </row>
    <row r="268" spans="1:8" x14ac:dyDescent="0.3">
      <c r="A268" s="13" t="s">
        <v>638</v>
      </c>
      <c r="B268" s="13" t="s">
        <v>639</v>
      </c>
      <c r="C268" s="13" t="str">
        <f t="shared" si="24"/>
        <v>DAKOTA WELLS</v>
      </c>
      <c r="D268" s="13" t="str">
        <f t="shared" si="25"/>
        <v>dakota wells</v>
      </c>
      <c r="E268" s="13" t="str">
        <f t="shared" si="26"/>
        <v>Dakota Wells</v>
      </c>
      <c r="F268" s="13" t="str">
        <f t="shared" si="27"/>
        <v>FL</v>
      </c>
      <c r="G268" s="13" t="str">
        <f t="shared" si="28"/>
        <v>67</v>
      </c>
      <c r="H268" s="13" t="str">
        <f t="shared" si="29"/>
        <v>2502</v>
      </c>
    </row>
    <row r="269" spans="1:8" x14ac:dyDescent="0.3">
      <c r="A269" s="13" t="s">
        <v>640</v>
      </c>
      <c r="B269" s="13" t="s">
        <v>641</v>
      </c>
      <c r="C269" s="13" t="str">
        <f t="shared" si="24"/>
        <v>JULIE WHITE</v>
      </c>
      <c r="D269" s="13" t="str">
        <f t="shared" si="25"/>
        <v>julie white</v>
      </c>
      <c r="E269" s="13" t="str">
        <f t="shared" si="26"/>
        <v>Julie White</v>
      </c>
      <c r="F269" s="13" t="str">
        <f t="shared" si="27"/>
        <v>FL</v>
      </c>
      <c r="G269" s="13" t="str">
        <f t="shared" si="28"/>
        <v>68</v>
      </c>
      <c r="H269" s="13" t="str">
        <f t="shared" si="29"/>
        <v>2502</v>
      </c>
    </row>
    <row r="270" spans="1:8" x14ac:dyDescent="0.3">
      <c r="A270" s="13" t="s">
        <v>642</v>
      </c>
      <c r="B270" s="13" t="s">
        <v>643</v>
      </c>
      <c r="C270" s="13" t="str">
        <f t="shared" si="24"/>
        <v>BARBARA KEITH</v>
      </c>
      <c r="D270" s="13" t="str">
        <f t="shared" si="25"/>
        <v>barbara keith</v>
      </c>
      <c r="E270" s="13" t="str">
        <f t="shared" si="26"/>
        <v>Barbara Keith</v>
      </c>
      <c r="F270" s="13" t="str">
        <f t="shared" si="27"/>
        <v>FL</v>
      </c>
      <c r="G270" s="13" t="str">
        <f t="shared" si="28"/>
        <v>69</v>
      </c>
      <c r="H270" s="13" t="str">
        <f t="shared" si="29"/>
        <v>2502</v>
      </c>
    </row>
    <row r="271" spans="1:8" x14ac:dyDescent="0.3">
      <c r="A271" s="13" t="s">
        <v>644</v>
      </c>
      <c r="B271" s="13" t="s">
        <v>645</v>
      </c>
      <c r="C271" s="13" t="str">
        <f t="shared" si="24"/>
        <v>HEATHER CAMACHO</v>
      </c>
      <c r="D271" s="13" t="str">
        <f t="shared" si="25"/>
        <v>heather camacho</v>
      </c>
      <c r="E271" s="13" t="str">
        <f t="shared" si="26"/>
        <v>Heather Camacho</v>
      </c>
      <c r="F271" s="13" t="str">
        <f t="shared" si="27"/>
        <v>FL</v>
      </c>
      <c r="G271" s="13" t="str">
        <f t="shared" si="28"/>
        <v>70</v>
      </c>
      <c r="H271" s="13" t="str">
        <f t="shared" si="29"/>
        <v>2502</v>
      </c>
    </row>
    <row r="272" spans="1:8" x14ac:dyDescent="0.3">
      <c r="A272" s="13" t="s">
        <v>646</v>
      </c>
      <c r="B272" s="13" t="s">
        <v>647</v>
      </c>
      <c r="C272" s="13" t="str">
        <f t="shared" si="24"/>
        <v>MELANIE HARRIS</v>
      </c>
      <c r="D272" s="13" t="str">
        <f t="shared" si="25"/>
        <v>melanie harris</v>
      </c>
      <c r="E272" s="13" t="str">
        <f t="shared" si="26"/>
        <v>Melanie Harris</v>
      </c>
      <c r="F272" s="13" t="str">
        <f t="shared" si="27"/>
        <v>FL</v>
      </c>
      <c r="G272" s="13" t="str">
        <f t="shared" si="28"/>
        <v>71</v>
      </c>
      <c r="H272" s="13" t="str">
        <f t="shared" si="29"/>
        <v>2502</v>
      </c>
    </row>
    <row r="273" spans="1:8" x14ac:dyDescent="0.3">
      <c r="A273" s="13" t="s">
        <v>648</v>
      </c>
      <c r="B273" s="13" t="s">
        <v>649</v>
      </c>
      <c r="C273" s="13" t="str">
        <f t="shared" si="24"/>
        <v>JACQUELINE PETERSON</v>
      </c>
      <c r="D273" s="13" t="str">
        <f t="shared" si="25"/>
        <v>jacqueline peterson</v>
      </c>
      <c r="E273" s="13" t="str">
        <f t="shared" si="26"/>
        <v>Jacqueline Peterson</v>
      </c>
      <c r="F273" s="13" t="str">
        <f t="shared" si="27"/>
        <v>FL</v>
      </c>
      <c r="G273" s="13" t="str">
        <f t="shared" si="28"/>
        <v>72</v>
      </c>
      <c r="H273" s="13" t="str">
        <f t="shared" si="29"/>
        <v>2502</v>
      </c>
    </row>
    <row r="274" spans="1:8" x14ac:dyDescent="0.3">
      <c r="A274" s="13" t="s">
        <v>650</v>
      </c>
      <c r="B274" s="13" t="s">
        <v>651</v>
      </c>
      <c r="C274" s="13" t="str">
        <f t="shared" si="24"/>
        <v>NANCY LONG</v>
      </c>
      <c r="D274" s="13" t="str">
        <f t="shared" si="25"/>
        <v>nancy long</v>
      </c>
      <c r="E274" s="13" t="str">
        <f t="shared" si="26"/>
        <v>Nancy Long</v>
      </c>
      <c r="F274" s="13" t="str">
        <f t="shared" si="27"/>
        <v>FL</v>
      </c>
      <c r="G274" s="13" t="str">
        <f t="shared" si="28"/>
        <v>73</v>
      </c>
      <c r="H274" s="13" t="str">
        <f t="shared" si="29"/>
        <v>2502</v>
      </c>
    </row>
    <row r="275" spans="1:8" x14ac:dyDescent="0.3">
      <c r="A275" s="13" t="s">
        <v>652</v>
      </c>
      <c r="B275" s="13" t="s">
        <v>653</v>
      </c>
      <c r="C275" s="13" t="str">
        <f t="shared" si="24"/>
        <v>MR. JUAN MITCHELL</v>
      </c>
      <c r="D275" s="13" t="str">
        <f t="shared" si="25"/>
        <v>mr. juan mitchell</v>
      </c>
      <c r="E275" s="13" t="str">
        <f t="shared" si="26"/>
        <v>Mr. Juan Mitchell</v>
      </c>
      <c r="F275" s="13" t="str">
        <f t="shared" si="27"/>
        <v>FL</v>
      </c>
      <c r="G275" s="13" t="str">
        <f t="shared" si="28"/>
        <v>74</v>
      </c>
      <c r="H275" s="13" t="str">
        <f t="shared" si="29"/>
        <v>2502</v>
      </c>
    </row>
    <row r="276" spans="1:8" x14ac:dyDescent="0.3">
      <c r="A276" s="13" t="s">
        <v>654</v>
      </c>
      <c r="B276" s="13" t="s">
        <v>655</v>
      </c>
      <c r="C276" s="13" t="str">
        <f t="shared" si="24"/>
        <v>WILLIAM GAINES</v>
      </c>
      <c r="D276" s="13" t="str">
        <f t="shared" si="25"/>
        <v>william gaines</v>
      </c>
      <c r="E276" s="13" t="str">
        <f t="shared" si="26"/>
        <v>William Gaines</v>
      </c>
      <c r="F276" s="13" t="str">
        <f t="shared" si="27"/>
        <v>FL</v>
      </c>
      <c r="G276" s="13" t="str">
        <f t="shared" si="28"/>
        <v>75</v>
      </c>
      <c r="H276" s="13" t="str">
        <f t="shared" si="29"/>
        <v>2502</v>
      </c>
    </row>
    <row r="277" spans="1:8" x14ac:dyDescent="0.3">
      <c r="A277" s="13" t="s">
        <v>656</v>
      </c>
      <c r="B277" s="13" t="s">
        <v>657</v>
      </c>
      <c r="C277" s="13" t="str">
        <f t="shared" si="24"/>
        <v>HALEY YATES</v>
      </c>
      <c r="D277" s="13" t="str">
        <f t="shared" si="25"/>
        <v>haley yates</v>
      </c>
      <c r="E277" s="13" t="str">
        <f t="shared" si="26"/>
        <v>Haley Yates</v>
      </c>
      <c r="F277" s="13" t="str">
        <f t="shared" si="27"/>
        <v>FL</v>
      </c>
      <c r="G277" s="13" t="str">
        <f t="shared" si="28"/>
        <v>76</v>
      </c>
      <c r="H277" s="13" t="str">
        <f t="shared" si="29"/>
        <v>2502</v>
      </c>
    </row>
    <row r="278" spans="1:8" x14ac:dyDescent="0.3">
      <c r="A278" s="13" t="s">
        <v>658</v>
      </c>
      <c r="B278" s="13" t="s">
        <v>659</v>
      </c>
      <c r="C278" s="13" t="str">
        <f t="shared" si="24"/>
        <v>RICHARD MCGUIRE</v>
      </c>
      <c r="D278" s="13" t="str">
        <f t="shared" si="25"/>
        <v>richard mcguire</v>
      </c>
      <c r="E278" s="13" t="str">
        <f t="shared" si="26"/>
        <v>Richard Mcguire</v>
      </c>
      <c r="F278" s="13" t="str">
        <f t="shared" si="27"/>
        <v>FL</v>
      </c>
      <c r="G278" s="13" t="str">
        <f t="shared" si="28"/>
        <v>77</v>
      </c>
      <c r="H278" s="13" t="str">
        <f t="shared" si="29"/>
        <v>2502</v>
      </c>
    </row>
    <row r="279" spans="1:8" x14ac:dyDescent="0.3">
      <c r="A279" s="13" t="s">
        <v>660</v>
      </c>
      <c r="B279" s="13" t="s">
        <v>661</v>
      </c>
      <c r="C279" s="13" t="str">
        <f t="shared" si="24"/>
        <v>STEPHANIE FISHER</v>
      </c>
      <c r="D279" s="13" t="str">
        <f t="shared" si="25"/>
        <v>stephanie fisher</v>
      </c>
      <c r="E279" s="13" t="str">
        <f t="shared" si="26"/>
        <v>Stephanie Fisher</v>
      </c>
      <c r="F279" s="13" t="str">
        <f t="shared" si="27"/>
        <v>FL</v>
      </c>
      <c r="G279" s="13" t="str">
        <f t="shared" si="28"/>
        <v>78</v>
      </c>
      <c r="H279" s="13" t="str">
        <f t="shared" si="29"/>
        <v>2502</v>
      </c>
    </row>
    <row r="280" spans="1:8" x14ac:dyDescent="0.3">
      <c r="A280" s="13" t="s">
        <v>662</v>
      </c>
      <c r="B280" s="13" t="s">
        <v>663</v>
      </c>
      <c r="C280" s="13" t="str">
        <f t="shared" si="24"/>
        <v>ANTHONY GOODWIN DDS</v>
      </c>
      <c r="D280" s="13" t="str">
        <f t="shared" si="25"/>
        <v>anthony goodwin dds</v>
      </c>
      <c r="E280" s="13" t="str">
        <f t="shared" si="26"/>
        <v>Anthony Goodwin Dds</v>
      </c>
      <c r="F280" s="13" t="str">
        <f t="shared" si="27"/>
        <v>FL</v>
      </c>
      <c r="G280" s="13" t="str">
        <f t="shared" si="28"/>
        <v>79</v>
      </c>
      <c r="H280" s="13" t="str">
        <f t="shared" si="29"/>
        <v>2502</v>
      </c>
    </row>
    <row r="281" spans="1:8" x14ac:dyDescent="0.3">
      <c r="A281" s="13" t="s">
        <v>664</v>
      </c>
      <c r="B281" s="13" t="s">
        <v>665</v>
      </c>
      <c r="C281" s="13" t="str">
        <f t="shared" si="24"/>
        <v>MEAGAN WALTERS</v>
      </c>
      <c r="D281" s="13" t="str">
        <f t="shared" si="25"/>
        <v>meagan walters</v>
      </c>
      <c r="E281" s="13" t="str">
        <f t="shared" si="26"/>
        <v>Meagan Walters</v>
      </c>
      <c r="F281" s="13" t="str">
        <f t="shared" si="27"/>
        <v>FL</v>
      </c>
      <c r="G281" s="13" t="str">
        <f t="shared" si="28"/>
        <v>80</v>
      </c>
      <c r="H281" s="13" t="str">
        <f t="shared" si="29"/>
        <v>2502</v>
      </c>
    </row>
    <row r="282" spans="1:8" x14ac:dyDescent="0.3">
      <c r="A282" s="13" t="s">
        <v>666</v>
      </c>
      <c r="B282" s="13" t="s">
        <v>667</v>
      </c>
      <c r="C282" s="13" t="str">
        <f t="shared" si="24"/>
        <v>DAVID POWELL</v>
      </c>
      <c r="D282" s="13" t="str">
        <f t="shared" si="25"/>
        <v>david powell</v>
      </c>
      <c r="E282" s="13" t="str">
        <f t="shared" si="26"/>
        <v>David Powell</v>
      </c>
      <c r="F282" s="13" t="str">
        <f t="shared" si="27"/>
        <v>FL</v>
      </c>
      <c r="G282" s="13" t="str">
        <f t="shared" si="28"/>
        <v>81</v>
      </c>
      <c r="H282" s="13" t="str">
        <f t="shared" si="29"/>
        <v>2502</v>
      </c>
    </row>
    <row r="283" spans="1:8" x14ac:dyDescent="0.3">
      <c r="A283" s="13" t="s">
        <v>668</v>
      </c>
      <c r="B283" s="13" t="s">
        <v>669</v>
      </c>
      <c r="C283" s="13" t="str">
        <f t="shared" si="24"/>
        <v>KELLY JONES</v>
      </c>
      <c r="D283" s="13" t="str">
        <f t="shared" si="25"/>
        <v>kelly jones</v>
      </c>
      <c r="E283" s="13" t="str">
        <f t="shared" si="26"/>
        <v>Kelly Jones</v>
      </c>
      <c r="F283" s="13" t="str">
        <f t="shared" si="27"/>
        <v>FL</v>
      </c>
      <c r="G283" s="13" t="str">
        <f t="shared" si="28"/>
        <v>82</v>
      </c>
      <c r="H283" s="13" t="str">
        <f t="shared" si="29"/>
        <v>2502</v>
      </c>
    </row>
    <row r="284" spans="1:8" x14ac:dyDescent="0.3">
      <c r="A284" s="13" t="s">
        <v>670</v>
      </c>
      <c r="B284" s="13" t="s">
        <v>671</v>
      </c>
      <c r="C284" s="13" t="str">
        <f t="shared" si="24"/>
        <v>DR. MICHAEL AGUILAR</v>
      </c>
      <c r="D284" s="13" t="str">
        <f t="shared" si="25"/>
        <v>dr. michael aguilar</v>
      </c>
      <c r="E284" s="13" t="str">
        <f t="shared" si="26"/>
        <v>Dr. Michael Aguilar</v>
      </c>
      <c r="F284" s="13" t="str">
        <f t="shared" si="27"/>
        <v>FL</v>
      </c>
      <c r="G284" s="13" t="str">
        <f t="shared" si="28"/>
        <v>83</v>
      </c>
      <c r="H284" s="13" t="str">
        <f t="shared" si="29"/>
        <v>2502</v>
      </c>
    </row>
    <row r="285" spans="1:8" x14ac:dyDescent="0.3">
      <c r="A285" s="13" t="s">
        <v>672</v>
      </c>
      <c r="B285" s="13" t="s">
        <v>673</v>
      </c>
      <c r="C285" s="13" t="str">
        <f t="shared" si="24"/>
        <v>ALEX NOVAK</v>
      </c>
      <c r="D285" s="13" t="str">
        <f t="shared" si="25"/>
        <v>alex novak</v>
      </c>
      <c r="E285" s="13" t="str">
        <f t="shared" si="26"/>
        <v>Alex Novak</v>
      </c>
      <c r="F285" s="13" t="str">
        <f t="shared" si="27"/>
        <v>FL</v>
      </c>
      <c r="G285" s="13" t="str">
        <f t="shared" si="28"/>
        <v>84</v>
      </c>
      <c r="H285" s="13" t="str">
        <f t="shared" si="29"/>
        <v>2502</v>
      </c>
    </row>
    <row r="286" spans="1:8" x14ac:dyDescent="0.3">
      <c r="A286" s="13" t="s">
        <v>674</v>
      </c>
      <c r="B286" s="13" t="s">
        <v>675</v>
      </c>
      <c r="C286" s="13" t="str">
        <f t="shared" si="24"/>
        <v>ANN CONTRERAS</v>
      </c>
      <c r="D286" s="13" t="str">
        <f t="shared" si="25"/>
        <v>ann contreras</v>
      </c>
      <c r="E286" s="13" t="str">
        <f t="shared" si="26"/>
        <v>Ann Contreras</v>
      </c>
      <c r="F286" s="13" t="str">
        <f t="shared" si="27"/>
        <v>FL</v>
      </c>
      <c r="G286" s="13" t="str">
        <f t="shared" si="28"/>
        <v>85</v>
      </c>
      <c r="H286" s="13" t="str">
        <f t="shared" si="29"/>
        <v>2502</v>
      </c>
    </row>
    <row r="287" spans="1:8" x14ac:dyDescent="0.3">
      <c r="A287" s="13" t="s">
        <v>676</v>
      </c>
      <c r="B287" s="13" t="s">
        <v>677</v>
      </c>
      <c r="C287" s="13" t="str">
        <f t="shared" si="24"/>
        <v>MARY REED</v>
      </c>
      <c r="D287" s="13" t="str">
        <f t="shared" si="25"/>
        <v>mary reed</v>
      </c>
      <c r="E287" s="13" t="str">
        <f t="shared" si="26"/>
        <v>Mary Reed</v>
      </c>
      <c r="F287" s="13" t="str">
        <f t="shared" si="27"/>
        <v>FL</v>
      </c>
      <c r="G287" s="13" t="str">
        <f t="shared" si="28"/>
        <v>86</v>
      </c>
      <c r="H287" s="13" t="str">
        <f t="shared" si="29"/>
        <v>2502</v>
      </c>
    </row>
    <row r="288" spans="1:8" x14ac:dyDescent="0.3">
      <c r="A288" s="13" t="s">
        <v>678</v>
      </c>
      <c r="B288" s="13" t="s">
        <v>679</v>
      </c>
      <c r="C288" s="13" t="str">
        <f t="shared" si="24"/>
        <v>LAUREN ROSS</v>
      </c>
      <c r="D288" s="13" t="str">
        <f t="shared" si="25"/>
        <v>lauren ross</v>
      </c>
      <c r="E288" s="13" t="str">
        <f t="shared" si="26"/>
        <v>Lauren Ross</v>
      </c>
      <c r="F288" s="13" t="str">
        <f t="shared" si="27"/>
        <v>FL</v>
      </c>
      <c r="G288" s="13" t="str">
        <f t="shared" si="28"/>
        <v>87</v>
      </c>
      <c r="H288" s="13" t="str">
        <f t="shared" si="29"/>
        <v>2502</v>
      </c>
    </row>
    <row r="289" spans="1:8" x14ac:dyDescent="0.3">
      <c r="A289" s="13" t="s">
        <v>680</v>
      </c>
      <c r="B289" s="13" t="s">
        <v>681</v>
      </c>
      <c r="C289" s="13" t="str">
        <f t="shared" si="24"/>
        <v>CANDICE WISE</v>
      </c>
      <c r="D289" s="13" t="str">
        <f t="shared" si="25"/>
        <v>candice wise</v>
      </c>
      <c r="E289" s="13" t="str">
        <f t="shared" si="26"/>
        <v>Candice Wise</v>
      </c>
      <c r="F289" s="13" t="str">
        <f t="shared" si="27"/>
        <v>FL</v>
      </c>
      <c r="G289" s="13" t="str">
        <f t="shared" si="28"/>
        <v>88</v>
      </c>
      <c r="H289" s="13" t="str">
        <f t="shared" si="29"/>
        <v>2502</v>
      </c>
    </row>
    <row r="290" spans="1:8" x14ac:dyDescent="0.3">
      <c r="A290" s="13" t="s">
        <v>682</v>
      </c>
      <c r="B290" s="13" t="s">
        <v>683</v>
      </c>
      <c r="C290" s="13" t="str">
        <f t="shared" si="24"/>
        <v>JOYCE HUMPHREY</v>
      </c>
      <c r="D290" s="13" t="str">
        <f t="shared" si="25"/>
        <v>joyce humphrey</v>
      </c>
      <c r="E290" s="13" t="str">
        <f t="shared" si="26"/>
        <v>Joyce Humphrey</v>
      </c>
      <c r="F290" s="13" t="str">
        <f t="shared" si="27"/>
        <v>FL</v>
      </c>
      <c r="G290" s="13" t="str">
        <f t="shared" si="28"/>
        <v>89</v>
      </c>
      <c r="H290" s="13" t="str">
        <f t="shared" si="29"/>
        <v>2502</v>
      </c>
    </row>
    <row r="291" spans="1:8" x14ac:dyDescent="0.3">
      <c r="A291" s="13" t="s">
        <v>684</v>
      </c>
      <c r="B291" s="13" t="s">
        <v>685</v>
      </c>
      <c r="C291" s="13" t="str">
        <f t="shared" si="24"/>
        <v>JAMES CARR</v>
      </c>
      <c r="D291" s="13" t="str">
        <f t="shared" si="25"/>
        <v>james carr</v>
      </c>
      <c r="E291" s="13" t="str">
        <f t="shared" si="26"/>
        <v>James Carr</v>
      </c>
      <c r="F291" s="13" t="str">
        <f t="shared" si="27"/>
        <v>FL</v>
      </c>
      <c r="G291" s="13" t="str">
        <f t="shared" si="28"/>
        <v>90</v>
      </c>
      <c r="H291" s="13" t="str">
        <f t="shared" si="29"/>
        <v>2502</v>
      </c>
    </row>
    <row r="292" spans="1:8" x14ac:dyDescent="0.3">
      <c r="A292" s="13" t="s">
        <v>686</v>
      </c>
      <c r="B292" s="13" t="s">
        <v>687</v>
      </c>
      <c r="C292" s="13" t="str">
        <f t="shared" si="24"/>
        <v>JOSEPH MENDOZA</v>
      </c>
      <c r="D292" s="13" t="str">
        <f t="shared" si="25"/>
        <v>joseph mendoza</v>
      </c>
      <c r="E292" s="13" t="str">
        <f t="shared" si="26"/>
        <v>Joseph Mendoza</v>
      </c>
      <c r="F292" s="13" t="str">
        <f t="shared" si="27"/>
        <v>FL</v>
      </c>
      <c r="G292" s="13" t="str">
        <f t="shared" si="28"/>
        <v>91</v>
      </c>
      <c r="H292" s="13" t="str">
        <f t="shared" si="29"/>
        <v>2502</v>
      </c>
    </row>
    <row r="293" spans="1:8" x14ac:dyDescent="0.3">
      <c r="A293" s="13" t="s">
        <v>688</v>
      </c>
      <c r="B293" s="13" t="s">
        <v>689</v>
      </c>
      <c r="C293" s="13" t="str">
        <f t="shared" si="24"/>
        <v>CATHY BALDWIN</v>
      </c>
      <c r="D293" s="13" t="str">
        <f t="shared" si="25"/>
        <v>cathy baldwin</v>
      </c>
      <c r="E293" s="13" t="str">
        <f t="shared" si="26"/>
        <v>Cathy Baldwin</v>
      </c>
      <c r="F293" s="13" t="str">
        <f t="shared" si="27"/>
        <v>FL</v>
      </c>
      <c r="G293" s="13" t="str">
        <f t="shared" si="28"/>
        <v>92</v>
      </c>
      <c r="H293" s="13" t="str">
        <f t="shared" si="29"/>
        <v>2502</v>
      </c>
    </row>
    <row r="294" spans="1:8" x14ac:dyDescent="0.3">
      <c r="A294" s="13" t="s">
        <v>690</v>
      </c>
      <c r="B294" s="13" t="s">
        <v>691</v>
      </c>
      <c r="C294" s="13" t="str">
        <f t="shared" si="24"/>
        <v>CHRISTINE HART</v>
      </c>
      <c r="D294" s="13" t="str">
        <f t="shared" si="25"/>
        <v>christine hart</v>
      </c>
      <c r="E294" s="13" t="str">
        <f t="shared" si="26"/>
        <v>Christine Hart</v>
      </c>
      <c r="F294" s="13" t="str">
        <f t="shared" si="27"/>
        <v>FL</v>
      </c>
      <c r="G294" s="13" t="str">
        <f t="shared" si="28"/>
        <v>93</v>
      </c>
      <c r="H294" s="13" t="str">
        <f t="shared" si="29"/>
        <v>2502</v>
      </c>
    </row>
    <row r="295" spans="1:8" x14ac:dyDescent="0.3">
      <c r="A295" s="13" t="s">
        <v>692</v>
      </c>
      <c r="B295" s="13" t="s">
        <v>693</v>
      </c>
      <c r="C295" s="13" t="str">
        <f t="shared" si="24"/>
        <v>MIKE STANLEY</v>
      </c>
      <c r="D295" s="13" t="str">
        <f t="shared" si="25"/>
        <v>mike stanley</v>
      </c>
      <c r="E295" s="13" t="str">
        <f t="shared" si="26"/>
        <v>Mike Stanley</v>
      </c>
      <c r="F295" s="13" t="str">
        <f t="shared" si="27"/>
        <v>FL</v>
      </c>
      <c r="G295" s="13" t="str">
        <f t="shared" si="28"/>
        <v>94</v>
      </c>
      <c r="H295" s="13" t="str">
        <f t="shared" si="29"/>
        <v>2502</v>
      </c>
    </row>
    <row r="296" spans="1:8" x14ac:dyDescent="0.3">
      <c r="A296" s="13" t="s">
        <v>694</v>
      </c>
      <c r="B296" s="13" t="s">
        <v>695</v>
      </c>
      <c r="C296" s="13" t="str">
        <f t="shared" si="24"/>
        <v>JEFFREY EDWARDS</v>
      </c>
      <c r="D296" s="13" t="str">
        <f t="shared" si="25"/>
        <v>jeffrey edwards</v>
      </c>
      <c r="E296" s="13" t="str">
        <f t="shared" si="26"/>
        <v>Jeffrey Edwards</v>
      </c>
      <c r="F296" s="13" t="str">
        <f t="shared" si="27"/>
        <v>FL</v>
      </c>
      <c r="G296" s="13" t="str">
        <f t="shared" si="28"/>
        <v>95</v>
      </c>
      <c r="H296" s="13" t="str">
        <f t="shared" si="29"/>
        <v>2502</v>
      </c>
    </row>
    <row r="297" spans="1:8" x14ac:dyDescent="0.3">
      <c r="A297" s="13" t="s">
        <v>696</v>
      </c>
      <c r="B297" s="13" t="s">
        <v>697</v>
      </c>
      <c r="C297" s="13" t="str">
        <f t="shared" si="24"/>
        <v>AMY LEE</v>
      </c>
      <c r="D297" s="13" t="str">
        <f t="shared" si="25"/>
        <v>amy lee</v>
      </c>
      <c r="E297" s="13" t="str">
        <f t="shared" si="26"/>
        <v>Amy Lee</v>
      </c>
      <c r="F297" s="13" t="str">
        <f t="shared" si="27"/>
        <v>FL</v>
      </c>
      <c r="G297" s="13" t="str">
        <f t="shared" si="28"/>
        <v>96</v>
      </c>
      <c r="H297" s="13" t="str">
        <f t="shared" si="29"/>
        <v>2502</v>
      </c>
    </row>
    <row r="298" spans="1:8" x14ac:dyDescent="0.3">
      <c r="A298" s="13" t="s">
        <v>698</v>
      </c>
      <c r="B298" s="13" t="s">
        <v>699</v>
      </c>
      <c r="C298" s="13" t="str">
        <f t="shared" si="24"/>
        <v>MARK THOMPSON</v>
      </c>
      <c r="D298" s="13" t="str">
        <f t="shared" si="25"/>
        <v>mark thompson</v>
      </c>
      <c r="E298" s="13" t="str">
        <f t="shared" si="26"/>
        <v>Mark Thompson</v>
      </c>
      <c r="F298" s="13" t="str">
        <f t="shared" si="27"/>
        <v>FL</v>
      </c>
      <c r="G298" s="13" t="str">
        <f t="shared" si="28"/>
        <v>97</v>
      </c>
      <c r="H298" s="13" t="str">
        <f t="shared" si="29"/>
        <v>2502</v>
      </c>
    </row>
    <row r="299" spans="1:8" x14ac:dyDescent="0.3">
      <c r="A299" s="13" t="s">
        <v>700</v>
      </c>
      <c r="B299" s="13" t="s">
        <v>701</v>
      </c>
      <c r="C299" s="13" t="str">
        <f t="shared" si="24"/>
        <v>ALEX WILSON</v>
      </c>
      <c r="D299" s="13" t="str">
        <f t="shared" si="25"/>
        <v>alex wilson</v>
      </c>
      <c r="E299" s="13" t="str">
        <f t="shared" si="26"/>
        <v>Alex Wilson</v>
      </c>
      <c r="F299" s="13" t="str">
        <f t="shared" si="27"/>
        <v>FL</v>
      </c>
      <c r="G299" s="13" t="str">
        <f t="shared" si="28"/>
        <v>98</v>
      </c>
      <c r="H299" s="13" t="str">
        <f t="shared" si="29"/>
        <v>2502</v>
      </c>
    </row>
    <row r="300" spans="1:8" x14ac:dyDescent="0.3">
      <c r="A300" s="13" t="s">
        <v>702</v>
      </c>
      <c r="B300" s="13" t="s">
        <v>703</v>
      </c>
      <c r="C300" s="13" t="str">
        <f t="shared" si="24"/>
        <v>NANCY MENDEZ</v>
      </c>
      <c r="D300" s="13" t="str">
        <f t="shared" si="25"/>
        <v>nancy mendez</v>
      </c>
      <c r="E300" s="13" t="str">
        <f t="shared" si="26"/>
        <v>Nancy Mendez</v>
      </c>
      <c r="F300" s="13" t="str">
        <f t="shared" si="27"/>
        <v>FL</v>
      </c>
      <c r="G300" s="13" t="str">
        <f t="shared" si="28"/>
        <v>99</v>
      </c>
      <c r="H300" s="13" t="str">
        <f t="shared" si="29"/>
        <v>2502</v>
      </c>
    </row>
    <row r="301" spans="1:8" x14ac:dyDescent="0.3">
      <c r="A301" s="13" t="s">
        <v>704</v>
      </c>
      <c r="B301" s="13" t="s">
        <v>705</v>
      </c>
      <c r="C301" s="13" t="str">
        <f t="shared" si="24"/>
        <v>BETH CRANE</v>
      </c>
      <c r="D301" s="13" t="str">
        <f t="shared" si="25"/>
        <v>beth crane</v>
      </c>
      <c r="E301" s="13" t="str">
        <f t="shared" si="26"/>
        <v>Beth Crane</v>
      </c>
      <c r="F301" s="13" t="str">
        <f t="shared" si="27"/>
        <v>FL</v>
      </c>
      <c r="G301" s="13" t="str">
        <f t="shared" si="28"/>
        <v>00</v>
      </c>
      <c r="H301" s="13" t="str">
        <f t="shared" si="29"/>
        <v>2503</v>
      </c>
    </row>
    <row r="302" spans="1:8" x14ac:dyDescent="0.3">
      <c r="A302" s="13" t="s">
        <v>706</v>
      </c>
      <c r="B302" s="13" t="s">
        <v>707</v>
      </c>
      <c r="C302" s="13" t="str">
        <f t="shared" si="24"/>
        <v>MIGUEL ROGERS</v>
      </c>
      <c r="D302" s="13" t="str">
        <f t="shared" si="25"/>
        <v>miguel rogers</v>
      </c>
      <c r="E302" s="13" t="str">
        <f t="shared" si="26"/>
        <v>Miguel Rogers</v>
      </c>
      <c r="F302" s="13" t="str">
        <f t="shared" si="27"/>
        <v>FL</v>
      </c>
      <c r="G302" s="13" t="str">
        <f t="shared" si="28"/>
        <v>01</v>
      </c>
      <c r="H302" s="13" t="str">
        <f t="shared" si="29"/>
        <v>2503</v>
      </c>
    </row>
    <row r="303" spans="1:8" x14ac:dyDescent="0.3">
      <c r="A303" s="13" t="s">
        <v>708</v>
      </c>
      <c r="B303" s="13" t="s">
        <v>709</v>
      </c>
      <c r="C303" s="13" t="str">
        <f t="shared" si="24"/>
        <v>THOMAS ROBLES</v>
      </c>
      <c r="D303" s="13" t="str">
        <f t="shared" si="25"/>
        <v>thomas robles</v>
      </c>
      <c r="E303" s="13" t="str">
        <f t="shared" si="26"/>
        <v>Thomas Robles</v>
      </c>
      <c r="F303" s="13" t="str">
        <f t="shared" si="27"/>
        <v>FL</v>
      </c>
      <c r="G303" s="13" t="str">
        <f t="shared" si="28"/>
        <v>02</v>
      </c>
      <c r="H303" s="13" t="str">
        <f t="shared" si="29"/>
        <v>2503</v>
      </c>
    </row>
    <row r="304" spans="1:8" x14ac:dyDescent="0.3">
      <c r="A304" s="13" t="s">
        <v>710</v>
      </c>
      <c r="B304" s="13" t="s">
        <v>711</v>
      </c>
      <c r="C304" s="13" t="str">
        <f t="shared" si="24"/>
        <v>JOEL BROWN III</v>
      </c>
      <c r="D304" s="13" t="str">
        <f t="shared" si="25"/>
        <v>joel brown iii</v>
      </c>
      <c r="E304" s="13" t="str">
        <f t="shared" si="26"/>
        <v>Joel Brown Iii</v>
      </c>
      <c r="F304" s="13" t="str">
        <f t="shared" si="27"/>
        <v>FL</v>
      </c>
      <c r="G304" s="13" t="str">
        <f t="shared" si="28"/>
        <v>03</v>
      </c>
      <c r="H304" s="13" t="str">
        <f t="shared" si="29"/>
        <v>2503</v>
      </c>
    </row>
    <row r="305" spans="1:8" x14ac:dyDescent="0.3">
      <c r="A305" s="13" t="s">
        <v>712</v>
      </c>
      <c r="B305" s="13" t="s">
        <v>713</v>
      </c>
      <c r="C305" s="13" t="str">
        <f t="shared" si="24"/>
        <v>OLIVIA SCHULTZ</v>
      </c>
      <c r="D305" s="13" t="str">
        <f t="shared" si="25"/>
        <v>olivia schultz</v>
      </c>
      <c r="E305" s="13" t="str">
        <f t="shared" si="26"/>
        <v>Olivia Schultz</v>
      </c>
      <c r="F305" s="13" t="str">
        <f t="shared" si="27"/>
        <v>FL</v>
      </c>
      <c r="G305" s="13" t="str">
        <f t="shared" si="28"/>
        <v>04</v>
      </c>
      <c r="H305" s="13" t="str">
        <f t="shared" si="29"/>
        <v>2503</v>
      </c>
    </row>
    <row r="306" spans="1:8" x14ac:dyDescent="0.3">
      <c r="A306" s="13" t="s">
        <v>714</v>
      </c>
      <c r="B306" s="13" t="s">
        <v>715</v>
      </c>
      <c r="C306" s="13" t="str">
        <f t="shared" si="24"/>
        <v>CLAYTON PENA</v>
      </c>
      <c r="D306" s="13" t="str">
        <f t="shared" si="25"/>
        <v>clayton pena</v>
      </c>
      <c r="E306" s="13" t="str">
        <f t="shared" si="26"/>
        <v>Clayton Pena</v>
      </c>
      <c r="F306" s="13" t="str">
        <f t="shared" si="27"/>
        <v>FL</v>
      </c>
      <c r="G306" s="13" t="str">
        <f t="shared" si="28"/>
        <v>05</v>
      </c>
      <c r="H306" s="13" t="str">
        <f t="shared" si="29"/>
        <v>2503</v>
      </c>
    </row>
    <row r="307" spans="1:8" x14ac:dyDescent="0.3">
      <c r="A307" s="13" t="s">
        <v>716</v>
      </c>
      <c r="B307" s="13" t="s">
        <v>717</v>
      </c>
      <c r="C307" s="13" t="str">
        <f t="shared" si="24"/>
        <v>ASHLEY SALAZAR</v>
      </c>
      <c r="D307" s="13" t="str">
        <f t="shared" si="25"/>
        <v>ashley salazar</v>
      </c>
      <c r="E307" s="13" t="str">
        <f t="shared" si="26"/>
        <v>Ashley Salazar</v>
      </c>
      <c r="F307" s="13" t="str">
        <f t="shared" si="27"/>
        <v>FL</v>
      </c>
      <c r="G307" s="13" t="str">
        <f t="shared" si="28"/>
        <v>06</v>
      </c>
      <c r="H307" s="13" t="str">
        <f t="shared" si="29"/>
        <v>2503</v>
      </c>
    </row>
    <row r="308" spans="1:8" x14ac:dyDescent="0.3">
      <c r="A308" s="13" t="s">
        <v>718</v>
      </c>
      <c r="B308" s="13" t="s">
        <v>719</v>
      </c>
      <c r="C308" s="13" t="str">
        <f t="shared" si="24"/>
        <v>ROBERT LUCAS</v>
      </c>
      <c r="D308" s="13" t="str">
        <f t="shared" si="25"/>
        <v>robert lucas</v>
      </c>
      <c r="E308" s="13" t="str">
        <f t="shared" si="26"/>
        <v>Robert Lucas</v>
      </c>
      <c r="F308" s="13" t="str">
        <f t="shared" si="27"/>
        <v>FL</v>
      </c>
      <c r="G308" s="13" t="str">
        <f t="shared" si="28"/>
        <v>07</v>
      </c>
      <c r="H308" s="13" t="str">
        <f t="shared" si="29"/>
        <v>2503</v>
      </c>
    </row>
    <row r="309" spans="1:8" x14ac:dyDescent="0.3">
      <c r="A309" s="13" t="s">
        <v>720</v>
      </c>
      <c r="B309" s="13" t="s">
        <v>721</v>
      </c>
      <c r="C309" s="13" t="str">
        <f t="shared" si="24"/>
        <v>DAVID COX</v>
      </c>
      <c r="D309" s="13" t="str">
        <f t="shared" si="25"/>
        <v>david cox</v>
      </c>
      <c r="E309" s="13" t="str">
        <f t="shared" si="26"/>
        <v>David Cox</v>
      </c>
      <c r="F309" s="13" t="str">
        <f t="shared" si="27"/>
        <v>FL</v>
      </c>
      <c r="G309" s="13" t="str">
        <f t="shared" si="28"/>
        <v>08</v>
      </c>
      <c r="H309" s="13" t="str">
        <f t="shared" si="29"/>
        <v>2503</v>
      </c>
    </row>
    <row r="310" spans="1:8" x14ac:dyDescent="0.3">
      <c r="A310" s="13" t="s">
        <v>722</v>
      </c>
      <c r="B310" s="13" t="s">
        <v>723</v>
      </c>
      <c r="C310" s="13" t="str">
        <f t="shared" si="24"/>
        <v>CHRISTIAN CAMPBELL</v>
      </c>
      <c r="D310" s="13" t="str">
        <f t="shared" si="25"/>
        <v>christian campbell</v>
      </c>
      <c r="E310" s="13" t="str">
        <f t="shared" si="26"/>
        <v>Christian Campbell</v>
      </c>
      <c r="F310" s="13" t="str">
        <f t="shared" si="27"/>
        <v>FL</v>
      </c>
      <c r="G310" s="13" t="str">
        <f t="shared" si="28"/>
        <v>09</v>
      </c>
      <c r="H310" s="13" t="str">
        <f t="shared" si="29"/>
        <v>2503</v>
      </c>
    </row>
    <row r="311" spans="1:8" x14ac:dyDescent="0.3">
      <c r="A311" s="13" t="s">
        <v>724</v>
      </c>
      <c r="B311" s="13" t="s">
        <v>725</v>
      </c>
      <c r="C311" s="13" t="str">
        <f t="shared" si="24"/>
        <v>MRS. ANGELA WARD</v>
      </c>
      <c r="D311" s="13" t="str">
        <f t="shared" si="25"/>
        <v>mrs. angela ward</v>
      </c>
      <c r="E311" s="13" t="str">
        <f t="shared" si="26"/>
        <v>Mrs. Angela Ward</v>
      </c>
      <c r="F311" s="13" t="str">
        <f t="shared" si="27"/>
        <v>FL</v>
      </c>
      <c r="G311" s="13" t="str">
        <f t="shared" si="28"/>
        <v>10</v>
      </c>
      <c r="H311" s="13" t="str">
        <f t="shared" si="29"/>
        <v>2503</v>
      </c>
    </row>
    <row r="312" spans="1:8" x14ac:dyDescent="0.3">
      <c r="A312" s="13" t="s">
        <v>726</v>
      </c>
      <c r="B312" s="13" t="s">
        <v>727</v>
      </c>
      <c r="C312" s="13" t="str">
        <f t="shared" si="24"/>
        <v>LUCAS CHEN</v>
      </c>
      <c r="D312" s="13" t="str">
        <f t="shared" si="25"/>
        <v>lucas chen</v>
      </c>
      <c r="E312" s="13" t="str">
        <f t="shared" si="26"/>
        <v>Lucas Chen</v>
      </c>
      <c r="F312" s="13" t="str">
        <f t="shared" si="27"/>
        <v>FL</v>
      </c>
      <c r="G312" s="13" t="str">
        <f t="shared" si="28"/>
        <v>11</v>
      </c>
      <c r="H312" s="13" t="str">
        <f t="shared" si="29"/>
        <v>2503</v>
      </c>
    </row>
    <row r="313" spans="1:8" x14ac:dyDescent="0.3">
      <c r="A313" s="13" t="s">
        <v>728</v>
      </c>
      <c r="B313" s="13" t="s">
        <v>729</v>
      </c>
      <c r="C313" s="13" t="str">
        <f t="shared" si="24"/>
        <v>RUBEN NELSON</v>
      </c>
      <c r="D313" s="13" t="str">
        <f t="shared" si="25"/>
        <v>ruben nelson</v>
      </c>
      <c r="E313" s="13" t="str">
        <f t="shared" si="26"/>
        <v>Ruben Nelson</v>
      </c>
      <c r="F313" s="13" t="str">
        <f t="shared" si="27"/>
        <v>FL</v>
      </c>
      <c r="G313" s="13" t="str">
        <f t="shared" si="28"/>
        <v>12</v>
      </c>
      <c r="H313" s="13" t="str">
        <f t="shared" si="29"/>
        <v>2503</v>
      </c>
    </row>
    <row r="314" spans="1:8" x14ac:dyDescent="0.3">
      <c r="A314" s="13" t="s">
        <v>730</v>
      </c>
      <c r="B314" s="13" t="s">
        <v>731</v>
      </c>
      <c r="C314" s="13" t="str">
        <f t="shared" si="24"/>
        <v>BRENDA BRIGGS</v>
      </c>
      <c r="D314" s="13" t="str">
        <f t="shared" si="25"/>
        <v>brenda briggs</v>
      </c>
      <c r="E314" s="13" t="str">
        <f t="shared" si="26"/>
        <v>Brenda Briggs</v>
      </c>
      <c r="F314" s="13" t="str">
        <f t="shared" si="27"/>
        <v>FL</v>
      </c>
      <c r="G314" s="13" t="str">
        <f t="shared" si="28"/>
        <v>13</v>
      </c>
      <c r="H314" s="13" t="str">
        <f t="shared" si="29"/>
        <v>2503</v>
      </c>
    </row>
    <row r="315" spans="1:8" x14ac:dyDescent="0.3">
      <c r="A315" s="13" t="s">
        <v>732</v>
      </c>
      <c r="B315" s="13" t="s">
        <v>733</v>
      </c>
      <c r="C315" s="13" t="str">
        <f t="shared" si="24"/>
        <v>RONALD SMITH</v>
      </c>
      <c r="D315" s="13" t="str">
        <f t="shared" si="25"/>
        <v>ronald smith</v>
      </c>
      <c r="E315" s="13" t="str">
        <f t="shared" si="26"/>
        <v>Ronald Smith</v>
      </c>
      <c r="F315" s="13" t="str">
        <f t="shared" si="27"/>
        <v>FL</v>
      </c>
      <c r="G315" s="13" t="str">
        <f t="shared" si="28"/>
        <v>14</v>
      </c>
      <c r="H315" s="13" t="str">
        <f t="shared" si="29"/>
        <v>2503</v>
      </c>
    </row>
    <row r="316" spans="1:8" x14ac:dyDescent="0.3">
      <c r="A316" s="13" t="s">
        <v>734</v>
      </c>
      <c r="B316" s="13" t="s">
        <v>735</v>
      </c>
      <c r="C316" s="13" t="str">
        <f t="shared" si="24"/>
        <v>DAKOTA GILES</v>
      </c>
      <c r="D316" s="13" t="str">
        <f t="shared" si="25"/>
        <v>dakota giles</v>
      </c>
      <c r="E316" s="13" t="str">
        <f t="shared" si="26"/>
        <v>Dakota Giles</v>
      </c>
      <c r="F316" s="13" t="str">
        <f t="shared" si="27"/>
        <v>FL</v>
      </c>
      <c r="G316" s="13" t="str">
        <f t="shared" si="28"/>
        <v>15</v>
      </c>
      <c r="H316" s="13" t="str">
        <f t="shared" si="29"/>
        <v>2503</v>
      </c>
    </row>
    <row r="317" spans="1:8" x14ac:dyDescent="0.3">
      <c r="A317" s="13" t="s">
        <v>736</v>
      </c>
      <c r="B317" s="13" t="s">
        <v>737</v>
      </c>
      <c r="C317" s="13" t="str">
        <f t="shared" si="24"/>
        <v>ANGELA CASTILLO</v>
      </c>
      <c r="D317" s="13" t="str">
        <f t="shared" si="25"/>
        <v>angela castillo</v>
      </c>
      <c r="E317" s="13" t="str">
        <f t="shared" si="26"/>
        <v>Angela Castillo</v>
      </c>
      <c r="F317" s="13" t="str">
        <f t="shared" si="27"/>
        <v>FL</v>
      </c>
      <c r="G317" s="13" t="str">
        <f t="shared" si="28"/>
        <v>16</v>
      </c>
      <c r="H317" s="13" t="str">
        <f t="shared" si="29"/>
        <v>2503</v>
      </c>
    </row>
    <row r="318" spans="1:8" x14ac:dyDescent="0.3">
      <c r="A318" s="13" t="s">
        <v>738</v>
      </c>
      <c r="B318" s="13" t="s">
        <v>739</v>
      </c>
      <c r="C318" s="13" t="str">
        <f t="shared" si="24"/>
        <v>ALLEN LEE</v>
      </c>
      <c r="D318" s="13" t="str">
        <f t="shared" si="25"/>
        <v>allen lee</v>
      </c>
      <c r="E318" s="13" t="str">
        <f t="shared" si="26"/>
        <v>Allen Lee</v>
      </c>
      <c r="F318" s="13" t="str">
        <f t="shared" si="27"/>
        <v>FL</v>
      </c>
      <c r="G318" s="13" t="str">
        <f t="shared" si="28"/>
        <v>17</v>
      </c>
      <c r="H318" s="13" t="str">
        <f t="shared" si="29"/>
        <v>2503</v>
      </c>
    </row>
    <row r="319" spans="1:8" x14ac:dyDescent="0.3">
      <c r="A319" s="13" t="s">
        <v>740</v>
      </c>
      <c r="B319" s="13" t="s">
        <v>741</v>
      </c>
      <c r="C319" s="13" t="str">
        <f t="shared" si="24"/>
        <v>MICHAEL ROGERS</v>
      </c>
      <c r="D319" s="13" t="str">
        <f t="shared" si="25"/>
        <v>michael rogers</v>
      </c>
      <c r="E319" s="13" t="str">
        <f t="shared" si="26"/>
        <v>Michael Rogers</v>
      </c>
      <c r="F319" s="13" t="str">
        <f t="shared" si="27"/>
        <v>FL</v>
      </c>
      <c r="G319" s="13" t="str">
        <f t="shared" si="28"/>
        <v>18</v>
      </c>
      <c r="H319" s="13" t="str">
        <f t="shared" si="29"/>
        <v>2503</v>
      </c>
    </row>
    <row r="320" spans="1:8" x14ac:dyDescent="0.3">
      <c r="A320" s="13" t="s">
        <v>742</v>
      </c>
      <c r="B320" s="13" t="s">
        <v>743</v>
      </c>
      <c r="C320" s="13" t="str">
        <f t="shared" si="24"/>
        <v>DANIELLE COSTA</v>
      </c>
      <c r="D320" s="13" t="str">
        <f t="shared" si="25"/>
        <v>danielle costa</v>
      </c>
      <c r="E320" s="13" t="str">
        <f t="shared" si="26"/>
        <v>Danielle Costa</v>
      </c>
      <c r="F320" s="13" t="str">
        <f t="shared" si="27"/>
        <v>FL</v>
      </c>
      <c r="G320" s="13" t="str">
        <f t="shared" si="28"/>
        <v>19</v>
      </c>
      <c r="H320" s="13" t="str">
        <f t="shared" si="29"/>
        <v>2503</v>
      </c>
    </row>
    <row r="321" spans="1:8" x14ac:dyDescent="0.3">
      <c r="A321" s="13" t="s">
        <v>744</v>
      </c>
      <c r="B321" s="13" t="s">
        <v>745</v>
      </c>
      <c r="C321" s="13" t="str">
        <f t="shared" si="24"/>
        <v>WILLIAM NUNEZ</v>
      </c>
      <c r="D321" s="13" t="str">
        <f t="shared" si="25"/>
        <v>william nunez</v>
      </c>
      <c r="E321" s="13" t="str">
        <f t="shared" si="26"/>
        <v>William Nunez</v>
      </c>
      <c r="F321" s="13" t="str">
        <f t="shared" si="27"/>
        <v>FL</v>
      </c>
      <c r="G321" s="13" t="str">
        <f t="shared" si="28"/>
        <v>20</v>
      </c>
      <c r="H321" s="13" t="str">
        <f t="shared" si="29"/>
        <v>2503</v>
      </c>
    </row>
    <row r="322" spans="1:8" x14ac:dyDescent="0.3">
      <c r="A322" s="13" t="s">
        <v>746</v>
      </c>
      <c r="B322" s="13" t="s">
        <v>747</v>
      </c>
      <c r="C322" s="13" t="str">
        <f t="shared" si="24"/>
        <v>CHRISTOPHER RIGGS</v>
      </c>
      <c r="D322" s="13" t="str">
        <f t="shared" si="25"/>
        <v>christopher riggs</v>
      </c>
      <c r="E322" s="13" t="str">
        <f t="shared" si="26"/>
        <v>Christopher Riggs</v>
      </c>
      <c r="F322" s="13" t="str">
        <f t="shared" si="27"/>
        <v>FL</v>
      </c>
      <c r="G322" s="13" t="str">
        <f t="shared" si="28"/>
        <v>21</v>
      </c>
      <c r="H322" s="13" t="str">
        <f t="shared" si="29"/>
        <v>2503</v>
      </c>
    </row>
    <row r="323" spans="1:8" x14ac:dyDescent="0.3">
      <c r="A323" s="13" t="s">
        <v>748</v>
      </c>
      <c r="B323" s="13" t="s">
        <v>749</v>
      </c>
      <c r="C323" s="13" t="str">
        <f t="shared" ref="C323:C386" si="30">UPPER(B323)</f>
        <v>KATHRYN MYERS</v>
      </c>
      <c r="D323" s="13" t="str">
        <f t="shared" ref="D323:D386" si="31">LOWER(B323)</f>
        <v>kathryn myers</v>
      </c>
      <c r="E323" s="13" t="str">
        <f t="shared" ref="E323:E386" si="32">PROPER(C323)</f>
        <v>Kathryn Myers</v>
      </c>
      <c r="F323" s="13" t="str">
        <f t="shared" ref="F323:F386" si="33">LEFT(A323,2)</f>
        <v>FL</v>
      </c>
      <c r="G323" s="13" t="str">
        <f t="shared" ref="G323:G386" si="34">RIGHT(A323,2)</f>
        <v>22</v>
      </c>
      <c r="H323" s="13" t="str">
        <f t="shared" ref="H323:H386" si="35">MID(A323,3,4)</f>
        <v>2503</v>
      </c>
    </row>
    <row r="324" spans="1:8" x14ac:dyDescent="0.3">
      <c r="A324" s="13" t="s">
        <v>750</v>
      </c>
      <c r="B324" s="13" t="s">
        <v>751</v>
      </c>
      <c r="C324" s="13" t="str">
        <f t="shared" si="30"/>
        <v>ROBERT WALLS</v>
      </c>
      <c r="D324" s="13" t="str">
        <f t="shared" si="31"/>
        <v>robert walls</v>
      </c>
      <c r="E324" s="13" t="str">
        <f t="shared" si="32"/>
        <v>Robert Walls</v>
      </c>
      <c r="F324" s="13" t="str">
        <f t="shared" si="33"/>
        <v>FL</v>
      </c>
      <c r="G324" s="13" t="str">
        <f t="shared" si="34"/>
        <v>23</v>
      </c>
      <c r="H324" s="13" t="str">
        <f t="shared" si="35"/>
        <v>2503</v>
      </c>
    </row>
    <row r="325" spans="1:8" x14ac:dyDescent="0.3">
      <c r="A325" s="13" t="s">
        <v>752</v>
      </c>
      <c r="B325" s="13" t="s">
        <v>753</v>
      </c>
      <c r="C325" s="13" t="str">
        <f t="shared" si="30"/>
        <v>JUSTIN JOHNSON</v>
      </c>
      <c r="D325" s="13" t="str">
        <f t="shared" si="31"/>
        <v>justin johnson</v>
      </c>
      <c r="E325" s="13" t="str">
        <f t="shared" si="32"/>
        <v>Justin Johnson</v>
      </c>
      <c r="F325" s="13" t="str">
        <f t="shared" si="33"/>
        <v>FL</v>
      </c>
      <c r="G325" s="13" t="str">
        <f t="shared" si="34"/>
        <v>24</v>
      </c>
      <c r="H325" s="13" t="str">
        <f t="shared" si="35"/>
        <v>2503</v>
      </c>
    </row>
    <row r="326" spans="1:8" x14ac:dyDescent="0.3">
      <c r="A326" s="13" t="s">
        <v>754</v>
      </c>
      <c r="B326" s="13" t="s">
        <v>755</v>
      </c>
      <c r="C326" s="13" t="str">
        <f t="shared" si="30"/>
        <v>PAULA STEVENS</v>
      </c>
      <c r="D326" s="13" t="str">
        <f t="shared" si="31"/>
        <v>paula stevens</v>
      </c>
      <c r="E326" s="13" t="str">
        <f t="shared" si="32"/>
        <v>Paula Stevens</v>
      </c>
      <c r="F326" s="13" t="str">
        <f t="shared" si="33"/>
        <v>FL</v>
      </c>
      <c r="G326" s="13" t="str">
        <f t="shared" si="34"/>
        <v>25</v>
      </c>
      <c r="H326" s="13" t="str">
        <f t="shared" si="35"/>
        <v>2503</v>
      </c>
    </row>
    <row r="327" spans="1:8" x14ac:dyDescent="0.3">
      <c r="A327" s="13" t="s">
        <v>756</v>
      </c>
      <c r="B327" s="13" t="s">
        <v>757</v>
      </c>
      <c r="C327" s="13" t="str">
        <f t="shared" si="30"/>
        <v>JENNIFER ALLEN</v>
      </c>
      <c r="D327" s="13" t="str">
        <f t="shared" si="31"/>
        <v>jennifer allen</v>
      </c>
      <c r="E327" s="13" t="str">
        <f t="shared" si="32"/>
        <v>Jennifer Allen</v>
      </c>
      <c r="F327" s="13" t="str">
        <f t="shared" si="33"/>
        <v>FL</v>
      </c>
      <c r="G327" s="13" t="str">
        <f t="shared" si="34"/>
        <v>26</v>
      </c>
      <c r="H327" s="13" t="str">
        <f t="shared" si="35"/>
        <v>2503</v>
      </c>
    </row>
    <row r="328" spans="1:8" x14ac:dyDescent="0.3">
      <c r="A328" s="13" t="s">
        <v>758</v>
      </c>
      <c r="B328" s="13" t="s">
        <v>759</v>
      </c>
      <c r="C328" s="13" t="str">
        <f t="shared" si="30"/>
        <v>MARK HUDSON</v>
      </c>
      <c r="D328" s="13" t="str">
        <f t="shared" si="31"/>
        <v>mark hudson</v>
      </c>
      <c r="E328" s="13" t="str">
        <f t="shared" si="32"/>
        <v>Mark Hudson</v>
      </c>
      <c r="F328" s="13" t="str">
        <f t="shared" si="33"/>
        <v>FL</v>
      </c>
      <c r="G328" s="13" t="str">
        <f t="shared" si="34"/>
        <v>27</v>
      </c>
      <c r="H328" s="13" t="str">
        <f t="shared" si="35"/>
        <v>2503</v>
      </c>
    </row>
    <row r="329" spans="1:8" x14ac:dyDescent="0.3">
      <c r="A329" s="13" t="s">
        <v>760</v>
      </c>
      <c r="B329" s="13" t="s">
        <v>761</v>
      </c>
      <c r="C329" s="13" t="str">
        <f t="shared" si="30"/>
        <v>JESSICA SMITH</v>
      </c>
      <c r="D329" s="13" t="str">
        <f t="shared" si="31"/>
        <v>jessica smith</v>
      </c>
      <c r="E329" s="13" t="str">
        <f t="shared" si="32"/>
        <v>Jessica Smith</v>
      </c>
      <c r="F329" s="13" t="str">
        <f t="shared" si="33"/>
        <v>FL</v>
      </c>
      <c r="G329" s="13" t="str">
        <f t="shared" si="34"/>
        <v>28</v>
      </c>
      <c r="H329" s="13" t="str">
        <f t="shared" si="35"/>
        <v>2503</v>
      </c>
    </row>
    <row r="330" spans="1:8" x14ac:dyDescent="0.3">
      <c r="A330" s="13" t="s">
        <v>762</v>
      </c>
      <c r="B330" s="13" t="s">
        <v>763</v>
      </c>
      <c r="C330" s="13" t="str">
        <f t="shared" si="30"/>
        <v>MIKE DEAN</v>
      </c>
      <c r="D330" s="13" t="str">
        <f t="shared" si="31"/>
        <v>mike dean</v>
      </c>
      <c r="E330" s="13" t="str">
        <f t="shared" si="32"/>
        <v>Mike Dean</v>
      </c>
      <c r="F330" s="13" t="str">
        <f t="shared" si="33"/>
        <v>FL</v>
      </c>
      <c r="G330" s="13" t="str">
        <f t="shared" si="34"/>
        <v>29</v>
      </c>
      <c r="H330" s="13" t="str">
        <f t="shared" si="35"/>
        <v>2503</v>
      </c>
    </row>
    <row r="331" spans="1:8" x14ac:dyDescent="0.3">
      <c r="A331" s="13" t="s">
        <v>764</v>
      </c>
      <c r="B331" s="13" t="s">
        <v>765</v>
      </c>
      <c r="C331" s="13" t="str">
        <f t="shared" si="30"/>
        <v>JOSE WILSON</v>
      </c>
      <c r="D331" s="13" t="str">
        <f t="shared" si="31"/>
        <v>jose wilson</v>
      </c>
      <c r="E331" s="13" t="str">
        <f t="shared" si="32"/>
        <v>Jose Wilson</v>
      </c>
      <c r="F331" s="13" t="str">
        <f t="shared" si="33"/>
        <v>FL</v>
      </c>
      <c r="G331" s="13" t="str">
        <f t="shared" si="34"/>
        <v>30</v>
      </c>
      <c r="H331" s="13" t="str">
        <f t="shared" si="35"/>
        <v>2503</v>
      </c>
    </row>
    <row r="332" spans="1:8" x14ac:dyDescent="0.3">
      <c r="A332" s="13" t="s">
        <v>766</v>
      </c>
      <c r="B332" s="13" t="s">
        <v>767</v>
      </c>
      <c r="C332" s="13" t="str">
        <f t="shared" si="30"/>
        <v>TAMMY HILL</v>
      </c>
      <c r="D332" s="13" t="str">
        <f t="shared" si="31"/>
        <v>tammy hill</v>
      </c>
      <c r="E332" s="13" t="str">
        <f t="shared" si="32"/>
        <v>Tammy Hill</v>
      </c>
      <c r="F332" s="13" t="str">
        <f t="shared" si="33"/>
        <v>FL</v>
      </c>
      <c r="G332" s="13" t="str">
        <f t="shared" si="34"/>
        <v>31</v>
      </c>
      <c r="H332" s="13" t="str">
        <f t="shared" si="35"/>
        <v>2503</v>
      </c>
    </row>
    <row r="333" spans="1:8" x14ac:dyDescent="0.3">
      <c r="A333" s="13" t="s">
        <v>768</v>
      </c>
      <c r="B333" s="13" t="s">
        <v>769</v>
      </c>
      <c r="C333" s="13" t="str">
        <f t="shared" si="30"/>
        <v>NATHANIEL FLORES</v>
      </c>
      <c r="D333" s="13" t="str">
        <f t="shared" si="31"/>
        <v>nathaniel flores</v>
      </c>
      <c r="E333" s="13" t="str">
        <f t="shared" si="32"/>
        <v>Nathaniel Flores</v>
      </c>
      <c r="F333" s="13" t="str">
        <f t="shared" si="33"/>
        <v>FL</v>
      </c>
      <c r="G333" s="13" t="str">
        <f t="shared" si="34"/>
        <v>32</v>
      </c>
      <c r="H333" s="13" t="str">
        <f t="shared" si="35"/>
        <v>2503</v>
      </c>
    </row>
    <row r="334" spans="1:8" x14ac:dyDescent="0.3">
      <c r="A334" s="13" t="s">
        <v>770</v>
      </c>
      <c r="B334" s="13" t="s">
        <v>771</v>
      </c>
      <c r="C334" s="13" t="str">
        <f t="shared" si="30"/>
        <v>EDWIN CARTER</v>
      </c>
      <c r="D334" s="13" t="str">
        <f t="shared" si="31"/>
        <v>edwin carter</v>
      </c>
      <c r="E334" s="13" t="str">
        <f t="shared" si="32"/>
        <v>Edwin Carter</v>
      </c>
      <c r="F334" s="13" t="str">
        <f t="shared" si="33"/>
        <v>FL</v>
      </c>
      <c r="G334" s="13" t="str">
        <f t="shared" si="34"/>
        <v>33</v>
      </c>
      <c r="H334" s="13" t="str">
        <f t="shared" si="35"/>
        <v>2503</v>
      </c>
    </row>
    <row r="335" spans="1:8" x14ac:dyDescent="0.3">
      <c r="A335" s="13" t="s">
        <v>772</v>
      </c>
      <c r="B335" s="13" t="s">
        <v>773</v>
      </c>
      <c r="C335" s="13" t="str">
        <f t="shared" si="30"/>
        <v>PATRICIA MILLER</v>
      </c>
      <c r="D335" s="13" t="str">
        <f t="shared" si="31"/>
        <v>patricia miller</v>
      </c>
      <c r="E335" s="13" t="str">
        <f t="shared" si="32"/>
        <v>Patricia Miller</v>
      </c>
      <c r="F335" s="13" t="str">
        <f t="shared" si="33"/>
        <v>FL</v>
      </c>
      <c r="G335" s="13" t="str">
        <f t="shared" si="34"/>
        <v>34</v>
      </c>
      <c r="H335" s="13" t="str">
        <f t="shared" si="35"/>
        <v>2503</v>
      </c>
    </row>
    <row r="336" spans="1:8" x14ac:dyDescent="0.3">
      <c r="A336" s="13" t="s">
        <v>774</v>
      </c>
      <c r="B336" s="13" t="s">
        <v>775</v>
      </c>
      <c r="C336" s="13" t="str">
        <f t="shared" si="30"/>
        <v>REBECCA SCHNEIDER</v>
      </c>
      <c r="D336" s="13" t="str">
        <f t="shared" si="31"/>
        <v>rebecca schneider</v>
      </c>
      <c r="E336" s="13" t="str">
        <f t="shared" si="32"/>
        <v>Rebecca Schneider</v>
      </c>
      <c r="F336" s="13" t="str">
        <f t="shared" si="33"/>
        <v>FL</v>
      </c>
      <c r="G336" s="13" t="str">
        <f t="shared" si="34"/>
        <v>35</v>
      </c>
      <c r="H336" s="13" t="str">
        <f t="shared" si="35"/>
        <v>2503</v>
      </c>
    </row>
    <row r="337" spans="1:8" x14ac:dyDescent="0.3">
      <c r="A337" s="13" t="s">
        <v>776</v>
      </c>
      <c r="B337" s="13" t="s">
        <v>777</v>
      </c>
      <c r="C337" s="13" t="str">
        <f t="shared" si="30"/>
        <v>JOHN GREENE</v>
      </c>
      <c r="D337" s="13" t="str">
        <f t="shared" si="31"/>
        <v>john greene</v>
      </c>
      <c r="E337" s="13" t="str">
        <f t="shared" si="32"/>
        <v>John Greene</v>
      </c>
      <c r="F337" s="13" t="str">
        <f t="shared" si="33"/>
        <v>FL</v>
      </c>
      <c r="G337" s="13" t="str">
        <f t="shared" si="34"/>
        <v>36</v>
      </c>
      <c r="H337" s="13" t="str">
        <f t="shared" si="35"/>
        <v>2503</v>
      </c>
    </row>
    <row r="338" spans="1:8" x14ac:dyDescent="0.3">
      <c r="A338" s="13" t="s">
        <v>778</v>
      </c>
      <c r="B338" s="13" t="s">
        <v>779</v>
      </c>
      <c r="C338" s="13" t="str">
        <f t="shared" si="30"/>
        <v>BRITTANY MCDOWELL</v>
      </c>
      <c r="D338" s="13" t="str">
        <f t="shared" si="31"/>
        <v>brittany mcdowell</v>
      </c>
      <c r="E338" s="13" t="str">
        <f t="shared" si="32"/>
        <v>Brittany Mcdowell</v>
      </c>
      <c r="F338" s="13" t="str">
        <f t="shared" si="33"/>
        <v>FL</v>
      </c>
      <c r="G338" s="13" t="str">
        <f t="shared" si="34"/>
        <v>37</v>
      </c>
      <c r="H338" s="13" t="str">
        <f t="shared" si="35"/>
        <v>2503</v>
      </c>
    </row>
    <row r="339" spans="1:8" x14ac:dyDescent="0.3">
      <c r="A339" s="13" t="s">
        <v>780</v>
      </c>
      <c r="B339" s="13" t="s">
        <v>781</v>
      </c>
      <c r="C339" s="13" t="str">
        <f t="shared" si="30"/>
        <v>LORI MILLER</v>
      </c>
      <c r="D339" s="13" t="str">
        <f t="shared" si="31"/>
        <v>lori miller</v>
      </c>
      <c r="E339" s="13" t="str">
        <f t="shared" si="32"/>
        <v>Lori Miller</v>
      </c>
      <c r="F339" s="13" t="str">
        <f t="shared" si="33"/>
        <v>FL</v>
      </c>
      <c r="G339" s="13" t="str">
        <f t="shared" si="34"/>
        <v>38</v>
      </c>
      <c r="H339" s="13" t="str">
        <f t="shared" si="35"/>
        <v>2503</v>
      </c>
    </row>
    <row r="340" spans="1:8" x14ac:dyDescent="0.3">
      <c r="A340" s="13" t="s">
        <v>782</v>
      </c>
      <c r="B340" s="13" t="s">
        <v>783</v>
      </c>
      <c r="C340" s="13" t="str">
        <f t="shared" si="30"/>
        <v>JOSEPH ROBINSON</v>
      </c>
      <c r="D340" s="13" t="str">
        <f t="shared" si="31"/>
        <v>joseph robinson</v>
      </c>
      <c r="E340" s="13" t="str">
        <f t="shared" si="32"/>
        <v>Joseph Robinson</v>
      </c>
      <c r="F340" s="13" t="str">
        <f t="shared" si="33"/>
        <v>FL</v>
      </c>
      <c r="G340" s="13" t="str">
        <f t="shared" si="34"/>
        <v>39</v>
      </c>
      <c r="H340" s="13" t="str">
        <f t="shared" si="35"/>
        <v>2503</v>
      </c>
    </row>
    <row r="341" spans="1:8" x14ac:dyDescent="0.3">
      <c r="A341" s="13" t="s">
        <v>784</v>
      </c>
      <c r="B341" s="13" t="s">
        <v>785</v>
      </c>
      <c r="C341" s="13" t="str">
        <f t="shared" si="30"/>
        <v>AARON PRUITT</v>
      </c>
      <c r="D341" s="13" t="str">
        <f t="shared" si="31"/>
        <v>aaron pruitt</v>
      </c>
      <c r="E341" s="13" t="str">
        <f t="shared" si="32"/>
        <v>Aaron Pruitt</v>
      </c>
      <c r="F341" s="13" t="str">
        <f t="shared" si="33"/>
        <v>FL</v>
      </c>
      <c r="G341" s="13" t="str">
        <f t="shared" si="34"/>
        <v>40</v>
      </c>
      <c r="H341" s="13" t="str">
        <f t="shared" si="35"/>
        <v>2503</v>
      </c>
    </row>
    <row r="342" spans="1:8" x14ac:dyDescent="0.3">
      <c r="A342" s="13" t="s">
        <v>786</v>
      </c>
      <c r="B342" s="13" t="s">
        <v>787</v>
      </c>
      <c r="C342" s="13" t="str">
        <f t="shared" si="30"/>
        <v>VICTORIA MILLER</v>
      </c>
      <c r="D342" s="13" t="str">
        <f t="shared" si="31"/>
        <v>victoria miller</v>
      </c>
      <c r="E342" s="13" t="str">
        <f t="shared" si="32"/>
        <v>Victoria Miller</v>
      </c>
      <c r="F342" s="13" t="str">
        <f t="shared" si="33"/>
        <v>FL</v>
      </c>
      <c r="G342" s="13" t="str">
        <f t="shared" si="34"/>
        <v>41</v>
      </c>
      <c r="H342" s="13" t="str">
        <f t="shared" si="35"/>
        <v>2503</v>
      </c>
    </row>
    <row r="343" spans="1:8" x14ac:dyDescent="0.3">
      <c r="A343" s="13" t="s">
        <v>788</v>
      </c>
      <c r="B343" s="13" t="s">
        <v>789</v>
      </c>
      <c r="C343" s="13" t="str">
        <f t="shared" si="30"/>
        <v>CLARENCE VEGA</v>
      </c>
      <c r="D343" s="13" t="str">
        <f t="shared" si="31"/>
        <v>clarence vega</v>
      </c>
      <c r="E343" s="13" t="str">
        <f t="shared" si="32"/>
        <v>Clarence Vega</v>
      </c>
      <c r="F343" s="13" t="str">
        <f t="shared" si="33"/>
        <v>FL</v>
      </c>
      <c r="G343" s="13" t="str">
        <f t="shared" si="34"/>
        <v>42</v>
      </c>
      <c r="H343" s="13" t="str">
        <f t="shared" si="35"/>
        <v>2503</v>
      </c>
    </row>
    <row r="344" spans="1:8" x14ac:dyDescent="0.3">
      <c r="A344" s="13" t="s">
        <v>790</v>
      </c>
      <c r="B344" s="13" t="s">
        <v>791</v>
      </c>
      <c r="C344" s="13" t="str">
        <f t="shared" si="30"/>
        <v>DEBORAH DAY</v>
      </c>
      <c r="D344" s="13" t="str">
        <f t="shared" si="31"/>
        <v>deborah day</v>
      </c>
      <c r="E344" s="13" t="str">
        <f t="shared" si="32"/>
        <v>Deborah Day</v>
      </c>
      <c r="F344" s="13" t="str">
        <f t="shared" si="33"/>
        <v>FL</v>
      </c>
      <c r="G344" s="13" t="str">
        <f t="shared" si="34"/>
        <v>43</v>
      </c>
      <c r="H344" s="13" t="str">
        <f t="shared" si="35"/>
        <v>2503</v>
      </c>
    </row>
    <row r="345" spans="1:8" x14ac:dyDescent="0.3">
      <c r="A345" s="13" t="s">
        <v>792</v>
      </c>
      <c r="B345" s="13" t="s">
        <v>793</v>
      </c>
      <c r="C345" s="13" t="str">
        <f t="shared" si="30"/>
        <v>NICOLE ROCHA</v>
      </c>
      <c r="D345" s="13" t="str">
        <f t="shared" si="31"/>
        <v>nicole rocha</v>
      </c>
      <c r="E345" s="13" t="str">
        <f t="shared" si="32"/>
        <v>Nicole Rocha</v>
      </c>
      <c r="F345" s="13" t="str">
        <f t="shared" si="33"/>
        <v>FL</v>
      </c>
      <c r="G345" s="13" t="str">
        <f t="shared" si="34"/>
        <v>44</v>
      </c>
      <c r="H345" s="13" t="str">
        <f t="shared" si="35"/>
        <v>2503</v>
      </c>
    </row>
    <row r="346" spans="1:8" x14ac:dyDescent="0.3">
      <c r="A346" s="13" t="s">
        <v>794</v>
      </c>
      <c r="B346" s="13" t="s">
        <v>795</v>
      </c>
      <c r="C346" s="13" t="str">
        <f t="shared" si="30"/>
        <v>ELIJAH GREEN</v>
      </c>
      <c r="D346" s="13" t="str">
        <f t="shared" si="31"/>
        <v>elijah green</v>
      </c>
      <c r="E346" s="13" t="str">
        <f t="shared" si="32"/>
        <v>Elijah Green</v>
      </c>
      <c r="F346" s="13" t="str">
        <f t="shared" si="33"/>
        <v>FL</v>
      </c>
      <c r="G346" s="13" t="str">
        <f t="shared" si="34"/>
        <v>45</v>
      </c>
      <c r="H346" s="13" t="str">
        <f t="shared" si="35"/>
        <v>2503</v>
      </c>
    </row>
    <row r="347" spans="1:8" x14ac:dyDescent="0.3">
      <c r="A347" s="13" t="s">
        <v>796</v>
      </c>
      <c r="B347" s="13" t="s">
        <v>797</v>
      </c>
      <c r="C347" s="13" t="str">
        <f t="shared" si="30"/>
        <v>EMILY JOHNSON</v>
      </c>
      <c r="D347" s="13" t="str">
        <f t="shared" si="31"/>
        <v>emily johnson</v>
      </c>
      <c r="E347" s="13" t="str">
        <f t="shared" si="32"/>
        <v>Emily Johnson</v>
      </c>
      <c r="F347" s="13" t="str">
        <f t="shared" si="33"/>
        <v>FL</v>
      </c>
      <c r="G347" s="13" t="str">
        <f t="shared" si="34"/>
        <v>46</v>
      </c>
      <c r="H347" s="13" t="str">
        <f t="shared" si="35"/>
        <v>2503</v>
      </c>
    </row>
    <row r="348" spans="1:8" x14ac:dyDescent="0.3">
      <c r="A348" s="13" t="s">
        <v>798</v>
      </c>
      <c r="B348" s="13" t="s">
        <v>799</v>
      </c>
      <c r="C348" s="13" t="str">
        <f t="shared" si="30"/>
        <v>RICHARD VELASQUEZ JR.</v>
      </c>
      <c r="D348" s="13" t="str">
        <f t="shared" si="31"/>
        <v>richard velasquez jr.</v>
      </c>
      <c r="E348" s="13" t="str">
        <f t="shared" si="32"/>
        <v>Richard Velasquez Jr.</v>
      </c>
      <c r="F348" s="13" t="str">
        <f t="shared" si="33"/>
        <v>FL</v>
      </c>
      <c r="G348" s="13" t="str">
        <f t="shared" si="34"/>
        <v>47</v>
      </c>
      <c r="H348" s="13" t="str">
        <f t="shared" si="35"/>
        <v>2503</v>
      </c>
    </row>
    <row r="349" spans="1:8" x14ac:dyDescent="0.3">
      <c r="A349" s="13" t="s">
        <v>800</v>
      </c>
      <c r="B349" s="13" t="s">
        <v>801</v>
      </c>
      <c r="C349" s="13" t="str">
        <f t="shared" si="30"/>
        <v>KURT WILSON</v>
      </c>
      <c r="D349" s="13" t="str">
        <f t="shared" si="31"/>
        <v>kurt wilson</v>
      </c>
      <c r="E349" s="13" t="str">
        <f t="shared" si="32"/>
        <v>Kurt Wilson</v>
      </c>
      <c r="F349" s="13" t="str">
        <f t="shared" si="33"/>
        <v>FL</v>
      </c>
      <c r="G349" s="13" t="str">
        <f t="shared" si="34"/>
        <v>48</v>
      </c>
      <c r="H349" s="13" t="str">
        <f t="shared" si="35"/>
        <v>2503</v>
      </c>
    </row>
    <row r="350" spans="1:8" x14ac:dyDescent="0.3">
      <c r="A350" s="13" t="s">
        <v>802</v>
      </c>
      <c r="B350" s="13" t="s">
        <v>803</v>
      </c>
      <c r="C350" s="13" t="str">
        <f t="shared" si="30"/>
        <v>JEREMIAH RODRIGUEZ</v>
      </c>
      <c r="D350" s="13" t="str">
        <f t="shared" si="31"/>
        <v>jeremiah rodriguez</v>
      </c>
      <c r="E350" s="13" t="str">
        <f t="shared" si="32"/>
        <v>Jeremiah Rodriguez</v>
      </c>
      <c r="F350" s="13" t="str">
        <f t="shared" si="33"/>
        <v>FL</v>
      </c>
      <c r="G350" s="13" t="str">
        <f t="shared" si="34"/>
        <v>49</v>
      </c>
      <c r="H350" s="13" t="str">
        <f t="shared" si="35"/>
        <v>2503</v>
      </c>
    </row>
    <row r="351" spans="1:8" x14ac:dyDescent="0.3">
      <c r="A351" s="13" t="s">
        <v>804</v>
      </c>
      <c r="B351" s="13" t="s">
        <v>805</v>
      </c>
      <c r="C351" s="13" t="str">
        <f t="shared" si="30"/>
        <v>LAUREN LANG</v>
      </c>
      <c r="D351" s="13" t="str">
        <f t="shared" si="31"/>
        <v>lauren lang</v>
      </c>
      <c r="E351" s="13" t="str">
        <f t="shared" si="32"/>
        <v>Lauren Lang</v>
      </c>
      <c r="F351" s="13" t="str">
        <f t="shared" si="33"/>
        <v>FL</v>
      </c>
      <c r="G351" s="13" t="str">
        <f t="shared" si="34"/>
        <v>50</v>
      </c>
      <c r="H351" s="13" t="str">
        <f t="shared" si="35"/>
        <v>2503</v>
      </c>
    </row>
    <row r="352" spans="1:8" x14ac:dyDescent="0.3">
      <c r="A352" s="13" t="s">
        <v>806</v>
      </c>
      <c r="B352" s="13" t="s">
        <v>807</v>
      </c>
      <c r="C352" s="13" t="str">
        <f t="shared" si="30"/>
        <v>MATTHEW PHILLIPS</v>
      </c>
      <c r="D352" s="13" t="str">
        <f t="shared" si="31"/>
        <v>matthew phillips</v>
      </c>
      <c r="E352" s="13" t="str">
        <f t="shared" si="32"/>
        <v>Matthew Phillips</v>
      </c>
      <c r="F352" s="13" t="str">
        <f t="shared" si="33"/>
        <v>FL</v>
      </c>
      <c r="G352" s="13" t="str">
        <f t="shared" si="34"/>
        <v>51</v>
      </c>
      <c r="H352" s="13" t="str">
        <f t="shared" si="35"/>
        <v>2503</v>
      </c>
    </row>
    <row r="353" spans="1:8" x14ac:dyDescent="0.3">
      <c r="A353" s="13" t="s">
        <v>808</v>
      </c>
      <c r="B353" s="13" t="s">
        <v>809</v>
      </c>
      <c r="C353" s="13" t="str">
        <f t="shared" si="30"/>
        <v>MICHAEL ANDERSEN</v>
      </c>
      <c r="D353" s="13" t="str">
        <f t="shared" si="31"/>
        <v>michael andersen</v>
      </c>
      <c r="E353" s="13" t="str">
        <f t="shared" si="32"/>
        <v>Michael Andersen</v>
      </c>
      <c r="F353" s="13" t="str">
        <f t="shared" si="33"/>
        <v>FL</v>
      </c>
      <c r="G353" s="13" t="str">
        <f t="shared" si="34"/>
        <v>52</v>
      </c>
      <c r="H353" s="13" t="str">
        <f t="shared" si="35"/>
        <v>2503</v>
      </c>
    </row>
    <row r="354" spans="1:8" x14ac:dyDescent="0.3">
      <c r="A354" s="13" t="s">
        <v>810</v>
      </c>
      <c r="B354" s="13" t="s">
        <v>811</v>
      </c>
      <c r="C354" s="13" t="str">
        <f t="shared" si="30"/>
        <v>AMANDA MAYO</v>
      </c>
      <c r="D354" s="13" t="str">
        <f t="shared" si="31"/>
        <v>amanda mayo</v>
      </c>
      <c r="E354" s="13" t="str">
        <f t="shared" si="32"/>
        <v>Amanda Mayo</v>
      </c>
      <c r="F354" s="13" t="str">
        <f t="shared" si="33"/>
        <v>FL</v>
      </c>
      <c r="G354" s="13" t="str">
        <f t="shared" si="34"/>
        <v>53</v>
      </c>
      <c r="H354" s="13" t="str">
        <f t="shared" si="35"/>
        <v>2503</v>
      </c>
    </row>
    <row r="355" spans="1:8" x14ac:dyDescent="0.3">
      <c r="A355" s="13" t="s">
        <v>812</v>
      </c>
      <c r="B355" s="13" t="s">
        <v>813</v>
      </c>
      <c r="C355" s="13" t="str">
        <f t="shared" si="30"/>
        <v>JESSICA VANCE</v>
      </c>
      <c r="D355" s="13" t="str">
        <f t="shared" si="31"/>
        <v>jessica vance</v>
      </c>
      <c r="E355" s="13" t="str">
        <f t="shared" si="32"/>
        <v>Jessica Vance</v>
      </c>
      <c r="F355" s="13" t="str">
        <f t="shared" si="33"/>
        <v>FL</v>
      </c>
      <c r="G355" s="13" t="str">
        <f t="shared" si="34"/>
        <v>54</v>
      </c>
      <c r="H355" s="13" t="str">
        <f t="shared" si="35"/>
        <v>2503</v>
      </c>
    </row>
    <row r="356" spans="1:8" x14ac:dyDescent="0.3">
      <c r="A356" s="13" t="s">
        <v>814</v>
      </c>
      <c r="B356" s="13" t="s">
        <v>815</v>
      </c>
      <c r="C356" s="13" t="str">
        <f t="shared" si="30"/>
        <v>ALEXA GALLEGOS</v>
      </c>
      <c r="D356" s="13" t="str">
        <f t="shared" si="31"/>
        <v>alexa gallegos</v>
      </c>
      <c r="E356" s="13" t="str">
        <f t="shared" si="32"/>
        <v>Alexa Gallegos</v>
      </c>
      <c r="F356" s="13" t="str">
        <f t="shared" si="33"/>
        <v>FL</v>
      </c>
      <c r="G356" s="13" t="str">
        <f t="shared" si="34"/>
        <v>55</v>
      </c>
      <c r="H356" s="13" t="str">
        <f t="shared" si="35"/>
        <v>2503</v>
      </c>
    </row>
    <row r="357" spans="1:8" x14ac:dyDescent="0.3">
      <c r="A357" s="13" t="s">
        <v>816</v>
      </c>
      <c r="B357" s="13" t="s">
        <v>817</v>
      </c>
      <c r="C357" s="13" t="str">
        <f t="shared" si="30"/>
        <v>CHARLES PRATT</v>
      </c>
      <c r="D357" s="13" t="str">
        <f t="shared" si="31"/>
        <v>charles pratt</v>
      </c>
      <c r="E357" s="13" t="str">
        <f t="shared" si="32"/>
        <v>Charles Pratt</v>
      </c>
      <c r="F357" s="13" t="str">
        <f t="shared" si="33"/>
        <v>FL</v>
      </c>
      <c r="G357" s="13" t="str">
        <f t="shared" si="34"/>
        <v>56</v>
      </c>
      <c r="H357" s="13" t="str">
        <f t="shared" si="35"/>
        <v>2503</v>
      </c>
    </row>
    <row r="358" spans="1:8" x14ac:dyDescent="0.3">
      <c r="A358" s="13" t="s">
        <v>818</v>
      </c>
      <c r="B358" s="13" t="s">
        <v>819</v>
      </c>
      <c r="C358" s="13" t="str">
        <f t="shared" si="30"/>
        <v>BRIAN BAKER</v>
      </c>
      <c r="D358" s="13" t="str">
        <f t="shared" si="31"/>
        <v>brian baker</v>
      </c>
      <c r="E358" s="13" t="str">
        <f t="shared" si="32"/>
        <v>Brian Baker</v>
      </c>
      <c r="F358" s="13" t="str">
        <f t="shared" si="33"/>
        <v>FL</v>
      </c>
      <c r="G358" s="13" t="str">
        <f t="shared" si="34"/>
        <v>57</v>
      </c>
      <c r="H358" s="13" t="str">
        <f t="shared" si="35"/>
        <v>2503</v>
      </c>
    </row>
    <row r="359" spans="1:8" x14ac:dyDescent="0.3">
      <c r="A359" s="13" t="s">
        <v>820</v>
      </c>
      <c r="B359" s="13" t="s">
        <v>821</v>
      </c>
      <c r="C359" s="13" t="str">
        <f t="shared" si="30"/>
        <v>CHRISTINA NORMAN</v>
      </c>
      <c r="D359" s="13" t="str">
        <f t="shared" si="31"/>
        <v>christina norman</v>
      </c>
      <c r="E359" s="13" t="str">
        <f t="shared" si="32"/>
        <v>Christina Norman</v>
      </c>
      <c r="F359" s="13" t="str">
        <f t="shared" si="33"/>
        <v>FL</v>
      </c>
      <c r="G359" s="13" t="str">
        <f t="shared" si="34"/>
        <v>58</v>
      </c>
      <c r="H359" s="13" t="str">
        <f t="shared" si="35"/>
        <v>2503</v>
      </c>
    </row>
    <row r="360" spans="1:8" x14ac:dyDescent="0.3">
      <c r="A360" s="13" t="s">
        <v>822</v>
      </c>
      <c r="B360" s="13" t="s">
        <v>823</v>
      </c>
      <c r="C360" s="13" t="str">
        <f t="shared" si="30"/>
        <v>LAURA KELLY</v>
      </c>
      <c r="D360" s="13" t="str">
        <f t="shared" si="31"/>
        <v>laura kelly</v>
      </c>
      <c r="E360" s="13" t="str">
        <f t="shared" si="32"/>
        <v>Laura Kelly</v>
      </c>
      <c r="F360" s="13" t="str">
        <f t="shared" si="33"/>
        <v>FL</v>
      </c>
      <c r="G360" s="13" t="str">
        <f t="shared" si="34"/>
        <v>59</v>
      </c>
      <c r="H360" s="13" t="str">
        <f t="shared" si="35"/>
        <v>2503</v>
      </c>
    </row>
    <row r="361" spans="1:8" x14ac:dyDescent="0.3">
      <c r="A361" s="13" t="s">
        <v>824</v>
      </c>
      <c r="B361" s="13" t="s">
        <v>825</v>
      </c>
      <c r="C361" s="13" t="str">
        <f t="shared" si="30"/>
        <v>JOHN WEBB</v>
      </c>
      <c r="D361" s="13" t="str">
        <f t="shared" si="31"/>
        <v>john webb</v>
      </c>
      <c r="E361" s="13" t="str">
        <f t="shared" si="32"/>
        <v>John Webb</v>
      </c>
      <c r="F361" s="13" t="str">
        <f t="shared" si="33"/>
        <v>FL</v>
      </c>
      <c r="G361" s="13" t="str">
        <f t="shared" si="34"/>
        <v>60</v>
      </c>
      <c r="H361" s="13" t="str">
        <f t="shared" si="35"/>
        <v>2503</v>
      </c>
    </row>
    <row r="362" spans="1:8" x14ac:dyDescent="0.3">
      <c r="A362" s="13" t="s">
        <v>826</v>
      </c>
      <c r="B362" s="13" t="s">
        <v>827</v>
      </c>
      <c r="C362" s="13" t="str">
        <f t="shared" si="30"/>
        <v>CHRISTOPHER BURTON</v>
      </c>
      <c r="D362" s="13" t="str">
        <f t="shared" si="31"/>
        <v>christopher burton</v>
      </c>
      <c r="E362" s="13" t="str">
        <f t="shared" si="32"/>
        <v>Christopher Burton</v>
      </c>
      <c r="F362" s="13" t="str">
        <f t="shared" si="33"/>
        <v>FL</v>
      </c>
      <c r="G362" s="13" t="str">
        <f t="shared" si="34"/>
        <v>61</v>
      </c>
      <c r="H362" s="13" t="str">
        <f t="shared" si="35"/>
        <v>2503</v>
      </c>
    </row>
    <row r="363" spans="1:8" x14ac:dyDescent="0.3">
      <c r="A363" s="13" t="s">
        <v>828</v>
      </c>
      <c r="B363" s="13" t="s">
        <v>829</v>
      </c>
      <c r="C363" s="13" t="str">
        <f t="shared" si="30"/>
        <v>BRADLEY AGUILAR</v>
      </c>
      <c r="D363" s="13" t="str">
        <f t="shared" si="31"/>
        <v>bradley aguilar</v>
      </c>
      <c r="E363" s="13" t="str">
        <f t="shared" si="32"/>
        <v>Bradley Aguilar</v>
      </c>
      <c r="F363" s="13" t="str">
        <f t="shared" si="33"/>
        <v>FL</v>
      </c>
      <c r="G363" s="13" t="str">
        <f t="shared" si="34"/>
        <v>62</v>
      </c>
      <c r="H363" s="13" t="str">
        <f t="shared" si="35"/>
        <v>2503</v>
      </c>
    </row>
    <row r="364" spans="1:8" x14ac:dyDescent="0.3">
      <c r="A364" s="13" t="s">
        <v>830</v>
      </c>
      <c r="B364" s="13" t="s">
        <v>831</v>
      </c>
      <c r="C364" s="13" t="str">
        <f t="shared" si="30"/>
        <v>ARTHUR VASQUEZ</v>
      </c>
      <c r="D364" s="13" t="str">
        <f t="shared" si="31"/>
        <v>arthur vasquez</v>
      </c>
      <c r="E364" s="13" t="str">
        <f t="shared" si="32"/>
        <v>Arthur Vasquez</v>
      </c>
      <c r="F364" s="13" t="str">
        <f t="shared" si="33"/>
        <v>FL</v>
      </c>
      <c r="G364" s="13" t="str">
        <f t="shared" si="34"/>
        <v>63</v>
      </c>
      <c r="H364" s="13" t="str">
        <f t="shared" si="35"/>
        <v>2503</v>
      </c>
    </row>
    <row r="365" spans="1:8" x14ac:dyDescent="0.3">
      <c r="A365" s="13" t="s">
        <v>832</v>
      </c>
      <c r="B365" s="13" t="s">
        <v>833</v>
      </c>
      <c r="C365" s="13" t="str">
        <f t="shared" si="30"/>
        <v>ANGELA CASTRO</v>
      </c>
      <c r="D365" s="13" t="str">
        <f t="shared" si="31"/>
        <v>angela castro</v>
      </c>
      <c r="E365" s="13" t="str">
        <f t="shared" si="32"/>
        <v>Angela Castro</v>
      </c>
      <c r="F365" s="13" t="str">
        <f t="shared" si="33"/>
        <v>FL</v>
      </c>
      <c r="G365" s="13" t="str">
        <f t="shared" si="34"/>
        <v>64</v>
      </c>
      <c r="H365" s="13" t="str">
        <f t="shared" si="35"/>
        <v>2503</v>
      </c>
    </row>
    <row r="366" spans="1:8" x14ac:dyDescent="0.3">
      <c r="A366" s="13" t="s">
        <v>834</v>
      </c>
      <c r="B366" s="13" t="s">
        <v>835</v>
      </c>
      <c r="C366" s="13" t="str">
        <f t="shared" si="30"/>
        <v>SUMMER YODER</v>
      </c>
      <c r="D366" s="13" t="str">
        <f t="shared" si="31"/>
        <v>summer yoder</v>
      </c>
      <c r="E366" s="13" t="str">
        <f t="shared" si="32"/>
        <v>Summer Yoder</v>
      </c>
      <c r="F366" s="13" t="str">
        <f t="shared" si="33"/>
        <v>FL</v>
      </c>
      <c r="G366" s="13" t="str">
        <f t="shared" si="34"/>
        <v>65</v>
      </c>
      <c r="H366" s="13" t="str">
        <f t="shared" si="35"/>
        <v>2503</v>
      </c>
    </row>
    <row r="367" spans="1:8" x14ac:dyDescent="0.3">
      <c r="A367" s="13" t="s">
        <v>836</v>
      </c>
      <c r="B367" s="13" t="s">
        <v>837</v>
      </c>
      <c r="C367" s="13" t="str">
        <f t="shared" si="30"/>
        <v>JACKIE ALLEN</v>
      </c>
      <c r="D367" s="13" t="str">
        <f t="shared" si="31"/>
        <v>jackie allen</v>
      </c>
      <c r="E367" s="13" t="str">
        <f t="shared" si="32"/>
        <v>Jackie Allen</v>
      </c>
      <c r="F367" s="13" t="str">
        <f t="shared" si="33"/>
        <v>FL</v>
      </c>
      <c r="G367" s="13" t="str">
        <f t="shared" si="34"/>
        <v>66</v>
      </c>
      <c r="H367" s="13" t="str">
        <f t="shared" si="35"/>
        <v>2503</v>
      </c>
    </row>
    <row r="368" spans="1:8" x14ac:dyDescent="0.3">
      <c r="A368" s="13" t="s">
        <v>838</v>
      </c>
      <c r="B368" s="13" t="s">
        <v>839</v>
      </c>
      <c r="C368" s="13" t="str">
        <f t="shared" si="30"/>
        <v>BRANDON WILLIAMS</v>
      </c>
      <c r="D368" s="13" t="str">
        <f t="shared" si="31"/>
        <v>brandon williams</v>
      </c>
      <c r="E368" s="13" t="str">
        <f t="shared" si="32"/>
        <v>Brandon Williams</v>
      </c>
      <c r="F368" s="13" t="str">
        <f t="shared" si="33"/>
        <v>FL</v>
      </c>
      <c r="G368" s="13" t="str">
        <f t="shared" si="34"/>
        <v>67</v>
      </c>
      <c r="H368" s="13" t="str">
        <f t="shared" si="35"/>
        <v>2503</v>
      </c>
    </row>
    <row r="369" spans="1:8" x14ac:dyDescent="0.3">
      <c r="A369" s="13" t="s">
        <v>840</v>
      </c>
      <c r="B369" s="13" t="s">
        <v>841</v>
      </c>
      <c r="C369" s="13" t="str">
        <f t="shared" si="30"/>
        <v>MANUEL TORRES</v>
      </c>
      <c r="D369" s="13" t="str">
        <f t="shared" si="31"/>
        <v>manuel torres</v>
      </c>
      <c r="E369" s="13" t="str">
        <f t="shared" si="32"/>
        <v>Manuel Torres</v>
      </c>
      <c r="F369" s="13" t="str">
        <f t="shared" si="33"/>
        <v>FL</v>
      </c>
      <c r="G369" s="13" t="str">
        <f t="shared" si="34"/>
        <v>68</v>
      </c>
      <c r="H369" s="13" t="str">
        <f t="shared" si="35"/>
        <v>2503</v>
      </c>
    </row>
    <row r="370" spans="1:8" x14ac:dyDescent="0.3">
      <c r="A370" s="13" t="s">
        <v>842</v>
      </c>
      <c r="B370" s="13" t="s">
        <v>843</v>
      </c>
      <c r="C370" s="13" t="str">
        <f t="shared" si="30"/>
        <v>SCOTT KELLER</v>
      </c>
      <c r="D370" s="13" t="str">
        <f t="shared" si="31"/>
        <v>scott keller</v>
      </c>
      <c r="E370" s="13" t="str">
        <f t="shared" si="32"/>
        <v>Scott Keller</v>
      </c>
      <c r="F370" s="13" t="str">
        <f t="shared" si="33"/>
        <v>FL</v>
      </c>
      <c r="G370" s="13" t="str">
        <f t="shared" si="34"/>
        <v>69</v>
      </c>
      <c r="H370" s="13" t="str">
        <f t="shared" si="35"/>
        <v>2503</v>
      </c>
    </row>
    <row r="371" spans="1:8" x14ac:dyDescent="0.3">
      <c r="A371" s="13" t="s">
        <v>844</v>
      </c>
      <c r="B371" s="13" t="s">
        <v>845</v>
      </c>
      <c r="C371" s="13" t="str">
        <f t="shared" si="30"/>
        <v>DEBORAH BROWN</v>
      </c>
      <c r="D371" s="13" t="str">
        <f t="shared" si="31"/>
        <v>deborah brown</v>
      </c>
      <c r="E371" s="13" t="str">
        <f t="shared" si="32"/>
        <v>Deborah Brown</v>
      </c>
      <c r="F371" s="13" t="str">
        <f t="shared" si="33"/>
        <v>FL</v>
      </c>
      <c r="G371" s="13" t="str">
        <f t="shared" si="34"/>
        <v>70</v>
      </c>
      <c r="H371" s="13" t="str">
        <f t="shared" si="35"/>
        <v>2503</v>
      </c>
    </row>
    <row r="372" spans="1:8" x14ac:dyDescent="0.3">
      <c r="A372" s="13" t="s">
        <v>846</v>
      </c>
      <c r="B372" s="13" t="s">
        <v>847</v>
      </c>
      <c r="C372" s="13" t="str">
        <f t="shared" si="30"/>
        <v>JENNIFER LARA</v>
      </c>
      <c r="D372" s="13" t="str">
        <f t="shared" si="31"/>
        <v>jennifer lara</v>
      </c>
      <c r="E372" s="13" t="str">
        <f t="shared" si="32"/>
        <v>Jennifer Lara</v>
      </c>
      <c r="F372" s="13" t="str">
        <f t="shared" si="33"/>
        <v>FL</v>
      </c>
      <c r="G372" s="13" t="str">
        <f t="shared" si="34"/>
        <v>71</v>
      </c>
      <c r="H372" s="13" t="str">
        <f t="shared" si="35"/>
        <v>2503</v>
      </c>
    </row>
    <row r="373" spans="1:8" x14ac:dyDescent="0.3">
      <c r="A373" s="13" t="s">
        <v>848</v>
      </c>
      <c r="B373" s="13" t="s">
        <v>849</v>
      </c>
      <c r="C373" s="13" t="str">
        <f t="shared" si="30"/>
        <v>JASON SCOTT</v>
      </c>
      <c r="D373" s="13" t="str">
        <f t="shared" si="31"/>
        <v>jason scott</v>
      </c>
      <c r="E373" s="13" t="str">
        <f t="shared" si="32"/>
        <v>Jason Scott</v>
      </c>
      <c r="F373" s="13" t="str">
        <f t="shared" si="33"/>
        <v>FL</v>
      </c>
      <c r="G373" s="13" t="str">
        <f t="shared" si="34"/>
        <v>72</v>
      </c>
      <c r="H373" s="13" t="str">
        <f t="shared" si="35"/>
        <v>2503</v>
      </c>
    </row>
    <row r="374" spans="1:8" x14ac:dyDescent="0.3">
      <c r="A374" s="13" t="s">
        <v>850</v>
      </c>
      <c r="B374" s="13" t="s">
        <v>851</v>
      </c>
      <c r="C374" s="13" t="str">
        <f t="shared" si="30"/>
        <v>GREGORY GARRISON</v>
      </c>
      <c r="D374" s="13" t="str">
        <f t="shared" si="31"/>
        <v>gregory garrison</v>
      </c>
      <c r="E374" s="13" t="str">
        <f t="shared" si="32"/>
        <v>Gregory Garrison</v>
      </c>
      <c r="F374" s="13" t="str">
        <f t="shared" si="33"/>
        <v>FL</v>
      </c>
      <c r="G374" s="13" t="str">
        <f t="shared" si="34"/>
        <v>73</v>
      </c>
      <c r="H374" s="13" t="str">
        <f t="shared" si="35"/>
        <v>2503</v>
      </c>
    </row>
    <row r="375" spans="1:8" x14ac:dyDescent="0.3">
      <c r="A375" s="13" t="s">
        <v>852</v>
      </c>
      <c r="B375" s="13" t="s">
        <v>853</v>
      </c>
      <c r="C375" s="13" t="str">
        <f t="shared" si="30"/>
        <v>CHELSEA ANDERSON</v>
      </c>
      <c r="D375" s="13" t="str">
        <f t="shared" si="31"/>
        <v>chelsea anderson</v>
      </c>
      <c r="E375" s="13" t="str">
        <f t="shared" si="32"/>
        <v>Chelsea Anderson</v>
      </c>
      <c r="F375" s="13" t="str">
        <f t="shared" si="33"/>
        <v>FL</v>
      </c>
      <c r="G375" s="13" t="str">
        <f t="shared" si="34"/>
        <v>74</v>
      </c>
      <c r="H375" s="13" t="str">
        <f t="shared" si="35"/>
        <v>2503</v>
      </c>
    </row>
    <row r="376" spans="1:8" x14ac:dyDescent="0.3">
      <c r="A376" s="13" t="s">
        <v>854</v>
      </c>
      <c r="B376" s="13" t="s">
        <v>855</v>
      </c>
      <c r="C376" s="13" t="str">
        <f t="shared" si="30"/>
        <v>GERALD JOHNSON</v>
      </c>
      <c r="D376" s="13" t="str">
        <f t="shared" si="31"/>
        <v>gerald johnson</v>
      </c>
      <c r="E376" s="13" t="str">
        <f t="shared" si="32"/>
        <v>Gerald Johnson</v>
      </c>
      <c r="F376" s="13" t="str">
        <f t="shared" si="33"/>
        <v>FL</v>
      </c>
      <c r="G376" s="13" t="str">
        <f t="shared" si="34"/>
        <v>75</v>
      </c>
      <c r="H376" s="13" t="str">
        <f t="shared" si="35"/>
        <v>2503</v>
      </c>
    </row>
    <row r="377" spans="1:8" x14ac:dyDescent="0.3">
      <c r="A377" s="13" t="s">
        <v>856</v>
      </c>
      <c r="B377" s="13" t="s">
        <v>857</v>
      </c>
      <c r="C377" s="13" t="str">
        <f t="shared" si="30"/>
        <v>KEVIN ELLIS</v>
      </c>
      <c r="D377" s="13" t="str">
        <f t="shared" si="31"/>
        <v>kevin ellis</v>
      </c>
      <c r="E377" s="13" t="str">
        <f t="shared" si="32"/>
        <v>Kevin Ellis</v>
      </c>
      <c r="F377" s="13" t="str">
        <f t="shared" si="33"/>
        <v>FL</v>
      </c>
      <c r="G377" s="13" t="str">
        <f t="shared" si="34"/>
        <v>76</v>
      </c>
      <c r="H377" s="13" t="str">
        <f t="shared" si="35"/>
        <v>2503</v>
      </c>
    </row>
    <row r="378" spans="1:8" x14ac:dyDescent="0.3">
      <c r="A378" s="13" t="s">
        <v>858</v>
      </c>
      <c r="B378" s="13" t="s">
        <v>859</v>
      </c>
      <c r="C378" s="13" t="str">
        <f t="shared" si="30"/>
        <v>MITCHELL KELLER</v>
      </c>
      <c r="D378" s="13" t="str">
        <f t="shared" si="31"/>
        <v>mitchell keller</v>
      </c>
      <c r="E378" s="13" t="str">
        <f t="shared" si="32"/>
        <v>Mitchell Keller</v>
      </c>
      <c r="F378" s="13" t="str">
        <f t="shared" si="33"/>
        <v>FL</v>
      </c>
      <c r="G378" s="13" t="str">
        <f t="shared" si="34"/>
        <v>77</v>
      </c>
      <c r="H378" s="13" t="str">
        <f t="shared" si="35"/>
        <v>2503</v>
      </c>
    </row>
    <row r="379" spans="1:8" x14ac:dyDescent="0.3">
      <c r="A379" s="13" t="s">
        <v>860</v>
      </c>
      <c r="B379" s="13" t="s">
        <v>861</v>
      </c>
      <c r="C379" s="13" t="str">
        <f t="shared" si="30"/>
        <v>MARY BROWN</v>
      </c>
      <c r="D379" s="13" t="str">
        <f t="shared" si="31"/>
        <v>mary brown</v>
      </c>
      <c r="E379" s="13" t="str">
        <f t="shared" si="32"/>
        <v>Mary Brown</v>
      </c>
      <c r="F379" s="13" t="str">
        <f t="shared" si="33"/>
        <v>FL</v>
      </c>
      <c r="G379" s="13" t="str">
        <f t="shared" si="34"/>
        <v>78</v>
      </c>
      <c r="H379" s="13" t="str">
        <f t="shared" si="35"/>
        <v>2503</v>
      </c>
    </row>
    <row r="380" spans="1:8" x14ac:dyDescent="0.3">
      <c r="A380" s="13" t="s">
        <v>862</v>
      </c>
      <c r="B380" s="13" t="s">
        <v>863</v>
      </c>
      <c r="C380" s="13" t="str">
        <f t="shared" si="30"/>
        <v>RONALD WALLS</v>
      </c>
      <c r="D380" s="13" t="str">
        <f t="shared" si="31"/>
        <v>ronald walls</v>
      </c>
      <c r="E380" s="13" t="str">
        <f t="shared" si="32"/>
        <v>Ronald Walls</v>
      </c>
      <c r="F380" s="13" t="str">
        <f t="shared" si="33"/>
        <v>FL</v>
      </c>
      <c r="G380" s="13" t="str">
        <f t="shared" si="34"/>
        <v>79</v>
      </c>
      <c r="H380" s="13" t="str">
        <f t="shared" si="35"/>
        <v>2503</v>
      </c>
    </row>
    <row r="381" spans="1:8" x14ac:dyDescent="0.3">
      <c r="A381" s="13" t="s">
        <v>864</v>
      </c>
      <c r="B381" s="13" t="s">
        <v>865</v>
      </c>
      <c r="C381" s="13" t="str">
        <f t="shared" si="30"/>
        <v>ANTHONY AVILA</v>
      </c>
      <c r="D381" s="13" t="str">
        <f t="shared" si="31"/>
        <v>anthony avila</v>
      </c>
      <c r="E381" s="13" t="str">
        <f t="shared" si="32"/>
        <v>Anthony Avila</v>
      </c>
      <c r="F381" s="13" t="str">
        <f t="shared" si="33"/>
        <v>FL</v>
      </c>
      <c r="G381" s="13" t="str">
        <f t="shared" si="34"/>
        <v>80</v>
      </c>
      <c r="H381" s="13" t="str">
        <f t="shared" si="35"/>
        <v>2503</v>
      </c>
    </row>
    <row r="382" spans="1:8" x14ac:dyDescent="0.3">
      <c r="A382" s="13" t="s">
        <v>866</v>
      </c>
      <c r="B382" s="13" t="s">
        <v>867</v>
      </c>
      <c r="C382" s="13" t="str">
        <f t="shared" si="30"/>
        <v>DOUGLAS GOODWIN</v>
      </c>
      <c r="D382" s="13" t="str">
        <f t="shared" si="31"/>
        <v>douglas goodwin</v>
      </c>
      <c r="E382" s="13" t="str">
        <f t="shared" si="32"/>
        <v>Douglas Goodwin</v>
      </c>
      <c r="F382" s="13" t="str">
        <f t="shared" si="33"/>
        <v>FL</v>
      </c>
      <c r="G382" s="13" t="str">
        <f t="shared" si="34"/>
        <v>81</v>
      </c>
      <c r="H382" s="13" t="str">
        <f t="shared" si="35"/>
        <v>2503</v>
      </c>
    </row>
    <row r="383" spans="1:8" x14ac:dyDescent="0.3">
      <c r="A383" s="13" t="s">
        <v>868</v>
      </c>
      <c r="B383" s="13" t="s">
        <v>869</v>
      </c>
      <c r="C383" s="13" t="str">
        <f t="shared" si="30"/>
        <v>JAMES MILLS</v>
      </c>
      <c r="D383" s="13" t="str">
        <f t="shared" si="31"/>
        <v>james mills</v>
      </c>
      <c r="E383" s="13" t="str">
        <f t="shared" si="32"/>
        <v>James Mills</v>
      </c>
      <c r="F383" s="13" t="str">
        <f t="shared" si="33"/>
        <v>FL</v>
      </c>
      <c r="G383" s="13" t="str">
        <f t="shared" si="34"/>
        <v>82</v>
      </c>
      <c r="H383" s="13" t="str">
        <f t="shared" si="35"/>
        <v>2503</v>
      </c>
    </row>
    <row r="384" spans="1:8" x14ac:dyDescent="0.3">
      <c r="A384" s="13" t="s">
        <v>870</v>
      </c>
      <c r="B384" s="13" t="s">
        <v>871</v>
      </c>
      <c r="C384" s="13" t="str">
        <f t="shared" si="30"/>
        <v>NICOLE MARKS</v>
      </c>
      <c r="D384" s="13" t="str">
        <f t="shared" si="31"/>
        <v>nicole marks</v>
      </c>
      <c r="E384" s="13" t="str">
        <f t="shared" si="32"/>
        <v>Nicole Marks</v>
      </c>
      <c r="F384" s="13" t="str">
        <f t="shared" si="33"/>
        <v>FL</v>
      </c>
      <c r="G384" s="13" t="str">
        <f t="shared" si="34"/>
        <v>83</v>
      </c>
      <c r="H384" s="13" t="str">
        <f t="shared" si="35"/>
        <v>2503</v>
      </c>
    </row>
    <row r="385" spans="1:8" x14ac:dyDescent="0.3">
      <c r="A385" s="13" t="s">
        <v>872</v>
      </c>
      <c r="B385" s="13" t="s">
        <v>873</v>
      </c>
      <c r="C385" s="13" t="str">
        <f t="shared" si="30"/>
        <v>PHYLLIS DAWSON</v>
      </c>
      <c r="D385" s="13" t="str">
        <f t="shared" si="31"/>
        <v>phyllis dawson</v>
      </c>
      <c r="E385" s="13" t="str">
        <f t="shared" si="32"/>
        <v>Phyllis Dawson</v>
      </c>
      <c r="F385" s="13" t="str">
        <f t="shared" si="33"/>
        <v>FL</v>
      </c>
      <c r="G385" s="13" t="str">
        <f t="shared" si="34"/>
        <v>84</v>
      </c>
      <c r="H385" s="13" t="str">
        <f t="shared" si="35"/>
        <v>2503</v>
      </c>
    </row>
    <row r="386" spans="1:8" x14ac:dyDescent="0.3">
      <c r="A386" s="13" t="s">
        <v>874</v>
      </c>
      <c r="B386" s="13" t="s">
        <v>875</v>
      </c>
      <c r="C386" s="13" t="str">
        <f t="shared" si="30"/>
        <v>RENEE ARNOLD</v>
      </c>
      <c r="D386" s="13" t="str">
        <f t="shared" si="31"/>
        <v>renee arnold</v>
      </c>
      <c r="E386" s="13" t="str">
        <f t="shared" si="32"/>
        <v>Renee Arnold</v>
      </c>
      <c r="F386" s="13" t="str">
        <f t="shared" si="33"/>
        <v>FL</v>
      </c>
      <c r="G386" s="13" t="str">
        <f t="shared" si="34"/>
        <v>85</v>
      </c>
      <c r="H386" s="13" t="str">
        <f t="shared" si="35"/>
        <v>2503</v>
      </c>
    </row>
    <row r="387" spans="1:8" x14ac:dyDescent="0.3">
      <c r="A387" s="13" t="s">
        <v>876</v>
      </c>
      <c r="B387" s="13" t="s">
        <v>877</v>
      </c>
      <c r="C387" s="13" t="str">
        <f t="shared" ref="C387:C450" si="36">UPPER(B387)</f>
        <v>ERIC ROBINSON</v>
      </c>
      <c r="D387" s="13" t="str">
        <f t="shared" ref="D387:D450" si="37">LOWER(B387)</f>
        <v>eric robinson</v>
      </c>
      <c r="E387" s="13" t="str">
        <f t="shared" ref="E387:E450" si="38">PROPER(C387)</f>
        <v>Eric Robinson</v>
      </c>
      <c r="F387" s="13" t="str">
        <f t="shared" ref="F387:F450" si="39">LEFT(A387,2)</f>
        <v>FL</v>
      </c>
      <c r="G387" s="13" t="str">
        <f t="shared" ref="G387:G450" si="40">RIGHT(A387,2)</f>
        <v>86</v>
      </c>
      <c r="H387" s="13" t="str">
        <f t="shared" ref="H387:H450" si="41">MID(A387,3,4)</f>
        <v>2503</v>
      </c>
    </row>
    <row r="388" spans="1:8" x14ac:dyDescent="0.3">
      <c r="A388" s="13" t="s">
        <v>878</v>
      </c>
      <c r="B388" s="13" t="s">
        <v>879</v>
      </c>
      <c r="C388" s="13" t="str">
        <f t="shared" si="36"/>
        <v>PAUL BROWN</v>
      </c>
      <c r="D388" s="13" t="str">
        <f t="shared" si="37"/>
        <v>paul brown</v>
      </c>
      <c r="E388" s="13" t="str">
        <f t="shared" si="38"/>
        <v>Paul Brown</v>
      </c>
      <c r="F388" s="13" t="str">
        <f t="shared" si="39"/>
        <v>FL</v>
      </c>
      <c r="G388" s="13" t="str">
        <f t="shared" si="40"/>
        <v>87</v>
      </c>
      <c r="H388" s="13" t="str">
        <f t="shared" si="41"/>
        <v>2503</v>
      </c>
    </row>
    <row r="389" spans="1:8" x14ac:dyDescent="0.3">
      <c r="A389" s="13" t="s">
        <v>880</v>
      </c>
      <c r="B389" s="13" t="s">
        <v>881</v>
      </c>
      <c r="C389" s="13" t="str">
        <f t="shared" si="36"/>
        <v>SARAH PROCTOR</v>
      </c>
      <c r="D389" s="13" t="str">
        <f t="shared" si="37"/>
        <v>sarah proctor</v>
      </c>
      <c r="E389" s="13" t="str">
        <f t="shared" si="38"/>
        <v>Sarah Proctor</v>
      </c>
      <c r="F389" s="13" t="str">
        <f t="shared" si="39"/>
        <v>FL</v>
      </c>
      <c r="G389" s="13" t="str">
        <f t="shared" si="40"/>
        <v>88</v>
      </c>
      <c r="H389" s="13" t="str">
        <f t="shared" si="41"/>
        <v>2503</v>
      </c>
    </row>
    <row r="390" spans="1:8" x14ac:dyDescent="0.3">
      <c r="A390" s="13" t="s">
        <v>882</v>
      </c>
      <c r="B390" s="13" t="s">
        <v>883</v>
      </c>
      <c r="C390" s="13" t="str">
        <f t="shared" si="36"/>
        <v>MATTHEW HICKS</v>
      </c>
      <c r="D390" s="13" t="str">
        <f t="shared" si="37"/>
        <v>matthew hicks</v>
      </c>
      <c r="E390" s="13" t="str">
        <f t="shared" si="38"/>
        <v>Matthew Hicks</v>
      </c>
      <c r="F390" s="13" t="str">
        <f t="shared" si="39"/>
        <v>FL</v>
      </c>
      <c r="G390" s="13" t="str">
        <f t="shared" si="40"/>
        <v>89</v>
      </c>
      <c r="H390" s="13" t="str">
        <f t="shared" si="41"/>
        <v>2503</v>
      </c>
    </row>
    <row r="391" spans="1:8" x14ac:dyDescent="0.3">
      <c r="A391" s="13" t="s">
        <v>884</v>
      </c>
      <c r="B391" s="13" t="s">
        <v>885</v>
      </c>
      <c r="C391" s="13" t="str">
        <f t="shared" si="36"/>
        <v>CHRISTOPHER BLACK</v>
      </c>
      <c r="D391" s="13" t="str">
        <f t="shared" si="37"/>
        <v>christopher black</v>
      </c>
      <c r="E391" s="13" t="str">
        <f t="shared" si="38"/>
        <v>Christopher Black</v>
      </c>
      <c r="F391" s="13" t="str">
        <f t="shared" si="39"/>
        <v>FL</v>
      </c>
      <c r="G391" s="13" t="str">
        <f t="shared" si="40"/>
        <v>90</v>
      </c>
      <c r="H391" s="13" t="str">
        <f t="shared" si="41"/>
        <v>2503</v>
      </c>
    </row>
    <row r="392" spans="1:8" x14ac:dyDescent="0.3">
      <c r="A392" s="13" t="s">
        <v>886</v>
      </c>
      <c r="B392" s="13" t="s">
        <v>887</v>
      </c>
      <c r="C392" s="13" t="str">
        <f t="shared" si="36"/>
        <v>JOANNE REYES</v>
      </c>
      <c r="D392" s="13" t="str">
        <f t="shared" si="37"/>
        <v>joanne reyes</v>
      </c>
      <c r="E392" s="13" t="str">
        <f t="shared" si="38"/>
        <v>Joanne Reyes</v>
      </c>
      <c r="F392" s="13" t="str">
        <f t="shared" si="39"/>
        <v>FL</v>
      </c>
      <c r="G392" s="13" t="str">
        <f t="shared" si="40"/>
        <v>91</v>
      </c>
      <c r="H392" s="13" t="str">
        <f t="shared" si="41"/>
        <v>2503</v>
      </c>
    </row>
    <row r="393" spans="1:8" x14ac:dyDescent="0.3">
      <c r="A393" s="13" t="s">
        <v>888</v>
      </c>
      <c r="B393" s="13" t="s">
        <v>889</v>
      </c>
      <c r="C393" s="13" t="str">
        <f t="shared" si="36"/>
        <v>ISAAC GRAY</v>
      </c>
      <c r="D393" s="13" t="str">
        <f t="shared" si="37"/>
        <v>isaac gray</v>
      </c>
      <c r="E393" s="13" t="str">
        <f t="shared" si="38"/>
        <v>Isaac Gray</v>
      </c>
      <c r="F393" s="13" t="str">
        <f t="shared" si="39"/>
        <v>FL</v>
      </c>
      <c r="G393" s="13" t="str">
        <f t="shared" si="40"/>
        <v>92</v>
      </c>
      <c r="H393" s="13" t="str">
        <f t="shared" si="41"/>
        <v>2503</v>
      </c>
    </row>
    <row r="394" spans="1:8" x14ac:dyDescent="0.3">
      <c r="A394" s="13" t="s">
        <v>890</v>
      </c>
      <c r="B394" s="13" t="s">
        <v>891</v>
      </c>
      <c r="C394" s="13" t="str">
        <f t="shared" si="36"/>
        <v>JOSHUA ROBERTS</v>
      </c>
      <c r="D394" s="13" t="str">
        <f t="shared" si="37"/>
        <v>joshua roberts</v>
      </c>
      <c r="E394" s="13" t="str">
        <f t="shared" si="38"/>
        <v>Joshua Roberts</v>
      </c>
      <c r="F394" s="13" t="str">
        <f t="shared" si="39"/>
        <v>FL</v>
      </c>
      <c r="G394" s="13" t="str">
        <f t="shared" si="40"/>
        <v>93</v>
      </c>
      <c r="H394" s="13" t="str">
        <f t="shared" si="41"/>
        <v>2503</v>
      </c>
    </row>
    <row r="395" spans="1:8" x14ac:dyDescent="0.3">
      <c r="A395" s="13" t="s">
        <v>892</v>
      </c>
      <c r="B395" s="13" t="s">
        <v>893</v>
      </c>
      <c r="C395" s="13" t="str">
        <f t="shared" si="36"/>
        <v>ELIZABETH ESTRADA</v>
      </c>
      <c r="D395" s="13" t="str">
        <f t="shared" si="37"/>
        <v>elizabeth estrada</v>
      </c>
      <c r="E395" s="13" t="str">
        <f t="shared" si="38"/>
        <v>Elizabeth Estrada</v>
      </c>
      <c r="F395" s="13" t="str">
        <f t="shared" si="39"/>
        <v>FL</v>
      </c>
      <c r="G395" s="13" t="str">
        <f t="shared" si="40"/>
        <v>94</v>
      </c>
      <c r="H395" s="13" t="str">
        <f t="shared" si="41"/>
        <v>2503</v>
      </c>
    </row>
    <row r="396" spans="1:8" x14ac:dyDescent="0.3">
      <c r="A396" s="13" t="s">
        <v>894</v>
      </c>
      <c r="B396" s="13" t="s">
        <v>895</v>
      </c>
      <c r="C396" s="13" t="str">
        <f t="shared" si="36"/>
        <v>LORI MALONE</v>
      </c>
      <c r="D396" s="13" t="str">
        <f t="shared" si="37"/>
        <v>lori malone</v>
      </c>
      <c r="E396" s="13" t="str">
        <f t="shared" si="38"/>
        <v>Lori Malone</v>
      </c>
      <c r="F396" s="13" t="str">
        <f t="shared" si="39"/>
        <v>FL</v>
      </c>
      <c r="G396" s="13" t="str">
        <f t="shared" si="40"/>
        <v>95</v>
      </c>
      <c r="H396" s="13" t="str">
        <f t="shared" si="41"/>
        <v>2503</v>
      </c>
    </row>
    <row r="397" spans="1:8" x14ac:dyDescent="0.3">
      <c r="A397" s="13" t="s">
        <v>896</v>
      </c>
      <c r="B397" s="13" t="s">
        <v>897</v>
      </c>
      <c r="C397" s="13" t="str">
        <f t="shared" si="36"/>
        <v>ANTHONY HUYNH MD</v>
      </c>
      <c r="D397" s="13" t="str">
        <f t="shared" si="37"/>
        <v>anthony huynh md</v>
      </c>
      <c r="E397" s="13" t="str">
        <f t="shared" si="38"/>
        <v>Anthony Huynh Md</v>
      </c>
      <c r="F397" s="13" t="str">
        <f t="shared" si="39"/>
        <v>FL</v>
      </c>
      <c r="G397" s="13" t="str">
        <f t="shared" si="40"/>
        <v>96</v>
      </c>
      <c r="H397" s="13" t="str">
        <f t="shared" si="41"/>
        <v>2503</v>
      </c>
    </row>
    <row r="398" spans="1:8" x14ac:dyDescent="0.3">
      <c r="A398" s="13" t="s">
        <v>898</v>
      </c>
      <c r="B398" s="13" t="s">
        <v>899</v>
      </c>
      <c r="C398" s="13" t="str">
        <f t="shared" si="36"/>
        <v>MINDY YORK</v>
      </c>
      <c r="D398" s="13" t="str">
        <f t="shared" si="37"/>
        <v>mindy york</v>
      </c>
      <c r="E398" s="13" t="str">
        <f t="shared" si="38"/>
        <v>Mindy York</v>
      </c>
      <c r="F398" s="13" t="str">
        <f t="shared" si="39"/>
        <v>FL</v>
      </c>
      <c r="G398" s="13" t="str">
        <f t="shared" si="40"/>
        <v>97</v>
      </c>
      <c r="H398" s="13" t="str">
        <f t="shared" si="41"/>
        <v>2503</v>
      </c>
    </row>
    <row r="399" spans="1:8" x14ac:dyDescent="0.3">
      <c r="A399" s="13" t="s">
        <v>900</v>
      </c>
      <c r="B399" s="13" t="s">
        <v>901</v>
      </c>
      <c r="C399" s="13" t="str">
        <f t="shared" si="36"/>
        <v>MS. CHRISTINE CHERRY</v>
      </c>
      <c r="D399" s="13" t="str">
        <f t="shared" si="37"/>
        <v>ms. christine cherry</v>
      </c>
      <c r="E399" s="13" t="str">
        <f t="shared" si="38"/>
        <v>Ms. Christine Cherry</v>
      </c>
      <c r="F399" s="13" t="str">
        <f t="shared" si="39"/>
        <v>FL</v>
      </c>
      <c r="G399" s="13" t="str">
        <f t="shared" si="40"/>
        <v>98</v>
      </c>
      <c r="H399" s="13" t="str">
        <f t="shared" si="41"/>
        <v>2503</v>
      </c>
    </row>
    <row r="400" spans="1:8" x14ac:dyDescent="0.3">
      <c r="A400" s="13" t="s">
        <v>902</v>
      </c>
      <c r="B400" s="13" t="s">
        <v>903</v>
      </c>
      <c r="C400" s="13" t="str">
        <f t="shared" si="36"/>
        <v>DANIEL FOSTER</v>
      </c>
      <c r="D400" s="13" t="str">
        <f t="shared" si="37"/>
        <v>daniel foster</v>
      </c>
      <c r="E400" s="13" t="str">
        <f t="shared" si="38"/>
        <v>Daniel Foster</v>
      </c>
      <c r="F400" s="13" t="str">
        <f t="shared" si="39"/>
        <v>FL</v>
      </c>
      <c r="G400" s="13" t="str">
        <f t="shared" si="40"/>
        <v>99</v>
      </c>
      <c r="H400" s="13" t="str">
        <f t="shared" si="41"/>
        <v>2503</v>
      </c>
    </row>
    <row r="401" spans="1:8" x14ac:dyDescent="0.3">
      <c r="A401" s="13" t="s">
        <v>904</v>
      </c>
      <c r="B401" s="13" t="s">
        <v>905</v>
      </c>
      <c r="C401" s="13" t="str">
        <f t="shared" si="36"/>
        <v>MR. DAVID VALENCIA</v>
      </c>
      <c r="D401" s="13" t="str">
        <f t="shared" si="37"/>
        <v>mr. david valencia</v>
      </c>
      <c r="E401" s="13" t="str">
        <f t="shared" si="38"/>
        <v>Mr. David Valencia</v>
      </c>
      <c r="F401" s="13" t="str">
        <f t="shared" si="39"/>
        <v>FL</v>
      </c>
      <c r="G401" s="13" t="str">
        <f t="shared" si="40"/>
        <v>00</v>
      </c>
      <c r="H401" s="13" t="str">
        <f t="shared" si="41"/>
        <v>2504</v>
      </c>
    </row>
    <row r="402" spans="1:8" x14ac:dyDescent="0.3">
      <c r="A402" s="13" t="s">
        <v>906</v>
      </c>
      <c r="B402" s="13" t="s">
        <v>907</v>
      </c>
      <c r="C402" s="13" t="str">
        <f t="shared" si="36"/>
        <v>ETHAN ADAMS</v>
      </c>
      <c r="D402" s="13" t="str">
        <f t="shared" si="37"/>
        <v>ethan adams</v>
      </c>
      <c r="E402" s="13" t="str">
        <f t="shared" si="38"/>
        <v>Ethan Adams</v>
      </c>
      <c r="F402" s="13" t="str">
        <f t="shared" si="39"/>
        <v>FL</v>
      </c>
      <c r="G402" s="13" t="str">
        <f t="shared" si="40"/>
        <v>01</v>
      </c>
      <c r="H402" s="13" t="str">
        <f t="shared" si="41"/>
        <v>2504</v>
      </c>
    </row>
    <row r="403" spans="1:8" x14ac:dyDescent="0.3">
      <c r="A403" s="13" t="s">
        <v>908</v>
      </c>
      <c r="B403" s="13" t="s">
        <v>909</v>
      </c>
      <c r="C403" s="13" t="str">
        <f t="shared" si="36"/>
        <v>BRETT MOORE</v>
      </c>
      <c r="D403" s="13" t="str">
        <f t="shared" si="37"/>
        <v>brett moore</v>
      </c>
      <c r="E403" s="13" t="str">
        <f t="shared" si="38"/>
        <v>Brett Moore</v>
      </c>
      <c r="F403" s="13" t="str">
        <f t="shared" si="39"/>
        <v>FL</v>
      </c>
      <c r="G403" s="13" t="str">
        <f t="shared" si="40"/>
        <v>02</v>
      </c>
      <c r="H403" s="13" t="str">
        <f t="shared" si="41"/>
        <v>2504</v>
      </c>
    </row>
    <row r="404" spans="1:8" x14ac:dyDescent="0.3">
      <c r="A404" s="13" t="s">
        <v>910</v>
      </c>
      <c r="B404" s="13" t="s">
        <v>911</v>
      </c>
      <c r="C404" s="13" t="str">
        <f t="shared" si="36"/>
        <v>PHILLIP GRIFFIN</v>
      </c>
      <c r="D404" s="13" t="str">
        <f t="shared" si="37"/>
        <v>phillip griffin</v>
      </c>
      <c r="E404" s="13" t="str">
        <f t="shared" si="38"/>
        <v>Phillip Griffin</v>
      </c>
      <c r="F404" s="13" t="str">
        <f t="shared" si="39"/>
        <v>FL</v>
      </c>
      <c r="G404" s="13" t="str">
        <f t="shared" si="40"/>
        <v>03</v>
      </c>
      <c r="H404" s="13" t="str">
        <f t="shared" si="41"/>
        <v>2504</v>
      </c>
    </row>
    <row r="405" spans="1:8" x14ac:dyDescent="0.3">
      <c r="A405" s="13" t="s">
        <v>912</v>
      </c>
      <c r="B405" s="13" t="s">
        <v>913</v>
      </c>
      <c r="C405" s="13" t="str">
        <f t="shared" si="36"/>
        <v>STACIE WALL</v>
      </c>
      <c r="D405" s="13" t="str">
        <f t="shared" si="37"/>
        <v>stacie wall</v>
      </c>
      <c r="E405" s="13" t="str">
        <f t="shared" si="38"/>
        <v>Stacie Wall</v>
      </c>
      <c r="F405" s="13" t="str">
        <f t="shared" si="39"/>
        <v>FL</v>
      </c>
      <c r="G405" s="13" t="str">
        <f t="shared" si="40"/>
        <v>04</v>
      </c>
      <c r="H405" s="13" t="str">
        <f t="shared" si="41"/>
        <v>2504</v>
      </c>
    </row>
    <row r="406" spans="1:8" x14ac:dyDescent="0.3">
      <c r="A406" s="13" t="s">
        <v>914</v>
      </c>
      <c r="B406" s="13" t="s">
        <v>915</v>
      </c>
      <c r="C406" s="13" t="str">
        <f t="shared" si="36"/>
        <v>JACOB AUSTIN</v>
      </c>
      <c r="D406" s="13" t="str">
        <f t="shared" si="37"/>
        <v>jacob austin</v>
      </c>
      <c r="E406" s="13" t="str">
        <f t="shared" si="38"/>
        <v>Jacob Austin</v>
      </c>
      <c r="F406" s="13" t="str">
        <f t="shared" si="39"/>
        <v>FL</v>
      </c>
      <c r="G406" s="13" t="str">
        <f t="shared" si="40"/>
        <v>05</v>
      </c>
      <c r="H406" s="13" t="str">
        <f t="shared" si="41"/>
        <v>2504</v>
      </c>
    </row>
    <row r="407" spans="1:8" x14ac:dyDescent="0.3">
      <c r="A407" s="13" t="s">
        <v>916</v>
      </c>
      <c r="B407" s="13" t="s">
        <v>917</v>
      </c>
      <c r="C407" s="13" t="str">
        <f t="shared" si="36"/>
        <v>SABRINA DAVIDSON</v>
      </c>
      <c r="D407" s="13" t="str">
        <f t="shared" si="37"/>
        <v>sabrina davidson</v>
      </c>
      <c r="E407" s="13" t="str">
        <f t="shared" si="38"/>
        <v>Sabrina Davidson</v>
      </c>
      <c r="F407" s="13" t="str">
        <f t="shared" si="39"/>
        <v>FL</v>
      </c>
      <c r="G407" s="13" t="str">
        <f t="shared" si="40"/>
        <v>06</v>
      </c>
      <c r="H407" s="13" t="str">
        <f t="shared" si="41"/>
        <v>2504</v>
      </c>
    </row>
    <row r="408" spans="1:8" x14ac:dyDescent="0.3">
      <c r="A408" s="13" t="s">
        <v>918</v>
      </c>
      <c r="B408" s="13" t="s">
        <v>919</v>
      </c>
      <c r="C408" s="13" t="str">
        <f t="shared" si="36"/>
        <v>DUSTIN DOUGLAS</v>
      </c>
      <c r="D408" s="13" t="str">
        <f t="shared" si="37"/>
        <v>dustin douglas</v>
      </c>
      <c r="E408" s="13" t="str">
        <f t="shared" si="38"/>
        <v>Dustin Douglas</v>
      </c>
      <c r="F408" s="13" t="str">
        <f t="shared" si="39"/>
        <v>FL</v>
      </c>
      <c r="G408" s="13" t="str">
        <f t="shared" si="40"/>
        <v>07</v>
      </c>
      <c r="H408" s="13" t="str">
        <f t="shared" si="41"/>
        <v>2504</v>
      </c>
    </row>
    <row r="409" spans="1:8" x14ac:dyDescent="0.3">
      <c r="A409" s="13" t="s">
        <v>920</v>
      </c>
      <c r="B409" s="13" t="s">
        <v>921</v>
      </c>
      <c r="C409" s="13" t="str">
        <f t="shared" si="36"/>
        <v>STEVEN NORRIS</v>
      </c>
      <c r="D409" s="13" t="str">
        <f t="shared" si="37"/>
        <v>steven norris</v>
      </c>
      <c r="E409" s="13" t="str">
        <f t="shared" si="38"/>
        <v>Steven Norris</v>
      </c>
      <c r="F409" s="13" t="str">
        <f t="shared" si="39"/>
        <v>FL</v>
      </c>
      <c r="G409" s="13" t="str">
        <f t="shared" si="40"/>
        <v>08</v>
      </c>
      <c r="H409" s="13" t="str">
        <f t="shared" si="41"/>
        <v>2504</v>
      </c>
    </row>
    <row r="410" spans="1:8" x14ac:dyDescent="0.3">
      <c r="A410" s="13" t="s">
        <v>922</v>
      </c>
      <c r="B410" s="13" t="s">
        <v>923</v>
      </c>
      <c r="C410" s="13" t="str">
        <f t="shared" si="36"/>
        <v>MINDY SULLIVAN</v>
      </c>
      <c r="D410" s="13" t="str">
        <f t="shared" si="37"/>
        <v>mindy sullivan</v>
      </c>
      <c r="E410" s="13" t="str">
        <f t="shared" si="38"/>
        <v>Mindy Sullivan</v>
      </c>
      <c r="F410" s="13" t="str">
        <f t="shared" si="39"/>
        <v>FL</v>
      </c>
      <c r="G410" s="13" t="str">
        <f t="shared" si="40"/>
        <v>09</v>
      </c>
      <c r="H410" s="13" t="str">
        <f t="shared" si="41"/>
        <v>2504</v>
      </c>
    </row>
    <row r="411" spans="1:8" x14ac:dyDescent="0.3">
      <c r="A411" s="13" t="s">
        <v>924</v>
      </c>
      <c r="B411" s="13" t="s">
        <v>925</v>
      </c>
      <c r="C411" s="13" t="str">
        <f t="shared" si="36"/>
        <v>ELIZABETH STONE</v>
      </c>
      <c r="D411" s="13" t="str">
        <f t="shared" si="37"/>
        <v>elizabeth stone</v>
      </c>
      <c r="E411" s="13" t="str">
        <f t="shared" si="38"/>
        <v>Elizabeth Stone</v>
      </c>
      <c r="F411" s="13" t="str">
        <f t="shared" si="39"/>
        <v>FL</v>
      </c>
      <c r="G411" s="13" t="str">
        <f t="shared" si="40"/>
        <v>10</v>
      </c>
      <c r="H411" s="13" t="str">
        <f t="shared" si="41"/>
        <v>2504</v>
      </c>
    </row>
    <row r="412" spans="1:8" x14ac:dyDescent="0.3">
      <c r="A412" s="13" t="s">
        <v>926</v>
      </c>
      <c r="B412" s="13" t="s">
        <v>927</v>
      </c>
      <c r="C412" s="13" t="str">
        <f t="shared" si="36"/>
        <v>DIANE FLORES</v>
      </c>
      <c r="D412" s="13" t="str">
        <f t="shared" si="37"/>
        <v>diane flores</v>
      </c>
      <c r="E412" s="13" t="str">
        <f t="shared" si="38"/>
        <v>Diane Flores</v>
      </c>
      <c r="F412" s="13" t="str">
        <f t="shared" si="39"/>
        <v>FL</v>
      </c>
      <c r="G412" s="13" t="str">
        <f t="shared" si="40"/>
        <v>11</v>
      </c>
      <c r="H412" s="13" t="str">
        <f t="shared" si="41"/>
        <v>2504</v>
      </c>
    </row>
    <row r="413" spans="1:8" x14ac:dyDescent="0.3">
      <c r="A413" s="13" t="s">
        <v>928</v>
      </c>
      <c r="B413" s="13" t="s">
        <v>929</v>
      </c>
      <c r="C413" s="13" t="str">
        <f t="shared" si="36"/>
        <v>JESSICA ERICKSON</v>
      </c>
      <c r="D413" s="13" t="str">
        <f t="shared" si="37"/>
        <v>jessica erickson</v>
      </c>
      <c r="E413" s="13" t="str">
        <f t="shared" si="38"/>
        <v>Jessica Erickson</v>
      </c>
      <c r="F413" s="13" t="str">
        <f t="shared" si="39"/>
        <v>FL</v>
      </c>
      <c r="G413" s="13" t="str">
        <f t="shared" si="40"/>
        <v>12</v>
      </c>
      <c r="H413" s="13" t="str">
        <f t="shared" si="41"/>
        <v>2504</v>
      </c>
    </row>
    <row r="414" spans="1:8" x14ac:dyDescent="0.3">
      <c r="A414" s="13" t="s">
        <v>930</v>
      </c>
      <c r="B414" s="13" t="s">
        <v>931</v>
      </c>
      <c r="C414" s="13" t="str">
        <f t="shared" si="36"/>
        <v>SARA MOSES</v>
      </c>
      <c r="D414" s="13" t="str">
        <f t="shared" si="37"/>
        <v>sara moses</v>
      </c>
      <c r="E414" s="13" t="str">
        <f t="shared" si="38"/>
        <v>Sara Moses</v>
      </c>
      <c r="F414" s="13" t="str">
        <f t="shared" si="39"/>
        <v>FL</v>
      </c>
      <c r="G414" s="13" t="str">
        <f t="shared" si="40"/>
        <v>13</v>
      </c>
      <c r="H414" s="13" t="str">
        <f t="shared" si="41"/>
        <v>2504</v>
      </c>
    </row>
    <row r="415" spans="1:8" x14ac:dyDescent="0.3">
      <c r="A415" s="13" t="s">
        <v>932</v>
      </c>
      <c r="B415" s="13" t="s">
        <v>933</v>
      </c>
      <c r="C415" s="13" t="str">
        <f t="shared" si="36"/>
        <v>ALLISON HENDERSON</v>
      </c>
      <c r="D415" s="13" t="str">
        <f t="shared" si="37"/>
        <v>allison henderson</v>
      </c>
      <c r="E415" s="13" t="str">
        <f t="shared" si="38"/>
        <v>Allison Henderson</v>
      </c>
      <c r="F415" s="13" t="str">
        <f t="shared" si="39"/>
        <v>FL</v>
      </c>
      <c r="G415" s="13" t="str">
        <f t="shared" si="40"/>
        <v>14</v>
      </c>
      <c r="H415" s="13" t="str">
        <f t="shared" si="41"/>
        <v>2504</v>
      </c>
    </row>
    <row r="416" spans="1:8" x14ac:dyDescent="0.3">
      <c r="A416" s="13" t="s">
        <v>934</v>
      </c>
      <c r="B416" s="13" t="s">
        <v>935</v>
      </c>
      <c r="C416" s="13" t="str">
        <f t="shared" si="36"/>
        <v>SUSAN DIXON</v>
      </c>
      <c r="D416" s="13" t="str">
        <f t="shared" si="37"/>
        <v>susan dixon</v>
      </c>
      <c r="E416" s="13" t="str">
        <f t="shared" si="38"/>
        <v>Susan Dixon</v>
      </c>
      <c r="F416" s="13" t="str">
        <f t="shared" si="39"/>
        <v>FL</v>
      </c>
      <c r="G416" s="13" t="str">
        <f t="shared" si="40"/>
        <v>15</v>
      </c>
      <c r="H416" s="13" t="str">
        <f t="shared" si="41"/>
        <v>2504</v>
      </c>
    </row>
    <row r="417" spans="1:8" x14ac:dyDescent="0.3">
      <c r="A417" s="13" t="s">
        <v>936</v>
      </c>
      <c r="B417" s="13" t="s">
        <v>937</v>
      </c>
      <c r="C417" s="13" t="str">
        <f t="shared" si="36"/>
        <v>DAVID MORRISON</v>
      </c>
      <c r="D417" s="13" t="str">
        <f t="shared" si="37"/>
        <v>david morrison</v>
      </c>
      <c r="E417" s="13" t="str">
        <f t="shared" si="38"/>
        <v>David Morrison</v>
      </c>
      <c r="F417" s="13" t="str">
        <f t="shared" si="39"/>
        <v>FL</v>
      </c>
      <c r="G417" s="13" t="str">
        <f t="shared" si="40"/>
        <v>16</v>
      </c>
      <c r="H417" s="13" t="str">
        <f t="shared" si="41"/>
        <v>2504</v>
      </c>
    </row>
    <row r="418" spans="1:8" x14ac:dyDescent="0.3">
      <c r="A418" s="13" t="s">
        <v>938</v>
      </c>
      <c r="B418" s="13" t="s">
        <v>358</v>
      </c>
      <c r="C418" s="13" t="str">
        <f t="shared" si="36"/>
        <v>JASON CARTER</v>
      </c>
      <c r="D418" s="13" t="str">
        <f t="shared" si="37"/>
        <v>jason carter</v>
      </c>
      <c r="E418" s="13" t="str">
        <f t="shared" si="38"/>
        <v>Jason Carter</v>
      </c>
      <c r="F418" s="13" t="str">
        <f t="shared" si="39"/>
        <v>FL</v>
      </c>
      <c r="G418" s="13" t="str">
        <f t="shared" si="40"/>
        <v>17</v>
      </c>
      <c r="H418" s="13" t="str">
        <f t="shared" si="41"/>
        <v>2504</v>
      </c>
    </row>
    <row r="419" spans="1:8" x14ac:dyDescent="0.3">
      <c r="A419" s="13" t="s">
        <v>939</v>
      </c>
      <c r="B419" s="13" t="s">
        <v>940</v>
      </c>
      <c r="C419" s="13" t="str">
        <f t="shared" si="36"/>
        <v>JAMES JACOBS</v>
      </c>
      <c r="D419" s="13" t="str">
        <f t="shared" si="37"/>
        <v>james jacobs</v>
      </c>
      <c r="E419" s="13" t="str">
        <f t="shared" si="38"/>
        <v>James Jacobs</v>
      </c>
      <c r="F419" s="13" t="str">
        <f t="shared" si="39"/>
        <v>FL</v>
      </c>
      <c r="G419" s="13" t="str">
        <f t="shared" si="40"/>
        <v>18</v>
      </c>
      <c r="H419" s="13" t="str">
        <f t="shared" si="41"/>
        <v>2504</v>
      </c>
    </row>
    <row r="420" spans="1:8" x14ac:dyDescent="0.3">
      <c r="A420" s="13" t="s">
        <v>941</v>
      </c>
      <c r="B420" s="13" t="s">
        <v>942</v>
      </c>
      <c r="C420" s="13" t="str">
        <f t="shared" si="36"/>
        <v>KATHLEEN QUINN</v>
      </c>
      <c r="D420" s="13" t="str">
        <f t="shared" si="37"/>
        <v>kathleen quinn</v>
      </c>
      <c r="E420" s="13" t="str">
        <f t="shared" si="38"/>
        <v>Kathleen Quinn</v>
      </c>
      <c r="F420" s="13" t="str">
        <f t="shared" si="39"/>
        <v>FL</v>
      </c>
      <c r="G420" s="13" t="str">
        <f t="shared" si="40"/>
        <v>19</v>
      </c>
      <c r="H420" s="13" t="str">
        <f t="shared" si="41"/>
        <v>2504</v>
      </c>
    </row>
    <row r="421" spans="1:8" x14ac:dyDescent="0.3">
      <c r="A421" s="13" t="s">
        <v>943</v>
      </c>
      <c r="B421" s="13" t="s">
        <v>944</v>
      </c>
      <c r="C421" s="13" t="str">
        <f t="shared" si="36"/>
        <v>NATALIE FRANK MD</v>
      </c>
      <c r="D421" s="13" t="str">
        <f t="shared" si="37"/>
        <v>natalie frank md</v>
      </c>
      <c r="E421" s="13" t="str">
        <f t="shared" si="38"/>
        <v>Natalie Frank Md</v>
      </c>
      <c r="F421" s="13" t="str">
        <f t="shared" si="39"/>
        <v>FL</v>
      </c>
      <c r="G421" s="13" t="str">
        <f t="shared" si="40"/>
        <v>20</v>
      </c>
      <c r="H421" s="13" t="str">
        <f t="shared" si="41"/>
        <v>2504</v>
      </c>
    </row>
    <row r="422" spans="1:8" x14ac:dyDescent="0.3">
      <c r="A422" s="13" t="s">
        <v>945</v>
      </c>
      <c r="B422" s="13" t="s">
        <v>946</v>
      </c>
      <c r="C422" s="13" t="str">
        <f t="shared" si="36"/>
        <v>MICHAEL REED</v>
      </c>
      <c r="D422" s="13" t="str">
        <f t="shared" si="37"/>
        <v>michael reed</v>
      </c>
      <c r="E422" s="13" t="str">
        <f t="shared" si="38"/>
        <v>Michael Reed</v>
      </c>
      <c r="F422" s="13" t="str">
        <f t="shared" si="39"/>
        <v>FL</v>
      </c>
      <c r="G422" s="13" t="str">
        <f t="shared" si="40"/>
        <v>21</v>
      </c>
      <c r="H422" s="13" t="str">
        <f t="shared" si="41"/>
        <v>2504</v>
      </c>
    </row>
    <row r="423" spans="1:8" x14ac:dyDescent="0.3">
      <c r="A423" s="13" t="s">
        <v>947</v>
      </c>
      <c r="B423" s="13" t="s">
        <v>948</v>
      </c>
      <c r="C423" s="13" t="str">
        <f t="shared" si="36"/>
        <v>SHEILA SMITH</v>
      </c>
      <c r="D423" s="13" t="str">
        <f t="shared" si="37"/>
        <v>sheila smith</v>
      </c>
      <c r="E423" s="13" t="str">
        <f t="shared" si="38"/>
        <v>Sheila Smith</v>
      </c>
      <c r="F423" s="13" t="str">
        <f t="shared" si="39"/>
        <v>FL</v>
      </c>
      <c r="G423" s="13" t="str">
        <f t="shared" si="40"/>
        <v>22</v>
      </c>
      <c r="H423" s="13" t="str">
        <f t="shared" si="41"/>
        <v>2504</v>
      </c>
    </row>
    <row r="424" spans="1:8" x14ac:dyDescent="0.3">
      <c r="A424" s="13" t="s">
        <v>949</v>
      </c>
      <c r="B424" s="13" t="s">
        <v>950</v>
      </c>
      <c r="C424" s="13" t="str">
        <f t="shared" si="36"/>
        <v>MORGAN FORD</v>
      </c>
      <c r="D424" s="13" t="str">
        <f t="shared" si="37"/>
        <v>morgan ford</v>
      </c>
      <c r="E424" s="13" t="str">
        <f t="shared" si="38"/>
        <v>Morgan Ford</v>
      </c>
      <c r="F424" s="13" t="str">
        <f t="shared" si="39"/>
        <v>FL</v>
      </c>
      <c r="G424" s="13" t="str">
        <f t="shared" si="40"/>
        <v>23</v>
      </c>
      <c r="H424" s="13" t="str">
        <f t="shared" si="41"/>
        <v>2504</v>
      </c>
    </row>
    <row r="425" spans="1:8" x14ac:dyDescent="0.3">
      <c r="A425" s="13" t="s">
        <v>951</v>
      </c>
      <c r="B425" s="13" t="s">
        <v>952</v>
      </c>
      <c r="C425" s="13" t="str">
        <f t="shared" si="36"/>
        <v>LINDA SCHULTZ</v>
      </c>
      <c r="D425" s="13" t="str">
        <f t="shared" si="37"/>
        <v>linda schultz</v>
      </c>
      <c r="E425" s="13" t="str">
        <f t="shared" si="38"/>
        <v>Linda Schultz</v>
      </c>
      <c r="F425" s="13" t="str">
        <f t="shared" si="39"/>
        <v>FL</v>
      </c>
      <c r="G425" s="13" t="str">
        <f t="shared" si="40"/>
        <v>24</v>
      </c>
      <c r="H425" s="13" t="str">
        <f t="shared" si="41"/>
        <v>2504</v>
      </c>
    </row>
    <row r="426" spans="1:8" x14ac:dyDescent="0.3">
      <c r="A426" s="13" t="s">
        <v>953</v>
      </c>
      <c r="B426" s="13" t="s">
        <v>954</v>
      </c>
      <c r="C426" s="13" t="str">
        <f t="shared" si="36"/>
        <v>REGINA DANIEL</v>
      </c>
      <c r="D426" s="13" t="str">
        <f t="shared" si="37"/>
        <v>regina daniel</v>
      </c>
      <c r="E426" s="13" t="str">
        <f t="shared" si="38"/>
        <v>Regina Daniel</v>
      </c>
      <c r="F426" s="13" t="str">
        <f t="shared" si="39"/>
        <v>FL</v>
      </c>
      <c r="G426" s="13" t="str">
        <f t="shared" si="40"/>
        <v>25</v>
      </c>
      <c r="H426" s="13" t="str">
        <f t="shared" si="41"/>
        <v>2504</v>
      </c>
    </row>
    <row r="427" spans="1:8" x14ac:dyDescent="0.3">
      <c r="A427" s="13" t="s">
        <v>955</v>
      </c>
      <c r="B427" s="13" t="s">
        <v>956</v>
      </c>
      <c r="C427" s="13" t="str">
        <f t="shared" si="36"/>
        <v>ALLISON PERKINS</v>
      </c>
      <c r="D427" s="13" t="str">
        <f t="shared" si="37"/>
        <v>allison perkins</v>
      </c>
      <c r="E427" s="13" t="str">
        <f t="shared" si="38"/>
        <v>Allison Perkins</v>
      </c>
      <c r="F427" s="13" t="str">
        <f t="shared" si="39"/>
        <v>FL</v>
      </c>
      <c r="G427" s="13" t="str">
        <f t="shared" si="40"/>
        <v>26</v>
      </c>
      <c r="H427" s="13" t="str">
        <f t="shared" si="41"/>
        <v>2504</v>
      </c>
    </row>
    <row r="428" spans="1:8" x14ac:dyDescent="0.3">
      <c r="A428" s="13" t="s">
        <v>957</v>
      </c>
      <c r="B428" s="13" t="s">
        <v>958</v>
      </c>
      <c r="C428" s="13" t="str">
        <f t="shared" si="36"/>
        <v>BRADLEY WEAVER</v>
      </c>
      <c r="D428" s="13" t="str">
        <f t="shared" si="37"/>
        <v>bradley weaver</v>
      </c>
      <c r="E428" s="13" t="str">
        <f t="shared" si="38"/>
        <v>Bradley Weaver</v>
      </c>
      <c r="F428" s="13" t="str">
        <f t="shared" si="39"/>
        <v>FL</v>
      </c>
      <c r="G428" s="13" t="str">
        <f t="shared" si="40"/>
        <v>27</v>
      </c>
      <c r="H428" s="13" t="str">
        <f t="shared" si="41"/>
        <v>2504</v>
      </c>
    </row>
    <row r="429" spans="1:8" x14ac:dyDescent="0.3">
      <c r="A429" s="13" t="s">
        <v>959</v>
      </c>
      <c r="B429" s="13" t="s">
        <v>960</v>
      </c>
      <c r="C429" s="13" t="str">
        <f t="shared" si="36"/>
        <v>SARAH HALL</v>
      </c>
      <c r="D429" s="13" t="str">
        <f t="shared" si="37"/>
        <v>sarah hall</v>
      </c>
      <c r="E429" s="13" t="str">
        <f t="shared" si="38"/>
        <v>Sarah Hall</v>
      </c>
      <c r="F429" s="13" t="str">
        <f t="shared" si="39"/>
        <v>FL</v>
      </c>
      <c r="G429" s="13" t="str">
        <f t="shared" si="40"/>
        <v>28</v>
      </c>
      <c r="H429" s="13" t="str">
        <f t="shared" si="41"/>
        <v>2504</v>
      </c>
    </row>
    <row r="430" spans="1:8" x14ac:dyDescent="0.3">
      <c r="A430" s="13" t="s">
        <v>961</v>
      </c>
      <c r="B430" s="13" t="s">
        <v>962</v>
      </c>
      <c r="C430" s="13" t="str">
        <f t="shared" si="36"/>
        <v>DIANA WALTON</v>
      </c>
      <c r="D430" s="13" t="str">
        <f t="shared" si="37"/>
        <v>diana walton</v>
      </c>
      <c r="E430" s="13" t="str">
        <f t="shared" si="38"/>
        <v>Diana Walton</v>
      </c>
      <c r="F430" s="13" t="str">
        <f t="shared" si="39"/>
        <v>FL</v>
      </c>
      <c r="G430" s="13" t="str">
        <f t="shared" si="40"/>
        <v>29</v>
      </c>
      <c r="H430" s="13" t="str">
        <f t="shared" si="41"/>
        <v>2504</v>
      </c>
    </row>
    <row r="431" spans="1:8" x14ac:dyDescent="0.3">
      <c r="A431" s="13" t="s">
        <v>963</v>
      </c>
      <c r="B431" s="13" t="s">
        <v>964</v>
      </c>
      <c r="C431" s="13" t="str">
        <f t="shared" si="36"/>
        <v>DONNA DAVIS</v>
      </c>
      <c r="D431" s="13" t="str">
        <f t="shared" si="37"/>
        <v>donna davis</v>
      </c>
      <c r="E431" s="13" t="str">
        <f t="shared" si="38"/>
        <v>Donna Davis</v>
      </c>
      <c r="F431" s="13" t="str">
        <f t="shared" si="39"/>
        <v>FL</v>
      </c>
      <c r="G431" s="13" t="str">
        <f t="shared" si="40"/>
        <v>30</v>
      </c>
      <c r="H431" s="13" t="str">
        <f t="shared" si="41"/>
        <v>2504</v>
      </c>
    </row>
    <row r="432" spans="1:8" x14ac:dyDescent="0.3">
      <c r="A432" s="13" t="s">
        <v>965</v>
      </c>
      <c r="B432" s="13" t="s">
        <v>966</v>
      </c>
      <c r="C432" s="13" t="str">
        <f t="shared" si="36"/>
        <v>CHRISTOPHER MCCLAIN</v>
      </c>
      <c r="D432" s="13" t="str">
        <f t="shared" si="37"/>
        <v>christopher mcclain</v>
      </c>
      <c r="E432" s="13" t="str">
        <f t="shared" si="38"/>
        <v>Christopher Mcclain</v>
      </c>
      <c r="F432" s="13" t="str">
        <f t="shared" si="39"/>
        <v>FL</v>
      </c>
      <c r="G432" s="13" t="str">
        <f t="shared" si="40"/>
        <v>31</v>
      </c>
      <c r="H432" s="13" t="str">
        <f t="shared" si="41"/>
        <v>2504</v>
      </c>
    </row>
    <row r="433" spans="1:8" x14ac:dyDescent="0.3">
      <c r="A433" s="13" t="s">
        <v>967</v>
      </c>
      <c r="B433" s="13" t="s">
        <v>968</v>
      </c>
      <c r="C433" s="13" t="str">
        <f t="shared" si="36"/>
        <v>DR. PAUL WILLIAMSON</v>
      </c>
      <c r="D433" s="13" t="str">
        <f t="shared" si="37"/>
        <v>dr. paul williamson</v>
      </c>
      <c r="E433" s="13" t="str">
        <f t="shared" si="38"/>
        <v>Dr. Paul Williamson</v>
      </c>
      <c r="F433" s="13" t="str">
        <f t="shared" si="39"/>
        <v>FL</v>
      </c>
      <c r="G433" s="13" t="str">
        <f t="shared" si="40"/>
        <v>32</v>
      </c>
      <c r="H433" s="13" t="str">
        <f t="shared" si="41"/>
        <v>2504</v>
      </c>
    </row>
    <row r="434" spans="1:8" x14ac:dyDescent="0.3">
      <c r="A434" s="13" t="s">
        <v>969</v>
      </c>
      <c r="B434" s="13" t="s">
        <v>970</v>
      </c>
      <c r="C434" s="13" t="str">
        <f t="shared" si="36"/>
        <v>BARBARA BROWN</v>
      </c>
      <c r="D434" s="13" t="str">
        <f t="shared" si="37"/>
        <v>barbara brown</v>
      </c>
      <c r="E434" s="13" t="str">
        <f t="shared" si="38"/>
        <v>Barbara Brown</v>
      </c>
      <c r="F434" s="13" t="str">
        <f t="shared" si="39"/>
        <v>FL</v>
      </c>
      <c r="G434" s="13" t="str">
        <f t="shared" si="40"/>
        <v>33</v>
      </c>
      <c r="H434" s="13" t="str">
        <f t="shared" si="41"/>
        <v>2504</v>
      </c>
    </row>
    <row r="435" spans="1:8" x14ac:dyDescent="0.3">
      <c r="A435" s="13" t="s">
        <v>971</v>
      </c>
      <c r="B435" s="13" t="s">
        <v>972</v>
      </c>
      <c r="C435" s="13" t="str">
        <f t="shared" si="36"/>
        <v>KIMBERLY ALLEN</v>
      </c>
      <c r="D435" s="13" t="str">
        <f t="shared" si="37"/>
        <v>kimberly allen</v>
      </c>
      <c r="E435" s="13" t="str">
        <f t="shared" si="38"/>
        <v>Kimberly Allen</v>
      </c>
      <c r="F435" s="13" t="str">
        <f t="shared" si="39"/>
        <v>FL</v>
      </c>
      <c r="G435" s="13" t="str">
        <f t="shared" si="40"/>
        <v>34</v>
      </c>
      <c r="H435" s="13" t="str">
        <f t="shared" si="41"/>
        <v>2504</v>
      </c>
    </row>
    <row r="436" spans="1:8" x14ac:dyDescent="0.3">
      <c r="A436" s="13" t="s">
        <v>973</v>
      </c>
      <c r="B436" s="13" t="s">
        <v>974</v>
      </c>
      <c r="C436" s="13" t="str">
        <f t="shared" si="36"/>
        <v>ELIZABETH EDWARDS</v>
      </c>
      <c r="D436" s="13" t="str">
        <f t="shared" si="37"/>
        <v>elizabeth edwards</v>
      </c>
      <c r="E436" s="13" t="str">
        <f t="shared" si="38"/>
        <v>Elizabeth Edwards</v>
      </c>
      <c r="F436" s="13" t="str">
        <f t="shared" si="39"/>
        <v>FL</v>
      </c>
      <c r="G436" s="13" t="str">
        <f t="shared" si="40"/>
        <v>35</v>
      </c>
      <c r="H436" s="13" t="str">
        <f t="shared" si="41"/>
        <v>2504</v>
      </c>
    </row>
    <row r="437" spans="1:8" x14ac:dyDescent="0.3">
      <c r="A437" s="13" t="s">
        <v>975</v>
      </c>
      <c r="B437" s="13" t="s">
        <v>976</v>
      </c>
      <c r="C437" s="13" t="str">
        <f t="shared" si="36"/>
        <v>ANTHONY DOWNS</v>
      </c>
      <c r="D437" s="13" t="str">
        <f t="shared" si="37"/>
        <v>anthony downs</v>
      </c>
      <c r="E437" s="13" t="str">
        <f t="shared" si="38"/>
        <v>Anthony Downs</v>
      </c>
      <c r="F437" s="13" t="str">
        <f t="shared" si="39"/>
        <v>FL</v>
      </c>
      <c r="G437" s="13" t="str">
        <f t="shared" si="40"/>
        <v>36</v>
      </c>
      <c r="H437" s="13" t="str">
        <f t="shared" si="41"/>
        <v>2504</v>
      </c>
    </row>
    <row r="438" spans="1:8" x14ac:dyDescent="0.3">
      <c r="A438" s="13" t="s">
        <v>977</v>
      </c>
      <c r="B438" s="13" t="s">
        <v>978</v>
      </c>
      <c r="C438" s="13" t="str">
        <f t="shared" si="36"/>
        <v>JACK ORTEGA</v>
      </c>
      <c r="D438" s="13" t="str">
        <f t="shared" si="37"/>
        <v>jack ortega</v>
      </c>
      <c r="E438" s="13" t="str">
        <f t="shared" si="38"/>
        <v>Jack Ortega</v>
      </c>
      <c r="F438" s="13" t="str">
        <f t="shared" si="39"/>
        <v>FL</v>
      </c>
      <c r="G438" s="13" t="str">
        <f t="shared" si="40"/>
        <v>37</v>
      </c>
      <c r="H438" s="13" t="str">
        <f t="shared" si="41"/>
        <v>2504</v>
      </c>
    </row>
    <row r="439" spans="1:8" x14ac:dyDescent="0.3">
      <c r="A439" s="13" t="s">
        <v>979</v>
      </c>
      <c r="B439" s="13" t="s">
        <v>980</v>
      </c>
      <c r="C439" s="13" t="str">
        <f t="shared" si="36"/>
        <v>MARVIN MOORE</v>
      </c>
      <c r="D439" s="13" t="str">
        <f t="shared" si="37"/>
        <v>marvin moore</v>
      </c>
      <c r="E439" s="13" t="str">
        <f t="shared" si="38"/>
        <v>Marvin Moore</v>
      </c>
      <c r="F439" s="13" t="str">
        <f t="shared" si="39"/>
        <v>FL</v>
      </c>
      <c r="G439" s="13" t="str">
        <f t="shared" si="40"/>
        <v>38</v>
      </c>
      <c r="H439" s="13" t="str">
        <f t="shared" si="41"/>
        <v>2504</v>
      </c>
    </row>
    <row r="440" spans="1:8" x14ac:dyDescent="0.3">
      <c r="A440" s="13" t="s">
        <v>981</v>
      </c>
      <c r="B440" s="13" t="s">
        <v>982</v>
      </c>
      <c r="C440" s="13" t="str">
        <f t="shared" si="36"/>
        <v>TONY FRENCH</v>
      </c>
      <c r="D440" s="13" t="str">
        <f t="shared" si="37"/>
        <v>tony french</v>
      </c>
      <c r="E440" s="13" t="str">
        <f t="shared" si="38"/>
        <v>Tony French</v>
      </c>
      <c r="F440" s="13" t="str">
        <f t="shared" si="39"/>
        <v>FL</v>
      </c>
      <c r="G440" s="13" t="str">
        <f t="shared" si="40"/>
        <v>39</v>
      </c>
      <c r="H440" s="13" t="str">
        <f t="shared" si="41"/>
        <v>2504</v>
      </c>
    </row>
    <row r="441" spans="1:8" x14ac:dyDescent="0.3">
      <c r="A441" s="13" t="s">
        <v>983</v>
      </c>
      <c r="B441" s="13" t="s">
        <v>984</v>
      </c>
      <c r="C441" s="13" t="str">
        <f t="shared" si="36"/>
        <v>STACY HUDSON</v>
      </c>
      <c r="D441" s="13" t="str">
        <f t="shared" si="37"/>
        <v>stacy hudson</v>
      </c>
      <c r="E441" s="13" t="str">
        <f t="shared" si="38"/>
        <v>Stacy Hudson</v>
      </c>
      <c r="F441" s="13" t="str">
        <f t="shared" si="39"/>
        <v>FL</v>
      </c>
      <c r="G441" s="13" t="str">
        <f t="shared" si="40"/>
        <v>40</v>
      </c>
      <c r="H441" s="13" t="str">
        <f t="shared" si="41"/>
        <v>2504</v>
      </c>
    </row>
    <row r="442" spans="1:8" x14ac:dyDescent="0.3">
      <c r="A442" s="13" t="s">
        <v>985</v>
      </c>
      <c r="B442" s="13" t="s">
        <v>986</v>
      </c>
      <c r="C442" s="13" t="str">
        <f t="shared" si="36"/>
        <v>SCOTT WASHINGTON</v>
      </c>
      <c r="D442" s="13" t="str">
        <f t="shared" si="37"/>
        <v>scott washington</v>
      </c>
      <c r="E442" s="13" t="str">
        <f t="shared" si="38"/>
        <v>Scott Washington</v>
      </c>
      <c r="F442" s="13" t="str">
        <f t="shared" si="39"/>
        <v>FL</v>
      </c>
      <c r="G442" s="13" t="str">
        <f t="shared" si="40"/>
        <v>41</v>
      </c>
      <c r="H442" s="13" t="str">
        <f t="shared" si="41"/>
        <v>2504</v>
      </c>
    </row>
    <row r="443" spans="1:8" x14ac:dyDescent="0.3">
      <c r="A443" s="13" t="s">
        <v>987</v>
      </c>
      <c r="B443" s="13" t="s">
        <v>988</v>
      </c>
      <c r="C443" s="13" t="str">
        <f t="shared" si="36"/>
        <v>TIMOTHY WRIGHT</v>
      </c>
      <c r="D443" s="13" t="str">
        <f t="shared" si="37"/>
        <v>timothy wright</v>
      </c>
      <c r="E443" s="13" t="str">
        <f t="shared" si="38"/>
        <v>Timothy Wright</v>
      </c>
      <c r="F443" s="13" t="str">
        <f t="shared" si="39"/>
        <v>FL</v>
      </c>
      <c r="G443" s="13" t="str">
        <f t="shared" si="40"/>
        <v>42</v>
      </c>
      <c r="H443" s="13" t="str">
        <f t="shared" si="41"/>
        <v>2504</v>
      </c>
    </row>
    <row r="444" spans="1:8" x14ac:dyDescent="0.3">
      <c r="A444" s="13" t="s">
        <v>989</v>
      </c>
      <c r="B444" s="13" t="s">
        <v>990</v>
      </c>
      <c r="C444" s="13" t="str">
        <f t="shared" si="36"/>
        <v>JOSEPH GONZALEZ</v>
      </c>
      <c r="D444" s="13" t="str">
        <f t="shared" si="37"/>
        <v>joseph gonzalez</v>
      </c>
      <c r="E444" s="13" t="str">
        <f t="shared" si="38"/>
        <v>Joseph Gonzalez</v>
      </c>
      <c r="F444" s="13" t="str">
        <f t="shared" si="39"/>
        <v>FL</v>
      </c>
      <c r="G444" s="13" t="str">
        <f t="shared" si="40"/>
        <v>43</v>
      </c>
      <c r="H444" s="13" t="str">
        <f t="shared" si="41"/>
        <v>2504</v>
      </c>
    </row>
    <row r="445" spans="1:8" x14ac:dyDescent="0.3">
      <c r="A445" s="13" t="s">
        <v>991</v>
      </c>
      <c r="B445" s="13" t="s">
        <v>992</v>
      </c>
      <c r="C445" s="13" t="str">
        <f t="shared" si="36"/>
        <v>ANDREA PEREZ</v>
      </c>
      <c r="D445" s="13" t="str">
        <f t="shared" si="37"/>
        <v>andrea perez</v>
      </c>
      <c r="E445" s="13" t="str">
        <f t="shared" si="38"/>
        <v>Andrea Perez</v>
      </c>
      <c r="F445" s="13" t="str">
        <f t="shared" si="39"/>
        <v>FL</v>
      </c>
      <c r="G445" s="13" t="str">
        <f t="shared" si="40"/>
        <v>44</v>
      </c>
      <c r="H445" s="13" t="str">
        <f t="shared" si="41"/>
        <v>2504</v>
      </c>
    </row>
    <row r="446" spans="1:8" x14ac:dyDescent="0.3">
      <c r="A446" s="13" t="s">
        <v>993</v>
      </c>
      <c r="B446" s="13" t="s">
        <v>994</v>
      </c>
      <c r="C446" s="13" t="str">
        <f t="shared" si="36"/>
        <v>ANGEL COLLINS</v>
      </c>
      <c r="D446" s="13" t="str">
        <f t="shared" si="37"/>
        <v>angel collins</v>
      </c>
      <c r="E446" s="13" t="str">
        <f t="shared" si="38"/>
        <v>Angel Collins</v>
      </c>
      <c r="F446" s="13" t="str">
        <f t="shared" si="39"/>
        <v>FL</v>
      </c>
      <c r="G446" s="13" t="str">
        <f t="shared" si="40"/>
        <v>45</v>
      </c>
      <c r="H446" s="13" t="str">
        <f t="shared" si="41"/>
        <v>2504</v>
      </c>
    </row>
    <row r="447" spans="1:8" x14ac:dyDescent="0.3">
      <c r="A447" s="13" t="s">
        <v>995</v>
      </c>
      <c r="B447" s="13" t="s">
        <v>996</v>
      </c>
      <c r="C447" s="13" t="str">
        <f t="shared" si="36"/>
        <v>DANIEL TERRY</v>
      </c>
      <c r="D447" s="13" t="str">
        <f t="shared" si="37"/>
        <v>daniel terry</v>
      </c>
      <c r="E447" s="13" t="str">
        <f t="shared" si="38"/>
        <v>Daniel Terry</v>
      </c>
      <c r="F447" s="13" t="str">
        <f t="shared" si="39"/>
        <v>FL</v>
      </c>
      <c r="G447" s="13" t="str">
        <f t="shared" si="40"/>
        <v>46</v>
      </c>
      <c r="H447" s="13" t="str">
        <f t="shared" si="41"/>
        <v>2504</v>
      </c>
    </row>
    <row r="448" spans="1:8" x14ac:dyDescent="0.3">
      <c r="A448" s="13" t="s">
        <v>997</v>
      </c>
      <c r="B448" s="13" t="s">
        <v>998</v>
      </c>
      <c r="C448" s="13" t="str">
        <f t="shared" si="36"/>
        <v>STEVEN WHITAKER</v>
      </c>
      <c r="D448" s="13" t="str">
        <f t="shared" si="37"/>
        <v>steven whitaker</v>
      </c>
      <c r="E448" s="13" t="str">
        <f t="shared" si="38"/>
        <v>Steven Whitaker</v>
      </c>
      <c r="F448" s="13" t="str">
        <f t="shared" si="39"/>
        <v>FL</v>
      </c>
      <c r="G448" s="13" t="str">
        <f t="shared" si="40"/>
        <v>47</v>
      </c>
      <c r="H448" s="13" t="str">
        <f t="shared" si="41"/>
        <v>2504</v>
      </c>
    </row>
    <row r="449" spans="1:8" x14ac:dyDescent="0.3">
      <c r="A449" s="13" t="s">
        <v>999</v>
      </c>
      <c r="B449" s="13" t="s">
        <v>1000</v>
      </c>
      <c r="C449" s="13" t="str">
        <f t="shared" si="36"/>
        <v>DENISE NEAL</v>
      </c>
      <c r="D449" s="13" t="str">
        <f t="shared" si="37"/>
        <v>denise neal</v>
      </c>
      <c r="E449" s="13" t="str">
        <f t="shared" si="38"/>
        <v>Denise Neal</v>
      </c>
      <c r="F449" s="13" t="str">
        <f t="shared" si="39"/>
        <v>FL</v>
      </c>
      <c r="G449" s="13" t="str">
        <f t="shared" si="40"/>
        <v>48</v>
      </c>
      <c r="H449" s="13" t="str">
        <f t="shared" si="41"/>
        <v>2504</v>
      </c>
    </row>
    <row r="450" spans="1:8" x14ac:dyDescent="0.3">
      <c r="A450" s="13" t="s">
        <v>1001</v>
      </c>
      <c r="B450" s="13" t="s">
        <v>1002</v>
      </c>
      <c r="C450" s="13" t="str">
        <f t="shared" si="36"/>
        <v>AMANDA JACOBS</v>
      </c>
      <c r="D450" s="13" t="str">
        <f t="shared" si="37"/>
        <v>amanda jacobs</v>
      </c>
      <c r="E450" s="13" t="str">
        <f t="shared" si="38"/>
        <v>Amanda Jacobs</v>
      </c>
      <c r="F450" s="13" t="str">
        <f t="shared" si="39"/>
        <v>FL</v>
      </c>
      <c r="G450" s="13" t="str">
        <f t="shared" si="40"/>
        <v>49</v>
      </c>
      <c r="H450" s="13" t="str">
        <f t="shared" si="41"/>
        <v>2504</v>
      </c>
    </row>
    <row r="451" spans="1:8" x14ac:dyDescent="0.3">
      <c r="A451" s="13" t="s">
        <v>1003</v>
      </c>
      <c r="B451" s="13" t="s">
        <v>1004</v>
      </c>
      <c r="C451" s="13" t="str">
        <f t="shared" ref="C451:C514" si="42">UPPER(B451)</f>
        <v>KAREN MERCER</v>
      </c>
      <c r="D451" s="13" t="str">
        <f t="shared" ref="D451:D514" si="43">LOWER(B451)</f>
        <v>karen mercer</v>
      </c>
      <c r="E451" s="13" t="str">
        <f t="shared" ref="E451:E514" si="44">PROPER(C451)</f>
        <v>Karen Mercer</v>
      </c>
      <c r="F451" s="13" t="str">
        <f t="shared" ref="F451:F514" si="45">LEFT(A451,2)</f>
        <v>FL</v>
      </c>
      <c r="G451" s="13" t="str">
        <f t="shared" ref="G451:G514" si="46">RIGHT(A451,2)</f>
        <v>50</v>
      </c>
      <c r="H451" s="13" t="str">
        <f t="shared" ref="H451:H514" si="47">MID(A451,3,4)</f>
        <v>2504</v>
      </c>
    </row>
    <row r="452" spans="1:8" x14ac:dyDescent="0.3">
      <c r="A452" s="13" t="s">
        <v>1005</v>
      </c>
      <c r="B452" s="13" t="s">
        <v>1006</v>
      </c>
      <c r="C452" s="13" t="str">
        <f t="shared" si="42"/>
        <v>LINDSAY HUDSON</v>
      </c>
      <c r="D452" s="13" t="str">
        <f t="shared" si="43"/>
        <v>lindsay hudson</v>
      </c>
      <c r="E452" s="13" t="str">
        <f t="shared" si="44"/>
        <v>Lindsay Hudson</v>
      </c>
      <c r="F452" s="13" t="str">
        <f t="shared" si="45"/>
        <v>FL</v>
      </c>
      <c r="G452" s="13" t="str">
        <f t="shared" si="46"/>
        <v>51</v>
      </c>
      <c r="H452" s="13" t="str">
        <f t="shared" si="47"/>
        <v>2504</v>
      </c>
    </row>
    <row r="453" spans="1:8" x14ac:dyDescent="0.3">
      <c r="A453" s="13" t="s">
        <v>1007</v>
      </c>
      <c r="B453" s="13" t="s">
        <v>1008</v>
      </c>
      <c r="C453" s="13" t="str">
        <f t="shared" si="42"/>
        <v>STEPHANIE ARMSTRONG</v>
      </c>
      <c r="D453" s="13" t="str">
        <f t="shared" si="43"/>
        <v>stephanie armstrong</v>
      </c>
      <c r="E453" s="13" t="str">
        <f t="shared" si="44"/>
        <v>Stephanie Armstrong</v>
      </c>
      <c r="F453" s="13" t="str">
        <f t="shared" si="45"/>
        <v>FL</v>
      </c>
      <c r="G453" s="13" t="str">
        <f t="shared" si="46"/>
        <v>52</v>
      </c>
      <c r="H453" s="13" t="str">
        <f t="shared" si="47"/>
        <v>2504</v>
      </c>
    </row>
    <row r="454" spans="1:8" x14ac:dyDescent="0.3">
      <c r="A454" s="13" t="s">
        <v>1009</v>
      </c>
      <c r="B454" s="13" t="s">
        <v>1010</v>
      </c>
      <c r="C454" s="13" t="str">
        <f t="shared" si="42"/>
        <v>DR. JESSICA CAMPBELL</v>
      </c>
      <c r="D454" s="13" t="str">
        <f t="shared" si="43"/>
        <v>dr. jessica campbell</v>
      </c>
      <c r="E454" s="13" t="str">
        <f t="shared" si="44"/>
        <v>Dr. Jessica Campbell</v>
      </c>
      <c r="F454" s="13" t="str">
        <f t="shared" si="45"/>
        <v>FL</v>
      </c>
      <c r="G454" s="13" t="str">
        <f t="shared" si="46"/>
        <v>53</v>
      </c>
      <c r="H454" s="13" t="str">
        <f t="shared" si="47"/>
        <v>2504</v>
      </c>
    </row>
    <row r="455" spans="1:8" x14ac:dyDescent="0.3">
      <c r="A455" s="13" t="s">
        <v>1011</v>
      </c>
      <c r="B455" s="13" t="s">
        <v>1012</v>
      </c>
      <c r="C455" s="13" t="str">
        <f t="shared" si="42"/>
        <v>CURTIS MAXWELL</v>
      </c>
      <c r="D455" s="13" t="str">
        <f t="shared" si="43"/>
        <v>curtis maxwell</v>
      </c>
      <c r="E455" s="13" t="str">
        <f t="shared" si="44"/>
        <v>Curtis Maxwell</v>
      </c>
      <c r="F455" s="13" t="str">
        <f t="shared" si="45"/>
        <v>FL</v>
      </c>
      <c r="G455" s="13" t="str">
        <f t="shared" si="46"/>
        <v>54</v>
      </c>
      <c r="H455" s="13" t="str">
        <f t="shared" si="47"/>
        <v>2504</v>
      </c>
    </row>
    <row r="456" spans="1:8" x14ac:dyDescent="0.3">
      <c r="A456" s="13" t="s">
        <v>1013</v>
      </c>
      <c r="B456" s="13" t="s">
        <v>1014</v>
      </c>
      <c r="C456" s="13" t="str">
        <f t="shared" si="42"/>
        <v>ADAM KELLY PHD</v>
      </c>
      <c r="D456" s="13" t="str">
        <f t="shared" si="43"/>
        <v>adam kelly phd</v>
      </c>
      <c r="E456" s="13" t="str">
        <f t="shared" si="44"/>
        <v>Adam Kelly Phd</v>
      </c>
      <c r="F456" s="13" t="str">
        <f t="shared" si="45"/>
        <v>FL</v>
      </c>
      <c r="G456" s="13" t="str">
        <f t="shared" si="46"/>
        <v>55</v>
      </c>
      <c r="H456" s="13" t="str">
        <f t="shared" si="47"/>
        <v>2504</v>
      </c>
    </row>
    <row r="457" spans="1:8" x14ac:dyDescent="0.3">
      <c r="A457" s="13" t="s">
        <v>1015</v>
      </c>
      <c r="B457" s="13" t="s">
        <v>1016</v>
      </c>
      <c r="C457" s="13" t="str">
        <f t="shared" si="42"/>
        <v>JULIE BECKER</v>
      </c>
      <c r="D457" s="13" t="str">
        <f t="shared" si="43"/>
        <v>julie becker</v>
      </c>
      <c r="E457" s="13" t="str">
        <f t="shared" si="44"/>
        <v>Julie Becker</v>
      </c>
      <c r="F457" s="13" t="str">
        <f t="shared" si="45"/>
        <v>FL</v>
      </c>
      <c r="G457" s="13" t="str">
        <f t="shared" si="46"/>
        <v>56</v>
      </c>
      <c r="H457" s="13" t="str">
        <f t="shared" si="47"/>
        <v>2504</v>
      </c>
    </row>
    <row r="458" spans="1:8" x14ac:dyDescent="0.3">
      <c r="A458" s="13" t="s">
        <v>1017</v>
      </c>
      <c r="B458" s="13" t="s">
        <v>1018</v>
      </c>
      <c r="C458" s="13" t="str">
        <f t="shared" si="42"/>
        <v>JAMES MOORE</v>
      </c>
      <c r="D458" s="13" t="str">
        <f t="shared" si="43"/>
        <v>james moore</v>
      </c>
      <c r="E458" s="13" t="str">
        <f t="shared" si="44"/>
        <v>James Moore</v>
      </c>
      <c r="F458" s="13" t="str">
        <f t="shared" si="45"/>
        <v>FL</v>
      </c>
      <c r="G458" s="13" t="str">
        <f t="shared" si="46"/>
        <v>57</v>
      </c>
      <c r="H458" s="13" t="str">
        <f t="shared" si="47"/>
        <v>2504</v>
      </c>
    </row>
    <row r="459" spans="1:8" x14ac:dyDescent="0.3">
      <c r="A459" s="13" t="s">
        <v>1019</v>
      </c>
      <c r="B459" s="13" t="s">
        <v>1020</v>
      </c>
      <c r="C459" s="13" t="str">
        <f t="shared" si="42"/>
        <v>DANIELLE BARRERA</v>
      </c>
      <c r="D459" s="13" t="str">
        <f t="shared" si="43"/>
        <v>danielle barrera</v>
      </c>
      <c r="E459" s="13" t="str">
        <f t="shared" si="44"/>
        <v>Danielle Barrera</v>
      </c>
      <c r="F459" s="13" t="str">
        <f t="shared" si="45"/>
        <v>FL</v>
      </c>
      <c r="G459" s="13" t="str">
        <f t="shared" si="46"/>
        <v>58</v>
      </c>
      <c r="H459" s="13" t="str">
        <f t="shared" si="47"/>
        <v>2504</v>
      </c>
    </row>
    <row r="460" spans="1:8" x14ac:dyDescent="0.3">
      <c r="A460" s="13" t="s">
        <v>1021</v>
      </c>
      <c r="B460" s="13" t="s">
        <v>1022</v>
      </c>
      <c r="C460" s="13" t="str">
        <f t="shared" si="42"/>
        <v>DAVID SANCHEZ</v>
      </c>
      <c r="D460" s="13" t="str">
        <f t="shared" si="43"/>
        <v>david sanchez</v>
      </c>
      <c r="E460" s="13" t="str">
        <f t="shared" si="44"/>
        <v>David Sanchez</v>
      </c>
      <c r="F460" s="13" t="str">
        <f t="shared" si="45"/>
        <v>FL</v>
      </c>
      <c r="G460" s="13" t="str">
        <f t="shared" si="46"/>
        <v>59</v>
      </c>
      <c r="H460" s="13" t="str">
        <f t="shared" si="47"/>
        <v>2504</v>
      </c>
    </row>
    <row r="461" spans="1:8" x14ac:dyDescent="0.3">
      <c r="A461" s="13" t="s">
        <v>1023</v>
      </c>
      <c r="B461" s="13" t="s">
        <v>1024</v>
      </c>
      <c r="C461" s="13" t="str">
        <f t="shared" si="42"/>
        <v>TIFFANY BOWMAN</v>
      </c>
      <c r="D461" s="13" t="str">
        <f t="shared" si="43"/>
        <v>tiffany bowman</v>
      </c>
      <c r="E461" s="13" t="str">
        <f t="shared" si="44"/>
        <v>Tiffany Bowman</v>
      </c>
      <c r="F461" s="13" t="str">
        <f t="shared" si="45"/>
        <v>FL</v>
      </c>
      <c r="G461" s="13" t="str">
        <f t="shared" si="46"/>
        <v>60</v>
      </c>
      <c r="H461" s="13" t="str">
        <f t="shared" si="47"/>
        <v>2504</v>
      </c>
    </row>
    <row r="462" spans="1:8" x14ac:dyDescent="0.3">
      <c r="A462" s="13" t="s">
        <v>1025</v>
      </c>
      <c r="B462" s="13" t="s">
        <v>1026</v>
      </c>
      <c r="C462" s="13" t="str">
        <f t="shared" si="42"/>
        <v>JESUS QUINN</v>
      </c>
      <c r="D462" s="13" t="str">
        <f t="shared" si="43"/>
        <v>jesus quinn</v>
      </c>
      <c r="E462" s="13" t="str">
        <f t="shared" si="44"/>
        <v>Jesus Quinn</v>
      </c>
      <c r="F462" s="13" t="str">
        <f t="shared" si="45"/>
        <v>FL</v>
      </c>
      <c r="G462" s="13" t="str">
        <f t="shared" si="46"/>
        <v>61</v>
      </c>
      <c r="H462" s="13" t="str">
        <f t="shared" si="47"/>
        <v>2504</v>
      </c>
    </row>
    <row r="463" spans="1:8" x14ac:dyDescent="0.3">
      <c r="A463" s="13" t="s">
        <v>1027</v>
      </c>
      <c r="B463" s="13" t="s">
        <v>1028</v>
      </c>
      <c r="C463" s="13" t="str">
        <f t="shared" si="42"/>
        <v>MR. DANNY MORRIS DDS</v>
      </c>
      <c r="D463" s="13" t="str">
        <f t="shared" si="43"/>
        <v>mr. danny morris dds</v>
      </c>
      <c r="E463" s="13" t="str">
        <f t="shared" si="44"/>
        <v>Mr. Danny Morris Dds</v>
      </c>
      <c r="F463" s="13" t="str">
        <f t="shared" si="45"/>
        <v>FL</v>
      </c>
      <c r="G463" s="13" t="str">
        <f t="shared" si="46"/>
        <v>62</v>
      </c>
      <c r="H463" s="13" t="str">
        <f t="shared" si="47"/>
        <v>2504</v>
      </c>
    </row>
    <row r="464" spans="1:8" x14ac:dyDescent="0.3">
      <c r="A464" s="13" t="s">
        <v>1029</v>
      </c>
      <c r="B464" s="13" t="s">
        <v>1030</v>
      </c>
      <c r="C464" s="13" t="str">
        <f t="shared" si="42"/>
        <v>NICOLE YORK</v>
      </c>
      <c r="D464" s="13" t="str">
        <f t="shared" si="43"/>
        <v>nicole york</v>
      </c>
      <c r="E464" s="13" t="str">
        <f t="shared" si="44"/>
        <v>Nicole York</v>
      </c>
      <c r="F464" s="13" t="str">
        <f t="shared" si="45"/>
        <v>FL</v>
      </c>
      <c r="G464" s="13" t="str">
        <f t="shared" si="46"/>
        <v>63</v>
      </c>
      <c r="H464" s="13" t="str">
        <f t="shared" si="47"/>
        <v>2504</v>
      </c>
    </row>
    <row r="465" spans="1:8" x14ac:dyDescent="0.3">
      <c r="A465" s="13" t="s">
        <v>1031</v>
      </c>
      <c r="B465" s="13" t="s">
        <v>1032</v>
      </c>
      <c r="C465" s="13" t="str">
        <f t="shared" si="42"/>
        <v>JOHN MATHIS</v>
      </c>
      <c r="D465" s="13" t="str">
        <f t="shared" si="43"/>
        <v>john mathis</v>
      </c>
      <c r="E465" s="13" t="str">
        <f t="shared" si="44"/>
        <v>John Mathis</v>
      </c>
      <c r="F465" s="13" t="str">
        <f t="shared" si="45"/>
        <v>FL</v>
      </c>
      <c r="G465" s="13" t="str">
        <f t="shared" si="46"/>
        <v>64</v>
      </c>
      <c r="H465" s="13" t="str">
        <f t="shared" si="47"/>
        <v>2504</v>
      </c>
    </row>
    <row r="466" spans="1:8" x14ac:dyDescent="0.3">
      <c r="A466" s="13" t="s">
        <v>1033</v>
      </c>
      <c r="B466" s="13" t="s">
        <v>1034</v>
      </c>
      <c r="C466" s="13" t="str">
        <f t="shared" si="42"/>
        <v>JULIE BARNETT</v>
      </c>
      <c r="D466" s="13" t="str">
        <f t="shared" si="43"/>
        <v>julie barnett</v>
      </c>
      <c r="E466" s="13" t="str">
        <f t="shared" si="44"/>
        <v>Julie Barnett</v>
      </c>
      <c r="F466" s="13" t="str">
        <f t="shared" si="45"/>
        <v>FL</v>
      </c>
      <c r="G466" s="13" t="str">
        <f t="shared" si="46"/>
        <v>65</v>
      </c>
      <c r="H466" s="13" t="str">
        <f t="shared" si="47"/>
        <v>2504</v>
      </c>
    </row>
    <row r="467" spans="1:8" x14ac:dyDescent="0.3">
      <c r="A467" s="13" t="s">
        <v>1035</v>
      </c>
      <c r="B467" s="13" t="s">
        <v>1036</v>
      </c>
      <c r="C467" s="13" t="str">
        <f t="shared" si="42"/>
        <v>JASMINE HARRIS</v>
      </c>
      <c r="D467" s="13" t="str">
        <f t="shared" si="43"/>
        <v>jasmine harris</v>
      </c>
      <c r="E467" s="13" t="str">
        <f t="shared" si="44"/>
        <v>Jasmine Harris</v>
      </c>
      <c r="F467" s="13" t="str">
        <f t="shared" si="45"/>
        <v>FL</v>
      </c>
      <c r="G467" s="13" t="str">
        <f t="shared" si="46"/>
        <v>66</v>
      </c>
      <c r="H467" s="13" t="str">
        <f t="shared" si="47"/>
        <v>2504</v>
      </c>
    </row>
    <row r="468" spans="1:8" x14ac:dyDescent="0.3">
      <c r="A468" s="13" t="s">
        <v>1037</v>
      </c>
      <c r="B468" s="13" t="s">
        <v>1038</v>
      </c>
      <c r="C468" s="13" t="str">
        <f t="shared" si="42"/>
        <v>MARY HENRY</v>
      </c>
      <c r="D468" s="13" t="str">
        <f t="shared" si="43"/>
        <v>mary henry</v>
      </c>
      <c r="E468" s="13" t="str">
        <f t="shared" si="44"/>
        <v>Mary Henry</v>
      </c>
      <c r="F468" s="13" t="str">
        <f t="shared" si="45"/>
        <v>FL</v>
      </c>
      <c r="G468" s="13" t="str">
        <f t="shared" si="46"/>
        <v>67</v>
      </c>
      <c r="H468" s="13" t="str">
        <f t="shared" si="47"/>
        <v>2504</v>
      </c>
    </row>
    <row r="469" spans="1:8" x14ac:dyDescent="0.3">
      <c r="A469" s="13" t="s">
        <v>1039</v>
      </c>
      <c r="B469" s="13" t="s">
        <v>1040</v>
      </c>
      <c r="C469" s="13" t="str">
        <f t="shared" si="42"/>
        <v>JUDITH RIGGS</v>
      </c>
      <c r="D469" s="13" t="str">
        <f t="shared" si="43"/>
        <v>judith riggs</v>
      </c>
      <c r="E469" s="13" t="str">
        <f t="shared" si="44"/>
        <v>Judith Riggs</v>
      </c>
      <c r="F469" s="13" t="str">
        <f t="shared" si="45"/>
        <v>FL</v>
      </c>
      <c r="G469" s="13" t="str">
        <f t="shared" si="46"/>
        <v>68</v>
      </c>
      <c r="H469" s="13" t="str">
        <f t="shared" si="47"/>
        <v>2504</v>
      </c>
    </row>
    <row r="470" spans="1:8" x14ac:dyDescent="0.3">
      <c r="A470" s="13" t="s">
        <v>1041</v>
      </c>
      <c r="B470" s="13" t="s">
        <v>1042</v>
      </c>
      <c r="C470" s="13" t="str">
        <f t="shared" si="42"/>
        <v>JUSTIN RUIZ</v>
      </c>
      <c r="D470" s="13" t="str">
        <f t="shared" si="43"/>
        <v>justin ruiz</v>
      </c>
      <c r="E470" s="13" t="str">
        <f t="shared" si="44"/>
        <v>Justin Ruiz</v>
      </c>
      <c r="F470" s="13" t="str">
        <f t="shared" si="45"/>
        <v>FL</v>
      </c>
      <c r="G470" s="13" t="str">
        <f t="shared" si="46"/>
        <v>69</v>
      </c>
      <c r="H470" s="13" t="str">
        <f t="shared" si="47"/>
        <v>2504</v>
      </c>
    </row>
    <row r="471" spans="1:8" x14ac:dyDescent="0.3">
      <c r="A471" s="13" t="s">
        <v>1043</v>
      </c>
      <c r="B471" s="13" t="s">
        <v>1044</v>
      </c>
      <c r="C471" s="13" t="str">
        <f t="shared" si="42"/>
        <v>JENNIFER SULLIVAN</v>
      </c>
      <c r="D471" s="13" t="str">
        <f t="shared" si="43"/>
        <v>jennifer sullivan</v>
      </c>
      <c r="E471" s="13" t="str">
        <f t="shared" si="44"/>
        <v>Jennifer Sullivan</v>
      </c>
      <c r="F471" s="13" t="str">
        <f t="shared" si="45"/>
        <v>FL</v>
      </c>
      <c r="G471" s="13" t="str">
        <f t="shared" si="46"/>
        <v>70</v>
      </c>
      <c r="H471" s="13" t="str">
        <f t="shared" si="47"/>
        <v>2504</v>
      </c>
    </row>
    <row r="472" spans="1:8" x14ac:dyDescent="0.3">
      <c r="A472" s="13" t="s">
        <v>1045</v>
      </c>
      <c r="B472" s="13" t="s">
        <v>1046</v>
      </c>
      <c r="C472" s="13" t="str">
        <f t="shared" si="42"/>
        <v>JESSE MORAN</v>
      </c>
      <c r="D472" s="13" t="str">
        <f t="shared" si="43"/>
        <v>jesse moran</v>
      </c>
      <c r="E472" s="13" t="str">
        <f t="shared" si="44"/>
        <v>Jesse Moran</v>
      </c>
      <c r="F472" s="13" t="str">
        <f t="shared" si="45"/>
        <v>FL</v>
      </c>
      <c r="G472" s="13" t="str">
        <f t="shared" si="46"/>
        <v>71</v>
      </c>
      <c r="H472" s="13" t="str">
        <f t="shared" si="47"/>
        <v>2504</v>
      </c>
    </row>
    <row r="473" spans="1:8" x14ac:dyDescent="0.3">
      <c r="A473" s="13" t="s">
        <v>1047</v>
      </c>
      <c r="B473" s="13" t="s">
        <v>1048</v>
      </c>
      <c r="C473" s="13" t="str">
        <f t="shared" si="42"/>
        <v>MONICA SMITH</v>
      </c>
      <c r="D473" s="13" t="str">
        <f t="shared" si="43"/>
        <v>monica smith</v>
      </c>
      <c r="E473" s="13" t="str">
        <f t="shared" si="44"/>
        <v>Monica Smith</v>
      </c>
      <c r="F473" s="13" t="str">
        <f t="shared" si="45"/>
        <v>FL</v>
      </c>
      <c r="G473" s="13" t="str">
        <f t="shared" si="46"/>
        <v>72</v>
      </c>
      <c r="H473" s="13" t="str">
        <f t="shared" si="47"/>
        <v>2504</v>
      </c>
    </row>
    <row r="474" spans="1:8" x14ac:dyDescent="0.3">
      <c r="A474" s="13" t="s">
        <v>1049</v>
      </c>
      <c r="B474" s="13" t="s">
        <v>1050</v>
      </c>
      <c r="C474" s="13" t="str">
        <f t="shared" si="42"/>
        <v>IAN MAY</v>
      </c>
      <c r="D474" s="13" t="str">
        <f t="shared" si="43"/>
        <v>ian may</v>
      </c>
      <c r="E474" s="13" t="str">
        <f t="shared" si="44"/>
        <v>Ian May</v>
      </c>
      <c r="F474" s="13" t="str">
        <f t="shared" si="45"/>
        <v>FL</v>
      </c>
      <c r="G474" s="13" t="str">
        <f t="shared" si="46"/>
        <v>73</v>
      </c>
      <c r="H474" s="13" t="str">
        <f t="shared" si="47"/>
        <v>2504</v>
      </c>
    </row>
    <row r="475" spans="1:8" x14ac:dyDescent="0.3">
      <c r="A475" s="13" t="s">
        <v>1051</v>
      </c>
      <c r="B475" s="13" t="s">
        <v>1052</v>
      </c>
      <c r="C475" s="13" t="str">
        <f t="shared" si="42"/>
        <v>KAYLA MEYERS</v>
      </c>
      <c r="D475" s="13" t="str">
        <f t="shared" si="43"/>
        <v>kayla meyers</v>
      </c>
      <c r="E475" s="13" t="str">
        <f t="shared" si="44"/>
        <v>Kayla Meyers</v>
      </c>
      <c r="F475" s="13" t="str">
        <f t="shared" si="45"/>
        <v>FL</v>
      </c>
      <c r="G475" s="13" t="str">
        <f t="shared" si="46"/>
        <v>74</v>
      </c>
      <c r="H475" s="13" t="str">
        <f t="shared" si="47"/>
        <v>2504</v>
      </c>
    </row>
    <row r="476" spans="1:8" x14ac:dyDescent="0.3">
      <c r="A476" s="13" t="s">
        <v>1053</v>
      </c>
      <c r="B476" s="13" t="s">
        <v>1054</v>
      </c>
      <c r="C476" s="13" t="str">
        <f t="shared" si="42"/>
        <v>JOHN BRAY</v>
      </c>
      <c r="D476" s="13" t="str">
        <f t="shared" si="43"/>
        <v>john bray</v>
      </c>
      <c r="E476" s="13" t="str">
        <f t="shared" si="44"/>
        <v>John Bray</v>
      </c>
      <c r="F476" s="13" t="str">
        <f t="shared" si="45"/>
        <v>FL</v>
      </c>
      <c r="G476" s="13" t="str">
        <f t="shared" si="46"/>
        <v>75</v>
      </c>
      <c r="H476" s="13" t="str">
        <f t="shared" si="47"/>
        <v>2504</v>
      </c>
    </row>
    <row r="477" spans="1:8" x14ac:dyDescent="0.3">
      <c r="A477" s="13" t="s">
        <v>1055</v>
      </c>
      <c r="B477" s="13" t="s">
        <v>1056</v>
      </c>
      <c r="C477" s="13" t="str">
        <f t="shared" si="42"/>
        <v>JAMES SMITH</v>
      </c>
      <c r="D477" s="13" t="str">
        <f t="shared" si="43"/>
        <v>james smith</v>
      </c>
      <c r="E477" s="13" t="str">
        <f t="shared" si="44"/>
        <v>James Smith</v>
      </c>
      <c r="F477" s="13" t="str">
        <f t="shared" si="45"/>
        <v>FL</v>
      </c>
      <c r="G477" s="13" t="str">
        <f t="shared" si="46"/>
        <v>76</v>
      </c>
      <c r="H477" s="13" t="str">
        <f t="shared" si="47"/>
        <v>2504</v>
      </c>
    </row>
    <row r="478" spans="1:8" x14ac:dyDescent="0.3">
      <c r="A478" s="13" t="s">
        <v>1057</v>
      </c>
      <c r="B478" s="13" t="s">
        <v>1058</v>
      </c>
      <c r="C478" s="13" t="str">
        <f t="shared" si="42"/>
        <v>MARK DUNCAN</v>
      </c>
      <c r="D478" s="13" t="str">
        <f t="shared" si="43"/>
        <v>mark duncan</v>
      </c>
      <c r="E478" s="13" t="str">
        <f t="shared" si="44"/>
        <v>Mark Duncan</v>
      </c>
      <c r="F478" s="13" t="str">
        <f t="shared" si="45"/>
        <v>FL</v>
      </c>
      <c r="G478" s="13" t="str">
        <f t="shared" si="46"/>
        <v>77</v>
      </c>
      <c r="H478" s="13" t="str">
        <f t="shared" si="47"/>
        <v>2504</v>
      </c>
    </row>
    <row r="479" spans="1:8" x14ac:dyDescent="0.3">
      <c r="A479" s="13" t="s">
        <v>1059</v>
      </c>
      <c r="B479" s="13" t="s">
        <v>1060</v>
      </c>
      <c r="C479" s="13" t="str">
        <f t="shared" si="42"/>
        <v>MATTHEW GAY</v>
      </c>
      <c r="D479" s="13" t="str">
        <f t="shared" si="43"/>
        <v>matthew gay</v>
      </c>
      <c r="E479" s="13" t="str">
        <f t="shared" si="44"/>
        <v>Matthew Gay</v>
      </c>
      <c r="F479" s="13" t="str">
        <f t="shared" si="45"/>
        <v>FL</v>
      </c>
      <c r="G479" s="13" t="str">
        <f t="shared" si="46"/>
        <v>78</v>
      </c>
      <c r="H479" s="13" t="str">
        <f t="shared" si="47"/>
        <v>2504</v>
      </c>
    </row>
    <row r="480" spans="1:8" x14ac:dyDescent="0.3">
      <c r="A480" s="13" t="s">
        <v>1061</v>
      </c>
      <c r="B480" s="13" t="s">
        <v>1062</v>
      </c>
      <c r="C480" s="13" t="str">
        <f t="shared" si="42"/>
        <v>CHERYL FREEMAN</v>
      </c>
      <c r="D480" s="13" t="str">
        <f t="shared" si="43"/>
        <v>cheryl freeman</v>
      </c>
      <c r="E480" s="13" t="str">
        <f t="shared" si="44"/>
        <v>Cheryl Freeman</v>
      </c>
      <c r="F480" s="13" t="str">
        <f t="shared" si="45"/>
        <v>FL</v>
      </c>
      <c r="G480" s="13" t="str">
        <f t="shared" si="46"/>
        <v>79</v>
      </c>
      <c r="H480" s="13" t="str">
        <f t="shared" si="47"/>
        <v>2504</v>
      </c>
    </row>
    <row r="481" spans="1:8" x14ac:dyDescent="0.3">
      <c r="A481" s="13" t="s">
        <v>1063</v>
      </c>
      <c r="B481" s="13" t="s">
        <v>1064</v>
      </c>
      <c r="C481" s="13" t="str">
        <f t="shared" si="42"/>
        <v>PATRICK WELCH</v>
      </c>
      <c r="D481" s="13" t="str">
        <f t="shared" si="43"/>
        <v>patrick welch</v>
      </c>
      <c r="E481" s="13" t="str">
        <f t="shared" si="44"/>
        <v>Patrick Welch</v>
      </c>
      <c r="F481" s="13" t="str">
        <f t="shared" si="45"/>
        <v>FL</v>
      </c>
      <c r="G481" s="13" t="str">
        <f t="shared" si="46"/>
        <v>80</v>
      </c>
      <c r="H481" s="13" t="str">
        <f t="shared" si="47"/>
        <v>2504</v>
      </c>
    </row>
    <row r="482" spans="1:8" x14ac:dyDescent="0.3">
      <c r="A482" s="13" t="s">
        <v>1065</v>
      </c>
      <c r="B482" s="13" t="s">
        <v>1066</v>
      </c>
      <c r="C482" s="13" t="str">
        <f t="shared" si="42"/>
        <v>CRAIG LEVINE</v>
      </c>
      <c r="D482" s="13" t="str">
        <f t="shared" si="43"/>
        <v>craig levine</v>
      </c>
      <c r="E482" s="13" t="str">
        <f t="shared" si="44"/>
        <v>Craig Levine</v>
      </c>
      <c r="F482" s="13" t="str">
        <f t="shared" si="45"/>
        <v>FL</v>
      </c>
      <c r="G482" s="13" t="str">
        <f t="shared" si="46"/>
        <v>81</v>
      </c>
      <c r="H482" s="13" t="str">
        <f t="shared" si="47"/>
        <v>2504</v>
      </c>
    </row>
    <row r="483" spans="1:8" x14ac:dyDescent="0.3">
      <c r="A483" s="13" t="s">
        <v>1067</v>
      </c>
      <c r="B483" s="13" t="s">
        <v>1068</v>
      </c>
      <c r="C483" s="13" t="str">
        <f t="shared" si="42"/>
        <v>RICHARD HARVEY</v>
      </c>
      <c r="D483" s="13" t="str">
        <f t="shared" si="43"/>
        <v>richard harvey</v>
      </c>
      <c r="E483" s="13" t="str">
        <f t="shared" si="44"/>
        <v>Richard Harvey</v>
      </c>
      <c r="F483" s="13" t="str">
        <f t="shared" si="45"/>
        <v>FL</v>
      </c>
      <c r="G483" s="13" t="str">
        <f t="shared" si="46"/>
        <v>82</v>
      </c>
      <c r="H483" s="13" t="str">
        <f t="shared" si="47"/>
        <v>2504</v>
      </c>
    </row>
    <row r="484" spans="1:8" x14ac:dyDescent="0.3">
      <c r="A484" s="13" t="s">
        <v>1069</v>
      </c>
      <c r="B484" s="13" t="s">
        <v>1070</v>
      </c>
      <c r="C484" s="13" t="str">
        <f t="shared" si="42"/>
        <v>BONNIE SHERMAN</v>
      </c>
      <c r="D484" s="13" t="str">
        <f t="shared" si="43"/>
        <v>bonnie sherman</v>
      </c>
      <c r="E484" s="13" t="str">
        <f t="shared" si="44"/>
        <v>Bonnie Sherman</v>
      </c>
      <c r="F484" s="13" t="str">
        <f t="shared" si="45"/>
        <v>FL</v>
      </c>
      <c r="G484" s="13" t="str">
        <f t="shared" si="46"/>
        <v>83</v>
      </c>
      <c r="H484" s="13" t="str">
        <f t="shared" si="47"/>
        <v>2504</v>
      </c>
    </row>
    <row r="485" spans="1:8" x14ac:dyDescent="0.3">
      <c r="A485" s="13" t="s">
        <v>1071</v>
      </c>
      <c r="B485" s="13" t="s">
        <v>1072</v>
      </c>
      <c r="C485" s="13" t="str">
        <f t="shared" si="42"/>
        <v>KEITH TRUJILLO</v>
      </c>
      <c r="D485" s="13" t="str">
        <f t="shared" si="43"/>
        <v>keith trujillo</v>
      </c>
      <c r="E485" s="13" t="str">
        <f t="shared" si="44"/>
        <v>Keith Trujillo</v>
      </c>
      <c r="F485" s="13" t="str">
        <f t="shared" si="45"/>
        <v>FL</v>
      </c>
      <c r="G485" s="13" t="str">
        <f t="shared" si="46"/>
        <v>84</v>
      </c>
      <c r="H485" s="13" t="str">
        <f t="shared" si="47"/>
        <v>2504</v>
      </c>
    </row>
    <row r="486" spans="1:8" x14ac:dyDescent="0.3">
      <c r="A486" s="13" t="s">
        <v>1073</v>
      </c>
      <c r="B486" s="13" t="s">
        <v>1074</v>
      </c>
      <c r="C486" s="13" t="str">
        <f t="shared" si="42"/>
        <v>COREY COMBS</v>
      </c>
      <c r="D486" s="13" t="str">
        <f t="shared" si="43"/>
        <v>corey combs</v>
      </c>
      <c r="E486" s="13" t="str">
        <f t="shared" si="44"/>
        <v>Corey Combs</v>
      </c>
      <c r="F486" s="13" t="str">
        <f t="shared" si="45"/>
        <v>FL</v>
      </c>
      <c r="G486" s="13" t="str">
        <f t="shared" si="46"/>
        <v>85</v>
      </c>
      <c r="H486" s="13" t="str">
        <f t="shared" si="47"/>
        <v>2504</v>
      </c>
    </row>
    <row r="487" spans="1:8" x14ac:dyDescent="0.3">
      <c r="A487" s="13" t="s">
        <v>1075</v>
      </c>
      <c r="B487" s="13" t="s">
        <v>1076</v>
      </c>
      <c r="C487" s="13" t="str">
        <f t="shared" si="42"/>
        <v>ANTONIO KING</v>
      </c>
      <c r="D487" s="13" t="str">
        <f t="shared" si="43"/>
        <v>antonio king</v>
      </c>
      <c r="E487" s="13" t="str">
        <f t="shared" si="44"/>
        <v>Antonio King</v>
      </c>
      <c r="F487" s="13" t="str">
        <f t="shared" si="45"/>
        <v>FL</v>
      </c>
      <c r="G487" s="13" t="str">
        <f t="shared" si="46"/>
        <v>86</v>
      </c>
      <c r="H487" s="13" t="str">
        <f t="shared" si="47"/>
        <v>2504</v>
      </c>
    </row>
    <row r="488" spans="1:8" x14ac:dyDescent="0.3">
      <c r="A488" s="13" t="s">
        <v>1077</v>
      </c>
      <c r="B488" s="13" t="s">
        <v>697</v>
      </c>
      <c r="C488" s="13" t="str">
        <f t="shared" si="42"/>
        <v>AMY LEE</v>
      </c>
      <c r="D488" s="13" t="str">
        <f t="shared" si="43"/>
        <v>amy lee</v>
      </c>
      <c r="E488" s="13" t="str">
        <f t="shared" si="44"/>
        <v>Amy Lee</v>
      </c>
      <c r="F488" s="13" t="str">
        <f t="shared" si="45"/>
        <v>FL</v>
      </c>
      <c r="G488" s="13" t="str">
        <f t="shared" si="46"/>
        <v>87</v>
      </c>
      <c r="H488" s="13" t="str">
        <f t="shared" si="47"/>
        <v>2504</v>
      </c>
    </row>
    <row r="489" spans="1:8" x14ac:dyDescent="0.3">
      <c r="A489" s="13" t="s">
        <v>1078</v>
      </c>
      <c r="B489" s="13" t="s">
        <v>1079</v>
      </c>
      <c r="C489" s="13" t="str">
        <f t="shared" si="42"/>
        <v>JENNIFER ROGERS</v>
      </c>
      <c r="D489" s="13" t="str">
        <f t="shared" si="43"/>
        <v>jennifer rogers</v>
      </c>
      <c r="E489" s="13" t="str">
        <f t="shared" si="44"/>
        <v>Jennifer Rogers</v>
      </c>
      <c r="F489" s="13" t="str">
        <f t="shared" si="45"/>
        <v>FL</v>
      </c>
      <c r="G489" s="13" t="str">
        <f t="shared" si="46"/>
        <v>88</v>
      </c>
      <c r="H489" s="13" t="str">
        <f t="shared" si="47"/>
        <v>2504</v>
      </c>
    </row>
    <row r="490" spans="1:8" x14ac:dyDescent="0.3">
      <c r="A490" s="13" t="s">
        <v>1080</v>
      </c>
      <c r="B490" s="13" t="s">
        <v>1081</v>
      </c>
      <c r="C490" s="13" t="str">
        <f t="shared" si="42"/>
        <v>JEFFREY COOPER</v>
      </c>
      <c r="D490" s="13" t="str">
        <f t="shared" si="43"/>
        <v>jeffrey cooper</v>
      </c>
      <c r="E490" s="13" t="str">
        <f t="shared" si="44"/>
        <v>Jeffrey Cooper</v>
      </c>
      <c r="F490" s="13" t="str">
        <f t="shared" si="45"/>
        <v>FL</v>
      </c>
      <c r="G490" s="13" t="str">
        <f t="shared" si="46"/>
        <v>89</v>
      </c>
      <c r="H490" s="13" t="str">
        <f t="shared" si="47"/>
        <v>2504</v>
      </c>
    </row>
    <row r="491" spans="1:8" x14ac:dyDescent="0.3">
      <c r="A491" s="13" t="s">
        <v>1082</v>
      </c>
      <c r="B491" s="13" t="s">
        <v>1083</v>
      </c>
      <c r="C491" s="13" t="str">
        <f t="shared" si="42"/>
        <v>ALLISON WILLIAMS</v>
      </c>
      <c r="D491" s="13" t="str">
        <f t="shared" si="43"/>
        <v>allison williams</v>
      </c>
      <c r="E491" s="13" t="str">
        <f t="shared" si="44"/>
        <v>Allison Williams</v>
      </c>
      <c r="F491" s="13" t="str">
        <f t="shared" si="45"/>
        <v>FL</v>
      </c>
      <c r="G491" s="13" t="str">
        <f t="shared" si="46"/>
        <v>90</v>
      </c>
      <c r="H491" s="13" t="str">
        <f t="shared" si="47"/>
        <v>2504</v>
      </c>
    </row>
    <row r="492" spans="1:8" x14ac:dyDescent="0.3">
      <c r="A492" s="13" t="s">
        <v>1084</v>
      </c>
      <c r="B492" s="13" t="s">
        <v>1085</v>
      </c>
      <c r="C492" s="13" t="str">
        <f t="shared" si="42"/>
        <v>RAYMOND SHERMAN</v>
      </c>
      <c r="D492" s="13" t="str">
        <f t="shared" si="43"/>
        <v>raymond sherman</v>
      </c>
      <c r="E492" s="13" t="str">
        <f t="shared" si="44"/>
        <v>Raymond Sherman</v>
      </c>
      <c r="F492" s="13" t="str">
        <f t="shared" si="45"/>
        <v>FL</v>
      </c>
      <c r="G492" s="13" t="str">
        <f t="shared" si="46"/>
        <v>91</v>
      </c>
      <c r="H492" s="13" t="str">
        <f t="shared" si="47"/>
        <v>2504</v>
      </c>
    </row>
    <row r="493" spans="1:8" x14ac:dyDescent="0.3">
      <c r="A493" s="13" t="s">
        <v>1086</v>
      </c>
      <c r="B493" s="13" t="s">
        <v>1087</v>
      </c>
      <c r="C493" s="13" t="str">
        <f t="shared" si="42"/>
        <v>JENNIFER NELSON</v>
      </c>
      <c r="D493" s="13" t="str">
        <f t="shared" si="43"/>
        <v>jennifer nelson</v>
      </c>
      <c r="E493" s="13" t="str">
        <f t="shared" si="44"/>
        <v>Jennifer Nelson</v>
      </c>
      <c r="F493" s="13" t="str">
        <f t="shared" si="45"/>
        <v>FL</v>
      </c>
      <c r="G493" s="13" t="str">
        <f t="shared" si="46"/>
        <v>92</v>
      </c>
      <c r="H493" s="13" t="str">
        <f t="shared" si="47"/>
        <v>2504</v>
      </c>
    </row>
    <row r="494" spans="1:8" x14ac:dyDescent="0.3">
      <c r="A494" s="13" t="s">
        <v>1088</v>
      </c>
      <c r="B494" s="13" t="s">
        <v>1089</v>
      </c>
      <c r="C494" s="13" t="str">
        <f t="shared" si="42"/>
        <v>JENNIFER CARTER</v>
      </c>
      <c r="D494" s="13" t="str">
        <f t="shared" si="43"/>
        <v>jennifer carter</v>
      </c>
      <c r="E494" s="13" t="str">
        <f t="shared" si="44"/>
        <v>Jennifer Carter</v>
      </c>
      <c r="F494" s="13" t="str">
        <f t="shared" si="45"/>
        <v>FL</v>
      </c>
      <c r="G494" s="13" t="str">
        <f t="shared" si="46"/>
        <v>93</v>
      </c>
      <c r="H494" s="13" t="str">
        <f t="shared" si="47"/>
        <v>2504</v>
      </c>
    </row>
    <row r="495" spans="1:8" x14ac:dyDescent="0.3">
      <c r="A495" s="13" t="s">
        <v>1090</v>
      </c>
      <c r="B495" s="13" t="s">
        <v>1091</v>
      </c>
      <c r="C495" s="13" t="str">
        <f t="shared" si="42"/>
        <v>TODD WILLIAMS</v>
      </c>
      <c r="D495" s="13" t="str">
        <f t="shared" si="43"/>
        <v>todd williams</v>
      </c>
      <c r="E495" s="13" t="str">
        <f t="shared" si="44"/>
        <v>Todd Williams</v>
      </c>
      <c r="F495" s="13" t="str">
        <f t="shared" si="45"/>
        <v>FL</v>
      </c>
      <c r="G495" s="13" t="str">
        <f t="shared" si="46"/>
        <v>94</v>
      </c>
      <c r="H495" s="13" t="str">
        <f t="shared" si="47"/>
        <v>2504</v>
      </c>
    </row>
    <row r="496" spans="1:8" x14ac:dyDescent="0.3">
      <c r="A496" s="13" t="s">
        <v>1092</v>
      </c>
      <c r="B496" s="13" t="s">
        <v>1093</v>
      </c>
      <c r="C496" s="13" t="str">
        <f t="shared" si="42"/>
        <v>EMILY HORTON</v>
      </c>
      <c r="D496" s="13" t="str">
        <f t="shared" si="43"/>
        <v>emily horton</v>
      </c>
      <c r="E496" s="13" t="str">
        <f t="shared" si="44"/>
        <v>Emily Horton</v>
      </c>
      <c r="F496" s="13" t="str">
        <f t="shared" si="45"/>
        <v>FL</v>
      </c>
      <c r="G496" s="13" t="str">
        <f t="shared" si="46"/>
        <v>95</v>
      </c>
      <c r="H496" s="13" t="str">
        <f t="shared" si="47"/>
        <v>2504</v>
      </c>
    </row>
    <row r="497" spans="1:8" x14ac:dyDescent="0.3">
      <c r="A497" s="13" t="s">
        <v>1094</v>
      </c>
      <c r="B497" s="13" t="s">
        <v>1095</v>
      </c>
      <c r="C497" s="13" t="str">
        <f t="shared" si="42"/>
        <v>LANCE LESTER</v>
      </c>
      <c r="D497" s="13" t="str">
        <f t="shared" si="43"/>
        <v>lance lester</v>
      </c>
      <c r="E497" s="13" t="str">
        <f t="shared" si="44"/>
        <v>Lance Lester</v>
      </c>
      <c r="F497" s="13" t="str">
        <f t="shared" si="45"/>
        <v>FL</v>
      </c>
      <c r="G497" s="13" t="str">
        <f t="shared" si="46"/>
        <v>96</v>
      </c>
      <c r="H497" s="13" t="str">
        <f t="shared" si="47"/>
        <v>2504</v>
      </c>
    </row>
    <row r="498" spans="1:8" x14ac:dyDescent="0.3">
      <c r="A498" s="13" t="s">
        <v>1096</v>
      </c>
      <c r="B498" s="13" t="s">
        <v>1097</v>
      </c>
      <c r="C498" s="13" t="str">
        <f t="shared" si="42"/>
        <v>KEVIN FLORES</v>
      </c>
      <c r="D498" s="13" t="str">
        <f t="shared" si="43"/>
        <v>kevin flores</v>
      </c>
      <c r="E498" s="13" t="str">
        <f t="shared" si="44"/>
        <v>Kevin Flores</v>
      </c>
      <c r="F498" s="13" t="str">
        <f t="shared" si="45"/>
        <v>FL</v>
      </c>
      <c r="G498" s="13" t="str">
        <f t="shared" si="46"/>
        <v>97</v>
      </c>
      <c r="H498" s="13" t="str">
        <f t="shared" si="47"/>
        <v>2504</v>
      </c>
    </row>
    <row r="499" spans="1:8" x14ac:dyDescent="0.3">
      <c r="A499" s="13" t="s">
        <v>1098</v>
      </c>
      <c r="B499" s="13" t="s">
        <v>1099</v>
      </c>
      <c r="C499" s="13" t="str">
        <f t="shared" si="42"/>
        <v>AARON STEWART PHD</v>
      </c>
      <c r="D499" s="13" t="str">
        <f t="shared" si="43"/>
        <v>aaron stewart phd</v>
      </c>
      <c r="E499" s="13" t="str">
        <f t="shared" si="44"/>
        <v>Aaron Stewart Phd</v>
      </c>
      <c r="F499" s="13" t="str">
        <f t="shared" si="45"/>
        <v>FL</v>
      </c>
      <c r="G499" s="13" t="str">
        <f t="shared" si="46"/>
        <v>98</v>
      </c>
      <c r="H499" s="13" t="str">
        <f t="shared" si="47"/>
        <v>2504</v>
      </c>
    </row>
    <row r="500" spans="1:8" x14ac:dyDescent="0.3">
      <c r="A500" s="13" t="s">
        <v>1100</v>
      </c>
      <c r="B500" s="13" t="s">
        <v>1101</v>
      </c>
      <c r="C500" s="13" t="str">
        <f t="shared" si="42"/>
        <v>ROBIN MOORE</v>
      </c>
      <c r="D500" s="13" t="str">
        <f t="shared" si="43"/>
        <v>robin moore</v>
      </c>
      <c r="E500" s="13" t="str">
        <f t="shared" si="44"/>
        <v>Robin Moore</v>
      </c>
      <c r="F500" s="13" t="str">
        <f t="shared" si="45"/>
        <v>FL</v>
      </c>
      <c r="G500" s="13" t="str">
        <f t="shared" si="46"/>
        <v>99</v>
      </c>
      <c r="H500" s="13" t="str">
        <f t="shared" si="47"/>
        <v>2504</v>
      </c>
    </row>
    <row r="501" spans="1:8" x14ac:dyDescent="0.3">
      <c r="A501" s="13" t="s">
        <v>1102</v>
      </c>
      <c r="B501" s="13" t="s">
        <v>1103</v>
      </c>
      <c r="C501" s="13" t="str">
        <f t="shared" si="42"/>
        <v>SUZANNE INGRAM</v>
      </c>
      <c r="D501" s="13" t="str">
        <f t="shared" si="43"/>
        <v>suzanne ingram</v>
      </c>
      <c r="E501" s="13" t="str">
        <f t="shared" si="44"/>
        <v>Suzanne Ingram</v>
      </c>
      <c r="F501" s="13" t="str">
        <f t="shared" si="45"/>
        <v>FL</v>
      </c>
      <c r="G501" s="13" t="str">
        <f t="shared" si="46"/>
        <v>00</v>
      </c>
      <c r="H501" s="13" t="str">
        <f t="shared" si="47"/>
        <v>2505</v>
      </c>
    </row>
    <row r="502" spans="1:8" x14ac:dyDescent="0.3">
      <c r="A502" s="13" t="s">
        <v>1104</v>
      </c>
      <c r="B502" s="13" t="s">
        <v>1105</v>
      </c>
      <c r="C502" s="13" t="str">
        <f t="shared" si="42"/>
        <v>JACOB MCLAUGHLIN</v>
      </c>
      <c r="D502" s="13" t="str">
        <f t="shared" si="43"/>
        <v>jacob mclaughlin</v>
      </c>
      <c r="E502" s="13" t="str">
        <f t="shared" si="44"/>
        <v>Jacob Mclaughlin</v>
      </c>
      <c r="F502" s="13" t="str">
        <f t="shared" si="45"/>
        <v>FL</v>
      </c>
      <c r="G502" s="13" t="str">
        <f t="shared" si="46"/>
        <v>01</v>
      </c>
      <c r="H502" s="13" t="str">
        <f t="shared" si="47"/>
        <v>2505</v>
      </c>
    </row>
    <row r="503" spans="1:8" x14ac:dyDescent="0.3">
      <c r="A503" s="13" t="s">
        <v>1106</v>
      </c>
      <c r="B503" s="13" t="s">
        <v>1107</v>
      </c>
      <c r="C503" s="13" t="str">
        <f t="shared" si="42"/>
        <v>MICHAEL NUNEZ</v>
      </c>
      <c r="D503" s="13" t="str">
        <f t="shared" si="43"/>
        <v>michael nunez</v>
      </c>
      <c r="E503" s="13" t="str">
        <f t="shared" si="44"/>
        <v>Michael Nunez</v>
      </c>
      <c r="F503" s="13" t="str">
        <f t="shared" si="45"/>
        <v>FL</v>
      </c>
      <c r="G503" s="13" t="str">
        <f t="shared" si="46"/>
        <v>02</v>
      </c>
      <c r="H503" s="13" t="str">
        <f t="shared" si="47"/>
        <v>2505</v>
      </c>
    </row>
    <row r="504" spans="1:8" x14ac:dyDescent="0.3">
      <c r="A504" s="13" t="s">
        <v>1108</v>
      </c>
      <c r="B504" s="13" t="s">
        <v>1109</v>
      </c>
      <c r="C504" s="13" t="str">
        <f t="shared" si="42"/>
        <v>ISABEL BROWN</v>
      </c>
      <c r="D504" s="13" t="str">
        <f t="shared" si="43"/>
        <v>isabel brown</v>
      </c>
      <c r="E504" s="13" t="str">
        <f t="shared" si="44"/>
        <v>Isabel Brown</v>
      </c>
      <c r="F504" s="13" t="str">
        <f t="shared" si="45"/>
        <v>FL</v>
      </c>
      <c r="G504" s="13" t="str">
        <f t="shared" si="46"/>
        <v>03</v>
      </c>
      <c r="H504" s="13" t="str">
        <f t="shared" si="47"/>
        <v>2505</v>
      </c>
    </row>
    <row r="505" spans="1:8" x14ac:dyDescent="0.3">
      <c r="A505" s="13" t="s">
        <v>1110</v>
      </c>
      <c r="B505" s="13" t="s">
        <v>1111</v>
      </c>
      <c r="C505" s="13" t="str">
        <f t="shared" si="42"/>
        <v>MICHAEL STEIN</v>
      </c>
      <c r="D505" s="13" t="str">
        <f t="shared" si="43"/>
        <v>michael stein</v>
      </c>
      <c r="E505" s="13" t="str">
        <f t="shared" si="44"/>
        <v>Michael Stein</v>
      </c>
      <c r="F505" s="13" t="str">
        <f t="shared" si="45"/>
        <v>FL</v>
      </c>
      <c r="G505" s="13" t="str">
        <f t="shared" si="46"/>
        <v>04</v>
      </c>
      <c r="H505" s="13" t="str">
        <f t="shared" si="47"/>
        <v>2505</v>
      </c>
    </row>
    <row r="506" spans="1:8" x14ac:dyDescent="0.3">
      <c r="A506" s="13" t="s">
        <v>1112</v>
      </c>
      <c r="B506" s="13" t="s">
        <v>1113</v>
      </c>
      <c r="C506" s="13" t="str">
        <f t="shared" si="42"/>
        <v>ROBERT STONE</v>
      </c>
      <c r="D506" s="13" t="str">
        <f t="shared" si="43"/>
        <v>robert stone</v>
      </c>
      <c r="E506" s="13" t="str">
        <f t="shared" si="44"/>
        <v>Robert Stone</v>
      </c>
      <c r="F506" s="13" t="str">
        <f t="shared" si="45"/>
        <v>FL</v>
      </c>
      <c r="G506" s="13" t="str">
        <f t="shared" si="46"/>
        <v>05</v>
      </c>
      <c r="H506" s="13" t="str">
        <f t="shared" si="47"/>
        <v>2505</v>
      </c>
    </row>
    <row r="507" spans="1:8" x14ac:dyDescent="0.3">
      <c r="A507" s="13" t="s">
        <v>1114</v>
      </c>
      <c r="B507" s="13" t="s">
        <v>1115</v>
      </c>
      <c r="C507" s="13" t="str">
        <f t="shared" si="42"/>
        <v>DILLON HENRY</v>
      </c>
      <c r="D507" s="13" t="str">
        <f t="shared" si="43"/>
        <v>dillon henry</v>
      </c>
      <c r="E507" s="13" t="str">
        <f t="shared" si="44"/>
        <v>Dillon Henry</v>
      </c>
      <c r="F507" s="13" t="str">
        <f t="shared" si="45"/>
        <v>FL</v>
      </c>
      <c r="G507" s="13" t="str">
        <f t="shared" si="46"/>
        <v>06</v>
      </c>
      <c r="H507" s="13" t="str">
        <f t="shared" si="47"/>
        <v>2505</v>
      </c>
    </row>
    <row r="508" spans="1:8" x14ac:dyDescent="0.3">
      <c r="A508" s="13" t="s">
        <v>1116</v>
      </c>
      <c r="B508" s="13" t="s">
        <v>1117</v>
      </c>
      <c r="C508" s="13" t="str">
        <f t="shared" si="42"/>
        <v>JAMES TODD</v>
      </c>
      <c r="D508" s="13" t="str">
        <f t="shared" si="43"/>
        <v>james todd</v>
      </c>
      <c r="E508" s="13" t="str">
        <f t="shared" si="44"/>
        <v>James Todd</v>
      </c>
      <c r="F508" s="13" t="str">
        <f t="shared" si="45"/>
        <v>FL</v>
      </c>
      <c r="G508" s="13" t="str">
        <f t="shared" si="46"/>
        <v>07</v>
      </c>
      <c r="H508" s="13" t="str">
        <f t="shared" si="47"/>
        <v>2505</v>
      </c>
    </row>
    <row r="509" spans="1:8" x14ac:dyDescent="0.3">
      <c r="A509" s="13" t="s">
        <v>1118</v>
      </c>
      <c r="B509" s="13" t="s">
        <v>1119</v>
      </c>
      <c r="C509" s="13" t="str">
        <f t="shared" si="42"/>
        <v>CLIFFORD MOORE MD</v>
      </c>
      <c r="D509" s="13" t="str">
        <f t="shared" si="43"/>
        <v>clifford moore md</v>
      </c>
      <c r="E509" s="13" t="str">
        <f t="shared" si="44"/>
        <v>Clifford Moore Md</v>
      </c>
      <c r="F509" s="13" t="str">
        <f t="shared" si="45"/>
        <v>FL</v>
      </c>
      <c r="G509" s="13" t="str">
        <f t="shared" si="46"/>
        <v>08</v>
      </c>
      <c r="H509" s="13" t="str">
        <f t="shared" si="47"/>
        <v>2505</v>
      </c>
    </row>
    <row r="510" spans="1:8" x14ac:dyDescent="0.3">
      <c r="A510" s="13" t="s">
        <v>1120</v>
      </c>
      <c r="B510" s="13" t="s">
        <v>1121</v>
      </c>
      <c r="C510" s="13" t="str">
        <f t="shared" si="42"/>
        <v>JOHN RIOS</v>
      </c>
      <c r="D510" s="13" t="str">
        <f t="shared" si="43"/>
        <v>john rios</v>
      </c>
      <c r="E510" s="13" t="str">
        <f t="shared" si="44"/>
        <v>John Rios</v>
      </c>
      <c r="F510" s="13" t="str">
        <f t="shared" si="45"/>
        <v>FL</v>
      </c>
      <c r="G510" s="13" t="str">
        <f t="shared" si="46"/>
        <v>09</v>
      </c>
      <c r="H510" s="13" t="str">
        <f t="shared" si="47"/>
        <v>2505</v>
      </c>
    </row>
    <row r="511" spans="1:8" x14ac:dyDescent="0.3">
      <c r="A511" s="13" t="s">
        <v>1122</v>
      </c>
      <c r="B511" s="13" t="s">
        <v>1123</v>
      </c>
      <c r="C511" s="13" t="str">
        <f t="shared" si="42"/>
        <v>ANTHONY GAINES</v>
      </c>
      <c r="D511" s="13" t="str">
        <f t="shared" si="43"/>
        <v>anthony gaines</v>
      </c>
      <c r="E511" s="13" t="str">
        <f t="shared" si="44"/>
        <v>Anthony Gaines</v>
      </c>
      <c r="F511" s="13" t="str">
        <f t="shared" si="45"/>
        <v>FL</v>
      </c>
      <c r="G511" s="13" t="str">
        <f t="shared" si="46"/>
        <v>10</v>
      </c>
      <c r="H511" s="13" t="str">
        <f t="shared" si="47"/>
        <v>2505</v>
      </c>
    </row>
    <row r="512" spans="1:8" x14ac:dyDescent="0.3">
      <c r="A512" s="13" t="s">
        <v>1124</v>
      </c>
      <c r="B512" s="13" t="s">
        <v>1125</v>
      </c>
      <c r="C512" s="13" t="str">
        <f t="shared" si="42"/>
        <v>KRISTI BROWN DVM</v>
      </c>
      <c r="D512" s="13" t="str">
        <f t="shared" si="43"/>
        <v>kristi brown dvm</v>
      </c>
      <c r="E512" s="13" t="str">
        <f t="shared" si="44"/>
        <v>Kristi Brown Dvm</v>
      </c>
      <c r="F512" s="13" t="str">
        <f t="shared" si="45"/>
        <v>FL</v>
      </c>
      <c r="G512" s="13" t="str">
        <f t="shared" si="46"/>
        <v>11</v>
      </c>
      <c r="H512" s="13" t="str">
        <f t="shared" si="47"/>
        <v>2505</v>
      </c>
    </row>
    <row r="513" spans="1:8" x14ac:dyDescent="0.3">
      <c r="A513" s="13" t="s">
        <v>1126</v>
      </c>
      <c r="B513" s="13" t="s">
        <v>1127</v>
      </c>
      <c r="C513" s="13" t="str">
        <f t="shared" si="42"/>
        <v>ASHLEY ODONNELL</v>
      </c>
      <c r="D513" s="13" t="str">
        <f t="shared" si="43"/>
        <v>ashley odonnell</v>
      </c>
      <c r="E513" s="13" t="str">
        <f t="shared" si="44"/>
        <v>Ashley Odonnell</v>
      </c>
      <c r="F513" s="13" t="str">
        <f t="shared" si="45"/>
        <v>FL</v>
      </c>
      <c r="G513" s="13" t="str">
        <f t="shared" si="46"/>
        <v>12</v>
      </c>
      <c r="H513" s="13" t="str">
        <f t="shared" si="47"/>
        <v>2505</v>
      </c>
    </row>
    <row r="514" spans="1:8" x14ac:dyDescent="0.3">
      <c r="A514" s="13" t="s">
        <v>1128</v>
      </c>
      <c r="B514" s="13" t="s">
        <v>1129</v>
      </c>
      <c r="C514" s="13" t="str">
        <f t="shared" si="42"/>
        <v>RONALD ELLIOTT</v>
      </c>
      <c r="D514" s="13" t="str">
        <f t="shared" si="43"/>
        <v>ronald elliott</v>
      </c>
      <c r="E514" s="13" t="str">
        <f t="shared" si="44"/>
        <v>Ronald Elliott</v>
      </c>
      <c r="F514" s="13" t="str">
        <f t="shared" si="45"/>
        <v>FL</v>
      </c>
      <c r="G514" s="13" t="str">
        <f t="shared" si="46"/>
        <v>13</v>
      </c>
      <c r="H514" s="13" t="str">
        <f t="shared" si="47"/>
        <v>2505</v>
      </c>
    </row>
    <row r="515" spans="1:8" x14ac:dyDescent="0.3">
      <c r="A515" s="13" t="s">
        <v>1130</v>
      </c>
      <c r="B515" s="13" t="s">
        <v>1131</v>
      </c>
      <c r="C515" s="13" t="str">
        <f t="shared" ref="C515:C578" si="48">UPPER(B515)</f>
        <v>LORRAINE LOWERY</v>
      </c>
      <c r="D515" s="13" t="str">
        <f t="shared" ref="D515:D578" si="49">LOWER(B515)</f>
        <v>lorraine lowery</v>
      </c>
      <c r="E515" s="13" t="str">
        <f t="shared" ref="E515:E578" si="50">PROPER(C515)</f>
        <v>Lorraine Lowery</v>
      </c>
      <c r="F515" s="13" t="str">
        <f t="shared" ref="F515:F578" si="51">LEFT(A515,2)</f>
        <v>FL</v>
      </c>
      <c r="G515" s="13" t="str">
        <f t="shared" ref="G515:G578" si="52">RIGHT(A515,2)</f>
        <v>14</v>
      </c>
      <c r="H515" s="13" t="str">
        <f t="shared" ref="H515:H578" si="53">MID(A515,3,4)</f>
        <v>2505</v>
      </c>
    </row>
    <row r="516" spans="1:8" x14ac:dyDescent="0.3">
      <c r="A516" s="13" t="s">
        <v>1132</v>
      </c>
      <c r="B516" s="13" t="s">
        <v>1133</v>
      </c>
      <c r="C516" s="13" t="str">
        <f t="shared" si="48"/>
        <v>VICTORIA CHAPMAN</v>
      </c>
      <c r="D516" s="13" t="str">
        <f t="shared" si="49"/>
        <v>victoria chapman</v>
      </c>
      <c r="E516" s="13" t="str">
        <f t="shared" si="50"/>
        <v>Victoria Chapman</v>
      </c>
      <c r="F516" s="13" t="str">
        <f t="shared" si="51"/>
        <v>FL</v>
      </c>
      <c r="G516" s="13" t="str">
        <f t="shared" si="52"/>
        <v>15</v>
      </c>
      <c r="H516" s="13" t="str">
        <f t="shared" si="53"/>
        <v>2505</v>
      </c>
    </row>
    <row r="517" spans="1:8" x14ac:dyDescent="0.3">
      <c r="A517" s="13" t="s">
        <v>1134</v>
      </c>
      <c r="B517" s="13" t="s">
        <v>1135</v>
      </c>
      <c r="C517" s="13" t="str">
        <f t="shared" si="48"/>
        <v>HEATHER DAVIS</v>
      </c>
      <c r="D517" s="13" t="str">
        <f t="shared" si="49"/>
        <v>heather davis</v>
      </c>
      <c r="E517" s="13" t="str">
        <f t="shared" si="50"/>
        <v>Heather Davis</v>
      </c>
      <c r="F517" s="13" t="str">
        <f t="shared" si="51"/>
        <v>FL</v>
      </c>
      <c r="G517" s="13" t="str">
        <f t="shared" si="52"/>
        <v>16</v>
      </c>
      <c r="H517" s="13" t="str">
        <f t="shared" si="53"/>
        <v>2505</v>
      </c>
    </row>
    <row r="518" spans="1:8" x14ac:dyDescent="0.3">
      <c r="A518" s="13" t="s">
        <v>1136</v>
      </c>
      <c r="B518" s="13" t="s">
        <v>1137</v>
      </c>
      <c r="C518" s="13" t="str">
        <f t="shared" si="48"/>
        <v>DIANA CHASE</v>
      </c>
      <c r="D518" s="13" t="str">
        <f t="shared" si="49"/>
        <v>diana chase</v>
      </c>
      <c r="E518" s="13" t="str">
        <f t="shared" si="50"/>
        <v>Diana Chase</v>
      </c>
      <c r="F518" s="13" t="str">
        <f t="shared" si="51"/>
        <v>FL</v>
      </c>
      <c r="G518" s="13" t="str">
        <f t="shared" si="52"/>
        <v>17</v>
      </c>
      <c r="H518" s="13" t="str">
        <f t="shared" si="53"/>
        <v>2505</v>
      </c>
    </row>
    <row r="519" spans="1:8" x14ac:dyDescent="0.3">
      <c r="A519" s="13" t="s">
        <v>1138</v>
      </c>
      <c r="B519" s="13" t="s">
        <v>1139</v>
      </c>
      <c r="C519" s="13" t="str">
        <f t="shared" si="48"/>
        <v>DANIELLE ADKINS</v>
      </c>
      <c r="D519" s="13" t="str">
        <f t="shared" si="49"/>
        <v>danielle adkins</v>
      </c>
      <c r="E519" s="13" t="str">
        <f t="shared" si="50"/>
        <v>Danielle Adkins</v>
      </c>
      <c r="F519" s="13" t="str">
        <f t="shared" si="51"/>
        <v>FL</v>
      </c>
      <c r="G519" s="13" t="str">
        <f t="shared" si="52"/>
        <v>18</v>
      </c>
      <c r="H519" s="13" t="str">
        <f t="shared" si="53"/>
        <v>2505</v>
      </c>
    </row>
    <row r="520" spans="1:8" x14ac:dyDescent="0.3">
      <c r="A520" s="13" t="s">
        <v>1140</v>
      </c>
      <c r="B520" s="13" t="s">
        <v>1141</v>
      </c>
      <c r="C520" s="13" t="str">
        <f t="shared" si="48"/>
        <v>KENNETH ARIAS</v>
      </c>
      <c r="D520" s="13" t="str">
        <f t="shared" si="49"/>
        <v>kenneth arias</v>
      </c>
      <c r="E520" s="13" t="str">
        <f t="shared" si="50"/>
        <v>Kenneth Arias</v>
      </c>
      <c r="F520" s="13" t="str">
        <f t="shared" si="51"/>
        <v>FL</v>
      </c>
      <c r="G520" s="13" t="str">
        <f t="shared" si="52"/>
        <v>19</v>
      </c>
      <c r="H520" s="13" t="str">
        <f t="shared" si="53"/>
        <v>2505</v>
      </c>
    </row>
    <row r="521" spans="1:8" x14ac:dyDescent="0.3">
      <c r="A521" s="13" t="s">
        <v>1142</v>
      </c>
      <c r="B521" s="13" t="s">
        <v>1143</v>
      </c>
      <c r="C521" s="13" t="str">
        <f t="shared" si="48"/>
        <v>VICTORIA OWEN</v>
      </c>
      <c r="D521" s="13" t="str">
        <f t="shared" si="49"/>
        <v>victoria owen</v>
      </c>
      <c r="E521" s="13" t="str">
        <f t="shared" si="50"/>
        <v>Victoria Owen</v>
      </c>
      <c r="F521" s="13" t="str">
        <f t="shared" si="51"/>
        <v>FL</v>
      </c>
      <c r="G521" s="13" t="str">
        <f t="shared" si="52"/>
        <v>20</v>
      </c>
      <c r="H521" s="13" t="str">
        <f t="shared" si="53"/>
        <v>2505</v>
      </c>
    </row>
    <row r="522" spans="1:8" x14ac:dyDescent="0.3">
      <c r="A522" s="13" t="s">
        <v>1144</v>
      </c>
      <c r="B522" s="13" t="s">
        <v>1145</v>
      </c>
      <c r="C522" s="13" t="str">
        <f t="shared" si="48"/>
        <v>CHRISTINA KING</v>
      </c>
      <c r="D522" s="13" t="str">
        <f t="shared" si="49"/>
        <v>christina king</v>
      </c>
      <c r="E522" s="13" t="str">
        <f t="shared" si="50"/>
        <v>Christina King</v>
      </c>
      <c r="F522" s="13" t="str">
        <f t="shared" si="51"/>
        <v>FL</v>
      </c>
      <c r="G522" s="13" t="str">
        <f t="shared" si="52"/>
        <v>21</v>
      </c>
      <c r="H522" s="13" t="str">
        <f t="shared" si="53"/>
        <v>2505</v>
      </c>
    </row>
    <row r="523" spans="1:8" x14ac:dyDescent="0.3">
      <c r="A523" s="13" t="s">
        <v>1146</v>
      </c>
      <c r="B523" s="13" t="s">
        <v>1147</v>
      </c>
      <c r="C523" s="13" t="str">
        <f t="shared" si="48"/>
        <v>SAMANTHA KING</v>
      </c>
      <c r="D523" s="13" t="str">
        <f t="shared" si="49"/>
        <v>samantha king</v>
      </c>
      <c r="E523" s="13" t="str">
        <f t="shared" si="50"/>
        <v>Samantha King</v>
      </c>
      <c r="F523" s="13" t="str">
        <f t="shared" si="51"/>
        <v>FL</v>
      </c>
      <c r="G523" s="13" t="str">
        <f t="shared" si="52"/>
        <v>22</v>
      </c>
      <c r="H523" s="13" t="str">
        <f t="shared" si="53"/>
        <v>2505</v>
      </c>
    </row>
    <row r="524" spans="1:8" x14ac:dyDescent="0.3">
      <c r="A524" s="13" t="s">
        <v>1148</v>
      </c>
      <c r="B524" s="13" t="s">
        <v>1149</v>
      </c>
      <c r="C524" s="13" t="str">
        <f t="shared" si="48"/>
        <v>SCOTT COMPTON</v>
      </c>
      <c r="D524" s="13" t="str">
        <f t="shared" si="49"/>
        <v>scott compton</v>
      </c>
      <c r="E524" s="13" t="str">
        <f t="shared" si="50"/>
        <v>Scott Compton</v>
      </c>
      <c r="F524" s="13" t="str">
        <f t="shared" si="51"/>
        <v>FL</v>
      </c>
      <c r="G524" s="13" t="str">
        <f t="shared" si="52"/>
        <v>23</v>
      </c>
      <c r="H524" s="13" t="str">
        <f t="shared" si="53"/>
        <v>2505</v>
      </c>
    </row>
    <row r="525" spans="1:8" x14ac:dyDescent="0.3">
      <c r="A525" s="13" t="s">
        <v>1150</v>
      </c>
      <c r="B525" s="13" t="s">
        <v>1151</v>
      </c>
      <c r="C525" s="13" t="str">
        <f t="shared" si="48"/>
        <v>MONICA WEST</v>
      </c>
      <c r="D525" s="13" t="str">
        <f t="shared" si="49"/>
        <v>monica west</v>
      </c>
      <c r="E525" s="13" t="str">
        <f t="shared" si="50"/>
        <v>Monica West</v>
      </c>
      <c r="F525" s="13" t="str">
        <f t="shared" si="51"/>
        <v>FL</v>
      </c>
      <c r="G525" s="13" t="str">
        <f t="shared" si="52"/>
        <v>24</v>
      </c>
      <c r="H525" s="13" t="str">
        <f t="shared" si="53"/>
        <v>2505</v>
      </c>
    </row>
    <row r="526" spans="1:8" x14ac:dyDescent="0.3">
      <c r="A526" s="13" t="s">
        <v>1152</v>
      </c>
      <c r="B526" s="13" t="s">
        <v>1153</v>
      </c>
      <c r="C526" s="13" t="str">
        <f t="shared" si="48"/>
        <v>THERESA STEWART</v>
      </c>
      <c r="D526" s="13" t="str">
        <f t="shared" si="49"/>
        <v>theresa stewart</v>
      </c>
      <c r="E526" s="13" t="str">
        <f t="shared" si="50"/>
        <v>Theresa Stewart</v>
      </c>
      <c r="F526" s="13" t="str">
        <f t="shared" si="51"/>
        <v>FL</v>
      </c>
      <c r="G526" s="13" t="str">
        <f t="shared" si="52"/>
        <v>25</v>
      </c>
      <c r="H526" s="13" t="str">
        <f t="shared" si="53"/>
        <v>2505</v>
      </c>
    </row>
    <row r="527" spans="1:8" x14ac:dyDescent="0.3">
      <c r="A527" s="13" t="s">
        <v>1154</v>
      </c>
      <c r="B527" s="13" t="s">
        <v>1155</v>
      </c>
      <c r="C527" s="13" t="str">
        <f t="shared" si="48"/>
        <v>STEVEN KIM</v>
      </c>
      <c r="D527" s="13" t="str">
        <f t="shared" si="49"/>
        <v>steven kim</v>
      </c>
      <c r="E527" s="13" t="str">
        <f t="shared" si="50"/>
        <v>Steven Kim</v>
      </c>
      <c r="F527" s="13" t="str">
        <f t="shared" si="51"/>
        <v>FL</v>
      </c>
      <c r="G527" s="13" t="str">
        <f t="shared" si="52"/>
        <v>26</v>
      </c>
      <c r="H527" s="13" t="str">
        <f t="shared" si="53"/>
        <v>2505</v>
      </c>
    </row>
    <row r="528" spans="1:8" x14ac:dyDescent="0.3">
      <c r="A528" s="13" t="s">
        <v>1156</v>
      </c>
      <c r="B528" s="13" t="s">
        <v>1157</v>
      </c>
      <c r="C528" s="13" t="str">
        <f t="shared" si="48"/>
        <v>KRISTI KNIGHT</v>
      </c>
      <c r="D528" s="13" t="str">
        <f t="shared" si="49"/>
        <v>kristi knight</v>
      </c>
      <c r="E528" s="13" t="str">
        <f t="shared" si="50"/>
        <v>Kristi Knight</v>
      </c>
      <c r="F528" s="13" t="str">
        <f t="shared" si="51"/>
        <v>FL</v>
      </c>
      <c r="G528" s="13" t="str">
        <f t="shared" si="52"/>
        <v>27</v>
      </c>
      <c r="H528" s="13" t="str">
        <f t="shared" si="53"/>
        <v>2505</v>
      </c>
    </row>
    <row r="529" spans="1:8" x14ac:dyDescent="0.3">
      <c r="A529" s="13" t="s">
        <v>1158</v>
      </c>
      <c r="B529" s="13" t="s">
        <v>1159</v>
      </c>
      <c r="C529" s="13" t="str">
        <f t="shared" si="48"/>
        <v>JASON BRYANT</v>
      </c>
      <c r="D529" s="13" t="str">
        <f t="shared" si="49"/>
        <v>jason bryant</v>
      </c>
      <c r="E529" s="13" t="str">
        <f t="shared" si="50"/>
        <v>Jason Bryant</v>
      </c>
      <c r="F529" s="13" t="str">
        <f t="shared" si="51"/>
        <v>FL</v>
      </c>
      <c r="G529" s="13" t="str">
        <f t="shared" si="52"/>
        <v>28</v>
      </c>
      <c r="H529" s="13" t="str">
        <f t="shared" si="53"/>
        <v>2505</v>
      </c>
    </row>
    <row r="530" spans="1:8" x14ac:dyDescent="0.3">
      <c r="A530" s="13" t="s">
        <v>1160</v>
      </c>
      <c r="B530" s="13" t="s">
        <v>1161</v>
      </c>
      <c r="C530" s="13" t="str">
        <f t="shared" si="48"/>
        <v>MAUREEN KEITH</v>
      </c>
      <c r="D530" s="13" t="str">
        <f t="shared" si="49"/>
        <v>maureen keith</v>
      </c>
      <c r="E530" s="13" t="str">
        <f t="shared" si="50"/>
        <v>Maureen Keith</v>
      </c>
      <c r="F530" s="13" t="str">
        <f t="shared" si="51"/>
        <v>FL</v>
      </c>
      <c r="G530" s="13" t="str">
        <f t="shared" si="52"/>
        <v>29</v>
      </c>
      <c r="H530" s="13" t="str">
        <f t="shared" si="53"/>
        <v>2505</v>
      </c>
    </row>
    <row r="531" spans="1:8" x14ac:dyDescent="0.3">
      <c r="A531" s="13" t="s">
        <v>1162</v>
      </c>
      <c r="B531" s="13" t="s">
        <v>1163</v>
      </c>
      <c r="C531" s="13" t="str">
        <f t="shared" si="48"/>
        <v>SHAWN HOGAN</v>
      </c>
      <c r="D531" s="13" t="str">
        <f t="shared" si="49"/>
        <v>shawn hogan</v>
      </c>
      <c r="E531" s="13" t="str">
        <f t="shared" si="50"/>
        <v>Shawn Hogan</v>
      </c>
      <c r="F531" s="13" t="str">
        <f t="shared" si="51"/>
        <v>FL</v>
      </c>
      <c r="G531" s="13" t="str">
        <f t="shared" si="52"/>
        <v>30</v>
      </c>
      <c r="H531" s="13" t="str">
        <f t="shared" si="53"/>
        <v>2505</v>
      </c>
    </row>
    <row r="532" spans="1:8" x14ac:dyDescent="0.3">
      <c r="A532" s="13" t="s">
        <v>1164</v>
      </c>
      <c r="B532" s="13" t="s">
        <v>1165</v>
      </c>
      <c r="C532" s="13" t="str">
        <f t="shared" si="48"/>
        <v>WILLIAM DAVIS</v>
      </c>
      <c r="D532" s="13" t="str">
        <f t="shared" si="49"/>
        <v>william davis</v>
      </c>
      <c r="E532" s="13" t="str">
        <f t="shared" si="50"/>
        <v>William Davis</v>
      </c>
      <c r="F532" s="13" t="str">
        <f t="shared" si="51"/>
        <v>FL</v>
      </c>
      <c r="G532" s="13" t="str">
        <f t="shared" si="52"/>
        <v>31</v>
      </c>
      <c r="H532" s="13" t="str">
        <f t="shared" si="53"/>
        <v>2505</v>
      </c>
    </row>
    <row r="533" spans="1:8" x14ac:dyDescent="0.3">
      <c r="A533" s="13" t="s">
        <v>1166</v>
      </c>
      <c r="B533" s="13" t="s">
        <v>1167</v>
      </c>
      <c r="C533" s="13" t="str">
        <f t="shared" si="48"/>
        <v>STACY BAILEY</v>
      </c>
      <c r="D533" s="13" t="str">
        <f t="shared" si="49"/>
        <v>stacy bailey</v>
      </c>
      <c r="E533" s="13" t="str">
        <f t="shared" si="50"/>
        <v>Stacy Bailey</v>
      </c>
      <c r="F533" s="13" t="str">
        <f t="shared" si="51"/>
        <v>FL</v>
      </c>
      <c r="G533" s="13" t="str">
        <f t="shared" si="52"/>
        <v>32</v>
      </c>
      <c r="H533" s="13" t="str">
        <f t="shared" si="53"/>
        <v>2505</v>
      </c>
    </row>
    <row r="534" spans="1:8" x14ac:dyDescent="0.3">
      <c r="A534" s="13" t="s">
        <v>1168</v>
      </c>
      <c r="B534" s="13" t="s">
        <v>1169</v>
      </c>
      <c r="C534" s="13" t="str">
        <f t="shared" si="48"/>
        <v>THOMAS DIXON</v>
      </c>
      <c r="D534" s="13" t="str">
        <f t="shared" si="49"/>
        <v>thomas dixon</v>
      </c>
      <c r="E534" s="13" t="str">
        <f t="shared" si="50"/>
        <v>Thomas Dixon</v>
      </c>
      <c r="F534" s="13" t="str">
        <f t="shared" si="51"/>
        <v>FL</v>
      </c>
      <c r="G534" s="13" t="str">
        <f t="shared" si="52"/>
        <v>33</v>
      </c>
      <c r="H534" s="13" t="str">
        <f t="shared" si="53"/>
        <v>2505</v>
      </c>
    </row>
    <row r="535" spans="1:8" x14ac:dyDescent="0.3">
      <c r="A535" s="13" t="s">
        <v>1170</v>
      </c>
      <c r="B535" s="13" t="s">
        <v>1171</v>
      </c>
      <c r="C535" s="13" t="str">
        <f t="shared" si="48"/>
        <v>MARIA HALL</v>
      </c>
      <c r="D535" s="13" t="str">
        <f t="shared" si="49"/>
        <v>maria hall</v>
      </c>
      <c r="E535" s="13" t="str">
        <f t="shared" si="50"/>
        <v>Maria Hall</v>
      </c>
      <c r="F535" s="13" t="str">
        <f t="shared" si="51"/>
        <v>FL</v>
      </c>
      <c r="G535" s="13" t="str">
        <f t="shared" si="52"/>
        <v>34</v>
      </c>
      <c r="H535" s="13" t="str">
        <f t="shared" si="53"/>
        <v>2505</v>
      </c>
    </row>
    <row r="536" spans="1:8" x14ac:dyDescent="0.3">
      <c r="A536" s="13" t="s">
        <v>1172</v>
      </c>
      <c r="B536" s="13" t="s">
        <v>1173</v>
      </c>
      <c r="C536" s="13" t="str">
        <f t="shared" si="48"/>
        <v>TONY LEE</v>
      </c>
      <c r="D536" s="13" t="str">
        <f t="shared" si="49"/>
        <v>tony lee</v>
      </c>
      <c r="E536" s="13" t="str">
        <f t="shared" si="50"/>
        <v>Tony Lee</v>
      </c>
      <c r="F536" s="13" t="str">
        <f t="shared" si="51"/>
        <v>FL</v>
      </c>
      <c r="G536" s="13" t="str">
        <f t="shared" si="52"/>
        <v>35</v>
      </c>
      <c r="H536" s="13" t="str">
        <f t="shared" si="53"/>
        <v>2505</v>
      </c>
    </row>
    <row r="537" spans="1:8" x14ac:dyDescent="0.3">
      <c r="A537" s="13" t="s">
        <v>1174</v>
      </c>
      <c r="B537" s="13" t="s">
        <v>1175</v>
      </c>
      <c r="C537" s="13" t="str">
        <f t="shared" si="48"/>
        <v>CATHERINE MCCOY MD</v>
      </c>
      <c r="D537" s="13" t="str">
        <f t="shared" si="49"/>
        <v>catherine mccoy md</v>
      </c>
      <c r="E537" s="13" t="str">
        <f t="shared" si="50"/>
        <v>Catherine Mccoy Md</v>
      </c>
      <c r="F537" s="13" t="str">
        <f t="shared" si="51"/>
        <v>FL</v>
      </c>
      <c r="G537" s="13" t="str">
        <f t="shared" si="52"/>
        <v>36</v>
      </c>
      <c r="H537" s="13" t="str">
        <f t="shared" si="53"/>
        <v>2505</v>
      </c>
    </row>
    <row r="538" spans="1:8" x14ac:dyDescent="0.3">
      <c r="A538" s="13" t="s">
        <v>1176</v>
      </c>
      <c r="B538" s="13" t="s">
        <v>1177</v>
      </c>
      <c r="C538" s="13" t="str">
        <f t="shared" si="48"/>
        <v>MARIA BENITEZ</v>
      </c>
      <c r="D538" s="13" t="str">
        <f t="shared" si="49"/>
        <v>maria benitez</v>
      </c>
      <c r="E538" s="13" t="str">
        <f t="shared" si="50"/>
        <v>Maria Benitez</v>
      </c>
      <c r="F538" s="13" t="str">
        <f t="shared" si="51"/>
        <v>FL</v>
      </c>
      <c r="G538" s="13" t="str">
        <f t="shared" si="52"/>
        <v>37</v>
      </c>
      <c r="H538" s="13" t="str">
        <f t="shared" si="53"/>
        <v>2505</v>
      </c>
    </row>
    <row r="539" spans="1:8" x14ac:dyDescent="0.3">
      <c r="A539" s="13" t="s">
        <v>1178</v>
      </c>
      <c r="B539" s="13" t="s">
        <v>1179</v>
      </c>
      <c r="C539" s="13" t="str">
        <f t="shared" si="48"/>
        <v>JOSHUA CHAMBERS</v>
      </c>
      <c r="D539" s="13" t="str">
        <f t="shared" si="49"/>
        <v>joshua chambers</v>
      </c>
      <c r="E539" s="13" t="str">
        <f t="shared" si="50"/>
        <v>Joshua Chambers</v>
      </c>
      <c r="F539" s="13" t="str">
        <f t="shared" si="51"/>
        <v>FL</v>
      </c>
      <c r="G539" s="13" t="str">
        <f t="shared" si="52"/>
        <v>38</v>
      </c>
      <c r="H539" s="13" t="str">
        <f t="shared" si="53"/>
        <v>2505</v>
      </c>
    </row>
    <row r="540" spans="1:8" x14ac:dyDescent="0.3">
      <c r="A540" s="13" t="s">
        <v>1180</v>
      </c>
      <c r="B540" s="13" t="s">
        <v>1181</v>
      </c>
      <c r="C540" s="13" t="str">
        <f t="shared" si="48"/>
        <v>JANICE DANIELS</v>
      </c>
      <c r="D540" s="13" t="str">
        <f t="shared" si="49"/>
        <v>janice daniels</v>
      </c>
      <c r="E540" s="13" t="str">
        <f t="shared" si="50"/>
        <v>Janice Daniels</v>
      </c>
      <c r="F540" s="13" t="str">
        <f t="shared" si="51"/>
        <v>FL</v>
      </c>
      <c r="G540" s="13" t="str">
        <f t="shared" si="52"/>
        <v>39</v>
      </c>
      <c r="H540" s="13" t="str">
        <f t="shared" si="53"/>
        <v>2505</v>
      </c>
    </row>
    <row r="541" spans="1:8" x14ac:dyDescent="0.3">
      <c r="A541" s="13" t="s">
        <v>1182</v>
      </c>
      <c r="B541" s="13" t="s">
        <v>1183</v>
      </c>
      <c r="C541" s="13" t="str">
        <f t="shared" si="48"/>
        <v>CARLA WOOD</v>
      </c>
      <c r="D541" s="13" t="str">
        <f t="shared" si="49"/>
        <v>carla wood</v>
      </c>
      <c r="E541" s="13" t="str">
        <f t="shared" si="50"/>
        <v>Carla Wood</v>
      </c>
      <c r="F541" s="13" t="str">
        <f t="shared" si="51"/>
        <v>FL</v>
      </c>
      <c r="G541" s="13" t="str">
        <f t="shared" si="52"/>
        <v>40</v>
      </c>
      <c r="H541" s="13" t="str">
        <f t="shared" si="53"/>
        <v>2505</v>
      </c>
    </row>
    <row r="542" spans="1:8" x14ac:dyDescent="0.3">
      <c r="A542" s="13" t="s">
        <v>1184</v>
      </c>
      <c r="B542" s="13" t="s">
        <v>1185</v>
      </c>
      <c r="C542" s="13" t="str">
        <f t="shared" si="48"/>
        <v>KENNETH VASQUEZ</v>
      </c>
      <c r="D542" s="13" t="str">
        <f t="shared" si="49"/>
        <v>kenneth vasquez</v>
      </c>
      <c r="E542" s="13" t="str">
        <f t="shared" si="50"/>
        <v>Kenneth Vasquez</v>
      </c>
      <c r="F542" s="13" t="str">
        <f t="shared" si="51"/>
        <v>FL</v>
      </c>
      <c r="G542" s="13" t="str">
        <f t="shared" si="52"/>
        <v>41</v>
      </c>
      <c r="H542" s="13" t="str">
        <f t="shared" si="53"/>
        <v>2505</v>
      </c>
    </row>
    <row r="543" spans="1:8" x14ac:dyDescent="0.3">
      <c r="A543" s="13" t="s">
        <v>1186</v>
      </c>
      <c r="B543" s="13" t="s">
        <v>1187</v>
      </c>
      <c r="C543" s="13" t="str">
        <f t="shared" si="48"/>
        <v>KEVIN SMITH</v>
      </c>
      <c r="D543" s="13" t="str">
        <f t="shared" si="49"/>
        <v>kevin smith</v>
      </c>
      <c r="E543" s="13" t="str">
        <f t="shared" si="50"/>
        <v>Kevin Smith</v>
      </c>
      <c r="F543" s="13" t="str">
        <f t="shared" si="51"/>
        <v>FL</v>
      </c>
      <c r="G543" s="13" t="str">
        <f t="shared" si="52"/>
        <v>42</v>
      </c>
      <c r="H543" s="13" t="str">
        <f t="shared" si="53"/>
        <v>2505</v>
      </c>
    </row>
    <row r="544" spans="1:8" x14ac:dyDescent="0.3">
      <c r="A544" s="13" t="s">
        <v>1188</v>
      </c>
      <c r="B544" s="13" t="s">
        <v>1189</v>
      </c>
      <c r="C544" s="13" t="str">
        <f t="shared" si="48"/>
        <v>THOMAS KIM</v>
      </c>
      <c r="D544" s="13" t="str">
        <f t="shared" si="49"/>
        <v>thomas kim</v>
      </c>
      <c r="E544" s="13" t="str">
        <f t="shared" si="50"/>
        <v>Thomas Kim</v>
      </c>
      <c r="F544" s="13" t="str">
        <f t="shared" si="51"/>
        <v>FL</v>
      </c>
      <c r="G544" s="13" t="str">
        <f t="shared" si="52"/>
        <v>43</v>
      </c>
      <c r="H544" s="13" t="str">
        <f t="shared" si="53"/>
        <v>2505</v>
      </c>
    </row>
    <row r="545" spans="1:8" x14ac:dyDescent="0.3">
      <c r="A545" s="13" t="s">
        <v>1190</v>
      </c>
      <c r="B545" s="13" t="s">
        <v>1191</v>
      </c>
      <c r="C545" s="13" t="str">
        <f t="shared" si="48"/>
        <v>SEAN PARK</v>
      </c>
      <c r="D545" s="13" t="str">
        <f t="shared" si="49"/>
        <v>sean park</v>
      </c>
      <c r="E545" s="13" t="str">
        <f t="shared" si="50"/>
        <v>Sean Park</v>
      </c>
      <c r="F545" s="13" t="str">
        <f t="shared" si="51"/>
        <v>FL</v>
      </c>
      <c r="G545" s="13" t="str">
        <f t="shared" si="52"/>
        <v>44</v>
      </c>
      <c r="H545" s="13" t="str">
        <f t="shared" si="53"/>
        <v>2505</v>
      </c>
    </row>
    <row r="546" spans="1:8" x14ac:dyDescent="0.3">
      <c r="A546" s="13" t="s">
        <v>1192</v>
      </c>
      <c r="B546" s="13" t="s">
        <v>1193</v>
      </c>
      <c r="C546" s="13" t="str">
        <f t="shared" si="48"/>
        <v>JUDITH POOLE</v>
      </c>
      <c r="D546" s="13" t="str">
        <f t="shared" si="49"/>
        <v>judith poole</v>
      </c>
      <c r="E546" s="13" t="str">
        <f t="shared" si="50"/>
        <v>Judith Poole</v>
      </c>
      <c r="F546" s="13" t="str">
        <f t="shared" si="51"/>
        <v>FL</v>
      </c>
      <c r="G546" s="13" t="str">
        <f t="shared" si="52"/>
        <v>45</v>
      </c>
      <c r="H546" s="13" t="str">
        <f t="shared" si="53"/>
        <v>2505</v>
      </c>
    </row>
    <row r="547" spans="1:8" x14ac:dyDescent="0.3">
      <c r="A547" s="13" t="s">
        <v>1194</v>
      </c>
      <c r="B547" s="13" t="s">
        <v>1195</v>
      </c>
      <c r="C547" s="13" t="str">
        <f t="shared" si="48"/>
        <v>MELANIE BAIRD</v>
      </c>
      <c r="D547" s="13" t="str">
        <f t="shared" si="49"/>
        <v>melanie baird</v>
      </c>
      <c r="E547" s="13" t="str">
        <f t="shared" si="50"/>
        <v>Melanie Baird</v>
      </c>
      <c r="F547" s="13" t="str">
        <f t="shared" si="51"/>
        <v>FL</v>
      </c>
      <c r="G547" s="13" t="str">
        <f t="shared" si="52"/>
        <v>46</v>
      </c>
      <c r="H547" s="13" t="str">
        <f t="shared" si="53"/>
        <v>2505</v>
      </c>
    </row>
    <row r="548" spans="1:8" x14ac:dyDescent="0.3">
      <c r="A548" s="13" t="s">
        <v>1196</v>
      </c>
      <c r="B548" s="13" t="s">
        <v>1197</v>
      </c>
      <c r="C548" s="13" t="str">
        <f t="shared" si="48"/>
        <v>ERIKA MITCHELL</v>
      </c>
      <c r="D548" s="13" t="str">
        <f t="shared" si="49"/>
        <v>erika mitchell</v>
      </c>
      <c r="E548" s="13" t="str">
        <f t="shared" si="50"/>
        <v>Erika Mitchell</v>
      </c>
      <c r="F548" s="13" t="str">
        <f t="shared" si="51"/>
        <v>FL</v>
      </c>
      <c r="G548" s="13" t="str">
        <f t="shared" si="52"/>
        <v>47</v>
      </c>
      <c r="H548" s="13" t="str">
        <f t="shared" si="53"/>
        <v>2505</v>
      </c>
    </row>
    <row r="549" spans="1:8" x14ac:dyDescent="0.3">
      <c r="A549" s="13" t="s">
        <v>1198</v>
      </c>
      <c r="B549" s="13" t="s">
        <v>1199</v>
      </c>
      <c r="C549" s="13" t="str">
        <f t="shared" si="48"/>
        <v>RICKY MARTINEZ</v>
      </c>
      <c r="D549" s="13" t="str">
        <f t="shared" si="49"/>
        <v>ricky martinez</v>
      </c>
      <c r="E549" s="13" t="str">
        <f t="shared" si="50"/>
        <v>Ricky Martinez</v>
      </c>
      <c r="F549" s="13" t="str">
        <f t="shared" si="51"/>
        <v>FL</v>
      </c>
      <c r="G549" s="13" t="str">
        <f t="shared" si="52"/>
        <v>48</v>
      </c>
      <c r="H549" s="13" t="str">
        <f t="shared" si="53"/>
        <v>2505</v>
      </c>
    </row>
    <row r="550" spans="1:8" x14ac:dyDescent="0.3">
      <c r="A550" s="13" t="s">
        <v>1200</v>
      </c>
      <c r="B550" s="13" t="s">
        <v>1201</v>
      </c>
      <c r="C550" s="13" t="str">
        <f t="shared" si="48"/>
        <v>JOHN CHRISTIAN</v>
      </c>
      <c r="D550" s="13" t="str">
        <f t="shared" si="49"/>
        <v>john christian</v>
      </c>
      <c r="E550" s="13" t="str">
        <f t="shared" si="50"/>
        <v>John Christian</v>
      </c>
      <c r="F550" s="13" t="str">
        <f t="shared" si="51"/>
        <v>FL</v>
      </c>
      <c r="G550" s="13" t="str">
        <f t="shared" si="52"/>
        <v>49</v>
      </c>
      <c r="H550" s="13" t="str">
        <f t="shared" si="53"/>
        <v>2505</v>
      </c>
    </row>
    <row r="551" spans="1:8" x14ac:dyDescent="0.3">
      <c r="A551" s="13" t="s">
        <v>1202</v>
      </c>
      <c r="B551" s="13" t="s">
        <v>1203</v>
      </c>
      <c r="C551" s="13" t="str">
        <f t="shared" si="48"/>
        <v>NANCY SMITH</v>
      </c>
      <c r="D551" s="13" t="str">
        <f t="shared" si="49"/>
        <v>nancy smith</v>
      </c>
      <c r="E551" s="13" t="str">
        <f t="shared" si="50"/>
        <v>Nancy Smith</v>
      </c>
      <c r="F551" s="13" t="str">
        <f t="shared" si="51"/>
        <v>FL</v>
      </c>
      <c r="G551" s="13" t="str">
        <f t="shared" si="52"/>
        <v>50</v>
      </c>
      <c r="H551" s="13" t="str">
        <f t="shared" si="53"/>
        <v>2505</v>
      </c>
    </row>
    <row r="552" spans="1:8" x14ac:dyDescent="0.3">
      <c r="A552" s="13" t="s">
        <v>1204</v>
      </c>
      <c r="B552" s="13" t="s">
        <v>1205</v>
      </c>
      <c r="C552" s="13" t="str">
        <f t="shared" si="48"/>
        <v>CASSANDRA STEPHENS</v>
      </c>
      <c r="D552" s="13" t="str">
        <f t="shared" si="49"/>
        <v>cassandra stephens</v>
      </c>
      <c r="E552" s="13" t="str">
        <f t="shared" si="50"/>
        <v>Cassandra Stephens</v>
      </c>
      <c r="F552" s="13" t="str">
        <f t="shared" si="51"/>
        <v>FL</v>
      </c>
      <c r="G552" s="13" t="str">
        <f t="shared" si="52"/>
        <v>51</v>
      </c>
      <c r="H552" s="13" t="str">
        <f t="shared" si="53"/>
        <v>2505</v>
      </c>
    </row>
    <row r="553" spans="1:8" x14ac:dyDescent="0.3">
      <c r="A553" s="13" t="s">
        <v>1206</v>
      </c>
      <c r="B553" s="13" t="s">
        <v>1207</v>
      </c>
      <c r="C553" s="13" t="str">
        <f t="shared" si="48"/>
        <v>MISS JANET DONOVAN MD</v>
      </c>
      <c r="D553" s="13" t="str">
        <f t="shared" si="49"/>
        <v>miss janet donovan md</v>
      </c>
      <c r="E553" s="13" t="str">
        <f t="shared" si="50"/>
        <v>Miss Janet Donovan Md</v>
      </c>
      <c r="F553" s="13" t="str">
        <f t="shared" si="51"/>
        <v>FL</v>
      </c>
      <c r="G553" s="13" t="str">
        <f t="shared" si="52"/>
        <v>52</v>
      </c>
      <c r="H553" s="13" t="str">
        <f t="shared" si="53"/>
        <v>2505</v>
      </c>
    </row>
    <row r="554" spans="1:8" x14ac:dyDescent="0.3">
      <c r="A554" s="13" t="s">
        <v>1208</v>
      </c>
      <c r="B554" s="13" t="s">
        <v>1209</v>
      </c>
      <c r="C554" s="13" t="str">
        <f t="shared" si="48"/>
        <v>KRISTINA WILLIAMS</v>
      </c>
      <c r="D554" s="13" t="str">
        <f t="shared" si="49"/>
        <v>kristina williams</v>
      </c>
      <c r="E554" s="13" t="str">
        <f t="shared" si="50"/>
        <v>Kristina Williams</v>
      </c>
      <c r="F554" s="13" t="str">
        <f t="shared" si="51"/>
        <v>FL</v>
      </c>
      <c r="G554" s="13" t="str">
        <f t="shared" si="52"/>
        <v>53</v>
      </c>
      <c r="H554" s="13" t="str">
        <f t="shared" si="53"/>
        <v>2505</v>
      </c>
    </row>
    <row r="555" spans="1:8" x14ac:dyDescent="0.3">
      <c r="A555" s="13" t="s">
        <v>1210</v>
      </c>
      <c r="B555" s="13" t="s">
        <v>1211</v>
      </c>
      <c r="C555" s="13" t="str">
        <f t="shared" si="48"/>
        <v>WAYNE BARNES</v>
      </c>
      <c r="D555" s="13" t="str">
        <f t="shared" si="49"/>
        <v>wayne barnes</v>
      </c>
      <c r="E555" s="13" t="str">
        <f t="shared" si="50"/>
        <v>Wayne Barnes</v>
      </c>
      <c r="F555" s="13" t="str">
        <f t="shared" si="51"/>
        <v>FL</v>
      </c>
      <c r="G555" s="13" t="str">
        <f t="shared" si="52"/>
        <v>54</v>
      </c>
      <c r="H555" s="13" t="str">
        <f t="shared" si="53"/>
        <v>2505</v>
      </c>
    </row>
    <row r="556" spans="1:8" x14ac:dyDescent="0.3">
      <c r="A556" s="13" t="s">
        <v>1212</v>
      </c>
      <c r="B556" s="13" t="s">
        <v>1213</v>
      </c>
      <c r="C556" s="13" t="str">
        <f t="shared" si="48"/>
        <v>JAMES HINTON</v>
      </c>
      <c r="D556" s="13" t="str">
        <f t="shared" si="49"/>
        <v>james hinton</v>
      </c>
      <c r="E556" s="13" t="str">
        <f t="shared" si="50"/>
        <v>James Hinton</v>
      </c>
      <c r="F556" s="13" t="str">
        <f t="shared" si="51"/>
        <v>FL</v>
      </c>
      <c r="G556" s="13" t="str">
        <f t="shared" si="52"/>
        <v>55</v>
      </c>
      <c r="H556" s="13" t="str">
        <f t="shared" si="53"/>
        <v>2505</v>
      </c>
    </row>
    <row r="557" spans="1:8" x14ac:dyDescent="0.3">
      <c r="A557" s="13" t="s">
        <v>1214</v>
      </c>
      <c r="B557" s="13" t="s">
        <v>1215</v>
      </c>
      <c r="C557" s="13" t="str">
        <f t="shared" si="48"/>
        <v>DAVID SPENCE</v>
      </c>
      <c r="D557" s="13" t="str">
        <f t="shared" si="49"/>
        <v>david spence</v>
      </c>
      <c r="E557" s="13" t="str">
        <f t="shared" si="50"/>
        <v>David Spence</v>
      </c>
      <c r="F557" s="13" t="str">
        <f t="shared" si="51"/>
        <v>FL</v>
      </c>
      <c r="G557" s="13" t="str">
        <f t="shared" si="52"/>
        <v>56</v>
      </c>
      <c r="H557" s="13" t="str">
        <f t="shared" si="53"/>
        <v>2505</v>
      </c>
    </row>
    <row r="558" spans="1:8" x14ac:dyDescent="0.3">
      <c r="A558" s="13" t="s">
        <v>1216</v>
      </c>
      <c r="B558" s="13" t="s">
        <v>1217</v>
      </c>
      <c r="C558" s="13" t="str">
        <f t="shared" si="48"/>
        <v>TYLER COOPER</v>
      </c>
      <c r="D558" s="13" t="str">
        <f t="shared" si="49"/>
        <v>tyler cooper</v>
      </c>
      <c r="E558" s="13" t="str">
        <f t="shared" si="50"/>
        <v>Tyler Cooper</v>
      </c>
      <c r="F558" s="13" t="str">
        <f t="shared" si="51"/>
        <v>FL</v>
      </c>
      <c r="G558" s="13" t="str">
        <f t="shared" si="52"/>
        <v>57</v>
      </c>
      <c r="H558" s="13" t="str">
        <f t="shared" si="53"/>
        <v>2505</v>
      </c>
    </row>
    <row r="559" spans="1:8" x14ac:dyDescent="0.3">
      <c r="A559" s="13" t="s">
        <v>1218</v>
      </c>
      <c r="B559" s="13" t="s">
        <v>1219</v>
      </c>
      <c r="C559" s="13" t="str">
        <f t="shared" si="48"/>
        <v>SEAN MARTINEZ</v>
      </c>
      <c r="D559" s="13" t="str">
        <f t="shared" si="49"/>
        <v>sean martinez</v>
      </c>
      <c r="E559" s="13" t="str">
        <f t="shared" si="50"/>
        <v>Sean Martinez</v>
      </c>
      <c r="F559" s="13" t="str">
        <f t="shared" si="51"/>
        <v>FL</v>
      </c>
      <c r="G559" s="13" t="str">
        <f t="shared" si="52"/>
        <v>58</v>
      </c>
      <c r="H559" s="13" t="str">
        <f t="shared" si="53"/>
        <v>2505</v>
      </c>
    </row>
    <row r="560" spans="1:8" x14ac:dyDescent="0.3">
      <c r="A560" s="13" t="s">
        <v>1220</v>
      </c>
      <c r="B560" s="13" t="s">
        <v>1221</v>
      </c>
      <c r="C560" s="13" t="str">
        <f t="shared" si="48"/>
        <v>JANET BARRON</v>
      </c>
      <c r="D560" s="13" t="str">
        <f t="shared" si="49"/>
        <v>janet barron</v>
      </c>
      <c r="E560" s="13" t="str">
        <f t="shared" si="50"/>
        <v>Janet Barron</v>
      </c>
      <c r="F560" s="13" t="str">
        <f t="shared" si="51"/>
        <v>FL</v>
      </c>
      <c r="G560" s="13" t="str">
        <f t="shared" si="52"/>
        <v>59</v>
      </c>
      <c r="H560" s="13" t="str">
        <f t="shared" si="53"/>
        <v>2505</v>
      </c>
    </row>
    <row r="561" spans="1:8" x14ac:dyDescent="0.3">
      <c r="A561" s="13" t="s">
        <v>1222</v>
      </c>
      <c r="B561" s="13" t="s">
        <v>1223</v>
      </c>
      <c r="C561" s="13" t="str">
        <f t="shared" si="48"/>
        <v>RODNEY WILSON</v>
      </c>
      <c r="D561" s="13" t="str">
        <f t="shared" si="49"/>
        <v>rodney wilson</v>
      </c>
      <c r="E561" s="13" t="str">
        <f t="shared" si="50"/>
        <v>Rodney Wilson</v>
      </c>
      <c r="F561" s="13" t="str">
        <f t="shared" si="51"/>
        <v>FL</v>
      </c>
      <c r="G561" s="13" t="str">
        <f t="shared" si="52"/>
        <v>60</v>
      </c>
      <c r="H561" s="13" t="str">
        <f t="shared" si="53"/>
        <v>2505</v>
      </c>
    </row>
    <row r="562" spans="1:8" x14ac:dyDescent="0.3">
      <c r="A562" s="13" t="s">
        <v>1224</v>
      </c>
      <c r="B562" s="13" t="s">
        <v>1225</v>
      </c>
      <c r="C562" s="13" t="str">
        <f t="shared" si="48"/>
        <v>KIMBERLY FITZGERALD</v>
      </c>
      <c r="D562" s="13" t="str">
        <f t="shared" si="49"/>
        <v>kimberly fitzgerald</v>
      </c>
      <c r="E562" s="13" t="str">
        <f t="shared" si="50"/>
        <v>Kimberly Fitzgerald</v>
      </c>
      <c r="F562" s="13" t="str">
        <f t="shared" si="51"/>
        <v>FL</v>
      </c>
      <c r="G562" s="13" t="str">
        <f t="shared" si="52"/>
        <v>61</v>
      </c>
      <c r="H562" s="13" t="str">
        <f t="shared" si="53"/>
        <v>2505</v>
      </c>
    </row>
    <row r="563" spans="1:8" x14ac:dyDescent="0.3">
      <c r="A563" s="13" t="s">
        <v>1226</v>
      </c>
      <c r="B563" s="13" t="s">
        <v>1227</v>
      </c>
      <c r="C563" s="13" t="str">
        <f t="shared" si="48"/>
        <v>NICOLE DAVIS</v>
      </c>
      <c r="D563" s="13" t="str">
        <f t="shared" si="49"/>
        <v>nicole davis</v>
      </c>
      <c r="E563" s="13" t="str">
        <f t="shared" si="50"/>
        <v>Nicole Davis</v>
      </c>
      <c r="F563" s="13" t="str">
        <f t="shared" si="51"/>
        <v>FL</v>
      </c>
      <c r="G563" s="13" t="str">
        <f t="shared" si="52"/>
        <v>62</v>
      </c>
      <c r="H563" s="13" t="str">
        <f t="shared" si="53"/>
        <v>2505</v>
      </c>
    </row>
    <row r="564" spans="1:8" x14ac:dyDescent="0.3">
      <c r="A564" s="13" t="s">
        <v>1228</v>
      </c>
      <c r="B564" s="13" t="s">
        <v>1229</v>
      </c>
      <c r="C564" s="13" t="str">
        <f t="shared" si="48"/>
        <v>ELIZABETH HAYES</v>
      </c>
      <c r="D564" s="13" t="str">
        <f t="shared" si="49"/>
        <v>elizabeth hayes</v>
      </c>
      <c r="E564" s="13" t="str">
        <f t="shared" si="50"/>
        <v>Elizabeth Hayes</v>
      </c>
      <c r="F564" s="13" t="str">
        <f t="shared" si="51"/>
        <v>FL</v>
      </c>
      <c r="G564" s="13" t="str">
        <f t="shared" si="52"/>
        <v>63</v>
      </c>
      <c r="H564" s="13" t="str">
        <f t="shared" si="53"/>
        <v>2505</v>
      </c>
    </row>
    <row r="565" spans="1:8" x14ac:dyDescent="0.3">
      <c r="A565" s="13" t="s">
        <v>1230</v>
      </c>
      <c r="B565" s="13" t="s">
        <v>1231</v>
      </c>
      <c r="C565" s="13" t="str">
        <f t="shared" si="48"/>
        <v>KATHY FAULKNER</v>
      </c>
      <c r="D565" s="13" t="str">
        <f t="shared" si="49"/>
        <v>kathy faulkner</v>
      </c>
      <c r="E565" s="13" t="str">
        <f t="shared" si="50"/>
        <v>Kathy Faulkner</v>
      </c>
      <c r="F565" s="13" t="str">
        <f t="shared" si="51"/>
        <v>FL</v>
      </c>
      <c r="G565" s="13" t="str">
        <f t="shared" si="52"/>
        <v>64</v>
      </c>
      <c r="H565" s="13" t="str">
        <f t="shared" si="53"/>
        <v>2505</v>
      </c>
    </row>
    <row r="566" spans="1:8" x14ac:dyDescent="0.3">
      <c r="A566" s="13" t="s">
        <v>1232</v>
      </c>
      <c r="B566" s="13" t="s">
        <v>1233</v>
      </c>
      <c r="C566" s="13" t="str">
        <f t="shared" si="48"/>
        <v>JOHN GONZALES</v>
      </c>
      <c r="D566" s="13" t="str">
        <f t="shared" si="49"/>
        <v>john gonzales</v>
      </c>
      <c r="E566" s="13" t="str">
        <f t="shared" si="50"/>
        <v>John Gonzales</v>
      </c>
      <c r="F566" s="13" t="str">
        <f t="shared" si="51"/>
        <v>FL</v>
      </c>
      <c r="G566" s="13" t="str">
        <f t="shared" si="52"/>
        <v>65</v>
      </c>
      <c r="H566" s="13" t="str">
        <f t="shared" si="53"/>
        <v>2505</v>
      </c>
    </row>
    <row r="567" spans="1:8" x14ac:dyDescent="0.3">
      <c r="A567" s="13" t="s">
        <v>1234</v>
      </c>
      <c r="B567" s="13" t="s">
        <v>1235</v>
      </c>
      <c r="C567" s="13" t="str">
        <f t="shared" si="48"/>
        <v>SHANNON LUNA</v>
      </c>
      <c r="D567" s="13" t="str">
        <f t="shared" si="49"/>
        <v>shannon luna</v>
      </c>
      <c r="E567" s="13" t="str">
        <f t="shared" si="50"/>
        <v>Shannon Luna</v>
      </c>
      <c r="F567" s="13" t="str">
        <f t="shared" si="51"/>
        <v>FL</v>
      </c>
      <c r="G567" s="13" t="str">
        <f t="shared" si="52"/>
        <v>66</v>
      </c>
      <c r="H567" s="13" t="str">
        <f t="shared" si="53"/>
        <v>2505</v>
      </c>
    </row>
    <row r="568" spans="1:8" x14ac:dyDescent="0.3">
      <c r="A568" s="13" t="s">
        <v>1236</v>
      </c>
      <c r="B568" s="13" t="s">
        <v>1237</v>
      </c>
      <c r="C568" s="13" t="str">
        <f t="shared" si="48"/>
        <v>STEPHANIE BURTON</v>
      </c>
      <c r="D568" s="13" t="str">
        <f t="shared" si="49"/>
        <v>stephanie burton</v>
      </c>
      <c r="E568" s="13" t="str">
        <f t="shared" si="50"/>
        <v>Stephanie Burton</v>
      </c>
      <c r="F568" s="13" t="str">
        <f t="shared" si="51"/>
        <v>FL</v>
      </c>
      <c r="G568" s="13" t="str">
        <f t="shared" si="52"/>
        <v>67</v>
      </c>
      <c r="H568" s="13" t="str">
        <f t="shared" si="53"/>
        <v>2505</v>
      </c>
    </row>
    <row r="569" spans="1:8" x14ac:dyDescent="0.3">
      <c r="A569" s="13" t="s">
        <v>1238</v>
      </c>
      <c r="B569" s="13" t="s">
        <v>1239</v>
      </c>
      <c r="C569" s="13" t="str">
        <f t="shared" si="48"/>
        <v>KEVIN GONZALES</v>
      </c>
      <c r="D569" s="13" t="str">
        <f t="shared" si="49"/>
        <v>kevin gonzales</v>
      </c>
      <c r="E569" s="13" t="str">
        <f t="shared" si="50"/>
        <v>Kevin Gonzales</v>
      </c>
      <c r="F569" s="13" t="str">
        <f t="shared" si="51"/>
        <v>FL</v>
      </c>
      <c r="G569" s="13" t="str">
        <f t="shared" si="52"/>
        <v>68</v>
      </c>
      <c r="H569" s="13" t="str">
        <f t="shared" si="53"/>
        <v>2505</v>
      </c>
    </row>
    <row r="570" spans="1:8" x14ac:dyDescent="0.3">
      <c r="A570" s="13" t="s">
        <v>1240</v>
      </c>
      <c r="B570" s="13" t="s">
        <v>1241</v>
      </c>
      <c r="C570" s="13" t="str">
        <f t="shared" si="48"/>
        <v>DAWN HARDY</v>
      </c>
      <c r="D570" s="13" t="str">
        <f t="shared" si="49"/>
        <v>dawn hardy</v>
      </c>
      <c r="E570" s="13" t="str">
        <f t="shared" si="50"/>
        <v>Dawn Hardy</v>
      </c>
      <c r="F570" s="13" t="str">
        <f t="shared" si="51"/>
        <v>FL</v>
      </c>
      <c r="G570" s="13" t="str">
        <f t="shared" si="52"/>
        <v>69</v>
      </c>
      <c r="H570" s="13" t="str">
        <f t="shared" si="53"/>
        <v>2505</v>
      </c>
    </row>
    <row r="571" spans="1:8" x14ac:dyDescent="0.3">
      <c r="A571" s="13" t="s">
        <v>1242</v>
      </c>
      <c r="B571" s="13" t="s">
        <v>1243</v>
      </c>
      <c r="C571" s="13" t="str">
        <f t="shared" si="48"/>
        <v>MARGARET PERKINS</v>
      </c>
      <c r="D571" s="13" t="str">
        <f t="shared" si="49"/>
        <v>margaret perkins</v>
      </c>
      <c r="E571" s="13" t="str">
        <f t="shared" si="50"/>
        <v>Margaret Perkins</v>
      </c>
      <c r="F571" s="13" t="str">
        <f t="shared" si="51"/>
        <v>FL</v>
      </c>
      <c r="G571" s="13" t="str">
        <f t="shared" si="52"/>
        <v>70</v>
      </c>
      <c r="H571" s="13" t="str">
        <f t="shared" si="53"/>
        <v>2505</v>
      </c>
    </row>
    <row r="572" spans="1:8" x14ac:dyDescent="0.3">
      <c r="A572" s="13" t="s">
        <v>1244</v>
      </c>
      <c r="B572" s="13" t="s">
        <v>1245</v>
      </c>
      <c r="C572" s="13" t="str">
        <f t="shared" si="48"/>
        <v>AMANDA VARGAS</v>
      </c>
      <c r="D572" s="13" t="str">
        <f t="shared" si="49"/>
        <v>amanda vargas</v>
      </c>
      <c r="E572" s="13" t="str">
        <f t="shared" si="50"/>
        <v>Amanda Vargas</v>
      </c>
      <c r="F572" s="13" t="str">
        <f t="shared" si="51"/>
        <v>FL</v>
      </c>
      <c r="G572" s="13" t="str">
        <f t="shared" si="52"/>
        <v>71</v>
      </c>
      <c r="H572" s="13" t="str">
        <f t="shared" si="53"/>
        <v>2505</v>
      </c>
    </row>
    <row r="573" spans="1:8" x14ac:dyDescent="0.3">
      <c r="A573" s="13" t="s">
        <v>1246</v>
      </c>
      <c r="B573" s="13" t="s">
        <v>1247</v>
      </c>
      <c r="C573" s="13" t="str">
        <f t="shared" si="48"/>
        <v>TONYA GONZALEZ</v>
      </c>
      <c r="D573" s="13" t="str">
        <f t="shared" si="49"/>
        <v>tonya gonzalez</v>
      </c>
      <c r="E573" s="13" t="str">
        <f t="shared" si="50"/>
        <v>Tonya Gonzalez</v>
      </c>
      <c r="F573" s="13" t="str">
        <f t="shared" si="51"/>
        <v>FL</v>
      </c>
      <c r="G573" s="13" t="str">
        <f t="shared" si="52"/>
        <v>72</v>
      </c>
      <c r="H573" s="13" t="str">
        <f t="shared" si="53"/>
        <v>2505</v>
      </c>
    </row>
    <row r="574" spans="1:8" x14ac:dyDescent="0.3">
      <c r="A574" s="13" t="s">
        <v>1248</v>
      </c>
      <c r="B574" s="13" t="s">
        <v>1249</v>
      </c>
      <c r="C574" s="13" t="str">
        <f t="shared" si="48"/>
        <v>ELIZABETH BOWMAN</v>
      </c>
      <c r="D574" s="13" t="str">
        <f t="shared" si="49"/>
        <v>elizabeth bowman</v>
      </c>
      <c r="E574" s="13" t="str">
        <f t="shared" si="50"/>
        <v>Elizabeth Bowman</v>
      </c>
      <c r="F574" s="13" t="str">
        <f t="shared" si="51"/>
        <v>FL</v>
      </c>
      <c r="G574" s="13" t="str">
        <f t="shared" si="52"/>
        <v>73</v>
      </c>
      <c r="H574" s="13" t="str">
        <f t="shared" si="53"/>
        <v>2505</v>
      </c>
    </row>
    <row r="575" spans="1:8" x14ac:dyDescent="0.3">
      <c r="A575" s="13" t="s">
        <v>1250</v>
      </c>
      <c r="B575" s="13" t="s">
        <v>1251</v>
      </c>
      <c r="C575" s="13" t="str">
        <f t="shared" si="48"/>
        <v>ARIANA PITTMAN</v>
      </c>
      <c r="D575" s="13" t="str">
        <f t="shared" si="49"/>
        <v>ariana pittman</v>
      </c>
      <c r="E575" s="13" t="str">
        <f t="shared" si="50"/>
        <v>Ariana Pittman</v>
      </c>
      <c r="F575" s="13" t="str">
        <f t="shared" si="51"/>
        <v>FL</v>
      </c>
      <c r="G575" s="13" t="str">
        <f t="shared" si="52"/>
        <v>74</v>
      </c>
      <c r="H575" s="13" t="str">
        <f t="shared" si="53"/>
        <v>2505</v>
      </c>
    </row>
    <row r="576" spans="1:8" x14ac:dyDescent="0.3">
      <c r="A576" s="13" t="s">
        <v>1252</v>
      </c>
      <c r="B576" s="13" t="s">
        <v>1253</v>
      </c>
      <c r="C576" s="13" t="str">
        <f t="shared" si="48"/>
        <v>ANTONIO JOHNSON</v>
      </c>
      <c r="D576" s="13" t="str">
        <f t="shared" si="49"/>
        <v>antonio johnson</v>
      </c>
      <c r="E576" s="13" t="str">
        <f t="shared" si="50"/>
        <v>Antonio Johnson</v>
      </c>
      <c r="F576" s="13" t="str">
        <f t="shared" si="51"/>
        <v>FL</v>
      </c>
      <c r="G576" s="13" t="str">
        <f t="shared" si="52"/>
        <v>75</v>
      </c>
      <c r="H576" s="13" t="str">
        <f t="shared" si="53"/>
        <v>2505</v>
      </c>
    </row>
    <row r="577" spans="1:8" x14ac:dyDescent="0.3">
      <c r="A577" s="13" t="s">
        <v>1254</v>
      </c>
      <c r="B577" s="13" t="s">
        <v>1255</v>
      </c>
      <c r="C577" s="13" t="str">
        <f t="shared" si="48"/>
        <v>JUSTIN LANG</v>
      </c>
      <c r="D577" s="13" t="str">
        <f t="shared" si="49"/>
        <v>justin lang</v>
      </c>
      <c r="E577" s="13" t="str">
        <f t="shared" si="50"/>
        <v>Justin Lang</v>
      </c>
      <c r="F577" s="13" t="str">
        <f t="shared" si="51"/>
        <v>FL</v>
      </c>
      <c r="G577" s="13" t="str">
        <f t="shared" si="52"/>
        <v>76</v>
      </c>
      <c r="H577" s="13" t="str">
        <f t="shared" si="53"/>
        <v>2505</v>
      </c>
    </row>
    <row r="578" spans="1:8" x14ac:dyDescent="0.3">
      <c r="A578" s="13" t="s">
        <v>1256</v>
      </c>
      <c r="B578" s="13" t="s">
        <v>1257</v>
      </c>
      <c r="C578" s="13" t="str">
        <f t="shared" si="48"/>
        <v>KELLI RAMIREZ</v>
      </c>
      <c r="D578" s="13" t="str">
        <f t="shared" si="49"/>
        <v>kelli ramirez</v>
      </c>
      <c r="E578" s="13" t="str">
        <f t="shared" si="50"/>
        <v>Kelli Ramirez</v>
      </c>
      <c r="F578" s="13" t="str">
        <f t="shared" si="51"/>
        <v>FL</v>
      </c>
      <c r="G578" s="13" t="str">
        <f t="shared" si="52"/>
        <v>77</v>
      </c>
      <c r="H578" s="13" t="str">
        <f t="shared" si="53"/>
        <v>2505</v>
      </c>
    </row>
    <row r="579" spans="1:8" x14ac:dyDescent="0.3">
      <c r="A579" s="13" t="s">
        <v>1258</v>
      </c>
      <c r="B579" s="13" t="s">
        <v>1259</v>
      </c>
      <c r="C579" s="13" t="str">
        <f t="shared" ref="C579:C642" si="54">UPPER(B579)</f>
        <v>DEBORAH TORRES</v>
      </c>
      <c r="D579" s="13" t="str">
        <f t="shared" ref="D579:D642" si="55">LOWER(B579)</f>
        <v>deborah torres</v>
      </c>
      <c r="E579" s="13" t="str">
        <f t="shared" ref="E579:E642" si="56">PROPER(C579)</f>
        <v>Deborah Torres</v>
      </c>
      <c r="F579" s="13" t="str">
        <f t="shared" ref="F579:F642" si="57">LEFT(A579,2)</f>
        <v>FL</v>
      </c>
      <c r="G579" s="13" t="str">
        <f t="shared" ref="G579:G642" si="58">RIGHT(A579,2)</f>
        <v>78</v>
      </c>
      <c r="H579" s="13" t="str">
        <f t="shared" ref="H579:H642" si="59">MID(A579,3,4)</f>
        <v>2505</v>
      </c>
    </row>
    <row r="580" spans="1:8" x14ac:dyDescent="0.3">
      <c r="A580" s="13" t="s">
        <v>1260</v>
      </c>
      <c r="B580" s="13" t="s">
        <v>1261</v>
      </c>
      <c r="C580" s="13" t="str">
        <f t="shared" si="54"/>
        <v>JOSEPH HORN</v>
      </c>
      <c r="D580" s="13" t="str">
        <f t="shared" si="55"/>
        <v>joseph horn</v>
      </c>
      <c r="E580" s="13" t="str">
        <f t="shared" si="56"/>
        <v>Joseph Horn</v>
      </c>
      <c r="F580" s="13" t="str">
        <f t="shared" si="57"/>
        <v>FL</v>
      </c>
      <c r="G580" s="13" t="str">
        <f t="shared" si="58"/>
        <v>79</v>
      </c>
      <c r="H580" s="13" t="str">
        <f t="shared" si="59"/>
        <v>2505</v>
      </c>
    </row>
    <row r="581" spans="1:8" x14ac:dyDescent="0.3">
      <c r="A581" s="13" t="s">
        <v>1262</v>
      </c>
      <c r="B581" s="13" t="s">
        <v>1263</v>
      </c>
      <c r="C581" s="13" t="str">
        <f t="shared" si="54"/>
        <v>CHRISTOPHER ROBINSON</v>
      </c>
      <c r="D581" s="13" t="str">
        <f t="shared" si="55"/>
        <v>christopher robinson</v>
      </c>
      <c r="E581" s="13" t="str">
        <f t="shared" si="56"/>
        <v>Christopher Robinson</v>
      </c>
      <c r="F581" s="13" t="str">
        <f t="shared" si="57"/>
        <v>FL</v>
      </c>
      <c r="G581" s="13" t="str">
        <f t="shared" si="58"/>
        <v>80</v>
      </c>
      <c r="H581" s="13" t="str">
        <f t="shared" si="59"/>
        <v>2505</v>
      </c>
    </row>
    <row r="582" spans="1:8" x14ac:dyDescent="0.3">
      <c r="A582" s="13" t="s">
        <v>1264</v>
      </c>
      <c r="B582" s="13" t="s">
        <v>1265</v>
      </c>
      <c r="C582" s="13" t="str">
        <f t="shared" si="54"/>
        <v>SANDRA MCCORMICK</v>
      </c>
      <c r="D582" s="13" t="str">
        <f t="shared" si="55"/>
        <v>sandra mccormick</v>
      </c>
      <c r="E582" s="13" t="str">
        <f t="shared" si="56"/>
        <v>Sandra Mccormick</v>
      </c>
      <c r="F582" s="13" t="str">
        <f t="shared" si="57"/>
        <v>FL</v>
      </c>
      <c r="G582" s="13" t="str">
        <f t="shared" si="58"/>
        <v>81</v>
      </c>
      <c r="H582" s="13" t="str">
        <f t="shared" si="59"/>
        <v>2505</v>
      </c>
    </row>
    <row r="583" spans="1:8" x14ac:dyDescent="0.3">
      <c r="A583" s="13" t="s">
        <v>1266</v>
      </c>
      <c r="B583" s="13" t="s">
        <v>1267</v>
      </c>
      <c r="C583" s="13" t="str">
        <f t="shared" si="54"/>
        <v>MICHAEL HOLLAND</v>
      </c>
      <c r="D583" s="13" t="str">
        <f t="shared" si="55"/>
        <v>michael holland</v>
      </c>
      <c r="E583" s="13" t="str">
        <f t="shared" si="56"/>
        <v>Michael Holland</v>
      </c>
      <c r="F583" s="13" t="str">
        <f t="shared" si="57"/>
        <v>FL</v>
      </c>
      <c r="G583" s="13" t="str">
        <f t="shared" si="58"/>
        <v>82</v>
      </c>
      <c r="H583" s="13" t="str">
        <f t="shared" si="59"/>
        <v>2505</v>
      </c>
    </row>
    <row r="584" spans="1:8" x14ac:dyDescent="0.3">
      <c r="A584" s="13" t="s">
        <v>1268</v>
      </c>
      <c r="B584" s="13" t="s">
        <v>1269</v>
      </c>
      <c r="C584" s="13" t="str">
        <f t="shared" si="54"/>
        <v>KENNETH STEVENSON</v>
      </c>
      <c r="D584" s="13" t="str">
        <f t="shared" si="55"/>
        <v>kenneth stevenson</v>
      </c>
      <c r="E584" s="13" t="str">
        <f t="shared" si="56"/>
        <v>Kenneth Stevenson</v>
      </c>
      <c r="F584" s="13" t="str">
        <f t="shared" si="57"/>
        <v>FL</v>
      </c>
      <c r="G584" s="13" t="str">
        <f t="shared" si="58"/>
        <v>83</v>
      </c>
      <c r="H584" s="13" t="str">
        <f t="shared" si="59"/>
        <v>2505</v>
      </c>
    </row>
    <row r="585" spans="1:8" x14ac:dyDescent="0.3">
      <c r="A585" s="13" t="s">
        <v>1270</v>
      </c>
      <c r="B585" s="13" t="s">
        <v>1271</v>
      </c>
      <c r="C585" s="13" t="str">
        <f t="shared" si="54"/>
        <v>TIMOTHY BENNETT</v>
      </c>
      <c r="D585" s="13" t="str">
        <f t="shared" si="55"/>
        <v>timothy bennett</v>
      </c>
      <c r="E585" s="13" t="str">
        <f t="shared" si="56"/>
        <v>Timothy Bennett</v>
      </c>
      <c r="F585" s="13" t="str">
        <f t="shared" si="57"/>
        <v>FL</v>
      </c>
      <c r="G585" s="13" t="str">
        <f t="shared" si="58"/>
        <v>84</v>
      </c>
      <c r="H585" s="13" t="str">
        <f t="shared" si="59"/>
        <v>2505</v>
      </c>
    </row>
    <row r="586" spans="1:8" x14ac:dyDescent="0.3">
      <c r="A586" s="13" t="s">
        <v>1272</v>
      </c>
      <c r="B586" s="13" t="s">
        <v>1273</v>
      </c>
      <c r="C586" s="13" t="str">
        <f t="shared" si="54"/>
        <v>GREGORY RANDALL</v>
      </c>
      <c r="D586" s="13" t="str">
        <f t="shared" si="55"/>
        <v>gregory randall</v>
      </c>
      <c r="E586" s="13" t="str">
        <f t="shared" si="56"/>
        <v>Gregory Randall</v>
      </c>
      <c r="F586" s="13" t="str">
        <f t="shared" si="57"/>
        <v>FL</v>
      </c>
      <c r="G586" s="13" t="str">
        <f t="shared" si="58"/>
        <v>85</v>
      </c>
      <c r="H586" s="13" t="str">
        <f t="shared" si="59"/>
        <v>2505</v>
      </c>
    </row>
    <row r="587" spans="1:8" x14ac:dyDescent="0.3">
      <c r="A587" s="13" t="s">
        <v>1274</v>
      </c>
      <c r="B587" s="13" t="s">
        <v>1275</v>
      </c>
      <c r="C587" s="13" t="str">
        <f t="shared" si="54"/>
        <v>CHARLES MARTINEZ</v>
      </c>
      <c r="D587" s="13" t="str">
        <f t="shared" si="55"/>
        <v>charles martinez</v>
      </c>
      <c r="E587" s="13" t="str">
        <f t="shared" si="56"/>
        <v>Charles Martinez</v>
      </c>
      <c r="F587" s="13" t="str">
        <f t="shared" si="57"/>
        <v>FL</v>
      </c>
      <c r="G587" s="13" t="str">
        <f t="shared" si="58"/>
        <v>86</v>
      </c>
      <c r="H587" s="13" t="str">
        <f t="shared" si="59"/>
        <v>2505</v>
      </c>
    </row>
    <row r="588" spans="1:8" x14ac:dyDescent="0.3">
      <c r="A588" s="13" t="s">
        <v>1276</v>
      </c>
      <c r="B588" s="13" t="s">
        <v>1277</v>
      </c>
      <c r="C588" s="13" t="str">
        <f t="shared" si="54"/>
        <v>JAMES HALL</v>
      </c>
      <c r="D588" s="13" t="str">
        <f t="shared" si="55"/>
        <v>james hall</v>
      </c>
      <c r="E588" s="13" t="str">
        <f t="shared" si="56"/>
        <v>James Hall</v>
      </c>
      <c r="F588" s="13" t="str">
        <f t="shared" si="57"/>
        <v>FL</v>
      </c>
      <c r="G588" s="13" t="str">
        <f t="shared" si="58"/>
        <v>87</v>
      </c>
      <c r="H588" s="13" t="str">
        <f t="shared" si="59"/>
        <v>2505</v>
      </c>
    </row>
    <row r="589" spans="1:8" x14ac:dyDescent="0.3">
      <c r="A589" s="13" t="s">
        <v>1278</v>
      </c>
      <c r="B589" s="13" t="s">
        <v>1279</v>
      </c>
      <c r="C589" s="13" t="str">
        <f t="shared" si="54"/>
        <v>MICHAEL GARCIA</v>
      </c>
      <c r="D589" s="13" t="str">
        <f t="shared" si="55"/>
        <v>michael garcia</v>
      </c>
      <c r="E589" s="13" t="str">
        <f t="shared" si="56"/>
        <v>Michael Garcia</v>
      </c>
      <c r="F589" s="13" t="str">
        <f t="shared" si="57"/>
        <v>FL</v>
      </c>
      <c r="G589" s="13" t="str">
        <f t="shared" si="58"/>
        <v>88</v>
      </c>
      <c r="H589" s="13" t="str">
        <f t="shared" si="59"/>
        <v>2505</v>
      </c>
    </row>
    <row r="590" spans="1:8" x14ac:dyDescent="0.3">
      <c r="A590" s="13" t="s">
        <v>1280</v>
      </c>
      <c r="B590" s="13" t="s">
        <v>1281</v>
      </c>
      <c r="C590" s="13" t="str">
        <f t="shared" si="54"/>
        <v>MICHELE DURAN</v>
      </c>
      <c r="D590" s="13" t="str">
        <f t="shared" si="55"/>
        <v>michele duran</v>
      </c>
      <c r="E590" s="13" t="str">
        <f t="shared" si="56"/>
        <v>Michele Duran</v>
      </c>
      <c r="F590" s="13" t="str">
        <f t="shared" si="57"/>
        <v>FL</v>
      </c>
      <c r="G590" s="13" t="str">
        <f t="shared" si="58"/>
        <v>89</v>
      </c>
      <c r="H590" s="13" t="str">
        <f t="shared" si="59"/>
        <v>2505</v>
      </c>
    </row>
    <row r="591" spans="1:8" x14ac:dyDescent="0.3">
      <c r="A591" s="13" t="s">
        <v>1282</v>
      </c>
      <c r="B591" s="13" t="s">
        <v>1283</v>
      </c>
      <c r="C591" s="13" t="str">
        <f t="shared" si="54"/>
        <v>JESSICA GRAY</v>
      </c>
      <c r="D591" s="13" t="str">
        <f t="shared" si="55"/>
        <v>jessica gray</v>
      </c>
      <c r="E591" s="13" t="str">
        <f t="shared" si="56"/>
        <v>Jessica Gray</v>
      </c>
      <c r="F591" s="13" t="str">
        <f t="shared" si="57"/>
        <v>FL</v>
      </c>
      <c r="G591" s="13" t="str">
        <f t="shared" si="58"/>
        <v>90</v>
      </c>
      <c r="H591" s="13" t="str">
        <f t="shared" si="59"/>
        <v>2505</v>
      </c>
    </row>
    <row r="592" spans="1:8" x14ac:dyDescent="0.3">
      <c r="A592" s="13" t="s">
        <v>1284</v>
      </c>
      <c r="B592" s="13" t="s">
        <v>1285</v>
      </c>
      <c r="C592" s="13" t="str">
        <f t="shared" si="54"/>
        <v>KEITH SHAFFER</v>
      </c>
      <c r="D592" s="13" t="str">
        <f t="shared" si="55"/>
        <v>keith shaffer</v>
      </c>
      <c r="E592" s="13" t="str">
        <f t="shared" si="56"/>
        <v>Keith Shaffer</v>
      </c>
      <c r="F592" s="13" t="str">
        <f t="shared" si="57"/>
        <v>FL</v>
      </c>
      <c r="G592" s="13" t="str">
        <f t="shared" si="58"/>
        <v>91</v>
      </c>
      <c r="H592" s="13" t="str">
        <f t="shared" si="59"/>
        <v>2505</v>
      </c>
    </row>
    <row r="593" spans="1:8" x14ac:dyDescent="0.3">
      <c r="A593" s="13" t="s">
        <v>1286</v>
      </c>
      <c r="B593" s="13" t="s">
        <v>1287</v>
      </c>
      <c r="C593" s="13" t="str">
        <f t="shared" si="54"/>
        <v>JESSICA DECKER</v>
      </c>
      <c r="D593" s="13" t="str">
        <f t="shared" si="55"/>
        <v>jessica decker</v>
      </c>
      <c r="E593" s="13" t="str">
        <f t="shared" si="56"/>
        <v>Jessica Decker</v>
      </c>
      <c r="F593" s="13" t="str">
        <f t="shared" si="57"/>
        <v>FL</v>
      </c>
      <c r="G593" s="13" t="str">
        <f t="shared" si="58"/>
        <v>92</v>
      </c>
      <c r="H593" s="13" t="str">
        <f t="shared" si="59"/>
        <v>2505</v>
      </c>
    </row>
    <row r="594" spans="1:8" x14ac:dyDescent="0.3">
      <c r="A594" s="13" t="s">
        <v>1288</v>
      </c>
      <c r="B594" s="13" t="s">
        <v>1289</v>
      </c>
      <c r="C594" s="13" t="str">
        <f t="shared" si="54"/>
        <v>BRIANNA PITTMAN</v>
      </c>
      <c r="D594" s="13" t="str">
        <f t="shared" si="55"/>
        <v>brianna pittman</v>
      </c>
      <c r="E594" s="13" t="str">
        <f t="shared" si="56"/>
        <v>Brianna Pittman</v>
      </c>
      <c r="F594" s="13" t="str">
        <f t="shared" si="57"/>
        <v>FL</v>
      </c>
      <c r="G594" s="13" t="str">
        <f t="shared" si="58"/>
        <v>93</v>
      </c>
      <c r="H594" s="13" t="str">
        <f t="shared" si="59"/>
        <v>2505</v>
      </c>
    </row>
    <row r="595" spans="1:8" x14ac:dyDescent="0.3">
      <c r="A595" s="13" t="s">
        <v>1290</v>
      </c>
      <c r="B595" s="13" t="s">
        <v>1291</v>
      </c>
      <c r="C595" s="13" t="str">
        <f t="shared" si="54"/>
        <v>KIMBERLY HUNTER</v>
      </c>
      <c r="D595" s="13" t="str">
        <f t="shared" si="55"/>
        <v>kimberly hunter</v>
      </c>
      <c r="E595" s="13" t="str">
        <f t="shared" si="56"/>
        <v>Kimberly Hunter</v>
      </c>
      <c r="F595" s="13" t="str">
        <f t="shared" si="57"/>
        <v>FL</v>
      </c>
      <c r="G595" s="13" t="str">
        <f t="shared" si="58"/>
        <v>94</v>
      </c>
      <c r="H595" s="13" t="str">
        <f t="shared" si="59"/>
        <v>2505</v>
      </c>
    </row>
    <row r="596" spans="1:8" x14ac:dyDescent="0.3">
      <c r="A596" s="13" t="s">
        <v>1292</v>
      </c>
      <c r="B596" s="13" t="s">
        <v>1293</v>
      </c>
      <c r="C596" s="13" t="str">
        <f t="shared" si="54"/>
        <v>DANIEL MARTIN</v>
      </c>
      <c r="D596" s="13" t="str">
        <f t="shared" si="55"/>
        <v>daniel martin</v>
      </c>
      <c r="E596" s="13" t="str">
        <f t="shared" si="56"/>
        <v>Daniel Martin</v>
      </c>
      <c r="F596" s="13" t="str">
        <f t="shared" si="57"/>
        <v>FL</v>
      </c>
      <c r="G596" s="13" t="str">
        <f t="shared" si="58"/>
        <v>95</v>
      </c>
      <c r="H596" s="13" t="str">
        <f t="shared" si="59"/>
        <v>2505</v>
      </c>
    </row>
    <row r="597" spans="1:8" x14ac:dyDescent="0.3">
      <c r="A597" s="13" t="s">
        <v>1294</v>
      </c>
      <c r="B597" s="13" t="s">
        <v>1295</v>
      </c>
      <c r="C597" s="13" t="str">
        <f t="shared" si="54"/>
        <v>RACHEL SMITH</v>
      </c>
      <c r="D597" s="13" t="str">
        <f t="shared" si="55"/>
        <v>rachel smith</v>
      </c>
      <c r="E597" s="13" t="str">
        <f t="shared" si="56"/>
        <v>Rachel Smith</v>
      </c>
      <c r="F597" s="13" t="str">
        <f t="shared" si="57"/>
        <v>FL</v>
      </c>
      <c r="G597" s="13" t="str">
        <f t="shared" si="58"/>
        <v>96</v>
      </c>
      <c r="H597" s="13" t="str">
        <f t="shared" si="59"/>
        <v>2505</v>
      </c>
    </row>
    <row r="598" spans="1:8" x14ac:dyDescent="0.3">
      <c r="A598" s="13" t="s">
        <v>1296</v>
      </c>
      <c r="B598" s="13" t="s">
        <v>1297</v>
      </c>
      <c r="C598" s="13" t="str">
        <f t="shared" si="54"/>
        <v>MICHAEL MILLER</v>
      </c>
      <c r="D598" s="13" t="str">
        <f t="shared" si="55"/>
        <v>michael miller</v>
      </c>
      <c r="E598" s="13" t="str">
        <f t="shared" si="56"/>
        <v>Michael Miller</v>
      </c>
      <c r="F598" s="13" t="str">
        <f t="shared" si="57"/>
        <v>FL</v>
      </c>
      <c r="G598" s="13" t="str">
        <f t="shared" si="58"/>
        <v>97</v>
      </c>
      <c r="H598" s="13" t="str">
        <f t="shared" si="59"/>
        <v>2505</v>
      </c>
    </row>
    <row r="599" spans="1:8" x14ac:dyDescent="0.3">
      <c r="A599" s="13" t="s">
        <v>1298</v>
      </c>
      <c r="B599" s="13" t="s">
        <v>1299</v>
      </c>
      <c r="C599" s="13" t="str">
        <f t="shared" si="54"/>
        <v>WILLIE CLARK</v>
      </c>
      <c r="D599" s="13" t="str">
        <f t="shared" si="55"/>
        <v>willie clark</v>
      </c>
      <c r="E599" s="13" t="str">
        <f t="shared" si="56"/>
        <v>Willie Clark</v>
      </c>
      <c r="F599" s="13" t="str">
        <f t="shared" si="57"/>
        <v>FL</v>
      </c>
      <c r="G599" s="13" t="str">
        <f t="shared" si="58"/>
        <v>98</v>
      </c>
      <c r="H599" s="13" t="str">
        <f t="shared" si="59"/>
        <v>2505</v>
      </c>
    </row>
    <row r="600" spans="1:8" x14ac:dyDescent="0.3">
      <c r="A600" s="13" t="s">
        <v>1300</v>
      </c>
      <c r="B600" s="13" t="s">
        <v>1301</v>
      </c>
      <c r="C600" s="13" t="str">
        <f t="shared" si="54"/>
        <v>JEREMY HERNANDEZ</v>
      </c>
      <c r="D600" s="13" t="str">
        <f t="shared" si="55"/>
        <v>jeremy hernandez</v>
      </c>
      <c r="E600" s="13" t="str">
        <f t="shared" si="56"/>
        <v>Jeremy Hernandez</v>
      </c>
      <c r="F600" s="13" t="str">
        <f t="shared" si="57"/>
        <v>FL</v>
      </c>
      <c r="G600" s="13" t="str">
        <f t="shared" si="58"/>
        <v>99</v>
      </c>
      <c r="H600" s="13" t="str">
        <f t="shared" si="59"/>
        <v>2505</v>
      </c>
    </row>
    <row r="601" spans="1:8" x14ac:dyDescent="0.3">
      <c r="A601" s="13" t="s">
        <v>1302</v>
      </c>
      <c r="B601" s="13" t="s">
        <v>1303</v>
      </c>
      <c r="C601" s="13" t="str">
        <f t="shared" si="54"/>
        <v>TINA SHELTON</v>
      </c>
      <c r="D601" s="13" t="str">
        <f t="shared" si="55"/>
        <v>tina shelton</v>
      </c>
      <c r="E601" s="13" t="str">
        <f t="shared" si="56"/>
        <v>Tina Shelton</v>
      </c>
      <c r="F601" s="13" t="str">
        <f t="shared" si="57"/>
        <v>FL</v>
      </c>
      <c r="G601" s="13" t="str">
        <f t="shared" si="58"/>
        <v>00</v>
      </c>
      <c r="H601" s="13" t="str">
        <f t="shared" si="59"/>
        <v>2506</v>
      </c>
    </row>
    <row r="602" spans="1:8" x14ac:dyDescent="0.3">
      <c r="A602" s="13" t="s">
        <v>1304</v>
      </c>
      <c r="B602" s="13" t="s">
        <v>1305</v>
      </c>
      <c r="C602" s="13" t="str">
        <f t="shared" si="54"/>
        <v>DR. PAMELA LARSON</v>
      </c>
      <c r="D602" s="13" t="str">
        <f t="shared" si="55"/>
        <v>dr. pamela larson</v>
      </c>
      <c r="E602" s="13" t="str">
        <f t="shared" si="56"/>
        <v>Dr. Pamela Larson</v>
      </c>
      <c r="F602" s="13" t="str">
        <f t="shared" si="57"/>
        <v>FL</v>
      </c>
      <c r="G602" s="13" t="str">
        <f t="shared" si="58"/>
        <v>01</v>
      </c>
      <c r="H602" s="13" t="str">
        <f t="shared" si="59"/>
        <v>2506</v>
      </c>
    </row>
    <row r="603" spans="1:8" x14ac:dyDescent="0.3">
      <c r="A603" s="13" t="s">
        <v>1306</v>
      </c>
      <c r="B603" s="13" t="s">
        <v>1307</v>
      </c>
      <c r="C603" s="13" t="str">
        <f t="shared" si="54"/>
        <v>RYAN EWING</v>
      </c>
      <c r="D603" s="13" t="str">
        <f t="shared" si="55"/>
        <v>ryan ewing</v>
      </c>
      <c r="E603" s="13" t="str">
        <f t="shared" si="56"/>
        <v>Ryan Ewing</v>
      </c>
      <c r="F603" s="13" t="str">
        <f t="shared" si="57"/>
        <v>FL</v>
      </c>
      <c r="G603" s="13" t="str">
        <f t="shared" si="58"/>
        <v>02</v>
      </c>
      <c r="H603" s="13" t="str">
        <f t="shared" si="59"/>
        <v>2506</v>
      </c>
    </row>
    <row r="604" spans="1:8" x14ac:dyDescent="0.3">
      <c r="A604" s="13" t="s">
        <v>1308</v>
      </c>
      <c r="B604" s="13" t="s">
        <v>1309</v>
      </c>
      <c r="C604" s="13" t="str">
        <f t="shared" si="54"/>
        <v>MARK COCHRAN</v>
      </c>
      <c r="D604" s="13" t="str">
        <f t="shared" si="55"/>
        <v>mark cochran</v>
      </c>
      <c r="E604" s="13" t="str">
        <f t="shared" si="56"/>
        <v>Mark Cochran</v>
      </c>
      <c r="F604" s="13" t="str">
        <f t="shared" si="57"/>
        <v>FL</v>
      </c>
      <c r="G604" s="13" t="str">
        <f t="shared" si="58"/>
        <v>03</v>
      </c>
      <c r="H604" s="13" t="str">
        <f t="shared" si="59"/>
        <v>2506</v>
      </c>
    </row>
    <row r="605" spans="1:8" x14ac:dyDescent="0.3">
      <c r="A605" s="13" t="s">
        <v>1310</v>
      </c>
      <c r="B605" s="13" t="s">
        <v>1311</v>
      </c>
      <c r="C605" s="13" t="str">
        <f t="shared" si="54"/>
        <v>MARTHA CARSON</v>
      </c>
      <c r="D605" s="13" t="str">
        <f t="shared" si="55"/>
        <v>martha carson</v>
      </c>
      <c r="E605" s="13" t="str">
        <f t="shared" si="56"/>
        <v>Martha Carson</v>
      </c>
      <c r="F605" s="13" t="str">
        <f t="shared" si="57"/>
        <v>FL</v>
      </c>
      <c r="G605" s="13" t="str">
        <f t="shared" si="58"/>
        <v>04</v>
      </c>
      <c r="H605" s="13" t="str">
        <f t="shared" si="59"/>
        <v>2506</v>
      </c>
    </row>
    <row r="606" spans="1:8" x14ac:dyDescent="0.3">
      <c r="A606" s="13" t="s">
        <v>1312</v>
      </c>
      <c r="B606" s="13" t="s">
        <v>1313</v>
      </c>
      <c r="C606" s="13" t="str">
        <f t="shared" si="54"/>
        <v>HEATHER JACKSON</v>
      </c>
      <c r="D606" s="13" t="str">
        <f t="shared" si="55"/>
        <v>heather jackson</v>
      </c>
      <c r="E606" s="13" t="str">
        <f t="shared" si="56"/>
        <v>Heather Jackson</v>
      </c>
      <c r="F606" s="13" t="str">
        <f t="shared" si="57"/>
        <v>FL</v>
      </c>
      <c r="G606" s="13" t="str">
        <f t="shared" si="58"/>
        <v>05</v>
      </c>
      <c r="H606" s="13" t="str">
        <f t="shared" si="59"/>
        <v>2506</v>
      </c>
    </row>
    <row r="607" spans="1:8" x14ac:dyDescent="0.3">
      <c r="A607" s="13" t="s">
        <v>1314</v>
      </c>
      <c r="B607" s="13" t="s">
        <v>1315</v>
      </c>
      <c r="C607" s="13" t="str">
        <f t="shared" si="54"/>
        <v>MEGAN YOUNG</v>
      </c>
      <c r="D607" s="13" t="str">
        <f t="shared" si="55"/>
        <v>megan young</v>
      </c>
      <c r="E607" s="13" t="str">
        <f t="shared" si="56"/>
        <v>Megan Young</v>
      </c>
      <c r="F607" s="13" t="str">
        <f t="shared" si="57"/>
        <v>FL</v>
      </c>
      <c r="G607" s="13" t="str">
        <f t="shared" si="58"/>
        <v>06</v>
      </c>
      <c r="H607" s="13" t="str">
        <f t="shared" si="59"/>
        <v>2506</v>
      </c>
    </row>
    <row r="608" spans="1:8" x14ac:dyDescent="0.3">
      <c r="A608" s="13" t="s">
        <v>1316</v>
      </c>
      <c r="B608" s="13" t="s">
        <v>1317</v>
      </c>
      <c r="C608" s="13" t="str">
        <f t="shared" si="54"/>
        <v>THOMAS DAVIS</v>
      </c>
      <c r="D608" s="13" t="str">
        <f t="shared" si="55"/>
        <v>thomas davis</v>
      </c>
      <c r="E608" s="13" t="str">
        <f t="shared" si="56"/>
        <v>Thomas Davis</v>
      </c>
      <c r="F608" s="13" t="str">
        <f t="shared" si="57"/>
        <v>FL</v>
      </c>
      <c r="G608" s="13" t="str">
        <f t="shared" si="58"/>
        <v>07</v>
      </c>
      <c r="H608" s="13" t="str">
        <f t="shared" si="59"/>
        <v>2506</v>
      </c>
    </row>
    <row r="609" spans="1:8" x14ac:dyDescent="0.3">
      <c r="A609" s="13" t="s">
        <v>1318</v>
      </c>
      <c r="B609" s="13" t="s">
        <v>1319</v>
      </c>
      <c r="C609" s="13" t="str">
        <f t="shared" si="54"/>
        <v>THOMAS MOONEY</v>
      </c>
      <c r="D609" s="13" t="str">
        <f t="shared" si="55"/>
        <v>thomas mooney</v>
      </c>
      <c r="E609" s="13" t="str">
        <f t="shared" si="56"/>
        <v>Thomas Mooney</v>
      </c>
      <c r="F609" s="13" t="str">
        <f t="shared" si="57"/>
        <v>FL</v>
      </c>
      <c r="G609" s="13" t="str">
        <f t="shared" si="58"/>
        <v>08</v>
      </c>
      <c r="H609" s="13" t="str">
        <f t="shared" si="59"/>
        <v>2506</v>
      </c>
    </row>
    <row r="610" spans="1:8" x14ac:dyDescent="0.3">
      <c r="A610" s="13" t="s">
        <v>1320</v>
      </c>
      <c r="B610" s="13" t="s">
        <v>1321</v>
      </c>
      <c r="C610" s="13" t="str">
        <f t="shared" si="54"/>
        <v>SUSAN SMITH</v>
      </c>
      <c r="D610" s="13" t="str">
        <f t="shared" si="55"/>
        <v>susan smith</v>
      </c>
      <c r="E610" s="13" t="str">
        <f t="shared" si="56"/>
        <v>Susan Smith</v>
      </c>
      <c r="F610" s="13" t="str">
        <f t="shared" si="57"/>
        <v>FL</v>
      </c>
      <c r="G610" s="13" t="str">
        <f t="shared" si="58"/>
        <v>09</v>
      </c>
      <c r="H610" s="13" t="str">
        <f t="shared" si="59"/>
        <v>2506</v>
      </c>
    </row>
    <row r="611" spans="1:8" x14ac:dyDescent="0.3">
      <c r="A611" s="13" t="s">
        <v>1322</v>
      </c>
      <c r="B611" s="13" t="s">
        <v>1323</v>
      </c>
      <c r="C611" s="13" t="str">
        <f t="shared" si="54"/>
        <v>BRIANNA ORR</v>
      </c>
      <c r="D611" s="13" t="str">
        <f t="shared" si="55"/>
        <v>brianna orr</v>
      </c>
      <c r="E611" s="13" t="str">
        <f t="shared" si="56"/>
        <v>Brianna Orr</v>
      </c>
      <c r="F611" s="13" t="str">
        <f t="shared" si="57"/>
        <v>FL</v>
      </c>
      <c r="G611" s="13" t="str">
        <f t="shared" si="58"/>
        <v>10</v>
      </c>
      <c r="H611" s="13" t="str">
        <f t="shared" si="59"/>
        <v>2506</v>
      </c>
    </row>
    <row r="612" spans="1:8" x14ac:dyDescent="0.3">
      <c r="A612" s="13" t="s">
        <v>1324</v>
      </c>
      <c r="B612" s="13" t="s">
        <v>1325</v>
      </c>
      <c r="C612" s="13" t="str">
        <f t="shared" si="54"/>
        <v>DUSTIN SMITH</v>
      </c>
      <c r="D612" s="13" t="str">
        <f t="shared" si="55"/>
        <v>dustin smith</v>
      </c>
      <c r="E612" s="13" t="str">
        <f t="shared" si="56"/>
        <v>Dustin Smith</v>
      </c>
      <c r="F612" s="13" t="str">
        <f t="shared" si="57"/>
        <v>FL</v>
      </c>
      <c r="G612" s="13" t="str">
        <f t="shared" si="58"/>
        <v>11</v>
      </c>
      <c r="H612" s="13" t="str">
        <f t="shared" si="59"/>
        <v>2506</v>
      </c>
    </row>
    <row r="613" spans="1:8" x14ac:dyDescent="0.3">
      <c r="A613" s="13" t="s">
        <v>1326</v>
      </c>
      <c r="B613" s="13" t="s">
        <v>1327</v>
      </c>
      <c r="C613" s="13" t="str">
        <f t="shared" si="54"/>
        <v>SARAH WHITE</v>
      </c>
      <c r="D613" s="13" t="str">
        <f t="shared" si="55"/>
        <v>sarah white</v>
      </c>
      <c r="E613" s="13" t="str">
        <f t="shared" si="56"/>
        <v>Sarah White</v>
      </c>
      <c r="F613" s="13" t="str">
        <f t="shared" si="57"/>
        <v>FL</v>
      </c>
      <c r="G613" s="13" t="str">
        <f t="shared" si="58"/>
        <v>12</v>
      </c>
      <c r="H613" s="13" t="str">
        <f t="shared" si="59"/>
        <v>2506</v>
      </c>
    </row>
    <row r="614" spans="1:8" x14ac:dyDescent="0.3">
      <c r="A614" s="13" t="s">
        <v>1328</v>
      </c>
      <c r="B614" s="13" t="s">
        <v>1329</v>
      </c>
      <c r="C614" s="13" t="str">
        <f t="shared" si="54"/>
        <v>MICHAEL DAVIS</v>
      </c>
      <c r="D614" s="13" t="str">
        <f t="shared" si="55"/>
        <v>michael davis</v>
      </c>
      <c r="E614" s="13" t="str">
        <f t="shared" si="56"/>
        <v>Michael Davis</v>
      </c>
      <c r="F614" s="13" t="str">
        <f t="shared" si="57"/>
        <v>FL</v>
      </c>
      <c r="G614" s="13" t="str">
        <f t="shared" si="58"/>
        <v>13</v>
      </c>
      <c r="H614" s="13" t="str">
        <f t="shared" si="59"/>
        <v>2506</v>
      </c>
    </row>
    <row r="615" spans="1:8" x14ac:dyDescent="0.3">
      <c r="A615" s="13" t="s">
        <v>1330</v>
      </c>
      <c r="B615" s="13" t="s">
        <v>1331</v>
      </c>
      <c r="C615" s="13" t="str">
        <f t="shared" si="54"/>
        <v>JENNIFER PHILLIPS</v>
      </c>
      <c r="D615" s="13" t="str">
        <f t="shared" si="55"/>
        <v>jennifer phillips</v>
      </c>
      <c r="E615" s="13" t="str">
        <f t="shared" si="56"/>
        <v>Jennifer Phillips</v>
      </c>
      <c r="F615" s="13" t="str">
        <f t="shared" si="57"/>
        <v>FL</v>
      </c>
      <c r="G615" s="13" t="str">
        <f t="shared" si="58"/>
        <v>14</v>
      </c>
      <c r="H615" s="13" t="str">
        <f t="shared" si="59"/>
        <v>2506</v>
      </c>
    </row>
    <row r="616" spans="1:8" x14ac:dyDescent="0.3">
      <c r="A616" s="13" t="s">
        <v>1332</v>
      </c>
      <c r="B616" s="13" t="s">
        <v>1333</v>
      </c>
      <c r="C616" s="13" t="str">
        <f t="shared" si="54"/>
        <v>DANA SANDERS</v>
      </c>
      <c r="D616" s="13" t="str">
        <f t="shared" si="55"/>
        <v>dana sanders</v>
      </c>
      <c r="E616" s="13" t="str">
        <f t="shared" si="56"/>
        <v>Dana Sanders</v>
      </c>
      <c r="F616" s="13" t="str">
        <f t="shared" si="57"/>
        <v>FL</v>
      </c>
      <c r="G616" s="13" t="str">
        <f t="shared" si="58"/>
        <v>15</v>
      </c>
      <c r="H616" s="13" t="str">
        <f t="shared" si="59"/>
        <v>2506</v>
      </c>
    </row>
    <row r="617" spans="1:8" x14ac:dyDescent="0.3">
      <c r="A617" s="13" t="s">
        <v>1334</v>
      </c>
      <c r="B617" s="13" t="s">
        <v>1335</v>
      </c>
      <c r="C617" s="13" t="str">
        <f t="shared" si="54"/>
        <v>DANIEL QUINN</v>
      </c>
      <c r="D617" s="13" t="str">
        <f t="shared" si="55"/>
        <v>daniel quinn</v>
      </c>
      <c r="E617" s="13" t="str">
        <f t="shared" si="56"/>
        <v>Daniel Quinn</v>
      </c>
      <c r="F617" s="13" t="str">
        <f t="shared" si="57"/>
        <v>FL</v>
      </c>
      <c r="G617" s="13" t="str">
        <f t="shared" si="58"/>
        <v>16</v>
      </c>
      <c r="H617" s="13" t="str">
        <f t="shared" si="59"/>
        <v>2506</v>
      </c>
    </row>
    <row r="618" spans="1:8" x14ac:dyDescent="0.3">
      <c r="A618" s="13" t="s">
        <v>1336</v>
      </c>
      <c r="B618" s="13" t="s">
        <v>1337</v>
      </c>
      <c r="C618" s="13" t="str">
        <f t="shared" si="54"/>
        <v>MATTHEW STEELE</v>
      </c>
      <c r="D618" s="13" t="str">
        <f t="shared" si="55"/>
        <v>matthew steele</v>
      </c>
      <c r="E618" s="13" t="str">
        <f t="shared" si="56"/>
        <v>Matthew Steele</v>
      </c>
      <c r="F618" s="13" t="str">
        <f t="shared" si="57"/>
        <v>FL</v>
      </c>
      <c r="G618" s="13" t="str">
        <f t="shared" si="58"/>
        <v>17</v>
      </c>
      <c r="H618" s="13" t="str">
        <f t="shared" si="59"/>
        <v>2506</v>
      </c>
    </row>
    <row r="619" spans="1:8" x14ac:dyDescent="0.3">
      <c r="A619" s="13" t="s">
        <v>1338</v>
      </c>
      <c r="B619" s="13" t="s">
        <v>1339</v>
      </c>
      <c r="C619" s="13" t="str">
        <f t="shared" si="54"/>
        <v>MICHELE TAYLOR</v>
      </c>
      <c r="D619" s="13" t="str">
        <f t="shared" si="55"/>
        <v>michele taylor</v>
      </c>
      <c r="E619" s="13" t="str">
        <f t="shared" si="56"/>
        <v>Michele Taylor</v>
      </c>
      <c r="F619" s="13" t="str">
        <f t="shared" si="57"/>
        <v>FL</v>
      </c>
      <c r="G619" s="13" t="str">
        <f t="shared" si="58"/>
        <v>18</v>
      </c>
      <c r="H619" s="13" t="str">
        <f t="shared" si="59"/>
        <v>2506</v>
      </c>
    </row>
    <row r="620" spans="1:8" x14ac:dyDescent="0.3">
      <c r="A620" s="13" t="s">
        <v>1340</v>
      </c>
      <c r="B620" s="13" t="s">
        <v>1341</v>
      </c>
      <c r="C620" s="13" t="str">
        <f t="shared" si="54"/>
        <v>ASHLEY HAMMOND</v>
      </c>
      <c r="D620" s="13" t="str">
        <f t="shared" si="55"/>
        <v>ashley hammond</v>
      </c>
      <c r="E620" s="13" t="str">
        <f t="shared" si="56"/>
        <v>Ashley Hammond</v>
      </c>
      <c r="F620" s="13" t="str">
        <f t="shared" si="57"/>
        <v>FL</v>
      </c>
      <c r="G620" s="13" t="str">
        <f t="shared" si="58"/>
        <v>19</v>
      </c>
      <c r="H620" s="13" t="str">
        <f t="shared" si="59"/>
        <v>2506</v>
      </c>
    </row>
    <row r="621" spans="1:8" x14ac:dyDescent="0.3">
      <c r="A621" s="13" t="s">
        <v>1342</v>
      </c>
      <c r="B621" s="13" t="s">
        <v>1343</v>
      </c>
      <c r="C621" s="13" t="str">
        <f t="shared" si="54"/>
        <v>NICOLE TAYLOR</v>
      </c>
      <c r="D621" s="13" t="str">
        <f t="shared" si="55"/>
        <v>nicole taylor</v>
      </c>
      <c r="E621" s="13" t="str">
        <f t="shared" si="56"/>
        <v>Nicole Taylor</v>
      </c>
      <c r="F621" s="13" t="str">
        <f t="shared" si="57"/>
        <v>FL</v>
      </c>
      <c r="G621" s="13" t="str">
        <f t="shared" si="58"/>
        <v>20</v>
      </c>
      <c r="H621" s="13" t="str">
        <f t="shared" si="59"/>
        <v>2506</v>
      </c>
    </row>
    <row r="622" spans="1:8" x14ac:dyDescent="0.3">
      <c r="A622" s="13" t="s">
        <v>1344</v>
      </c>
      <c r="B622" s="13" t="s">
        <v>1345</v>
      </c>
      <c r="C622" s="13" t="str">
        <f t="shared" si="54"/>
        <v>CASEY BUSH</v>
      </c>
      <c r="D622" s="13" t="str">
        <f t="shared" si="55"/>
        <v>casey bush</v>
      </c>
      <c r="E622" s="13" t="str">
        <f t="shared" si="56"/>
        <v>Casey Bush</v>
      </c>
      <c r="F622" s="13" t="str">
        <f t="shared" si="57"/>
        <v>FL</v>
      </c>
      <c r="G622" s="13" t="str">
        <f t="shared" si="58"/>
        <v>21</v>
      </c>
      <c r="H622" s="13" t="str">
        <f t="shared" si="59"/>
        <v>2506</v>
      </c>
    </row>
    <row r="623" spans="1:8" x14ac:dyDescent="0.3">
      <c r="A623" s="13" t="s">
        <v>1346</v>
      </c>
      <c r="B623" s="13" t="s">
        <v>1347</v>
      </c>
      <c r="C623" s="13" t="str">
        <f t="shared" si="54"/>
        <v>SAMUEL PATTERSON</v>
      </c>
      <c r="D623" s="13" t="str">
        <f t="shared" si="55"/>
        <v>samuel patterson</v>
      </c>
      <c r="E623" s="13" t="str">
        <f t="shared" si="56"/>
        <v>Samuel Patterson</v>
      </c>
      <c r="F623" s="13" t="str">
        <f t="shared" si="57"/>
        <v>FL</v>
      </c>
      <c r="G623" s="13" t="str">
        <f t="shared" si="58"/>
        <v>22</v>
      </c>
      <c r="H623" s="13" t="str">
        <f t="shared" si="59"/>
        <v>2506</v>
      </c>
    </row>
    <row r="624" spans="1:8" x14ac:dyDescent="0.3">
      <c r="A624" s="13" t="s">
        <v>1348</v>
      </c>
      <c r="B624" s="13" t="s">
        <v>1349</v>
      </c>
      <c r="C624" s="13" t="str">
        <f t="shared" si="54"/>
        <v>CRAIG DENNIS</v>
      </c>
      <c r="D624" s="13" t="str">
        <f t="shared" si="55"/>
        <v>craig dennis</v>
      </c>
      <c r="E624" s="13" t="str">
        <f t="shared" si="56"/>
        <v>Craig Dennis</v>
      </c>
      <c r="F624" s="13" t="str">
        <f t="shared" si="57"/>
        <v>FL</v>
      </c>
      <c r="G624" s="13" t="str">
        <f t="shared" si="58"/>
        <v>23</v>
      </c>
      <c r="H624" s="13" t="str">
        <f t="shared" si="59"/>
        <v>2506</v>
      </c>
    </row>
    <row r="625" spans="1:8" x14ac:dyDescent="0.3">
      <c r="A625" s="13" t="s">
        <v>1350</v>
      </c>
      <c r="B625" s="13" t="s">
        <v>1351</v>
      </c>
      <c r="C625" s="13" t="str">
        <f t="shared" si="54"/>
        <v>HEIDI DIXON</v>
      </c>
      <c r="D625" s="13" t="str">
        <f t="shared" si="55"/>
        <v>heidi dixon</v>
      </c>
      <c r="E625" s="13" t="str">
        <f t="shared" si="56"/>
        <v>Heidi Dixon</v>
      </c>
      <c r="F625" s="13" t="str">
        <f t="shared" si="57"/>
        <v>FL</v>
      </c>
      <c r="G625" s="13" t="str">
        <f t="shared" si="58"/>
        <v>24</v>
      </c>
      <c r="H625" s="13" t="str">
        <f t="shared" si="59"/>
        <v>2506</v>
      </c>
    </row>
    <row r="626" spans="1:8" x14ac:dyDescent="0.3">
      <c r="A626" s="13" t="s">
        <v>1352</v>
      </c>
      <c r="B626" s="13" t="s">
        <v>1353</v>
      </c>
      <c r="C626" s="13" t="str">
        <f t="shared" si="54"/>
        <v>DAVID BISHOP</v>
      </c>
      <c r="D626" s="13" t="str">
        <f t="shared" si="55"/>
        <v>david bishop</v>
      </c>
      <c r="E626" s="13" t="str">
        <f t="shared" si="56"/>
        <v>David Bishop</v>
      </c>
      <c r="F626" s="13" t="str">
        <f t="shared" si="57"/>
        <v>FL</v>
      </c>
      <c r="G626" s="13" t="str">
        <f t="shared" si="58"/>
        <v>25</v>
      </c>
      <c r="H626" s="13" t="str">
        <f t="shared" si="59"/>
        <v>2506</v>
      </c>
    </row>
    <row r="627" spans="1:8" x14ac:dyDescent="0.3">
      <c r="A627" s="13" t="s">
        <v>1354</v>
      </c>
      <c r="B627" s="13" t="s">
        <v>1355</v>
      </c>
      <c r="C627" s="13" t="str">
        <f t="shared" si="54"/>
        <v>LAURA BUTLER</v>
      </c>
      <c r="D627" s="13" t="str">
        <f t="shared" si="55"/>
        <v>laura butler</v>
      </c>
      <c r="E627" s="13" t="str">
        <f t="shared" si="56"/>
        <v>Laura Butler</v>
      </c>
      <c r="F627" s="13" t="str">
        <f t="shared" si="57"/>
        <v>FL</v>
      </c>
      <c r="G627" s="13" t="str">
        <f t="shared" si="58"/>
        <v>26</v>
      </c>
      <c r="H627" s="13" t="str">
        <f t="shared" si="59"/>
        <v>2506</v>
      </c>
    </row>
    <row r="628" spans="1:8" x14ac:dyDescent="0.3">
      <c r="A628" s="13" t="s">
        <v>1356</v>
      </c>
      <c r="B628" s="13" t="s">
        <v>1357</v>
      </c>
      <c r="C628" s="13" t="str">
        <f t="shared" si="54"/>
        <v>DENISE ERICKSON</v>
      </c>
      <c r="D628" s="13" t="str">
        <f t="shared" si="55"/>
        <v>denise erickson</v>
      </c>
      <c r="E628" s="13" t="str">
        <f t="shared" si="56"/>
        <v>Denise Erickson</v>
      </c>
      <c r="F628" s="13" t="str">
        <f t="shared" si="57"/>
        <v>FL</v>
      </c>
      <c r="G628" s="13" t="str">
        <f t="shared" si="58"/>
        <v>27</v>
      </c>
      <c r="H628" s="13" t="str">
        <f t="shared" si="59"/>
        <v>2506</v>
      </c>
    </row>
    <row r="629" spans="1:8" x14ac:dyDescent="0.3">
      <c r="A629" s="13" t="s">
        <v>1358</v>
      </c>
      <c r="B629" s="13" t="s">
        <v>1359</v>
      </c>
      <c r="C629" s="13" t="str">
        <f t="shared" si="54"/>
        <v>NICOLE AUSTIN</v>
      </c>
      <c r="D629" s="13" t="str">
        <f t="shared" si="55"/>
        <v>nicole austin</v>
      </c>
      <c r="E629" s="13" t="str">
        <f t="shared" si="56"/>
        <v>Nicole Austin</v>
      </c>
      <c r="F629" s="13" t="str">
        <f t="shared" si="57"/>
        <v>FL</v>
      </c>
      <c r="G629" s="13" t="str">
        <f t="shared" si="58"/>
        <v>28</v>
      </c>
      <c r="H629" s="13" t="str">
        <f t="shared" si="59"/>
        <v>2506</v>
      </c>
    </row>
    <row r="630" spans="1:8" x14ac:dyDescent="0.3">
      <c r="A630" s="13" t="s">
        <v>1360</v>
      </c>
      <c r="B630" s="13" t="s">
        <v>1361</v>
      </c>
      <c r="C630" s="13" t="str">
        <f t="shared" si="54"/>
        <v>SUMMER WILLIAMS</v>
      </c>
      <c r="D630" s="13" t="str">
        <f t="shared" si="55"/>
        <v>summer williams</v>
      </c>
      <c r="E630" s="13" t="str">
        <f t="shared" si="56"/>
        <v>Summer Williams</v>
      </c>
      <c r="F630" s="13" t="str">
        <f t="shared" si="57"/>
        <v>FL</v>
      </c>
      <c r="G630" s="13" t="str">
        <f t="shared" si="58"/>
        <v>29</v>
      </c>
      <c r="H630" s="13" t="str">
        <f t="shared" si="59"/>
        <v>2506</v>
      </c>
    </row>
    <row r="631" spans="1:8" x14ac:dyDescent="0.3">
      <c r="A631" s="13" t="s">
        <v>1362</v>
      </c>
      <c r="B631" s="13" t="s">
        <v>1363</v>
      </c>
      <c r="C631" s="13" t="str">
        <f t="shared" si="54"/>
        <v>ANGELA BLACKWELL</v>
      </c>
      <c r="D631" s="13" t="str">
        <f t="shared" si="55"/>
        <v>angela blackwell</v>
      </c>
      <c r="E631" s="13" t="str">
        <f t="shared" si="56"/>
        <v>Angela Blackwell</v>
      </c>
      <c r="F631" s="13" t="str">
        <f t="shared" si="57"/>
        <v>FL</v>
      </c>
      <c r="G631" s="13" t="str">
        <f t="shared" si="58"/>
        <v>30</v>
      </c>
      <c r="H631" s="13" t="str">
        <f t="shared" si="59"/>
        <v>2506</v>
      </c>
    </row>
    <row r="632" spans="1:8" x14ac:dyDescent="0.3">
      <c r="A632" s="13" t="s">
        <v>1364</v>
      </c>
      <c r="B632" s="13" t="s">
        <v>1365</v>
      </c>
      <c r="C632" s="13" t="str">
        <f t="shared" si="54"/>
        <v>THOMAS WALL</v>
      </c>
      <c r="D632" s="13" t="str">
        <f t="shared" si="55"/>
        <v>thomas wall</v>
      </c>
      <c r="E632" s="13" t="str">
        <f t="shared" si="56"/>
        <v>Thomas Wall</v>
      </c>
      <c r="F632" s="13" t="str">
        <f t="shared" si="57"/>
        <v>FL</v>
      </c>
      <c r="G632" s="13" t="str">
        <f t="shared" si="58"/>
        <v>31</v>
      </c>
      <c r="H632" s="13" t="str">
        <f t="shared" si="59"/>
        <v>2506</v>
      </c>
    </row>
    <row r="633" spans="1:8" x14ac:dyDescent="0.3">
      <c r="A633" s="13" t="s">
        <v>1366</v>
      </c>
      <c r="B633" s="13" t="s">
        <v>1367</v>
      </c>
      <c r="C633" s="13" t="str">
        <f t="shared" si="54"/>
        <v>SARAH ANDERSON</v>
      </c>
      <c r="D633" s="13" t="str">
        <f t="shared" si="55"/>
        <v>sarah anderson</v>
      </c>
      <c r="E633" s="13" t="str">
        <f t="shared" si="56"/>
        <v>Sarah Anderson</v>
      </c>
      <c r="F633" s="13" t="str">
        <f t="shared" si="57"/>
        <v>FL</v>
      </c>
      <c r="G633" s="13" t="str">
        <f t="shared" si="58"/>
        <v>32</v>
      </c>
      <c r="H633" s="13" t="str">
        <f t="shared" si="59"/>
        <v>2506</v>
      </c>
    </row>
    <row r="634" spans="1:8" x14ac:dyDescent="0.3">
      <c r="A634" s="13" t="s">
        <v>1368</v>
      </c>
      <c r="B634" s="13" t="s">
        <v>1369</v>
      </c>
      <c r="C634" s="13" t="str">
        <f t="shared" si="54"/>
        <v>CHRISTIAN LANE</v>
      </c>
      <c r="D634" s="13" t="str">
        <f t="shared" si="55"/>
        <v>christian lane</v>
      </c>
      <c r="E634" s="13" t="str">
        <f t="shared" si="56"/>
        <v>Christian Lane</v>
      </c>
      <c r="F634" s="13" t="str">
        <f t="shared" si="57"/>
        <v>FL</v>
      </c>
      <c r="G634" s="13" t="str">
        <f t="shared" si="58"/>
        <v>33</v>
      </c>
      <c r="H634" s="13" t="str">
        <f t="shared" si="59"/>
        <v>2506</v>
      </c>
    </row>
    <row r="635" spans="1:8" x14ac:dyDescent="0.3">
      <c r="A635" s="13" t="s">
        <v>1370</v>
      </c>
      <c r="B635" s="13" t="s">
        <v>1371</v>
      </c>
      <c r="C635" s="13" t="str">
        <f t="shared" si="54"/>
        <v>TODD CASEY</v>
      </c>
      <c r="D635" s="13" t="str">
        <f t="shared" si="55"/>
        <v>todd casey</v>
      </c>
      <c r="E635" s="13" t="str">
        <f t="shared" si="56"/>
        <v>Todd Casey</v>
      </c>
      <c r="F635" s="13" t="str">
        <f t="shared" si="57"/>
        <v>FL</v>
      </c>
      <c r="G635" s="13" t="str">
        <f t="shared" si="58"/>
        <v>34</v>
      </c>
      <c r="H635" s="13" t="str">
        <f t="shared" si="59"/>
        <v>2506</v>
      </c>
    </row>
    <row r="636" spans="1:8" x14ac:dyDescent="0.3">
      <c r="A636" s="13" t="s">
        <v>1372</v>
      </c>
      <c r="B636" s="13" t="s">
        <v>1373</v>
      </c>
      <c r="C636" s="13" t="str">
        <f t="shared" si="54"/>
        <v>DAVID MARTINEZ</v>
      </c>
      <c r="D636" s="13" t="str">
        <f t="shared" si="55"/>
        <v>david martinez</v>
      </c>
      <c r="E636" s="13" t="str">
        <f t="shared" si="56"/>
        <v>David Martinez</v>
      </c>
      <c r="F636" s="13" t="str">
        <f t="shared" si="57"/>
        <v>FL</v>
      </c>
      <c r="G636" s="13" t="str">
        <f t="shared" si="58"/>
        <v>35</v>
      </c>
      <c r="H636" s="13" t="str">
        <f t="shared" si="59"/>
        <v>2506</v>
      </c>
    </row>
    <row r="637" spans="1:8" x14ac:dyDescent="0.3">
      <c r="A637" s="13" t="s">
        <v>1374</v>
      </c>
      <c r="B637" s="13" t="s">
        <v>1375</v>
      </c>
      <c r="C637" s="13" t="str">
        <f t="shared" si="54"/>
        <v>DONALD SALAS</v>
      </c>
      <c r="D637" s="13" t="str">
        <f t="shared" si="55"/>
        <v>donald salas</v>
      </c>
      <c r="E637" s="13" t="str">
        <f t="shared" si="56"/>
        <v>Donald Salas</v>
      </c>
      <c r="F637" s="13" t="str">
        <f t="shared" si="57"/>
        <v>FL</v>
      </c>
      <c r="G637" s="13" t="str">
        <f t="shared" si="58"/>
        <v>36</v>
      </c>
      <c r="H637" s="13" t="str">
        <f t="shared" si="59"/>
        <v>2506</v>
      </c>
    </row>
    <row r="638" spans="1:8" x14ac:dyDescent="0.3">
      <c r="A638" s="13" t="s">
        <v>1376</v>
      </c>
      <c r="B638" s="13" t="s">
        <v>1377</v>
      </c>
      <c r="C638" s="13" t="str">
        <f t="shared" si="54"/>
        <v>EMMA HICKS</v>
      </c>
      <c r="D638" s="13" t="str">
        <f t="shared" si="55"/>
        <v>emma hicks</v>
      </c>
      <c r="E638" s="13" t="str">
        <f t="shared" si="56"/>
        <v>Emma Hicks</v>
      </c>
      <c r="F638" s="13" t="str">
        <f t="shared" si="57"/>
        <v>FL</v>
      </c>
      <c r="G638" s="13" t="str">
        <f t="shared" si="58"/>
        <v>37</v>
      </c>
      <c r="H638" s="13" t="str">
        <f t="shared" si="59"/>
        <v>2506</v>
      </c>
    </row>
    <row r="639" spans="1:8" x14ac:dyDescent="0.3">
      <c r="A639" s="13" t="s">
        <v>1378</v>
      </c>
      <c r="B639" s="13" t="s">
        <v>1379</v>
      </c>
      <c r="C639" s="13" t="str">
        <f t="shared" si="54"/>
        <v>ALISON CLARK</v>
      </c>
      <c r="D639" s="13" t="str">
        <f t="shared" si="55"/>
        <v>alison clark</v>
      </c>
      <c r="E639" s="13" t="str">
        <f t="shared" si="56"/>
        <v>Alison Clark</v>
      </c>
      <c r="F639" s="13" t="str">
        <f t="shared" si="57"/>
        <v>FL</v>
      </c>
      <c r="G639" s="13" t="str">
        <f t="shared" si="58"/>
        <v>38</v>
      </c>
      <c r="H639" s="13" t="str">
        <f t="shared" si="59"/>
        <v>2506</v>
      </c>
    </row>
    <row r="640" spans="1:8" x14ac:dyDescent="0.3">
      <c r="A640" s="13" t="s">
        <v>1380</v>
      </c>
      <c r="B640" s="13" t="s">
        <v>1381</v>
      </c>
      <c r="C640" s="13" t="str">
        <f t="shared" si="54"/>
        <v>ANDREW BARNES</v>
      </c>
      <c r="D640" s="13" t="str">
        <f t="shared" si="55"/>
        <v>andrew barnes</v>
      </c>
      <c r="E640" s="13" t="str">
        <f t="shared" si="56"/>
        <v>Andrew Barnes</v>
      </c>
      <c r="F640" s="13" t="str">
        <f t="shared" si="57"/>
        <v>FL</v>
      </c>
      <c r="G640" s="13" t="str">
        <f t="shared" si="58"/>
        <v>39</v>
      </c>
      <c r="H640" s="13" t="str">
        <f t="shared" si="59"/>
        <v>2506</v>
      </c>
    </row>
    <row r="641" spans="1:8" x14ac:dyDescent="0.3">
      <c r="A641" s="13" t="s">
        <v>1382</v>
      </c>
      <c r="B641" s="13" t="s">
        <v>1383</v>
      </c>
      <c r="C641" s="13" t="str">
        <f t="shared" si="54"/>
        <v>GINA SNYDER</v>
      </c>
      <c r="D641" s="13" t="str">
        <f t="shared" si="55"/>
        <v>gina snyder</v>
      </c>
      <c r="E641" s="13" t="str">
        <f t="shared" si="56"/>
        <v>Gina Snyder</v>
      </c>
      <c r="F641" s="13" t="str">
        <f t="shared" si="57"/>
        <v>FL</v>
      </c>
      <c r="G641" s="13" t="str">
        <f t="shared" si="58"/>
        <v>40</v>
      </c>
      <c r="H641" s="13" t="str">
        <f t="shared" si="59"/>
        <v>2506</v>
      </c>
    </row>
    <row r="642" spans="1:8" x14ac:dyDescent="0.3">
      <c r="A642" s="13" t="s">
        <v>1384</v>
      </c>
      <c r="B642" s="13" t="s">
        <v>1385</v>
      </c>
      <c r="C642" s="13" t="str">
        <f t="shared" si="54"/>
        <v>DAVID WATSON</v>
      </c>
      <c r="D642" s="13" t="str">
        <f t="shared" si="55"/>
        <v>david watson</v>
      </c>
      <c r="E642" s="13" t="str">
        <f t="shared" si="56"/>
        <v>David Watson</v>
      </c>
      <c r="F642" s="13" t="str">
        <f t="shared" si="57"/>
        <v>FL</v>
      </c>
      <c r="G642" s="13" t="str">
        <f t="shared" si="58"/>
        <v>41</v>
      </c>
      <c r="H642" s="13" t="str">
        <f t="shared" si="59"/>
        <v>2506</v>
      </c>
    </row>
    <row r="643" spans="1:8" x14ac:dyDescent="0.3">
      <c r="A643" s="13" t="s">
        <v>1386</v>
      </c>
      <c r="B643" s="13" t="s">
        <v>1387</v>
      </c>
      <c r="C643" s="13" t="str">
        <f t="shared" ref="C643:C706" si="60">UPPER(B643)</f>
        <v>JOHN DAVIS</v>
      </c>
      <c r="D643" s="13" t="str">
        <f t="shared" ref="D643:D706" si="61">LOWER(B643)</f>
        <v>john davis</v>
      </c>
      <c r="E643" s="13" t="str">
        <f t="shared" ref="E643:E706" si="62">PROPER(C643)</f>
        <v>John Davis</v>
      </c>
      <c r="F643" s="13" t="str">
        <f t="shared" ref="F643:F706" si="63">LEFT(A643,2)</f>
        <v>FL</v>
      </c>
      <c r="G643" s="13" t="str">
        <f t="shared" ref="G643:G706" si="64">RIGHT(A643,2)</f>
        <v>42</v>
      </c>
      <c r="H643" s="13" t="str">
        <f t="shared" ref="H643:H706" si="65">MID(A643,3,4)</f>
        <v>2506</v>
      </c>
    </row>
    <row r="644" spans="1:8" x14ac:dyDescent="0.3">
      <c r="A644" s="13" t="s">
        <v>1388</v>
      </c>
      <c r="B644" s="13" t="s">
        <v>1389</v>
      </c>
      <c r="C644" s="13" t="str">
        <f t="shared" si="60"/>
        <v>JOSEPH THOMAS</v>
      </c>
      <c r="D644" s="13" t="str">
        <f t="shared" si="61"/>
        <v>joseph thomas</v>
      </c>
      <c r="E644" s="13" t="str">
        <f t="shared" si="62"/>
        <v>Joseph Thomas</v>
      </c>
      <c r="F644" s="13" t="str">
        <f t="shared" si="63"/>
        <v>FL</v>
      </c>
      <c r="G644" s="13" t="str">
        <f t="shared" si="64"/>
        <v>43</v>
      </c>
      <c r="H644" s="13" t="str">
        <f t="shared" si="65"/>
        <v>2506</v>
      </c>
    </row>
    <row r="645" spans="1:8" x14ac:dyDescent="0.3">
      <c r="A645" s="13" t="s">
        <v>1390</v>
      </c>
      <c r="B645" s="13" t="s">
        <v>1391</v>
      </c>
      <c r="C645" s="13" t="str">
        <f t="shared" si="60"/>
        <v>DEAN FINLEY</v>
      </c>
      <c r="D645" s="13" t="str">
        <f t="shared" si="61"/>
        <v>dean finley</v>
      </c>
      <c r="E645" s="13" t="str">
        <f t="shared" si="62"/>
        <v>Dean Finley</v>
      </c>
      <c r="F645" s="13" t="str">
        <f t="shared" si="63"/>
        <v>FL</v>
      </c>
      <c r="G645" s="13" t="str">
        <f t="shared" si="64"/>
        <v>44</v>
      </c>
      <c r="H645" s="13" t="str">
        <f t="shared" si="65"/>
        <v>2506</v>
      </c>
    </row>
    <row r="646" spans="1:8" x14ac:dyDescent="0.3">
      <c r="A646" s="13" t="s">
        <v>1392</v>
      </c>
      <c r="B646" s="13" t="s">
        <v>1393</v>
      </c>
      <c r="C646" s="13" t="str">
        <f t="shared" si="60"/>
        <v>ASHLEY KEMP</v>
      </c>
      <c r="D646" s="13" t="str">
        <f t="shared" si="61"/>
        <v>ashley kemp</v>
      </c>
      <c r="E646" s="13" t="str">
        <f t="shared" si="62"/>
        <v>Ashley Kemp</v>
      </c>
      <c r="F646" s="13" t="str">
        <f t="shared" si="63"/>
        <v>FL</v>
      </c>
      <c r="G646" s="13" t="str">
        <f t="shared" si="64"/>
        <v>45</v>
      </c>
      <c r="H646" s="13" t="str">
        <f t="shared" si="65"/>
        <v>2506</v>
      </c>
    </row>
    <row r="647" spans="1:8" x14ac:dyDescent="0.3">
      <c r="A647" s="13" t="s">
        <v>1394</v>
      </c>
      <c r="B647" s="13" t="s">
        <v>1395</v>
      </c>
      <c r="C647" s="13" t="str">
        <f t="shared" si="60"/>
        <v>KENNETH EVANS</v>
      </c>
      <c r="D647" s="13" t="str">
        <f t="shared" si="61"/>
        <v>kenneth evans</v>
      </c>
      <c r="E647" s="13" t="str">
        <f t="shared" si="62"/>
        <v>Kenneth Evans</v>
      </c>
      <c r="F647" s="13" t="str">
        <f t="shared" si="63"/>
        <v>FL</v>
      </c>
      <c r="G647" s="13" t="str">
        <f t="shared" si="64"/>
        <v>46</v>
      </c>
      <c r="H647" s="13" t="str">
        <f t="shared" si="65"/>
        <v>2506</v>
      </c>
    </row>
    <row r="648" spans="1:8" x14ac:dyDescent="0.3">
      <c r="A648" s="13" t="s">
        <v>1396</v>
      </c>
      <c r="B648" s="13" t="s">
        <v>1397</v>
      </c>
      <c r="C648" s="13" t="str">
        <f t="shared" si="60"/>
        <v>BRANDON NEWMAN</v>
      </c>
      <c r="D648" s="13" t="str">
        <f t="shared" si="61"/>
        <v>brandon newman</v>
      </c>
      <c r="E648" s="13" t="str">
        <f t="shared" si="62"/>
        <v>Brandon Newman</v>
      </c>
      <c r="F648" s="13" t="str">
        <f t="shared" si="63"/>
        <v>FL</v>
      </c>
      <c r="G648" s="13" t="str">
        <f t="shared" si="64"/>
        <v>47</v>
      </c>
      <c r="H648" s="13" t="str">
        <f t="shared" si="65"/>
        <v>2506</v>
      </c>
    </row>
    <row r="649" spans="1:8" x14ac:dyDescent="0.3">
      <c r="A649" s="13" t="s">
        <v>1398</v>
      </c>
      <c r="B649" s="13" t="s">
        <v>1399</v>
      </c>
      <c r="C649" s="13" t="str">
        <f t="shared" si="60"/>
        <v>KATIE HENSLEY</v>
      </c>
      <c r="D649" s="13" t="str">
        <f t="shared" si="61"/>
        <v>katie hensley</v>
      </c>
      <c r="E649" s="13" t="str">
        <f t="shared" si="62"/>
        <v>Katie Hensley</v>
      </c>
      <c r="F649" s="13" t="str">
        <f t="shared" si="63"/>
        <v>FL</v>
      </c>
      <c r="G649" s="13" t="str">
        <f t="shared" si="64"/>
        <v>48</v>
      </c>
      <c r="H649" s="13" t="str">
        <f t="shared" si="65"/>
        <v>2506</v>
      </c>
    </row>
    <row r="650" spans="1:8" x14ac:dyDescent="0.3">
      <c r="A650" s="13" t="s">
        <v>1400</v>
      </c>
      <c r="B650" s="13" t="s">
        <v>1401</v>
      </c>
      <c r="C650" s="13" t="str">
        <f t="shared" si="60"/>
        <v>JOEL RANDOLPH</v>
      </c>
      <c r="D650" s="13" t="str">
        <f t="shared" si="61"/>
        <v>joel randolph</v>
      </c>
      <c r="E650" s="13" t="str">
        <f t="shared" si="62"/>
        <v>Joel Randolph</v>
      </c>
      <c r="F650" s="13" t="str">
        <f t="shared" si="63"/>
        <v>FL</v>
      </c>
      <c r="G650" s="13" t="str">
        <f t="shared" si="64"/>
        <v>49</v>
      </c>
      <c r="H650" s="13" t="str">
        <f t="shared" si="65"/>
        <v>2506</v>
      </c>
    </row>
    <row r="651" spans="1:8" x14ac:dyDescent="0.3">
      <c r="A651" s="13" t="s">
        <v>1402</v>
      </c>
      <c r="B651" s="13" t="s">
        <v>1403</v>
      </c>
      <c r="C651" s="13" t="str">
        <f t="shared" si="60"/>
        <v>ANDREW SCOTT</v>
      </c>
      <c r="D651" s="13" t="str">
        <f t="shared" si="61"/>
        <v>andrew scott</v>
      </c>
      <c r="E651" s="13" t="str">
        <f t="shared" si="62"/>
        <v>Andrew Scott</v>
      </c>
      <c r="F651" s="13" t="str">
        <f t="shared" si="63"/>
        <v>FL</v>
      </c>
      <c r="G651" s="13" t="str">
        <f t="shared" si="64"/>
        <v>50</v>
      </c>
      <c r="H651" s="13" t="str">
        <f t="shared" si="65"/>
        <v>2506</v>
      </c>
    </row>
    <row r="652" spans="1:8" x14ac:dyDescent="0.3">
      <c r="A652" s="13" t="s">
        <v>1404</v>
      </c>
      <c r="B652" s="13" t="s">
        <v>1405</v>
      </c>
      <c r="C652" s="13" t="str">
        <f t="shared" si="60"/>
        <v>ZACHARY OCHOA</v>
      </c>
      <c r="D652" s="13" t="str">
        <f t="shared" si="61"/>
        <v>zachary ochoa</v>
      </c>
      <c r="E652" s="13" t="str">
        <f t="shared" si="62"/>
        <v>Zachary Ochoa</v>
      </c>
      <c r="F652" s="13" t="str">
        <f t="shared" si="63"/>
        <v>FL</v>
      </c>
      <c r="G652" s="13" t="str">
        <f t="shared" si="64"/>
        <v>51</v>
      </c>
      <c r="H652" s="13" t="str">
        <f t="shared" si="65"/>
        <v>2506</v>
      </c>
    </row>
    <row r="653" spans="1:8" x14ac:dyDescent="0.3">
      <c r="A653" s="13" t="s">
        <v>1406</v>
      </c>
      <c r="B653" s="13" t="s">
        <v>1407</v>
      </c>
      <c r="C653" s="13" t="str">
        <f t="shared" si="60"/>
        <v>JOHN ARROYO</v>
      </c>
      <c r="D653" s="13" t="str">
        <f t="shared" si="61"/>
        <v>john arroyo</v>
      </c>
      <c r="E653" s="13" t="str">
        <f t="shared" si="62"/>
        <v>John Arroyo</v>
      </c>
      <c r="F653" s="13" t="str">
        <f t="shared" si="63"/>
        <v>FL</v>
      </c>
      <c r="G653" s="13" t="str">
        <f t="shared" si="64"/>
        <v>52</v>
      </c>
      <c r="H653" s="13" t="str">
        <f t="shared" si="65"/>
        <v>2506</v>
      </c>
    </row>
    <row r="654" spans="1:8" x14ac:dyDescent="0.3">
      <c r="A654" s="13" t="s">
        <v>1408</v>
      </c>
      <c r="B654" s="13" t="s">
        <v>1409</v>
      </c>
      <c r="C654" s="13" t="str">
        <f t="shared" si="60"/>
        <v>MATTHEW FERNANDEZ</v>
      </c>
      <c r="D654" s="13" t="str">
        <f t="shared" si="61"/>
        <v>matthew fernandez</v>
      </c>
      <c r="E654" s="13" t="str">
        <f t="shared" si="62"/>
        <v>Matthew Fernandez</v>
      </c>
      <c r="F654" s="13" t="str">
        <f t="shared" si="63"/>
        <v>FL</v>
      </c>
      <c r="G654" s="13" t="str">
        <f t="shared" si="64"/>
        <v>53</v>
      </c>
      <c r="H654" s="13" t="str">
        <f t="shared" si="65"/>
        <v>2506</v>
      </c>
    </row>
    <row r="655" spans="1:8" x14ac:dyDescent="0.3">
      <c r="A655" s="13" t="s">
        <v>1410</v>
      </c>
      <c r="B655" s="13" t="s">
        <v>1411</v>
      </c>
      <c r="C655" s="13" t="str">
        <f t="shared" si="60"/>
        <v>BENJAMIN STARK</v>
      </c>
      <c r="D655" s="13" t="str">
        <f t="shared" si="61"/>
        <v>benjamin stark</v>
      </c>
      <c r="E655" s="13" t="str">
        <f t="shared" si="62"/>
        <v>Benjamin Stark</v>
      </c>
      <c r="F655" s="13" t="str">
        <f t="shared" si="63"/>
        <v>FL</v>
      </c>
      <c r="G655" s="13" t="str">
        <f t="shared" si="64"/>
        <v>54</v>
      </c>
      <c r="H655" s="13" t="str">
        <f t="shared" si="65"/>
        <v>2506</v>
      </c>
    </row>
    <row r="656" spans="1:8" x14ac:dyDescent="0.3">
      <c r="A656" s="13" t="s">
        <v>1412</v>
      </c>
      <c r="B656" s="13" t="s">
        <v>1413</v>
      </c>
      <c r="C656" s="13" t="str">
        <f t="shared" si="60"/>
        <v>TAMMY GREER</v>
      </c>
      <c r="D656" s="13" t="str">
        <f t="shared" si="61"/>
        <v>tammy greer</v>
      </c>
      <c r="E656" s="13" t="str">
        <f t="shared" si="62"/>
        <v>Tammy Greer</v>
      </c>
      <c r="F656" s="13" t="str">
        <f t="shared" si="63"/>
        <v>FL</v>
      </c>
      <c r="G656" s="13" t="str">
        <f t="shared" si="64"/>
        <v>55</v>
      </c>
      <c r="H656" s="13" t="str">
        <f t="shared" si="65"/>
        <v>2506</v>
      </c>
    </row>
    <row r="657" spans="1:8" x14ac:dyDescent="0.3">
      <c r="A657" s="13" t="s">
        <v>1414</v>
      </c>
      <c r="B657" s="13" t="s">
        <v>1415</v>
      </c>
      <c r="C657" s="13" t="str">
        <f t="shared" si="60"/>
        <v>CYNTHIA MCKINNEY</v>
      </c>
      <c r="D657" s="13" t="str">
        <f t="shared" si="61"/>
        <v>cynthia mckinney</v>
      </c>
      <c r="E657" s="13" t="str">
        <f t="shared" si="62"/>
        <v>Cynthia Mckinney</v>
      </c>
      <c r="F657" s="13" t="str">
        <f t="shared" si="63"/>
        <v>FL</v>
      </c>
      <c r="G657" s="13" t="str">
        <f t="shared" si="64"/>
        <v>56</v>
      </c>
      <c r="H657" s="13" t="str">
        <f t="shared" si="65"/>
        <v>2506</v>
      </c>
    </row>
    <row r="658" spans="1:8" x14ac:dyDescent="0.3">
      <c r="A658" s="13" t="s">
        <v>1416</v>
      </c>
      <c r="B658" s="13" t="s">
        <v>1417</v>
      </c>
      <c r="C658" s="13" t="str">
        <f t="shared" si="60"/>
        <v>WENDY RICE</v>
      </c>
      <c r="D658" s="13" t="str">
        <f t="shared" si="61"/>
        <v>wendy rice</v>
      </c>
      <c r="E658" s="13" t="str">
        <f t="shared" si="62"/>
        <v>Wendy Rice</v>
      </c>
      <c r="F658" s="13" t="str">
        <f t="shared" si="63"/>
        <v>FL</v>
      </c>
      <c r="G658" s="13" t="str">
        <f t="shared" si="64"/>
        <v>57</v>
      </c>
      <c r="H658" s="13" t="str">
        <f t="shared" si="65"/>
        <v>2506</v>
      </c>
    </row>
    <row r="659" spans="1:8" x14ac:dyDescent="0.3">
      <c r="A659" s="13" t="s">
        <v>1418</v>
      </c>
      <c r="B659" s="13" t="s">
        <v>1419</v>
      </c>
      <c r="C659" s="13" t="str">
        <f t="shared" si="60"/>
        <v>RANDY BENDER</v>
      </c>
      <c r="D659" s="13" t="str">
        <f t="shared" si="61"/>
        <v>randy bender</v>
      </c>
      <c r="E659" s="13" t="str">
        <f t="shared" si="62"/>
        <v>Randy Bender</v>
      </c>
      <c r="F659" s="13" t="str">
        <f t="shared" si="63"/>
        <v>FL</v>
      </c>
      <c r="G659" s="13" t="str">
        <f t="shared" si="64"/>
        <v>58</v>
      </c>
      <c r="H659" s="13" t="str">
        <f t="shared" si="65"/>
        <v>2506</v>
      </c>
    </row>
    <row r="660" spans="1:8" x14ac:dyDescent="0.3">
      <c r="A660" s="13" t="s">
        <v>1420</v>
      </c>
      <c r="B660" s="13" t="s">
        <v>1421</v>
      </c>
      <c r="C660" s="13" t="str">
        <f t="shared" si="60"/>
        <v>RICHARD DOMINGUEZ</v>
      </c>
      <c r="D660" s="13" t="str">
        <f t="shared" si="61"/>
        <v>richard dominguez</v>
      </c>
      <c r="E660" s="13" t="str">
        <f t="shared" si="62"/>
        <v>Richard Dominguez</v>
      </c>
      <c r="F660" s="13" t="str">
        <f t="shared" si="63"/>
        <v>FL</v>
      </c>
      <c r="G660" s="13" t="str">
        <f t="shared" si="64"/>
        <v>59</v>
      </c>
      <c r="H660" s="13" t="str">
        <f t="shared" si="65"/>
        <v>2506</v>
      </c>
    </row>
    <row r="661" spans="1:8" x14ac:dyDescent="0.3">
      <c r="A661" s="13" t="s">
        <v>1422</v>
      </c>
      <c r="B661" s="13" t="s">
        <v>1423</v>
      </c>
      <c r="C661" s="13" t="str">
        <f t="shared" si="60"/>
        <v>MELISSA MALDONADO</v>
      </c>
      <c r="D661" s="13" t="str">
        <f t="shared" si="61"/>
        <v>melissa maldonado</v>
      </c>
      <c r="E661" s="13" t="str">
        <f t="shared" si="62"/>
        <v>Melissa Maldonado</v>
      </c>
      <c r="F661" s="13" t="str">
        <f t="shared" si="63"/>
        <v>FL</v>
      </c>
      <c r="G661" s="13" t="str">
        <f t="shared" si="64"/>
        <v>60</v>
      </c>
      <c r="H661" s="13" t="str">
        <f t="shared" si="65"/>
        <v>2506</v>
      </c>
    </row>
    <row r="662" spans="1:8" x14ac:dyDescent="0.3">
      <c r="A662" s="13" t="s">
        <v>1424</v>
      </c>
      <c r="B662" s="13" t="s">
        <v>1425</v>
      </c>
      <c r="C662" s="13" t="str">
        <f t="shared" si="60"/>
        <v>LEAH HARRIS</v>
      </c>
      <c r="D662" s="13" t="str">
        <f t="shared" si="61"/>
        <v>leah harris</v>
      </c>
      <c r="E662" s="13" t="str">
        <f t="shared" si="62"/>
        <v>Leah Harris</v>
      </c>
      <c r="F662" s="13" t="str">
        <f t="shared" si="63"/>
        <v>FL</v>
      </c>
      <c r="G662" s="13" t="str">
        <f t="shared" si="64"/>
        <v>61</v>
      </c>
      <c r="H662" s="13" t="str">
        <f t="shared" si="65"/>
        <v>2506</v>
      </c>
    </row>
    <row r="663" spans="1:8" x14ac:dyDescent="0.3">
      <c r="A663" s="13" t="s">
        <v>1426</v>
      </c>
      <c r="B663" s="13" t="s">
        <v>1427</v>
      </c>
      <c r="C663" s="13" t="str">
        <f t="shared" si="60"/>
        <v>LYNN FRENCH</v>
      </c>
      <c r="D663" s="13" t="str">
        <f t="shared" si="61"/>
        <v>lynn french</v>
      </c>
      <c r="E663" s="13" t="str">
        <f t="shared" si="62"/>
        <v>Lynn French</v>
      </c>
      <c r="F663" s="13" t="str">
        <f t="shared" si="63"/>
        <v>FL</v>
      </c>
      <c r="G663" s="13" t="str">
        <f t="shared" si="64"/>
        <v>62</v>
      </c>
      <c r="H663" s="13" t="str">
        <f t="shared" si="65"/>
        <v>2506</v>
      </c>
    </row>
    <row r="664" spans="1:8" x14ac:dyDescent="0.3">
      <c r="A664" s="13" t="s">
        <v>1428</v>
      </c>
      <c r="B664" s="13" t="s">
        <v>1429</v>
      </c>
      <c r="C664" s="13" t="str">
        <f t="shared" si="60"/>
        <v>ANGELA JOHNSON</v>
      </c>
      <c r="D664" s="13" t="str">
        <f t="shared" si="61"/>
        <v>angela johnson</v>
      </c>
      <c r="E664" s="13" t="str">
        <f t="shared" si="62"/>
        <v>Angela Johnson</v>
      </c>
      <c r="F664" s="13" t="str">
        <f t="shared" si="63"/>
        <v>FL</v>
      </c>
      <c r="G664" s="13" t="str">
        <f t="shared" si="64"/>
        <v>63</v>
      </c>
      <c r="H664" s="13" t="str">
        <f t="shared" si="65"/>
        <v>2506</v>
      </c>
    </row>
    <row r="665" spans="1:8" x14ac:dyDescent="0.3">
      <c r="A665" s="13" t="s">
        <v>1430</v>
      </c>
      <c r="B665" s="13" t="s">
        <v>1431</v>
      </c>
      <c r="C665" s="13" t="str">
        <f t="shared" si="60"/>
        <v>SARAH EDWARDS</v>
      </c>
      <c r="D665" s="13" t="str">
        <f t="shared" si="61"/>
        <v>sarah edwards</v>
      </c>
      <c r="E665" s="13" t="str">
        <f t="shared" si="62"/>
        <v>Sarah Edwards</v>
      </c>
      <c r="F665" s="13" t="str">
        <f t="shared" si="63"/>
        <v>FL</v>
      </c>
      <c r="G665" s="13" t="str">
        <f t="shared" si="64"/>
        <v>64</v>
      </c>
      <c r="H665" s="13" t="str">
        <f t="shared" si="65"/>
        <v>2506</v>
      </c>
    </row>
    <row r="666" spans="1:8" x14ac:dyDescent="0.3">
      <c r="A666" s="13" t="s">
        <v>1432</v>
      </c>
      <c r="B666" s="13" t="s">
        <v>1433</v>
      </c>
      <c r="C666" s="13" t="str">
        <f t="shared" si="60"/>
        <v>ROY COLLINS</v>
      </c>
      <c r="D666" s="13" t="str">
        <f t="shared" si="61"/>
        <v>roy collins</v>
      </c>
      <c r="E666" s="13" t="str">
        <f t="shared" si="62"/>
        <v>Roy Collins</v>
      </c>
      <c r="F666" s="13" t="str">
        <f t="shared" si="63"/>
        <v>FL</v>
      </c>
      <c r="G666" s="13" t="str">
        <f t="shared" si="64"/>
        <v>65</v>
      </c>
      <c r="H666" s="13" t="str">
        <f t="shared" si="65"/>
        <v>2506</v>
      </c>
    </row>
    <row r="667" spans="1:8" x14ac:dyDescent="0.3">
      <c r="A667" s="13" t="s">
        <v>1434</v>
      </c>
      <c r="B667" s="13" t="s">
        <v>1435</v>
      </c>
      <c r="C667" s="13" t="str">
        <f t="shared" si="60"/>
        <v>SAMANTHA PORTER</v>
      </c>
      <c r="D667" s="13" t="str">
        <f t="shared" si="61"/>
        <v>samantha porter</v>
      </c>
      <c r="E667" s="13" t="str">
        <f t="shared" si="62"/>
        <v>Samantha Porter</v>
      </c>
      <c r="F667" s="13" t="str">
        <f t="shared" si="63"/>
        <v>FL</v>
      </c>
      <c r="G667" s="13" t="str">
        <f t="shared" si="64"/>
        <v>66</v>
      </c>
      <c r="H667" s="13" t="str">
        <f t="shared" si="65"/>
        <v>2506</v>
      </c>
    </row>
    <row r="668" spans="1:8" x14ac:dyDescent="0.3">
      <c r="A668" s="13" t="s">
        <v>1436</v>
      </c>
      <c r="B668" s="13" t="s">
        <v>1437</v>
      </c>
      <c r="C668" s="13" t="str">
        <f t="shared" si="60"/>
        <v>JUAN ELLIOTT</v>
      </c>
      <c r="D668" s="13" t="str">
        <f t="shared" si="61"/>
        <v>juan elliott</v>
      </c>
      <c r="E668" s="13" t="str">
        <f t="shared" si="62"/>
        <v>Juan Elliott</v>
      </c>
      <c r="F668" s="13" t="str">
        <f t="shared" si="63"/>
        <v>FL</v>
      </c>
      <c r="G668" s="13" t="str">
        <f t="shared" si="64"/>
        <v>67</v>
      </c>
      <c r="H668" s="13" t="str">
        <f t="shared" si="65"/>
        <v>2506</v>
      </c>
    </row>
    <row r="669" spans="1:8" x14ac:dyDescent="0.3">
      <c r="A669" s="13" t="s">
        <v>1438</v>
      </c>
      <c r="B669" s="13" t="s">
        <v>1439</v>
      </c>
      <c r="C669" s="13" t="str">
        <f t="shared" si="60"/>
        <v>ELIZABETH PHILLIPS</v>
      </c>
      <c r="D669" s="13" t="str">
        <f t="shared" si="61"/>
        <v>elizabeth phillips</v>
      </c>
      <c r="E669" s="13" t="str">
        <f t="shared" si="62"/>
        <v>Elizabeth Phillips</v>
      </c>
      <c r="F669" s="13" t="str">
        <f t="shared" si="63"/>
        <v>FL</v>
      </c>
      <c r="G669" s="13" t="str">
        <f t="shared" si="64"/>
        <v>68</v>
      </c>
      <c r="H669" s="13" t="str">
        <f t="shared" si="65"/>
        <v>2506</v>
      </c>
    </row>
    <row r="670" spans="1:8" x14ac:dyDescent="0.3">
      <c r="A670" s="13" t="s">
        <v>1440</v>
      </c>
      <c r="B670" s="13" t="s">
        <v>1441</v>
      </c>
      <c r="C670" s="13" t="str">
        <f t="shared" si="60"/>
        <v>LAURA EVANS</v>
      </c>
      <c r="D670" s="13" t="str">
        <f t="shared" si="61"/>
        <v>laura evans</v>
      </c>
      <c r="E670" s="13" t="str">
        <f t="shared" si="62"/>
        <v>Laura Evans</v>
      </c>
      <c r="F670" s="13" t="str">
        <f t="shared" si="63"/>
        <v>FL</v>
      </c>
      <c r="G670" s="13" t="str">
        <f t="shared" si="64"/>
        <v>69</v>
      </c>
      <c r="H670" s="13" t="str">
        <f t="shared" si="65"/>
        <v>2506</v>
      </c>
    </row>
    <row r="671" spans="1:8" x14ac:dyDescent="0.3">
      <c r="A671" s="13" t="s">
        <v>1442</v>
      </c>
      <c r="B671" s="13" t="s">
        <v>1443</v>
      </c>
      <c r="C671" s="13" t="str">
        <f t="shared" si="60"/>
        <v>AMANDA MITCHELL</v>
      </c>
      <c r="D671" s="13" t="str">
        <f t="shared" si="61"/>
        <v>amanda mitchell</v>
      </c>
      <c r="E671" s="13" t="str">
        <f t="shared" si="62"/>
        <v>Amanda Mitchell</v>
      </c>
      <c r="F671" s="13" t="str">
        <f t="shared" si="63"/>
        <v>FL</v>
      </c>
      <c r="G671" s="13" t="str">
        <f t="shared" si="64"/>
        <v>70</v>
      </c>
      <c r="H671" s="13" t="str">
        <f t="shared" si="65"/>
        <v>2506</v>
      </c>
    </row>
    <row r="672" spans="1:8" x14ac:dyDescent="0.3">
      <c r="A672" s="13" t="s">
        <v>1444</v>
      </c>
      <c r="B672" s="13" t="s">
        <v>1445</v>
      </c>
      <c r="C672" s="13" t="str">
        <f t="shared" si="60"/>
        <v>SANDRA WILLIAMS</v>
      </c>
      <c r="D672" s="13" t="str">
        <f t="shared" si="61"/>
        <v>sandra williams</v>
      </c>
      <c r="E672" s="13" t="str">
        <f t="shared" si="62"/>
        <v>Sandra Williams</v>
      </c>
      <c r="F672" s="13" t="str">
        <f t="shared" si="63"/>
        <v>FL</v>
      </c>
      <c r="G672" s="13" t="str">
        <f t="shared" si="64"/>
        <v>71</v>
      </c>
      <c r="H672" s="13" t="str">
        <f t="shared" si="65"/>
        <v>2506</v>
      </c>
    </row>
    <row r="673" spans="1:8" x14ac:dyDescent="0.3">
      <c r="A673" s="13" t="s">
        <v>1446</v>
      </c>
      <c r="B673" s="13" t="s">
        <v>1447</v>
      </c>
      <c r="C673" s="13" t="str">
        <f t="shared" si="60"/>
        <v>ERIC JOHNSON</v>
      </c>
      <c r="D673" s="13" t="str">
        <f t="shared" si="61"/>
        <v>eric johnson</v>
      </c>
      <c r="E673" s="13" t="str">
        <f t="shared" si="62"/>
        <v>Eric Johnson</v>
      </c>
      <c r="F673" s="13" t="str">
        <f t="shared" si="63"/>
        <v>FL</v>
      </c>
      <c r="G673" s="13" t="str">
        <f t="shared" si="64"/>
        <v>72</v>
      </c>
      <c r="H673" s="13" t="str">
        <f t="shared" si="65"/>
        <v>2506</v>
      </c>
    </row>
    <row r="674" spans="1:8" x14ac:dyDescent="0.3">
      <c r="A674" s="13" t="s">
        <v>1448</v>
      </c>
      <c r="B674" s="13" t="s">
        <v>1449</v>
      </c>
      <c r="C674" s="13" t="str">
        <f t="shared" si="60"/>
        <v>JAVIER HOBBS</v>
      </c>
      <c r="D674" s="13" t="str">
        <f t="shared" si="61"/>
        <v>javier hobbs</v>
      </c>
      <c r="E674" s="13" t="str">
        <f t="shared" si="62"/>
        <v>Javier Hobbs</v>
      </c>
      <c r="F674" s="13" t="str">
        <f t="shared" si="63"/>
        <v>FL</v>
      </c>
      <c r="G674" s="13" t="str">
        <f t="shared" si="64"/>
        <v>73</v>
      </c>
      <c r="H674" s="13" t="str">
        <f t="shared" si="65"/>
        <v>2506</v>
      </c>
    </row>
    <row r="675" spans="1:8" x14ac:dyDescent="0.3">
      <c r="A675" s="13" t="s">
        <v>1450</v>
      </c>
      <c r="B675" s="13" t="s">
        <v>1451</v>
      </c>
      <c r="C675" s="13" t="str">
        <f t="shared" si="60"/>
        <v>JACOB JONES</v>
      </c>
      <c r="D675" s="13" t="str">
        <f t="shared" si="61"/>
        <v>jacob jones</v>
      </c>
      <c r="E675" s="13" t="str">
        <f t="shared" si="62"/>
        <v>Jacob Jones</v>
      </c>
      <c r="F675" s="13" t="str">
        <f t="shared" si="63"/>
        <v>FL</v>
      </c>
      <c r="G675" s="13" t="str">
        <f t="shared" si="64"/>
        <v>74</v>
      </c>
      <c r="H675" s="13" t="str">
        <f t="shared" si="65"/>
        <v>2506</v>
      </c>
    </row>
    <row r="676" spans="1:8" x14ac:dyDescent="0.3">
      <c r="A676" s="13" t="s">
        <v>1452</v>
      </c>
      <c r="B676" s="13" t="s">
        <v>1453</v>
      </c>
      <c r="C676" s="13" t="str">
        <f t="shared" si="60"/>
        <v>ZACHARY MURPHY</v>
      </c>
      <c r="D676" s="13" t="str">
        <f t="shared" si="61"/>
        <v>zachary murphy</v>
      </c>
      <c r="E676" s="13" t="str">
        <f t="shared" si="62"/>
        <v>Zachary Murphy</v>
      </c>
      <c r="F676" s="13" t="str">
        <f t="shared" si="63"/>
        <v>FL</v>
      </c>
      <c r="G676" s="13" t="str">
        <f t="shared" si="64"/>
        <v>75</v>
      </c>
      <c r="H676" s="13" t="str">
        <f t="shared" si="65"/>
        <v>2506</v>
      </c>
    </row>
    <row r="677" spans="1:8" x14ac:dyDescent="0.3">
      <c r="A677" s="13" t="s">
        <v>1454</v>
      </c>
      <c r="B677" s="13" t="s">
        <v>1455</v>
      </c>
      <c r="C677" s="13" t="str">
        <f t="shared" si="60"/>
        <v>JOSHUA OWENS</v>
      </c>
      <c r="D677" s="13" t="str">
        <f t="shared" si="61"/>
        <v>joshua owens</v>
      </c>
      <c r="E677" s="13" t="str">
        <f t="shared" si="62"/>
        <v>Joshua Owens</v>
      </c>
      <c r="F677" s="13" t="str">
        <f t="shared" si="63"/>
        <v>FL</v>
      </c>
      <c r="G677" s="13" t="str">
        <f t="shared" si="64"/>
        <v>76</v>
      </c>
      <c r="H677" s="13" t="str">
        <f t="shared" si="65"/>
        <v>2506</v>
      </c>
    </row>
    <row r="678" spans="1:8" x14ac:dyDescent="0.3">
      <c r="A678" s="13" t="s">
        <v>1456</v>
      </c>
      <c r="B678" s="13" t="s">
        <v>1457</v>
      </c>
      <c r="C678" s="13" t="str">
        <f t="shared" si="60"/>
        <v>DAWN MITCHELL</v>
      </c>
      <c r="D678" s="13" t="str">
        <f t="shared" si="61"/>
        <v>dawn mitchell</v>
      </c>
      <c r="E678" s="13" t="str">
        <f t="shared" si="62"/>
        <v>Dawn Mitchell</v>
      </c>
      <c r="F678" s="13" t="str">
        <f t="shared" si="63"/>
        <v>FL</v>
      </c>
      <c r="G678" s="13" t="str">
        <f t="shared" si="64"/>
        <v>77</v>
      </c>
      <c r="H678" s="13" t="str">
        <f t="shared" si="65"/>
        <v>2506</v>
      </c>
    </row>
    <row r="679" spans="1:8" x14ac:dyDescent="0.3">
      <c r="A679" s="13" t="s">
        <v>1458</v>
      </c>
      <c r="B679" s="13" t="s">
        <v>1459</v>
      </c>
      <c r="C679" s="13" t="str">
        <f t="shared" si="60"/>
        <v>REGINA DUNN</v>
      </c>
      <c r="D679" s="13" t="str">
        <f t="shared" si="61"/>
        <v>regina dunn</v>
      </c>
      <c r="E679" s="13" t="str">
        <f t="shared" si="62"/>
        <v>Regina Dunn</v>
      </c>
      <c r="F679" s="13" t="str">
        <f t="shared" si="63"/>
        <v>FL</v>
      </c>
      <c r="G679" s="13" t="str">
        <f t="shared" si="64"/>
        <v>78</v>
      </c>
      <c r="H679" s="13" t="str">
        <f t="shared" si="65"/>
        <v>2506</v>
      </c>
    </row>
    <row r="680" spans="1:8" x14ac:dyDescent="0.3">
      <c r="A680" s="13" t="s">
        <v>1460</v>
      </c>
      <c r="B680" s="13" t="s">
        <v>1461</v>
      </c>
      <c r="C680" s="13" t="str">
        <f t="shared" si="60"/>
        <v>ERNEST COLE</v>
      </c>
      <c r="D680" s="13" t="str">
        <f t="shared" si="61"/>
        <v>ernest cole</v>
      </c>
      <c r="E680" s="13" t="str">
        <f t="shared" si="62"/>
        <v>Ernest Cole</v>
      </c>
      <c r="F680" s="13" t="str">
        <f t="shared" si="63"/>
        <v>FL</v>
      </c>
      <c r="G680" s="13" t="str">
        <f t="shared" si="64"/>
        <v>79</v>
      </c>
      <c r="H680" s="13" t="str">
        <f t="shared" si="65"/>
        <v>2506</v>
      </c>
    </row>
    <row r="681" spans="1:8" x14ac:dyDescent="0.3">
      <c r="A681" s="13" t="s">
        <v>1462</v>
      </c>
      <c r="B681" s="13" t="s">
        <v>1463</v>
      </c>
      <c r="C681" s="13" t="str">
        <f t="shared" si="60"/>
        <v>HANNAH SANDERS</v>
      </c>
      <c r="D681" s="13" t="str">
        <f t="shared" si="61"/>
        <v>hannah sanders</v>
      </c>
      <c r="E681" s="13" t="str">
        <f t="shared" si="62"/>
        <v>Hannah Sanders</v>
      </c>
      <c r="F681" s="13" t="str">
        <f t="shared" si="63"/>
        <v>FL</v>
      </c>
      <c r="G681" s="13" t="str">
        <f t="shared" si="64"/>
        <v>80</v>
      </c>
      <c r="H681" s="13" t="str">
        <f t="shared" si="65"/>
        <v>2506</v>
      </c>
    </row>
    <row r="682" spans="1:8" x14ac:dyDescent="0.3">
      <c r="A682" s="13" t="s">
        <v>1464</v>
      </c>
      <c r="B682" s="13" t="s">
        <v>1465</v>
      </c>
      <c r="C682" s="13" t="str">
        <f t="shared" si="60"/>
        <v>ELLEN BOWMAN</v>
      </c>
      <c r="D682" s="13" t="str">
        <f t="shared" si="61"/>
        <v>ellen bowman</v>
      </c>
      <c r="E682" s="13" t="str">
        <f t="shared" si="62"/>
        <v>Ellen Bowman</v>
      </c>
      <c r="F682" s="13" t="str">
        <f t="shared" si="63"/>
        <v>FL</v>
      </c>
      <c r="G682" s="13" t="str">
        <f t="shared" si="64"/>
        <v>81</v>
      </c>
      <c r="H682" s="13" t="str">
        <f t="shared" si="65"/>
        <v>2506</v>
      </c>
    </row>
    <row r="683" spans="1:8" x14ac:dyDescent="0.3">
      <c r="A683" s="13" t="s">
        <v>1466</v>
      </c>
      <c r="B683" s="13" t="s">
        <v>1467</v>
      </c>
      <c r="C683" s="13" t="str">
        <f t="shared" si="60"/>
        <v>NANCY MOORE</v>
      </c>
      <c r="D683" s="13" t="str">
        <f t="shared" si="61"/>
        <v>nancy moore</v>
      </c>
      <c r="E683" s="13" t="str">
        <f t="shared" si="62"/>
        <v>Nancy Moore</v>
      </c>
      <c r="F683" s="13" t="str">
        <f t="shared" si="63"/>
        <v>FL</v>
      </c>
      <c r="G683" s="13" t="str">
        <f t="shared" si="64"/>
        <v>82</v>
      </c>
      <c r="H683" s="13" t="str">
        <f t="shared" si="65"/>
        <v>2506</v>
      </c>
    </row>
    <row r="684" spans="1:8" x14ac:dyDescent="0.3">
      <c r="A684" s="13" t="s">
        <v>1468</v>
      </c>
      <c r="B684" s="13" t="s">
        <v>1469</v>
      </c>
      <c r="C684" s="13" t="str">
        <f t="shared" si="60"/>
        <v>JOSEPH WOOD</v>
      </c>
      <c r="D684" s="13" t="str">
        <f t="shared" si="61"/>
        <v>joseph wood</v>
      </c>
      <c r="E684" s="13" t="str">
        <f t="shared" si="62"/>
        <v>Joseph Wood</v>
      </c>
      <c r="F684" s="13" t="str">
        <f t="shared" si="63"/>
        <v>FL</v>
      </c>
      <c r="G684" s="13" t="str">
        <f t="shared" si="64"/>
        <v>83</v>
      </c>
      <c r="H684" s="13" t="str">
        <f t="shared" si="65"/>
        <v>2506</v>
      </c>
    </row>
    <row r="685" spans="1:8" x14ac:dyDescent="0.3">
      <c r="A685" s="13" t="s">
        <v>1470</v>
      </c>
      <c r="B685" s="13" t="s">
        <v>1471</v>
      </c>
      <c r="C685" s="13" t="str">
        <f t="shared" si="60"/>
        <v>MICHAEL HARRELL</v>
      </c>
      <c r="D685" s="13" t="str">
        <f t="shared" si="61"/>
        <v>michael harrell</v>
      </c>
      <c r="E685" s="13" t="str">
        <f t="shared" si="62"/>
        <v>Michael Harrell</v>
      </c>
      <c r="F685" s="13" t="str">
        <f t="shared" si="63"/>
        <v>FL</v>
      </c>
      <c r="G685" s="13" t="str">
        <f t="shared" si="64"/>
        <v>84</v>
      </c>
      <c r="H685" s="13" t="str">
        <f t="shared" si="65"/>
        <v>2506</v>
      </c>
    </row>
    <row r="686" spans="1:8" x14ac:dyDescent="0.3">
      <c r="A686" s="13" t="s">
        <v>1472</v>
      </c>
      <c r="B686" s="13" t="s">
        <v>1473</v>
      </c>
      <c r="C686" s="13" t="str">
        <f t="shared" si="60"/>
        <v>CONNIE MCCLAIN</v>
      </c>
      <c r="D686" s="13" t="str">
        <f t="shared" si="61"/>
        <v>connie mcclain</v>
      </c>
      <c r="E686" s="13" t="str">
        <f t="shared" si="62"/>
        <v>Connie Mcclain</v>
      </c>
      <c r="F686" s="13" t="str">
        <f t="shared" si="63"/>
        <v>FL</v>
      </c>
      <c r="G686" s="13" t="str">
        <f t="shared" si="64"/>
        <v>85</v>
      </c>
      <c r="H686" s="13" t="str">
        <f t="shared" si="65"/>
        <v>2506</v>
      </c>
    </row>
    <row r="687" spans="1:8" x14ac:dyDescent="0.3">
      <c r="A687" s="13" t="s">
        <v>1474</v>
      </c>
      <c r="B687" s="13" t="s">
        <v>1475</v>
      </c>
      <c r="C687" s="13" t="str">
        <f t="shared" si="60"/>
        <v>MATTHEW BALDWIN</v>
      </c>
      <c r="D687" s="13" t="str">
        <f t="shared" si="61"/>
        <v>matthew baldwin</v>
      </c>
      <c r="E687" s="13" t="str">
        <f t="shared" si="62"/>
        <v>Matthew Baldwin</v>
      </c>
      <c r="F687" s="13" t="str">
        <f t="shared" si="63"/>
        <v>FL</v>
      </c>
      <c r="G687" s="13" t="str">
        <f t="shared" si="64"/>
        <v>86</v>
      </c>
      <c r="H687" s="13" t="str">
        <f t="shared" si="65"/>
        <v>2506</v>
      </c>
    </row>
    <row r="688" spans="1:8" x14ac:dyDescent="0.3">
      <c r="A688" s="13" t="s">
        <v>1476</v>
      </c>
      <c r="B688" s="13" t="s">
        <v>1477</v>
      </c>
      <c r="C688" s="13" t="str">
        <f t="shared" si="60"/>
        <v>DANIELLE NELSON</v>
      </c>
      <c r="D688" s="13" t="str">
        <f t="shared" si="61"/>
        <v>danielle nelson</v>
      </c>
      <c r="E688" s="13" t="str">
        <f t="shared" si="62"/>
        <v>Danielle Nelson</v>
      </c>
      <c r="F688" s="13" t="str">
        <f t="shared" si="63"/>
        <v>FL</v>
      </c>
      <c r="G688" s="13" t="str">
        <f t="shared" si="64"/>
        <v>87</v>
      </c>
      <c r="H688" s="13" t="str">
        <f t="shared" si="65"/>
        <v>2506</v>
      </c>
    </row>
    <row r="689" spans="1:8" x14ac:dyDescent="0.3">
      <c r="A689" s="13" t="s">
        <v>1478</v>
      </c>
      <c r="B689" s="13" t="s">
        <v>1479</v>
      </c>
      <c r="C689" s="13" t="str">
        <f t="shared" si="60"/>
        <v>STEVEN MOORE</v>
      </c>
      <c r="D689" s="13" t="str">
        <f t="shared" si="61"/>
        <v>steven moore</v>
      </c>
      <c r="E689" s="13" t="str">
        <f t="shared" si="62"/>
        <v>Steven Moore</v>
      </c>
      <c r="F689" s="13" t="str">
        <f t="shared" si="63"/>
        <v>FL</v>
      </c>
      <c r="G689" s="13" t="str">
        <f t="shared" si="64"/>
        <v>88</v>
      </c>
      <c r="H689" s="13" t="str">
        <f t="shared" si="65"/>
        <v>2506</v>
      </c>
    </row>
    <row r="690" spans="1:8" x14ac:dyDescent="0.3">
      <c r="A690" s="13" t="s">
        <v>1480</v>
      </c>
      <c r="B690" s="13" t="s">
        <v>1481</v>
      </c>
      <c r="C690" s="13" t="str">
        <f t="shared" si="60"/>
        <v>MEGAN HUDSON</v>
      </c>
      <c r="D690" s="13" t="str">
        <f t="shared" si="61"/>
        <v>megan hudson</v>
      </c>
      <c r="E690" s="13" t="str">
        <f t="shared" si="62"/>
        <v>Megan Hudson</v>
      </c>
      <c r="F690" s="13" t="str">
        <f t="shared" si="63"/>
        <v>FL</v>
      </c>
      <c r="G690" s="13" t="str">
        <f t="shared" si="64"/>
        <v>89</v>
      </c>
      <c r="H690" s="13" t="str">
        <f t="shared" si="65"/>
        <v>2506</v>
      </c>
    </row>
    <row r="691" spans="1:8" x14ac:dyDescent="0.3">
      <c r="A691" s="13" t="s">
        <v>1482</v>
      </c>
      <c r="B691" s="13" t="s">
        <v>54</v>
      </c>
      <c r="C691" s="13" t="str">
        <f t="shared" si="60"/>
        <v>LISA JOHNSON</v>
      </c>
      <c r="D691" s="13" t="str">
        <f t="shared" si="61"/>
        <v>lisa johnson</v>
      </c>
      <c r="E691" s="13" t="str">
        <f t="shared" si="62"/>
        <v>Lisa Johnson</v>
      </c>
      <c r="F691" s="13" t="str">
        <f t="shared" si="63"/>
        <v>FL</v>
      </c>
      <c r="G691" s="13" t="str">
        <f t="shared" si="64"/>
        <v>90</v>
      </c>
      <c r="H691" s="13" t="str">
        <f t="shared" si="65"/>
        <v>2506</v>
      </c>
    </row>
    <row r="692" spans="1:8" x14ac:dyDescent="0.3">
      <c r="A692" s="13" t="s">
        <v>1483</v>
      </c>
      <c r="B692" s="13" t="s">
        <v>1484</v>
      </c>
      <c r="C692" s="13" t="str">
        <f t="shared" si="60"/>
        <v>TRACY WHITE</v>
      </c>
      <c r="D692" s="13" t="str">
        <f t="shared" si="61"/>
        <v>tracy white</v>
      </c>
      <c r="E692" s="13" t="str">
        <f t="shared" si="62"/>
        <v>Tracy White</v>
      </c>
      <c r="F692" s="13" t="str">
        <f t="shared" si="63"/>
        <v>FL</v>
      </c>
      <c r="G692" s="13" t="str">
        <f t="shared" si="64"/>
        <v>91</v>
      </c>
      <c r="H692" s="13" t="str">
        <f t="shared" si="65"/>
        <v>2506</v>
      </c>
    </row>
    <row r="693" spans="1:8" x14ac:dyDescent="0.3">
      <c r="A693" s="13" t="s">
        <v>1485</v>
      </c>
      <c r="B693" s="13" t="s">
        <v>1486</v>
      </c>
      <c r="C693" s="13" t="str">
        <f t="shared" si="60"/>
        <v>NATALIE DIAZ</v>
      </c>
      <c r="D693" s="13" t="str">
        <f t="shared" si="61"/>
        <v>natalie diaz</v>
      </c>
      <c r="E693" s="13" t="str">
        <f t="shared" si="62"/>
        <v>Natalie Diaz</v>
      </c>
      <c r="F693" s="13" t="str">
        <f t="shared" si="63"/>
        <v>FL</v>
      </c>
      <c r="G693" s="13" t="str">
        <f t="shared" si="64"/>
        <v>92</v>
      </c>
      <c r="H693" s="13" t="str">
        <f t="shared" si="65"/>
        <v>2506</v>
      </c>
    </row>
    <row r="694" spans="1:8" x14ac:dyDescent="0.3">
      <c r="A694" s="13" t="s">
        <v>1487</v>
      </c>
      <c r="B694" s="13" t="s">
        <v>1443</v>
      </c>
      <c r="C694" s="13" t="str">
        <f t="shared" si="60"/>
        <v>AMANDA MITCHELL</v>
      </c>
      <c r="D694" s="13" t="str">
        <f t="shared" si="61"/>
        <v>amanda mitchell</v>
      </c>
      <c r="E694" s="13" t="str">
        <f t="shared" si="62"/>
        <v>Amanda Mitchell</v>
      </c>
      <c r="F694" s="13" t="str">
        <f t="shared" si="63"/>
        <v>FL</v>
      </c>
      <c r="G694" s="13" t="str">
        <f t="shared" si="64"/>
        <v>93</v>
      </c>
      <c r="H694" s="13" t="str">
        <f t="shared" si="65"/>
        <v>2506</v>
      </c>
    </row>
    <row r="695" spans="1:8" x14ac:dyDescent="0.3">
      <c r="A695" s="13" t="s">
        <v>1488</v>
      </c>
      <c r="B695" s="13" t="s">
        <v>1489</v>
      </c>
      <c r="C695" s="13" t="str">
        <f t="shared" si="60"/>
        <v>KAREN SCOTT</v>
      </c>
      <c r="D695" s="13" t="str">
        <f t="shared" si="61"/>
        <v>karen scott</v>
      </c>
      <c r="E695" s="13" t="str">
        <f t="shared" si="62"/>
        <v>Karen Scott</v>
      </c>
      <c r="F695" s="13" t="str">
        <f t="shared" si="63"/>
        <v>FL</v>
      </c>
      <c r="G695" s="13" t="str">
        <f t="shared" si="64"/>
        <v>94</v>
      </c>
      <c r="H695" s="13" t="str">
        <f t="shared" si="65"/>
        <v>2506</v>
      </c>
    </row>
    <row r="696" spans="1:8" x14ac:dyDescent="0.3">
      <c r="A696" s="13" t="s">
        <v>1490</v>
      </c>
      <c r="B696" s="13" t="s">
        <v>861</v>
      </c>
      <c r="C696" s="13" t="str">
        <f t="shared" si="60"/>
        <v>MARY BROWN</v>
      </c>
      <c r="D696" s="13" t="str">
        <f t="shared" si="61"/>
        <v>mary brown</v>
      </c>
      <c r="E696" s="13" t="str">
        <f t="shared" si="62"/>
        <v>Mary Brown</v>
      </c>
      <c r="F696" s="13" t="str">
        <f t="shared" si="63"/>
        <v>FL</v>
      </c>
      <c r="G696" s="13" t="str">
        <f t="shared" si="64"/>
        <v>95</v>
      </c>
      <c r="H696" s="13" t="str">
        <f t="shared" si="65"/>
        <v>2506</v>
      </c>
    </row>
    <row r="697" spans="1:8" x14ac:dyDescent="0.3">
      <c r="A697" s="13" t="s">
        <v>1491</v>
      </c>
      <c r="B697" s="13" t="s">
        <v>1492</v>
      </c>
      <c r="C697" s="13" t="str">
        <f t="shared" si="60"/>
        <v>JON JONES</v>
      </c>
      <c r="D697" s="13" t="str">
        <f t="shared" si="61"/>
        <v>jon jones</v>
      </c>
      <c r="E697" s="13" t="str">
        <f t="shared" si="62"/>
        <v>Jon Jones</v>
      </c>
      <c r="F697" s="13" t="str">
        <f t="shared" si="63"/>
        <v>FL</v>
      </c>
      <c r="G697" s="13" t="str">
        <f t="shared" si="64"/>
        <v>96</v>
      </c>
      <c r="H697" s="13" t="str">
        <f t="shared" si="65"/>
        <v>2506</v>
      </c>
    </row>
    <row r="698" spans="1:8" x14ac:dyDescent="0.3">
      <c r="A698" s="13" t="s">
        <v>1493</v>
      </c>
      <c r="B698" s="13" t="s">
        <v>1494</v>
      </c>
      <c r="C698" s="13" t="str">
        <f t="shared" si="60"/>
        <v>JASON PHILLIPS</v>
      </c>
      <c r="D698" s="13" t="str">
        <f t="shared" si="61"/>
        <v>jason phillips</v>
      </c>
      <c r="E698" s="13" t="str">
        <f t="shared" si="62"/>
        <v>Jason Phillips</v>
      </c>
      <c r="F698" s="13" t="str">
        <f t="shared" si="63"/>
        <v>FL</v>
      </c>
      <c r="G698" s="13" t="str">
        <f t="shared" si="64"/>
        <v>97</v>
      </c>
      <c r="H698" s="13" t="str">
        <f t="shared" si="65"/>
        <v>2506</v>
      </c>
    </row>
    <row r="699" spans="1:8" x14ac:dyDescent="0.3">
      <c r="A699" s="13" t="s">
        <v>1495</v>
      </c>
      <c r="B699" s="13" t="s">
        <v>1496</v>
      </c>
      <c r="C699" s="13" t="str">
        <f t="shared" si="60"/>
        <v>ERIC WALSH</v>
      </c>
      <c r="D699" s="13" t="str">
        <f t="shared" si="61"/>
        <v>eric walsh</v>
      </c>
      <c r="E699" s="13" t="str">
        <f t="shared" si="62"/>
        <v>Eric Walsh</v>
      </c>
      <c r="F699" s="13" t="str">
        <f t="shared" si="63"/>
        <v>FL</v>
      </c>
      <c r="G699" s="13" t="str">
        <f t="shared" si="64"/>
        <v>98</v>
      </c>
      <c r="H699" s="13" t="str">
        <f t="shared" si="65"/>
        <v>2506</v>
      </c>
    </row>
    <row r="700" spans="1:8" x14ac:dyDescent="0.3">
      <c r="A700" s="13" t="s">
        <v>1497</v>
      </c>
      <c r="B700" s="13" t="s">
        <v>1498</v>
      </c>
      <c r="C700" s="13" t="str">
        <f t="shared" si="60"/>
        <v>CAROL SCHNEIDER</v>
      </c>
      <c r="D700" s="13" t="str">
        <f t="shared" si="61"/>
        <v>carol schneider</v>
      </c>
      <c r="E700" s="13" t="str">
        <f t="shared" si="62"/>
        <v>Carol Schneider</v>
      </c>
      <c r="F700" s="13" t="str">
        <f t="shared" si="63"/>
        <v>FL</v>
      </c>
      <c r="G700" s="13" t="str">
        <f t="shared" si="64"/>
        <v>99</v>
      </c>
      <c r="H700" s="13" t="str">
        <f t="shared" si="65"/>
        <v>2506</v>
      </c>
    </row>
    <row r="701" spans="1:8" x14ac:dyDescent="0.3">
      <c r="A701" s="13" t="s">
        <v>1499</v>
      </c>
      <c r="B701" s="13" t="s">
        <v>1500</v>
      </c>
      <c r="C701" s="13" t="str">
        <f t="shared" si="60"/>
        <v>JUAN HINES</v>
      </c>
      <c r="D701" s="13" t="str">
        <f t="shared" si="61"/>
        <v>juan hines</v>
      </c>
      <c r="E701" s="13" t="str">
        <f t="shared" si="62"/>
        <v>Juan Hines</v>
      </c>
      <c r="F701" s="13" t="str">
        <f t="shared" si="63"/>
        <v>FL</v>
      </c>
      <c r="G701" s="13" t="str">
        <f t="shared" si="64"/>
        <v>00</v>
      </c>
      <c r="H701" s="13" t="str">
        <f t="shared" si="65"/>
        <v>2507</v>
      </c>
    </row>
    <row r="702" spans="1:8" x14ac:dyDescent="0.3">
      <c r="A702" s="13" t="s">
        <v>1501</v>
      </c>
      <c r="B702" s="13" t="s">
        <v>1502</v>
      </c>
      <c r="C702" s="13" t="str">
        <f t="shared" si="60"/>
        <v>MARTHA SWEENEY</v>
      </c>
      <c r="D702" s="13" t="str">
        <f t="shared" si="61"/>
        <v>martha sweeney</v>
      </c>
      <c r="E702" s="13" t="str">
        <f t="shared" si="62"/>
        <v>Martha Sweeney</v>
      </c>
      <c r="F702" s="13" t="str">
        <f t="shared" si="63"/>
        <v>FL</v>
      </c>
      <c r="G702" s="13" t="str">
        <f t="shared" si="64"/>
        <v>01</v>
      </c>
      <c r="H702" s="13" t="str">
        <f t="shared" si="65"/>
        <v>2507</v>
      </c>
    </row>
    <row r="703" spans="1:8" x14ac:dyDescent="0.3">
      <c r="A703" s="13" t="s">
        <v>1503</v>
      </c>
      <c r="B703" s="13" t="s">
        <v>1504</v>
      </c>
      <c r="C703" s="13" t="str">
        <f t="shared" si="60"/>
        <v>JASON WEAVER</v>
      </c>
      <c r="D703" s="13" t="str">
        <f t="shared" si="61"/>
        <v>jason weaver</v>
      </c>
      <c r="E703" s="13" t="str">
        <f t="shared" si="62"/>
        <v>Jason Weaver</v>
      </c>
      <c r="F703" s="13" t="str">
        <f t="shared" si="63"/>
        <v>FL</v>
      </c>
      <c r="G703" s="13" t="str">
        <f t="shared" si="64"/>
        <v>02</v>
      </c>
      <c r="H703" s="13" t="str">
        <f t="shared" si="65"/>
        <v>2507</v>
      </c>
    </row>
    <row r="704" spans="1:8" x14ac:dyDescent="0.3">
      <c r="A704" s="13" t="s">
        <v>1505</v>
      </c>
      <c r="B704" s="13" t="s">
        <v>1506</v>
      </c>
      <c r="C704" s="13" t="str">
        <f t="shared" si="60"/>
        <v>BENJAMIN STEVENS</v>
      </c>
      <c r="D704" s="13" t="str">
        <f t="shared" si="61"/>
        <v>benjamin stevens</v>
      </c>
      <c r="E704" s="13" t="str">
        <f t="shared" si="62"/>
        <v>Benjamin Stevens</v>
      </c>
      <c r="F704" s="13" t="str">
        <f t="shared" si="63"/>
        <v>FL</v>
      </c>
      <c r="G704" s="13" t="str">
        <f t="shared" si="64"/>
        <v>03</v>
      </c>
      <c r="H704" s="13" t="str">
        <f t="shared" si="65"/>
        <v>2507</v>
      </c>
    </row>
    <row r="705" spans="1:8" x14ac:dyDescent="0.3">
      <c r="A705" s="13" t="s">
        <v>1507</v>
      </c>
      <c r="B705" s="13" t="s">
        <v>1508</v>
      </c>
      <c r="C705" s="13" t="str">
        <f t="shared" si="60"/>
        <v>DANIEL LOPEZ</v>
      </c>
      <c r="D705" s="13" t="str">
        <f t="shared" si="61"/>
        <v>daniel lopez</v>
      </c>
      <c r="E705" s="13" t="str">
        <f t="shared" si="62"/>
        <v>Daniel Lopez</v>
      </c>
      <c r="F705" s="13" t="str">
        <f t="shared" si="63"/>
        <v>FL</v>
      </c>
      <c r="G705" s="13" t="str">
        <f t="shared" si="64"/>
        <v>04</v>
      </c>
      <c r="H705" s="13" t="str">
        <f t="shared" si="65"/>
        <v>2507</v>
      </c>
    </row>
    <row r="706" spans="1:8" x14ac:dyDescent="0.3">
      <c r="A706" s="13" t="s">
        <v>1509</v>
      </c>
      <c r="B706" s="13" t="s">
        <v>1510</v>
      </c>
      <c r="C706" s="13" t="str">
        <f t="shared" si="60"/>
        <v>JOHN SIMPSON</v>
      </c>
      <c r="D706" s="13" t="str">
        <f t="shared" si="61"/>
        <v>john simpson</v>
      </c>
      <c r="E706" s="13" t="str">
        <f t="shared" si="62"/>
        <v>John Simpson</v>
      </c>
      <c r="F706" s="13" t="str">
        <f t="shared" si="63"/>
        <v>FL</v>
      </c>
      <c r="G706" s="13" t="str">
        <f t="shared" si="64"/>
        <v>05</v>
      </c>
      <c r="H706" s="13" t="str">
        <f t="shared" si="65"/>
        <v>2507</v>
      </c>
    </row>
    <row r="707" spans="1:8" x14ac:dyDescent="0.3">
      <c r="A707" s="13" t="s">
        <v>1511</v>
      </c>
      <c r="B707" s="13" t="s">
        <v>1512</v>
      </c>
      <c r="C707" s="13" t="str">
        <f t="shared" ref="C707:C770" si="66">UPPER(B707)</f>
        <v>KATRINA SCHULTZ</v>
      </c>
      <c r="D707" s="13" t="str">
        <f t="shared" ref="D707:D770" si="67">LOWER(B707)</f>
        <v>katrina schultz</v>
      </c>
      <c r="E707" s="13" t="str">
        <f t="shared" ref="E707:E770" si="68">PROPER(C707)</f>
        <v>Katrina Schultz</v>
      </c>
      <c r="F707" s="13" t="str">
        <f t="shared" ref="F707:F770" si="69">LEFT(A707,2)</f>
        <v>FL</v>
      </c>
      <c r="G707" s="13" t="str">
        <f t="shared" ref="G707:G770" si="70">RIGHT(A707,2)</f>
        <v>06</v>
      </c>
      <c r="H707" s="13" t="str">
        <f t="shared" ref="H707:H770" si="71">MID(A707,3,4)</f>
        <v>2507</v>
      </c>
    </row>
    <row r="708" spans="1:8" x14ac:dyDescent="0.3">
      <c r="A708" s="13" t="s">
        <v>1513</v>
      </c>
      <c r="B708" s="13" t="s">
        <v>1514</v>
      </c>
      <c r="C708" s="13" t="str">
        <f t="shared" si="66"/>
        <v>DANIELLE BELL</v>
      </c>
      <c r="D708" s="13" t="str">
        <f t="shared" si="67"/>
        <v>danielle bell</v>
      </c>
      <c r="E708" s="13" t="str">
        <f t="shared" si="68"/>
        <v>Danielle Bell</v>
      </c>
      <c r="F708" s="13" t="str">
        <f t="shared" si="69"/>
        <v>FL</v>
      </c>
      <c r="G708" s="13" t="str">
        <f t="shared" si="70"/>
        <v>07</v>
      </c>
      <c r="H708" s="13" t="str">
        <f t="shared" si="71"/>
        <v>2507</v>
      </c>
    </row>
    <row r="709" spans="1:8" x14ac:dyDescent="0.3">
      <c r="A709" s="13" t="s">
        <v>1515</v>
      </c>
      <c r="B709" s="13" t="s">
        <v>1516</v>
      </c>
      <c r="C709" s="13" t="str">
        <f t="shared" si="66"/>
        <v>JASON BRADY</v>
      </c>
      <c r="D709" s="13" t="str">
        <f t="shared" si="67"/>
        <v>jason brady</v>
      </c>
      <c r="E709" s="13" t="str">
        <f t="shared" si="68"/>
        <v>Jason Brady</v>
      </c>
      <c r="F709" s="13" t="str">
        <f t="shared" si="69"/>
        <v>FL</v>
      </c>
      <c r="G709" s="13" t="str">
        <f t="shared" si="70"/>
        <v>08</v>
      </c>
      <c r="H709" s="13" t="str">
        <f t="shared" si="71"/>
        <v>2507</v>
      </c>
    </row>
    <row r="710" spans="1:8" x14ac:dyDescent="0.3">
      <c r="A710" s="13" t="s">
        <v>1517</v>
      </c>
      <c r="B710" s="13" t="s">
        <v>1518</v>
      </c>
      <c r="C710" s="13" t="str">
        <f t="shared" si="66"/>
        <v>MEGAN BRIGHT</v>
      </c>
      <c r="D710" s="13" t="str">
        <f t="shared" si="67"/>
        <v>megan bright</v>
      </c>
      <c r="E710" s="13" t="str">
        <f t="shared" si="68"/>
        <v>Megan Bright</v>
      </c>
      <c r="F710" s="13" t="str">
        <f t="shared" si="69"/>
        <v>FL</v>
      </c>
      <c r="G710" s="13" t="str">
        <f t="shared" si="70"/>
        <v>09</v>
      </c>
      <c r="H710" s="13" t="str">
        <f t="shared" si="71"/>
        <v>2507</v>
      </c>
    </row>
    <row r="711" spans="1:8" x14ac:dyDescent="0.3">
      <c r="A711" s="13" t="s">
        <v>1519</v>
      </c>
      <c r="B711" s="13" t="s">
        <v>1520</v>
      </c>
      <c r="C711" s="13" t="str">
        <f t="shared" si="66"/>
        <v>DAVID GRIFFIN</v>
      </c>
      <c r="D711" s="13" t="str">
        <f t="shared" si="67"/>
        <v>david griffin</v>
      </c>
      <c r="E711" s="13" t="str">
        <f t="shared" si="68"/>
        <v>David Griffin</v>
      </c>
      <c r="F711" s="13" t="str">
        <f t="shared" si="69"/>
        <v>FL</v>
      </c>
      <c r="G711" s="13" t="str">
        <f t="shared" si="70"/>
        <v>10</v>
      </c>
      <c r="H711" s="13" t="str">
        <f t="shared" si="71"/>
        <v>2507</v>
      </c>
    </row>
    <row r="712" spans="1:8" x14ac:dyDescent="0.3">
      <c r="A712" s="13" t="s">
        <v>1521</v>
      </c>
      <c r="B712" s="13" t="s">
        <v>1522</v>
      </c>
      <c r="C712" s="13" t="str">
        <f t="shared" si="66"/>
        <v>MICHAEL CLARK</v>
      </c>
      <c r="D712" s="13" t="str">
        <f t="shared" si="67"/>
        <v>michael clark</v>
      </c>
      <c r="E712" s="13" t="str">
        <f t="shared" si="68"/>
        <v>Michael Clark</v>
      </c>
      <c r="F712" s="13" t="str">
        <f t="shared" si="69"/>
        <v>FL</v>
      </c>
      <c r="G712" s="13" t="str">
        <f t="shared" si="70"/>
        <v>11</v>
      </c>
      <c r="H712" s="13" t="str">
        <f t="shared" si="71"/>
        <v>2507</v>
      </c>
    </row>
    <row r="713" spans="1:8" x14ac:dyDescent="0.3">
      <c r="A713" s="13" t="s">
        <v>1523</v>
      </c>
      <c r="B713" s="13" t="s">
        <v>1524</v>
      </c>
      <c r="C713" s="13" t="str">
        <f t="shared" si="66"/>
        <v>REBECCA BARKER</v>
      </c>
      <c r="D713" s="13" t="str">
        <f t="shared" si="67"/>
        <v>rebecca barker</v>
      </c>
      <c r="E713" s="13" t="str">
        <f t="shared" si="68"/>
        <v>Rebecca Barker</v>
      </c>
      <c r="F713" s="13" t="str">
        <f t="shared" si="69"/>
        <v>FL</v>
      </c>
      <c r="G713" s="13" t="str">
        <f t="shared" si="70"/>
        <v>12</v>
      </c>
      <c r="H713" s="13" t="str">
        <f t="shared" si="71"/>
        <v>2507</v>
      </c>
    </row>
    <row r="714" spans="1:8" x14ac:dyDescent="0.3">
      <c r="A714" s="13" t="s">
        <v>1525</v>
      </c>
      <c r="B714" s="13" t="s">
        <v>1526</v>
      </c>
      <c r="C714" s="13" t="str">
        <f t="shared" si="66"/>
        <v>ANGELA SMITH</v>
      </c>
      <c r="D714" s="13" t="str">
        <f t="shared" si="67"/>
        <v>angela smith</v>
      </c>
      <c r="E714" s="13" t="str">
        <f t="shared" si="68"/>
        <v>Angela Smith</v>
      </c>
      <c r="F714" s="13" t="str">
        <f t="shared" si="69"/>
        <v>FL</v>
      </c>
      <c r="G714" s="13" t="str">
        <f t="shared" si="70"/>
        <v>13</v>
      </c>
      <c r="H714" s="13" t="str">
        <f t="shared" si="71"/>
        <v>2507</v>
      </c>
    </row>
    <row r="715" spans="1:8" x14ac:dyDescent="0.3">
      <c r="A715" s="13" t="s">
        <v>1527</v>
      </c>
      <c r="B715" s="13" t="s">
        <v>1528</v>
      </c>
      <c r="C715" s="13" t="str">
        <f t="shared" si="66"/>
        <v>CHRISTINA WRIGHT</v>
      </c>
      <c r="D715" s="13" t="str">
        <f t="shared" si="67"/>
        <v>christina wright</v>
      </c>
      <c r="E715" s="13" t="str">
        <f t="shared" si="68"/>
        <v>Christina Wright</v>
      </c>
      <c r="F715" s="13" t="str">
        <f t="shared" si="69"/>
        <v>FL</v>
      </c>
      <c r="G715" s="13" t="str">
        <f t="shared" si="70"/>
        <v>14</v>
      </c>
      <c r="H715" s="13" t="str">
        <f t="shared" si="71"/>
        <v>2507</v>
      </c>
    </row>
    <row r="716" spans="1:8" x14ac:dyDescent="0.3">
      <c r="A716" s="13" t="s">
        <v>1529</v>
      </c>
      <c r="B716" s="13" t="s">
        <v>1530</v>
      </c>
      <c r="C716" s="13" t="str">
        <f t="shared" si="66"/>
        <v>TODD TURNER</v>
      </c>
      <c r="D716" s="13" t="str">
        <f t="shared" si="67"/>
        <v>todd turner</v>
      </c>
      <c r="E716" s="13" t="str">
        <f t="shared" si="68"/>
        <v>Todd Turner</v>
      </c>
      <c r="F716" s="13" t="str">
        <f t="shared" si="69"/>
        <v>FL</v>
      </c>
      <c r="G716" s="13" t="str">
        <f t="shared" si="70"/>
        <v>15</v>
      </c>
      <c r="H716" s="13" t="str">
        <f t="shared" si="71"/>
        <v>2507</v>
      </c>
    </row>
    <row r="717" spans="1:8" x14ac:dyDescent="0.3">
      <c r="A717" s="13" t="s">
        <v>1531</v>
      </c>
      <c r="B717" s="13" t="s">
        <v>1532</v>
      </c>
      <c r="C717" s="13" t="str">
        <f t="shared" si="66"/>
        <v>ELIZABETH GREEN</v>
      </c>
      <c r="D717" s="13" t="str">
        <f t="shared" si="67"/>
        <v>elizabeth green</v>
      </c>
      <c r="E717" s="13" t="str">
        <f t="shared" si="68"/>
        <v>Elizabeth Green</v>
      </c>
      <c r="F717" s="13" t="str">
        <f t="shared" si="69"/>
        <v>FL</v>
      </c>
      <c r="G717" s="13" t="str">
        <f t="shared" si="70"/>
        <v>16</v>
      </c>
      <c r="H717" s="13" t="str">
        <f t="shared" si="71"/>
        <v>2507</v>
      </c>
    </row>
    <row r="718" spans="1:8" x14ac:dyDescent="0.3">
      <c r="A718" s="13" t="s">
        <v>1533</v>
      </c>
      <c r="B718" s="13" t="s">
        <v>1534</v>
      </c>
      <c r="C718" s="13" t="str">
        <f t="shared" si="66"/>
        <v>ALEX SMITH</v>
      </c>
      <c r="D718" s="13" t="str">
        <f t="shared" si="67"/>
        <v>alex smith</v>
      </c>
      <c r="E718" s="13" t="str">
        <f t="shared" si="68"/>
        <v>Alex Smith</v>
      </c>
      <c r="F718" s="13" t="str">
        <f t="shared" si="69"/>
        <v>FL</v>
      </c>
      <c r="G718" s="13" t="str">
        <f t="shared" si="70"/>
        <v>17</v>
      </c>
      <c r="H718" s="13" t="str">
        <f t="shared" si="71"/>
        <v>2507</v>
      </c>
    </row>
    <row r="719" spans="1:8" x14ac:dyDescent="0.3">
      <c r="A719" s="13" t="s">
        <v>1535</v>
      </c>
      <c r="B719" s="13" t="s">
        <v>1536</v>
      </c>
      <c r="C719" s="13" t="str">
        <f t="shared" si="66"/>
        <v>SHANE HALE</v>
      </c>
      <c r="D719" s="13" t="str">
        <f t="shared" si="67"/>
        <v>shane hale</v>
      </c>
      <c r="E719" s="13" t="str">
        <f t="shared" si="68"/>
        <v>Shane Hale</v>
      </c>
      <c r="F719" s="13" t="str">
        <f t="shared" si="69"/>
        <v>FL</v>
      </c>
      <c r="G719" s="13" t="str">
        <f t="shared" si="70"/>
        <v>18</v>
      </c>
      <c r="H719" s="13" t="str">
        <f t="shared" si="71"/>
        <v>2507</v>
      </c>
    </row>
    <row r="720" spans="1:8" x14ac:dyDescent="0.3">
      <c r="A720" s="13" t="s">
        <v>1537</v>
      </c>
      <c r="B720" s="13" t="s">
        <v>1538</v>
      </c>
      <c r="C720" s="13" t="str">
        <f t="shared" si="66"/>
        <v>KATHY GRIMES</v>
      </c>
      <c r="D720" s="13" t="str">
        <f t="shared" si="67"/>
        <v>kathy grimes</v>
      </c>
      <c r="E720" s="13" t="str">
        <f t="shared" si="68"/>
        <v>Kathy Grimes</v>
      </c>
      <c r="F720" s="13" t="str">
        <f t="shared" si="69"/>
        <v>FL</v>
      </c>
      <c r="G720" s="13" t="str">
        <f t="shared" si="70"/>
        <v>19</v>
      </c>
      <c r="H720" s="13" t="str">
        <f t="shared" si="71"/>
        <v>2507</v>
      </c>
    </row>
    <row r="721" spans="1:8" x14ac:dyDescent="0.3">
      <c r="A721" s="13" t="s">
        <v>1539</v>
      </c>
      <c r="B721" s="13" t="s">
        <v>1540</v>
      </c>
      <c r="C721" s="13" t="str">
        <f t="shared" si="66"/>
        <v>DAVID CHERRY</v>
      </c>
      <c r="D721" s="13" t="str">
        <f t="shared" si="67"/>
        <v>david cherry</v>
      </c>
      <c r="E721" s="13" t="str">
        <f t="shared" si="68"/>
        <v>David Cherry</v>
      </c>
      <c r="F721" s="13" t="str">
        <f t="shared" si="69"/>
        <v>FL</v>
      </c>
      <c r="G721" s="13" t="str">
        <f t="shared" si="70"/>
        <v>20</v>
      </c>
      <c r="H721" s="13" t="str">
        <f t="shared" si="71"/>
        <v>2507</v>
      </c>
    </row>
    <row r="722" spans="1:8" x14ac:dyDescent="0.3">
      <c r="A722" s="13" t="s">
        <v>1541</v>
      </c>
      <c r="B722" s="13" t="s">
        <v>1542</v>
      </c>
      <c r="C722" s="13" t="str">
        <f t="shared" si="66"/>
        <v>RACHEL ROGERS</v>
      </c>
      <c r="D722" s="13" t="str">
        <f t="shared" si="67"/>
        <v>rachel rogers</v>
      </c>
      <c r="E722" s="13" t="str">
        <f t="shared" si="68"/>
        <v>Rachel Rogers</v>
      </c>
      <c r="F722" s="13" t="str">
        <f t="shared" si="69"/>
        <v>FL</v>
      </c>
      <c r="G722" s="13" t="str">
        <f t="shared" si="70"/>
        <v>21</v>
      </c>
      <c r="H722" s="13" t="str">
        <f t="shared" si="71"/>
        <v>2507</v>
      </c>
    </row>
    <row r="723" spans="1:8" x14ac:dyDescent="0.3">
      <c r="A723" s="13" t="s">
        <v>1543</v>
      </c>
      <c r="B723" s="13" t="s">
        <v>1544</v>
      </c>
      <c r="C723" s="13" t="str">
        <f t="shared" si="66"/>
        <v>TRAVIS BRAUN</v>
      </c>
      <c r="D723" s="13" t="str">
        <f t="shared" si="67"/>
        <v>travis braun</v>
      </c>
      <c r="E723" s="13" t="str">
        <f t="shared" si="68"/>
        <v>Travis Braun</v>
      </c>
      <c r="F723" s="13" t="str">
        <f t="shared" si="69"/>
        <v>FL</v>
      </c>
      <c r="G723" s="13" t="str">
        <f t="shared" si="70"/>
        <v>22</v>
      </c>
      <c r="H723" s="13" t="str">
        <f t="shared" si="71"/>
        <v>2507</v>
      </c>
    </row>
    <row r="724" spans="1:8" x14ac:dyDescent="0.3">
      <c r="A724" s="13" t="s">
        <v>1545</v>
      </c>
      <c r="B724" s="13" t="s">
        <v>1546</v>
      </c>
      <c r="C724" s="13" t="str">
        <f t="shared" si="66"/>
        <v>SHAWNA PALMER</v>
      </c>
      <c r="D724" s="13" t="str">
        <f t="shared" si="67"/>
        <v>shawna palmer</v>
      </c>
      <c r="E724" s="13" t="str">
        <f t="shared" si="68"/>
        <v>Shawna Palmer</v>
      </c>
      <c r="F724" s="13" t="str">
        <f t="shared" si="69"/>
        <v>FL</v>
      </c>
      <c r="G724" s="13" t="str">
        <f t="shared" si="70"/>
        <v>23</v>
      </c>
      <c r="H724" s="13" t="str">
        <f t="shared" si="71"/>
        <v>2507</v>
      </c>
    </row>
    <row r="725" spans="1:8" x14ac:dyDescent="0.3">
      <c r="A725" s="13" t="s">
        <v>1547</v>
      </c>
      <c r="B725" s="13" t="s">
        <v>1548</v>
      </c>
      <c r="C725" s="13" t="str">
        <f t="shared" si="66"/>
        <v>BRADLEY GAINES</v>
      </c>
      <c r="D725" s="13" t="str">
        <f t="shared" si="67"/>
        <v>bradley gaines</v>
      </c>
      <c r="E725" s="13" t="str">
        <f t="shared" si="68"/>
        <v>Bradley Gaines</v>
      </c>
      <c r="F725" s="13" t="str">
        <f t="shared" si="69"/>
        <v>FL</v>
      </c>
      <c r="G725" s="13" t="str">
        <f t="shared" si="70"/>
        <v>24</v>
      </c>
      <c r="H725" s="13" t="str">
        <f t="shared" si="71"/>
        <v>2507</v>
      </c>
    </row>
    <row r="726" spans="1:8" x14ac:dyDescent="0.3">
      <c r="A726" s="13" t="s">
        <v>1549</v>
      </c>
      <c r="B726" s="13" t="s">
        <v>1550</v>
      </c>
      <c r="C726" s="13" t="str">
        <f t="shared" si="66"/>
        <v>APRIL FORD</v>
      </c>
      <c r="D726" s="13" t="str">
        <f t="shared" si="67"/>
        <v>april ford</v>
      </c>
      <c r="E726" s="13" t="str">
        <f t="shared" si="68"/>
        <v>April Ford</v>
      </c>
      <c r="F726" s="13" t="str">
        <f t="shared" si="69"/>
        <v>FL</v>
      </c>
      <c r="G726" s="13" t="str">
        <f t="shared" si="70"/>
        <v>25</v>
      </c>
      <c r="H726" s="13" t="str">
        <f t="shared" si="71"/>
        <v>2507</v>
      </c>
    </row>
    <row r="727" spans="1:8" x14ac:dyDescent="0.3">
      <c r="A727" s="13" t="s">
        <v>1551</v>
      </c>
      <c r="B727" s="13" t="s">
        <v>1552</v>
      </c>
      <c r="C727" s="13" t="str">
        <f t="shared" si="66"/>
        <v>JAMES GONZALEZ</v>
      </c>
      <c r="D727" s="13" t="str">
        <f t="shared" si="67"/>
        <v>james gonzalez</v>
      </c>
      <c r="E727" s="13" t="str">
        <f t="shared" si="68"/>
        <v>James Gonzalez</v>
      </c>
      <c r="F727" s="13" t="str">
        <f t="shared" si="69"/>
        <v>FL</v>
      </c>
      <c r="G727" s="13" t="str">
        <f t="shared" si="70"/>
        <v>26</v>
      </c>
      <c r="H727" s="13" t="str">
        <f t="shared" si="71"/>
        <v>2507</v>
      </c>
    </row>
    <row r="728" spans="1:8" x14ac:dyDescent="0.3">
      <c r="A728" s="13" t="s">
        <v>1553</v>
      </c>
      <c r="B728" s="13" t="s">
        <v>1554</v>
      </c>
      <c r="C728" s="13" t="str">
        <f t="shared" si="66"/>
        <v>JOHN CASTILLO</v>
      </c>
      <c r="D728" s="13" t="str">
        <f t="shared" si="67"/>
        <v>john castillo</v>
      </c>
      <c r="E728" s="13" t="str">
        <f t="shared" si="68"/>
        <v>John Castillo</v>
      </c>
      <c r="F728" s="13" t="str">
        <f t="shared" si="69"/>
        <v>FL</v>
      </c>
      <c r="G728" s="13" t="str">
        <f t="shared" si="70"/>
        <v>27</v>
      </c>
      <c r="H728" s="13" t="str">
        <f t="shared" si="71"/>
        <v>2507</v>
      </c>
    </row>
    <row r="729" spans="1:8" x14ac:dyDescent="0.3">
      <c r="A729" s="13" t="s">
        <v>1555</v>
      </c>
      <c r="B729" s="13" t="s">
        <v>1556</v>
      </c>
      <c r="C729" s="13" t="str">
        <f t="shared" si="66"/>
        <v>IAN HAYES</v>
      </c>
      <c r="D729" s="13" t="str">
        <f t="shared" si="67"/>
        <v>ian hayes</v>
      </c>
      <c r="E729" s="13" t="str">
        <f t="shared" si="68"/>
        <v>Ian Hayes</v>
      </c>
      <c r="F729" s="13" t="str">
        <f t="shared" si="69"/>
        <v>FL</v>
      </c>
      <c r="G729" s="13" t="str">
        <f t="shared" si="70"/>
        <v>28</v>
      </c>
      <c r="H729" s="13" t="str">
        <f t="shared" si="71"/>
        <v>2507</v>
      </c>
    </row>
    <row r="730" spans="1:8" x14ac:dyDescent="0.3">
      <c r="A730" s="13" t="s">
        <v>1557</v>
      </c>
      <c r="B730" s="13" t="s">
        <v>1558</v>
      </c>
      <c r="C730" s="13" t="str">
        <f t="shared" si="66"/>
        <v>CHRISTINE CASTRO</v>
      </c>
      <c r="D730" s="13" t="str">
        <f t="shared" si="67"/>
        <v>christine castro</v>
      </c>
      <c r="E730" s="13" t="str">
        <f t="shared" si="68"/>
        <v>Christine Castro</v>
      </c>
      <c r="F730" s="13" t="str">
        <f t="shared" si="69"/>
        <v>FL</v>
      </c>
      <c r="G730" s="13" t="str">
        <f t="shared" si="70"/>
        <v>29</v>
      </c>
      <c r="H730" s="13" t="str">
        <f t="shared" si="71"/>
        <v>2507</v>
      </c>
    </row>
    <row r="731" spans="1:8" x14ac:dyDescent="0.3">
      <c r="A731" s="13" t="s">
        <v>1559</v>
      </c>
      <c r="B731" s="13" t="s">
        <v>1560</v>
      </c>
      <c r="C731" s="13" t="str">
        <f t="shared" si="66"/>
        <v>JESSICA CHANEY</v>
      </c>
      <c r="D731" s="13" t="str">
        <f t="shared" si="67"/>
        <v>jessica chaney</v>
      </c>
      <c r="E731" s="13" t="str">
        <f t="shared" si="68"/>
        <v>Jessica Chaney</v>
      </c>
      <c r="F731" s="13" t="str">
        <f t="shared" si="69"/>
        <v>FL</v>
      </c>
      <c r="G731" s="13" t="str">
        <f t="shared" si="70"/>
        <v>30</v>
      </c>
      <c r="H731" s="13" t="str">
        <f t="shared" si="71"/>
        <v>2507</v>
      </c>
    </row>
    <row r="732" spans="1:8" x14ac:dyDescent="0.3">
      <c r="A732" s="13" t="s">
        <v>1561</v>
      </c>
      <c r="B732" s="13" t="s">
        <v>1562</v>
      </c>
      <c r="C732" s="13" t="str">
        <f t="shared" si="66"/>
        <v>JOHN GRAY</v>
      </c>
      <c r="D732" s="13" t="str">
        <f t="shared" si="67"/>
        <v>john gray</v>
      </c>
      <c r="E732" s="13" t="str">
        <f t="shared" si="68"/>
        <v>John Gray</v>
      </c>
      <c r="F732" s="13" t="str">
        <f t="shared" si="69"/>
        <v>FL</v>
      </c>
      <c r="G732" s="13" t="str">
        <f t="shared" si="70"/>
        <v>31</v>
      </c>
      <c r="H732" s="13" t="str">
        <f t="shared" si="71"/>
        <v>2507</v>
      </c>
    </row>
    <row r="733" spans="1:8" x14ac:dyDescent="0.3">
      <c r="A733" s="13" t="s">
        <v>1563</v>
      </c>
      <c r="B733" s="13" t="s">
        <v>1564</v>
      </c>
      <c r="C733" s="13" t="str">
        <f t="shared" si="66"/>
        <v>SHANE BOOKER</v>
      </c>
      <c r="D733" s="13" t="str">
        <f t="shared" si="67"/>
        <v>shane booker</v>
      </c>
      <c r="E733" s="13" t="str">
        <f t="shared" si="68"/>
        <v>Shane Booker</v>
      </c>
      <c r="F733" s="13" t="str">
        <f t="shared" si="69"/>
        <v>FL</v>
      </c>
      <c r="G733" s="13" t="str">
        <f t="shared" si="70"/>
        <v>32</v>
      </c>
      <c r="H733" s="13" t="str">
        <f t="shared" si="71"/>
        <v>2507</v>
      </c>
    </row>
    <row r="734" spans="1:8" x14ac:dyDescent="0.3">
      <c r="A734" s="13" t="s">
        <v>1565</v>
      </c>
      <c r="B734" s="13" t="s">
        <v>1566</v>
      </c>
      <c r="C734" s="13" t="str">
        <f t="shared" si="66"/>
        <v>KYLE HALL</v>
      </c>
      <c r="D734" s="13" t="str">
        <f t="shared" si="67"/>
        <v>kyle hall</v>
      </c>
      <c r="E734" s="13" t="str">
        <f t="shared" si="68"/>
        <v>Kyle Hall</v>
      </c>
      <c r="F734" s="13" t="str">
        <f t="shared" si="69"/>
        <v>FL</v>
      </c>
      <c r="G734" s="13" t="str">
        <f t="shared" si="70"/>
        <v>33</v>
      </c>
      <c r="H734" s="13" t="str">
        <f t="shared" si="71"/>
        <v>2507</v>
      </c>
    </row>
    <row r="735" spans="1:8" x14ac:dyDescent="0.3">
      <c r="A735" s="13" t="s">
        <v>1567</v>
      </c>
      <c r="B735" s="13" t="s">
        <v>1568</v>
      </c>
      <c r="C735" s="13" t="str">
        <f t="shared" si="66"/>
        <v>RONALD MUNOZ</v>
      </c>
      <c r="D735" s="13" t="str">
        <f t="shared" si="67"/>
        <v>ronald munoz</v>
      </c>
      <c r="E735" s="13" t="str">
        <f t="shared" si="68"/>
        <v>Ronald Munoz</v>
      </c>
      <c r="F735" s="13" t="str">
        <f t="shared" si="69"/>
        <v>FL</v>
      </c>
      <c r="G735" s="13" t="str">
        <f t="shared" si="70"/>
        <v>34</v>
      </c>
      <c r="H735" s="13" t="str">
        <f t="shared" si="71"/>
        <v>2507</v>
      </c>
    </row>
    <row r="736" spans="1:8" x14ac:dyDescent="0.3">
      <c r="A736" s="13" t="s">
        <v>1569</v>
      </c>
      <c r="B736" s="13" t="s">
        <v>1570</v>
      </c>
      <c r="C736" s="13" t="str">
        <f t="shared" si="66"/>
        <v>CHRISTOPHER LONG</v>
      </c>
      <c r="D736" s="13" t="str">
        <f t="shared" si="67"/>
        <v>christopher long</v>
      </c>
      <c r="E736" s="13" t="str">
        <f t="shared" si="68"/>
        <v>Christopher Long</v>
      </c>
      <c r="F736" s="13" t="str">
        <f t="shared" si="69"/>
        <v>FL</v>
      </c>
      <c r="G736" s="13" t="str">
        <f t="shared" si="70"/>
        <v>35</v>
      </c>
      <c r="H736" s="13" t="str">
        <f t="shared" si="71"/>
        <v>2507</v>
      </c>
    </row>
    <row r="737" spans="1:8" x14ac:dyDescent="0.3">
      <c r="A737" s="13" t="s">
        <v>1571</v>
      </c>
      <c r="B737" s="13" t="s">
        <v>1572</v>
      </c>
      <c r="C737" s="13" t="str">
        <f t="shared" si="66"/>
        <v>SANDRA ALI</v>
      </c>
      <c r="D737" s="13" t="str">
        <f t="shared" si="67"/>
        <v>sandra ali</v>
      </c>
      <c r="E737" s="13" t="str">
        <f t="shared" si="68"/>
        <v>Sandra Ali</v>
      </c>
      <c r="F737" s="13" t="str">
        <f t="shared" si="69"/>
        <v>FL</v>
      </c>
      <c r="G737" s="13" t="str">
        <f t="shared" si="70"/>
        <v>36</v>
      </c>
      <c r="H737" s="13" t="str">
        <f t="shared" si="71"/>
        <v>2507</v>
      </c>
    </row>
    <row r="738" spans="1:8" x14ac:dyDescent="0.3">
      <c r="A738" s="13" t="s">
        <v>1573</v>
      </c>
      <c r="B738" s="13" t="s">
        <v>1574</v>
      </c>
      <c r="C738" s="13" t="str">
        <f t="shared" si="66"/>
        <v>JESSICA GARZA</v>
      </c>
      <c r="D738" s="13" t="str">
        <f t="shared" si="67"/>
        <v>jessica garza</v>
      </c>
      <c r="E738" s="13" t="str">
        <f t="shared" si="68"/>
        <v>Jessica Garza</v>
      </c>
      <c r="F738" s="13" t="str">
        <f t="shared" si="69"/>
        <v>FL</v>
      </c>
      <c r="G738" s="13" t="str">
        <f t="shared" si="70"/>
        <v>37</v>
      </c>
      <c r="H738" s="13" t="str">
        <f t="shared" si="71"/>
        <v>2507</v>
      </c>
    </row>
    <row r="739" spans="1:8" x14ac:dyDescent="0.3">
      <c r="A739" s="13" t="s">
        <v>1575</v>
      </c>
      <c r="B739" s="13" t="s">
        <v>1576</v>
      </c>
      <c r="C739" s="13" t="str">
        <f t="shared" si="66"/>
        <v>GREGORY WATERS</v>
      </c>
      <c r="D739" s="13" t="str">
        <f t="shared" si="67"/>
        <v>gregory waters</v>
      </c>
      <c r="E739" s="13" t="str">
        <f t="shared" si="68"/>
        <v>Gregory Waters</v>
      </c>
      <c r="F739" s="13" t="str">
        <f t="shared" si="69"/>
        <v>FL</v>
      </c>
      <c r="G739" s="13" t="str">
        <f t="shared" si="70"/>
        <v>38</v>
      </c>
      <c r="H739" s="13" t="str">
        <f t="shared" si="71"/>
        <v>2507</v>
      </c>
    </row>
    <row r="740" spans="1:8" x14ac:dyDescent="0.3">
      <c r="A740" s="13" t="s">
        <v>1577</v>
      </c>
      <c r="B740" s="13" t="s">
        <v>1578</v>
      </c>
      <c r="C740" s="13" t="str">
        <f t="shared" si="66"/>
        <v>MISTY ADAMS</v>
      </c>
      <c r="D740" s="13" t="str">
        <f t="shared" si="67"/>
        <v>misty adams</v>
      </c>
      <c r="E740" s="13" t="str">
        <f t="shared" si="68"/>
        <v>Misty Adams</v>
      </c>
      <c r="F740" s="13" t="str">
        <f t="shared" si="69"/>
        <v>FL</v>
      </c>
      <c r="G740" s="13" t="str">
        <f t="shared" si="70"/>
        <v>39</v>
      </c>
      <c r="H740" s="13" t="str">
        <f t="shared" si="71"/>
        <v>2507</v>
      </c>
    </row>
    <row r="741" spans="1:8" x14ac:dyDescent="0.3">
      <c r="A741" s="13" t="s">
        <v>1579</v>
      </c>
      <c r="B741" s="13" t="s">
        <v>1580</v>
      </c>
      <c r="C741" s="13" t="str">
        <f t="shared" si="66"/>
        <v>MEGAN BROWN</v>
      </c>
      <c r="D741" s="13" t="str">
        <f t="shared" si="67"/>
        <v>megan brown</v>
      </c>
      <c r="E741" s="13" t="str">
        <f t="shared" si="68"/>
        <v>Megan Brown</v>
      </c>
      <c r="F741" s="13" t="str">
        <f t="shared" si="69"/>
        <v>FL</v>
      </c>
      <c r="G741" s="13" t="str">
        <f t="shared" si="70"/>
        <v>40</v>
      </c>
      <c r="H741" s="13" t="str">
        <f t="shared" si="71"/>
        <v>2507</v>
      </c>
    </row>
    <row r="742" spans="1:8" x14ac:dyDescent="0.3">
      <c r="A742" s="13" t="s">
        <v>1581</v>
      </c>
      <c r="B742" s="13" t="s">
        <v>1582</v>
      </c>
      <c r="C742" s="13" t="str">
        <f t="shared" si="66"/>
        <v>GREGORY BROWN</v>
      </c>
      <c r="D742" s="13" t="str">
        <f t="shared" si="67"/>
        <v>gregory brown</v>
      </c>
      <c r="E742" s="13" t="str">
        <f t="shared" si="68"/>
        <v>Gregory Brown</v>
      </c>
      <c r="F742" s="13" t="str">
        <f t="shared" si="69"/>
        <v>FL</v>
      </c>
      <c r="G742" s="13" t="str">
        <f t="shared" si="70"/>
        <v>41</v>
      </c>
      <c r="H742" s="13" t="str">
        <f t="shared" si="71"/>
        <v>2507</v>
      </c>
    </row>
    <row r="743" spans="1:8" x14ac:dyDescent="0.3">
      <c r="A743" s="13" t="s">
        <v>1583</v>
      </c>
      <c r="B743" s="13" t="s">
        <v>1584</v>
      </c>
      <c r="C743" s="13" t="str">
        <f t="shared" si="66"/>
        <v>SCOTT ALEXANDER MD</v>
      </c>
      <c r="D743" s="13" t="str">
        <f t="shared" si="67"/>
        <v>scott alexander md</v>
      </c>
      <c r="E743" s="13" t="str">
        <f t="shared" si="68"/>
        <v>Scott Alexander Md</v>
      </c>
      <c r="F743" s="13" t="str">
        <f t="shared" si="69"/>
        <v>FL</v>
      </c>
      <c r="G743" s="13" t="str">
        <f t="shared" si="70"/>
        <v>42</v>
      </c>
      <c r="H743" s="13" t="str">
        <f t="shared" si="71"/>
        <v>2507</v>
      </c>
    </row>
    <row r="744" spans="1:8" x14ac:dyDescent="0.3">
      <c r="A744" s="13" t="s">
        <v>1585</v>
      </c>
      <c r="B744" s="13" t="s">
        <v>1586</v>
      </c>
      <c r="C744" s="13" t="str">
        <f t="shared" si="66"/>
        <v>ERIC NGUYEN</v>
      </c>
      <c r="D744" s="13" t="str">
        <f t="shared" si="67"/>
        <v>eric nguyen</v>
      </c>
      <c r="E744" s="13" t="str">
        <f t="shared" si="68"/>
        <v>Eric Nguyen</v>
      </c>
      <c r="F744" s="13" t="str">
        <f t="shared" si="69"/>
        <v>FL</v>
      </c>
      <c r="G744" s="13" t="str">
        <f t="shared" si="70"/>
        <v>43</v>
      </c>
      <c r="H744" s="13" t="str">
        <f t="shared" si="71"/>
        <v>2507</v>
      </c>
    </row>
    <row r="745" spans="1:8" x14ac:dyDescent="0.3">
      <c r="A745" s="13" t="s">
        <v>1587</v>
      </c>
      <c r="B745" s="13" t="s">
        <v>1588</v>
      </c>
      <c r="C745" s="13" t="str">
        <f t="shared" si="66"/>
        <v>WENDY BOYER</v>
      </c>
      <c r="D745" s="13" t="str">
        <f t="shared" si="67"/>
        <v>wendy boyer</v>
      </c>
      <c r="E745" s="13" t="str">
        <f t="shared" si="68"/>
        <v>Wendy Boyer</v>
      </c>
      <c r="F745" s="13" t="str">
        <f t="shared" si="69"/>
        <v>FL</v>
      </c>
      <c r="G745" s="13" t="str">
        <f t="shared" si="70"/>
        <v>44</v>
      </c>
      <c r="H745" s="13" t="str">
        <f t="shared" si="71"/>
        <v>2507</v>
      </c>
    </row>
    <row r="746" spans="1:8" x14ac:dyDescent="0.3">
      <c r="A746" s="13" t="s">
        <v>1589</v>
      </c>
      <c r="B746" s="13" t="s">
        <v>1590</v>
      </c>
      <c r="C746" s="13" t="str">
        <f t="shared" si="66"/>
        <v>MARK CLARK</v>
      </c>
      <c r="D746" s="13" t="str">
        <f t="shared" si="67"/>
        <v>mark clark</v>
      </c>
      <c r="E746" s="13" t="str">
        <f t="shared" si="68"/>
        <v>Mark Clark</v>
      </c>
      <c r="F746" s="13" t="str">
        <f t="shared" si="69"/>
        <v>FL</v>
      </c>
      <c r="G746" s="13" t="str">
        <f t="shared" si="70"/>
        <v>45</v>
      </c>
      <c r="H746" s="13" t="str">
        <f t="shared" si="71"/>
        <v>2507</v>
      </c>
    </row>
    <row r="747" spans="1:8" x14ac:dyDescent="0.3">
      <c r="A747" s="13" t="s">
        <v>1591</v>
      </c>
      <c r="B747" s="13" t="s">
        <v>1592</v>
      </c>
      <c r="C747" s="13" t="str">
        <f t="shared" si="66"/>
        <v>CARL KLINE</v>
      </c>
      <c r="D747" s="13" t="str">
        <f t="shared" si="67"/>
        <v>carl kline</v>
      </c>
      <c r="E747" s="13" t="str">
        <f t="shared" si="68"/>
        <v>Carl Kline</v>
      </c>
      <c r="F747" s="13" t="str">
        <f t="shared" si="69"/>
        <v>FL</v>
      </c>
      <c r="G747" s="13" t="str">
        <f t="shared" si="70"/>
        <v>46</v>
      </c>
      <c r="H747" s="13" t="str">
        <f t="shared" si="71"/>
        <v>2507</v>
      </c>
    </row>
    <row r="748" spans="1:8" x14ac:dyDescent="0.3">
      <c r="A748" s="13" t="s">
        <v>1593</v>
      </c>
      <c r="B748" s="13" t="s">
        <v>1594</v>
      </c>
      <c r="C748" s="13" t="str">
        <f t="shared" si="66"/>
        <v>LINDA WILLIAMS</v>
      </c>
      <c r="D748" s="13" t="str">
        <f t="shared" si="67"/>
        <v>linda williams</v>
      </c>
      <c r="E748" s="13" t="str">
        <f t="shared" si="68"/>
        <v>Linda Williams</v>
      </c>
      <c r="F748" s="13" t="str">
        <f t="shared" si="69"/>
        <v>FL</v>
      </c>
      <c r="G748" s="13" t="str">
        <f t="shared" si="70"/>
        <v>47</v>
      </c>
      <c r="H748" s="13" t="str">
        <f t="shared" si="71"/>
        <v>2507</v>
      </c>
    </row>
    <row r="749" spans="1:8" x14ac:dyDescent="0.3">
      <c r="A749" s="13" t="s">
        <v>1595</v>
      </c>
      <c r="B749" s="13" t="s">
        <v>1596</v>
      </c>
      <c r="C749" s="13" t="str">
        <f t="shared" si="66"/>
        <v>JASON EDWARDS</v>
      </c>
      <c r="D749" s="13" t="str">
        <f t="shared" si="67"/>
        <v>jason edwards</v>
      </c>
      <c r="E749" s="13" t="str">
        <f t="shared" si="68"/>
        <v>Jason Edwards</v>
      </c>
      <c r="F749" s="13" t="str">
        <f t="shared" si="69"/>
        <v>FL</v>
      </c>
      <c r="G749" s="13" t="str">
        <f t="shared" si="70"/>
        <v>48</v>
      </c>
      <c r="H749" s="13" t="str">
        <f t="shared" si="71"/>
        <v>2507</v>
      </c>
    </row>
    <row r="750" spans="1:8" x14ac:dyDescent="0.3">
      <c r="A750" s="13" t="s">
        <v>1597</v>
      </c>
      <c r="B750" s="13" t="s">
        <v>1598</v>
      </c>
      <c r="C750" s="13" t="str">
        <f t="shared" si="66"/>
        <v>MADISON MCINTOSH</v>
      </c>
      <c r="D750" s="13" t="str">
        <f t="shared" si="67"/>
        <v>madison mcintosh</v>
      </c>
      <c r="E750" s="13" t="str">
        <f t="shared" si="68"/>
        <v>Madison Mcintosh</v>
      </c>
      <c r="F750" s="13" t="str">
        <f t="shared" si="69"/>
        <v>FL</v>
      </c>
      <c r="G750" s="13" t="str">
        <f t="shared" si="70"/>
        <v>49</v>
      </c>
      <c r="H750" s="13" t="str">
        <f t="shared" si="71"/>
        <v>2507</v>
      </c>
    </row>
    <row r="751" spans="1:8" x14ac:dyDescent="0.3">
      <c r="A751" s="13" t="s">
        <v>1599</v>
      </c>
      <c r="B751" s="13" t="s">
        <v>1600</v>
      </c>
      <c r="C751" s="13" t="str">
        <f t="shared" si="66"/>
        <v>DESIREE WINTERS</v>
      </c>
      <c r="D751" s="13" t="str">
        <f t="shared" si="67"/>
        <v>desiree winters</v>
      </c>
      <c r="E751" s="13" t="str">
        <f t="shared" si="68"/>
        <v>Desiree Winters</v>
      </c>
      <c r="F751" s="13" t="str">
        <f t="shared" si="69"/>
        <v>FL</v>
      </c>
      <c r="G751" s="13" t="str">
        <f t="shared" si="70"/>
        <v>50</v>
      </c>
      <c r="H751" s="13" t="str">
        <f t="shared" si="71"/>
        <v>2507</v>
      </c>
    </row>
    <row r="752" spans="1:8" x14ac:dyDescent="0.3">
      <c r="A752" s="13" t="s">
        <v>1601</v>
      </c>
      <c r="B752" s="13" t="s">
        <v>1602</v>
      </c>
      <c r="C752" s="13" t="str">
        <f t="shared" si="66"/>
        <v>RYAN TAYLOR</v>
      </c>
      <c r="D752" s="13" t="str">
        <f t="shared" si="67"/>
        <v>ryan taylor</v>
      </c>
      <c r="E752" s="13" t="str">
        <f t="shared" si="68"/>
        <v>Ryan Taylor</v>
      </c>
      <c r="F752" s="13" t="str">
        <f t="shared" si="69"/>
        <v>FL</v>
      </c>
      <c r="G752" s="13" t="str">
        <f t="shared" si="70"/>
        <v>51</v>
      </c>
      <c r="H752" s="13" t="str">
        <f t="shared" si="71"/>
        <v>2507</v>
      </c>
    </row>
    <row r="753" spans="1:8" x14ac:dyDescent="0.3">
      <c r="A753" s="13" t="s">
        <v>1603</v>
      </c>
      <c r="B753" s="13" t="s">
        <v>1604</v>
      </c>
      <c r="C753" s="13" t="str">
        <f t="shared" si="66"/>
        <v>PATRICIA SCOTT</v>
      </c>
      <c r="D753" s="13" t="str">
        <f t="shared" si="67"/>
        <v>patricia scott</v>
      </c>
      <c r="E753" s="13" t="str">
        <f t="shared" si="68"/>
        <v>Patricia Scott</v>
      </c>
      <c r="F753" s="13" t="str">
        <f t="shared" si="69"/>
        <v>FL</v>
      </c>
      <c r="G753" s="13" t="str">
        <f t="shared" si="70"/>
        <v>52</v>
      </c>
      <c r="H753" s="13" t="str">
        <f t="shared" si="71"/>
        <v>2507</v>
      </c>
    </row>
    <row r="754" spans="1:8" x14ac:dyDescent="0.3">
      <c r="A754" s="13" t="s">
        <v>1605</v>
      </c>
      <c r="B754" s="13" t="s">
        <v>1606</v>
      </c>
      <c r="C754" s="13" t="str">
        <f t="shared" si="66"/>
        <v>ERIN JIMENEZ</v>
      </c>
      <c r="D754" s="13" t="str">
        <f t="shared" si="67"/>
        <v>erin jimenez</v>
      </c>
      <c r="E754" s="13" t="str">
        <f t="shared" si="68"/>
        <v>Erin Jimenez</v>
      </c>
      <c r="F754" s="13" t="str">
        <f t="shared" si="69"/>
        <v>FL</v>
      </c>
      <c r="G754" s="13" t="str">
        <f t="shared" si="70"/>
        <v>53</v>
      </c>
      <c r="H754" s="13" t="str">
        <f t="shared" si="71"/>
        <v>2507</v>
      </c>
    </row>
    <row r="755" spans="1:8" x14ac:dyDescent="0.3">
      <c r="A755" s="13" t="s">
        <v>1607</v>
      </c>
      <c r="B755" s="13" t="s">
        <v>1608</v>
      </c>
      <c r="C755" s="13" t="str">
        <f t="shared" si="66"/>
        <v>ANTHONY KRAUSE</v>
      </c>
      <c r="D755" s="13" t="str">
        <f t="shared" si="67"/>
        <v>anthony krause</v>
      </c>
      <c r="E755" s="13" t="str">
        <f t="shared" si="68"/>
        <v>Anthony Krause</v>
      </c>
      <c r="F755" s="13" t="str">
        <f t="shared" si="69"/>
        <v>FL</v>
      </c>
      <c r="G755" s="13" t="str">
        <f t="shared" si="70"/>
        <v>54</v>
      </c>
      <c r="H755" s="13" t="str">
        <f t="shared" si="71"/>
        <v>2507</v>
      </c>
    </row>
    <row r="756" spans="1:8" x14ac:dyDescent="0.3">
      <c r="A756" s="13" t="s">
        <v>1609</v>
      </c>
      <c r="B756" s="13" t="s">
        <v>1610</v>
      </c>
      <c r="C756" s="13" t="str">
        <f t="shared" si="66"/>
        <v>DIANE DEAN</v>
      </c>
      <c r="D756" s="13" t="str">
        <f t="shared" si="67"/>
        <v>diane dean</v>
      </c>
      <c r="E756" s="13" t="str">
        <f t="shared" si="68"/>
        <v>Diane Dean</v>
      </c>
      <c r="F756" s="13" t="str">
        <f t="shared" si="69"/>
        <v>FL</v>
      </c>
      <c r="G756" s="13" t="str">
        <f t="shared" si="70"/>
        <v>55</v>
      </c>
      <c r="H756" s="13" t="str">
        <f t="shared" si="71"/>
        <v>2507</v>
      </c>
    </row>
    <row r="757" spans="1:8" x14ac:dyDescent="0.3">
      <c r="A757" s="13" t="s">
        <v>1611</v>
      </c>
      <c r="B757" s="13" t="s">
        <v>1612</v>
      </c>
      <c r="C757" s="13" t="str">
        <f t="shared" si="66"/>
        <v>STUART MCKINNEY</v>
      </c>
      <c r="D757" s="13" t="str">
        <f t="shared" si="67"/>
        <v>stuart mckinney</v>
      </c>
      <c r="E757" s="13" t="str">
        <f t="shared" si="68"/>
        <v>Stuart Mckinney</v>
      </c>
      <c r="F757" s="13" t="str">
        <f t="shared" si="69"/>
        <v>FL</v>
      </c>
      <c r="G757" s="13" t="str">
        <f t="shared" si="70"/>
        <v>56</v>
      </c>
      <c r="H757" s="13" t="str">
        <f t="shared" si="71"/>
        <v>2507</v>
      </c>
    </row>
    <row r="758" spans="1:8" x14ac:dyDescent="0.3">
      <c r="A758" s="13" t="s">
        <v>1613</v>
      </c>
      <c r="B758" s="13" t="s">
        <v>1614</v>
      </c>
      <c r="C758" s="13" t="str">
        <f t="shared" si="66"/>
        <v>KELLIE LE</v>
      </c>
      <c r="D758" s="13" t="str">
        <f t="shared" si="67"/>
        <v>kellie le</v>
      </c>
      <c r="E758" s="13" t="str">
        <f t="shared" si="68"/>
        <v>Kellie Le</v>
      </c>
      <c r="F758" s="13" t="str">
        <f t="shared" si="69"/>
        <v>FL</v>
      </c>
      <c r="G758" s="13" t="str">
        <f t="shared" si="70"/>
        <v>57</v>
      </c>
      <c r="H758" s="13" t="str">
        <f t="shared" si="71"/>
        <v>2507</v>
      </c>
    </row>
    <row r="759" spans="1:8" x14ac:dyDescent="0.3">
      <c r="A759" s="13" t="s">
        <v>1615</v>
      </c>
      <c r="B759" s="13" t="s">
        <v>1616</v>
      </c>
      <c r="C759" s="13" t="str">
        <f t="shared" si="66"/>
        <v>LAUREN HENRY</v>
      </c>
      <c r="D759" s="13" t="str">
        <f t="shared" si="67"/>
        <v>lauren henry</v>
      </c>
      <c r="E759" s="13" t="str">
        <f t="shared" si="68"/>
        <v>Lauren Henry</v>
      </c>
      <c r="F759" s="13" t="str">
        <f t="shared" si="69"/>
        <v>FL</v>
      </c>
      <c r="G759" s="13" t="str">
        <f t="shared" si="70"/>
        <v>58</v>
      </c>
      <c r="H759" s="13" t="str">
        <f t="shared" si="71"/>
        <v>2507</v>
      </c>
    </row>
    <row r="760" spans="1:8" x14ac:dyDescent="0.3">
      <c r="A760" s="13" t="s">
        <v>1617</v>
      </c>
      <c r="B760" s="13" t="s">
        <v>1618</v>
      </c>
      <c r="C760" s="13" t="str">
        <f t="shared" si="66"/>
        <v>BRANDON FOX</v>
      </c>
      <c r="D760" s="13" t="str">
        <f t="shared" si="67"/>
        <v>brandon fox</v>
      </c>
      <c r="E760" s="13" t="str">
        <f t="shared" si="68"/>
        <v>Brandon Fox</v>
      </c>
      <c r="F760" s="13" t="str">
        <f t="shared" si="69"/>
        <v>FL</v>
      </c>
      <c r="G760" s="13" t="str">
        <f t="shared" si="70"/>
        <v>59</v>
      </c>
      <c r="H760" s="13" t="str">
        <f t="shared" si="71"/>
        <v>2507</v>
      </c>
    </row>
    <row r="761" spans="1:8" x14ac:dyDescent="0.3">
      <c r="A761" s="13" t="s">
        <v>1619</v>
      </c>
      <c r="B761" s="13" t="s">
        <v>1620</v>
      </c>
      <c r="C761" s="13" t="str">
        <f t="shared" si="66"/>
        <v>RICHARD SMITH</v>
      </c>
      <c r="D761" s="13" t="str">
        <f t="shared" si="67"/>
        <v>richard smith</v>
      </c>
      <c r="E761" s="13" t="str">
        <f t="shared" si="68"/>
        <v>Richard Smith</v>
      </c>
      <c r="F761" s="13" t="str">
        <f t="shared" si="69"/>
        <v>FL</v>
      </c>
      <c r="G761" s="13" t="str">
        <f t="shared" si="70"/>
        <v>60</v>
      </c>
      <c r="H761" s="13" t="str">
        <f t="shared" si="71"/>
        <v>2507</v>
      </c>
    </row>
    <row r="762" spans="1:8" x14ac:dyDescent="0.3">
      <c r="A762" s="13" t="s">
        <v>1621</v>
      </c>
      <c r="B762" s="13" t="s">
        <v>1622</v>
      </c>
      <c r="C762" s="13" t="str">
        <f t="shared" si="66"/>
        <v>JOHN WHITE</v>
      </c>
      <c r="D762" s="13" t="str">
        <f t="shared" si="67"/>
        <v>john white</v>
      </c>
      <c r="E762" s="13" t="str">
        <f t="shared" si="68"/>
        <v>John White</v>
      </c>
      <c r="F762" s="13" t="str">
        <f t="shared" si="69"/>
        <v>FL</v>
      </c>
      <c r="G762" s="13" t="str">
        <f t="shared" si="70"/>
        <v>61</v>
      </c>
      <c r="H762" s="13" t="str">
        <f t="shared" si="71"/>
        <v>2507</v>
      </c>
    </row>
    <row r="763" spans="1:8" x14ac:dyDescent="0.3">
      <c r="A763" s="13" t="s">
        <v>1623</v>
      </c>
      <c r="B763" s="13" t="s">
        <v>1624</v>
      </c>
      <c r="C763" s="13" t="str">
        <f t="shared" si="66"/>
        <v>GILBERT MCINTYRE</v>
      </c>
      <c r="D763" s="13" t="str">
        <f t="shared" si="67"/>
        <v>gilbert mcintyre</v>
      </c>
      <c r="E763" s="13" t="str">
        <f t="shared" si="68"/>
        <v>Gilbert Mcintyre</v>
      </c>
      <c r="F763" s="13" t="str">
        <f t="shared" si="69"/>
        <v>FL</v>
      </c>
      <c r="G763" s="13" t="str">
        <f t="shared" si="70"/>
        <v>62</v>
      </c>
      <c r="H763" s="13" t="str">
        <f t="shared" si="71"/>
        <v>2507</v>
      </c>
    </row>
    <row r="764" spans="1:8" x14ac:dyDescent="0.3">
      <c r="A764" s="13" t="s">
        <v>1625</v>
      </c>
      <c r="B764" s="13" t="s">
        <v>1626</v>
      </c>
      <c r="C764" s="13" t="str">
        <f t="shared" si="66"/>
        <v>CHRISTOPHER SPARKS</v>
      </c>
      <c r="D764" s="13" t="str">
        <f t="shared" si="67"/>
        <v>christopher sparks</v>
      </c>
      <c r="E764" s="13" t="str">
        <f t="shared" si="68"/>
        <v>Christopher Sparks</v>
      </c>
      <c r="F764" s="13" t="str">
        <f t="shared" si="69"/>
        <v>FL</v>
      </c>
      <c r="G764" s="13" t="str">
        <f t="shared" si="70"/>
        <v>63</v>
      </c>
      <c r="H764" s="13" t="str">
        <f t="shared" si="71"/>
        <v>2507</v>
      </c>
    </row>
    <row r="765" spans="1:8" x14ac:dyDescent="0.3">
      <c r="A765" s="13" t="s">
        <v>1627</v>
      </c>
      <c r="B765" s="13" t="s">
        <v>1628</v>
      </c>
      <c r="C765" s="13" t="str">
        <f t="shared" si="66"/>
        <v>AARON HICKS</v>
      </c>
      <c r="D765" s="13" t="str">
        <f t="shared" si="67"/>
        <v>aaron hicks</v>
      </c>
      <c r="E765" s="13" t="str">
        <f t="shared" si="68"/>
        <v>Aaron Hicks</v>
      </c>
      <c r="F765" s="13" t="str">
        <f t="shared" si="69"/>
        <v>FL</v>
      </c>
      <c r="G765" s="13" t="str">
        <f t="shared" si="70"/>
        <v>64</v>
      </c>
      <c r="H765" s="13" t="str">
        <f t="shared" si="71"/>
        <v>2507</v>
      </c>
    </row>
    <row r="766" spans="1:8" x14ac:dyDescent="0.3">
      <c r="A766" s="13" t="s">
        <v>1629</v>
      </c>
      <c r="B766" s="13" t="s">
        <v>1630</v>
      </c>
      <c r="C766" s="13" t="str">
        <f t="shared" si="66"/>
        <v>JOSE PATTERSON</v>
      </c>
      <c r="D766" s="13" t="str">
        <f t="shared" si="67"/>
        <v>jose patterson</v>
      </c>
      <c r="E766" s="13" t="str">
        <f t="shared" si="68"/>
        <v>Jose Patterson</v>
      </c>
      <c r="F766" s="13" t="str">
        <f t="shared" si="69"/>
        <v>FL</v>
      </c>
      <c r="G766" s="13" t="str">
        <f t="shared" si="70"/>
        <v>65</v>
      </c>
      <c r="H766" s="13" t="str">
        <f t="shared" si="71"/>
        <v>2507</v>
      </c>
    </row>
    <row r="767" spans="1:8" x14ac:dyDescent="0.3">
      <c r="A767" s="13" t="s">
        <v>1631</v>
      </c>
      <c r="B767" s="13" t="s">
        <v>1632</v>
      </c>
      <c r="C767" s="13" t="str">
        <f t="shared" si="66"/>
        <v>BRYAN LONG</v>
      </c>
      <c r="D767" s="13" t="str">
        <f t="shared" si="67"/>
        <v>bryan long</v>
      </c>
      <c r="E767" s="13" t="str">
        <f t="shared" si="68"/>
        <v>Bryan Long</v>
      </c>
      <c r="F767" s="13" t="str">
        <f t="shared" si="69"/>
        <v>FL</v>
      </c>
      <c r="G767" s="13" t="str">
        <f t="shared" si="70"/>
        <v>66</v>
      </c>
      <c r="H767" s="13" t="str">
        <f t="shared" si="71"/>
        <v>2507</v>
      </c>
    </row>
    <row r="768" spans="1:8" x14ac:dyDescent="0.3">
      <c r="A768" s="13" t="s">
        <v>1633</v>
      </c>
      <c r="B768" s="13" t="s">
        <v>1634</v>
      </c>
      <c r="C768" s="13" t="str">
        <f t="shared" si="66"/>
        <v>TAMMY GOMEZ</v>
      </c>
      <c r="D768" s="13" t="str">
        <f t="shared" si="67"/>
        <v>tammy gomez</v>
      </c>
      <c r="E768" s="13" t="str">
        <f t="shared" si="68"/>
        <v>Tammy Gomez</v>
      </c>
      <c r="F768" s="13" t="str">
        <f t="shared" si="69"/>
        <v>FL</v>
      </c>
      <c r="G768" s="13" t="str">
        <f t="shared" si="70"/>
        <v>67</v>
      </c>
      <c r="H768" s="13" t="str">
        <f t="shared" si="71"/>
        <v>2507</v>
      </c>
    </row>
    <row r="769" spans="1:8" x14ac:dyDescent="0.3">
      <c r="A769" s="13" t="s">
        <v>1635</v>
      </c>
      <c r="B769" s="13" t="s">
        <v>1636</v>
      </c>
      <c r="C769" s="13" t="str">
        <f t="shared" si="66"/>
        <v>DIANA RAYMOND</v>
      </c>
      <c r="D769" s="13" t="str">
        <f t="shared" si="67"/>
        <v>diana raymond</v>
      </c>
      <c r="E769" s="13" t="str">
        <f t="shared" si="68"/>
        <v>Diana Raymond</v>
      </c>
      <c r="F769" s="13" t="str">
        <f t="shared" si="69"/>
        <v>FL</v>
      </c>
      <c r="G769" s="13" t="str">
        <f t="shared" si="70"/>
        <v>68</v>
      </c>
      <c r="H769" s="13" t="str">
        <f t="shared" si="71"/>
        <v>2507</v>
      </c>
    </row>
    <row r="770" spans="1:8" x14ac:dyDescent="0.3">
      <c r="A770" s="13" t="s">
        <v>1637</v>
      </c>
      <c r="B770" s="13" t="s">
        <v>1638</v>
      </c>
      <c r="C770" s="13" t="str">
        <f t="shared" si="66"/>
        <v>JESSICA ARMSTRONG</v>
      </c>
      <c r="D770" s="13" t="str">
        <f t="shared" si="67"/>
        <v>jessica armstrong</v>
      </c>
      <c r="E770" s="13" t="str">
        <f t="shared" si="68"/>
        <v>Jessica Armstrong</v>
      </c>
      <c r="F770" s="13" t="str">
        <f t="shared" si="69"/>
        <v>FL</v>
      </c>
      <c r="G770" s="13" t="str">
        <f t="shared" si="70"/>
        <v>69</v>
      </c>
      <c r="H770" s="13" t="str">
        <f t="shared" si="71"/>
        <v>2507</v>
      </c>
    </row>
    <row r="771" spans="1:8" x14ac:dyDescent="0.3">
      <c r="A771" s="13" t="s">
        <v>1639</v>
      </c>
      <c r="B771" s="13" t="s">
        <v>1640</v>
      </c>
      <c r="C771" s="13" t="str">
        <f t="shared" ref="C771:C834" si="72">UPPER(B771)</f>
        <v>AMANDA MARTIN</v>
      </c>
      <c r="D771" s="13" t="str">
        <f t="shared" ref="D771:D834" si="73">LOWER(B771)</f>
        <v>amanda martin</v>
      </c>
      <c r="E771" s="13" t="str">
        <f t="shared" ref="E771:E834" si="74">PROPER(C771)</f>
        <v>Amanda Martin</v>
      </c>
      <c r="F771" s="13" t="str">
        <f t="shared" ref="F771:F834" si="75">LEFT(A771,2)</f>
        <v>FL</v>
      </c>
      <c r="G771" s="13" t="str">
        <f t="shared" ref="G771:G834" si="76">RIGHT(A771,2)</f>
        <v>70</v>
      </c>
      <c r="H771" s="13" t="str">
        <f t="shared" ref="H771:H834" si="77">MID(A771,3,4)</f>
        <v>2507</v>
      </c>
    </row>
    <row r="772" spans="1:8" x14ac:dyDescent="0.3">
      <c r="A772" s="13" t="s">
        <v>1641</v>
      </c>
      <c r="B772" s="13" t="s">
        <v>1642</v>
      </c>
      <c r="C772" s="13" t="str">
        <f t="shared" si="72"/>
        <v>ANNE HAMILTON</v>
      </c>
      <c r="D772" s="13" t="str">
        <f t="shared" si="73"/>
        <v>anne hamilton</v>
      </c>
      <c r="E772" s="13" t="str">
        <f t="shared" si="74"/>
        <v>Anne Hamilton</v>
      </c>
      <c r="F772" s="13" t="str">
        <f t="shared" si="75"/>
        <v>FL</v>
      </c>
      <c r="G772" s="13" t="str">
        <f t="shared" si="76"/>
        <v>71</v>
      </c>
      <c r="H772" s="13" t="str">
        <f t="shared" si="77"/>
        <v>2507</v>
      </c>
    </row>
    <row r="773" spans="1:8" x14ac:dyDescent="0.3">
      <c r="A773" s="13" t="s">
        <v>1643</v>
      </c>
      <c r="B773" s="13" t="s">
        <v>1644</v>
      </c>
      <c r="C773" s="13" t="str">
        <f t="shared" si="72"/>
        <v>HEATHER CURTIS</v>
      </c>
      <c r="D773" s="13" t="str">
        <f t="shared" si="73"/>
        <v>heather curtis</v>
      </c>
      <c r="E773" s="13" t="str">
        <f t="shared" si="74"/>
        <v>Heather Curtis</v>
      </c>
      <c r="F773" s="13" t="str">
        <f t="shared" si="75"/>
        <v>FL</v>
      </c>
      <c r="G773" s="13" t="str">
        <f t="shared" si="76"/>
        <v>72</v>
      </c>
      <c r="H773" s="13" t="str">
        <f t="shared" si="77"/>
        <v>2507</v>
      </c>
    </row>
    <row r="774" spans="1:8" x14ac:dyDescent="0.3">
      <c r="A774" s="13" t="s">
        <v>1645</v>
      </c>
      <c r="B774" s="13" t="s">
        <v>1646</v>
      </c>
      <c r="C774" s="13" t="str">
        <f t="shared" si="72"/>
        <v>TIFFANY MOSES</v>
      </c>
      <c r="D774" s="13" t="str">
        <f t="shared" si="73"/>
        <v>tiffany moses</v>
      </c>
      <c r="E774" s="13" t="str">
        <f t="shared" si="74"/>
        <v>Tiffany Moses</v>
      </c>
      <c r="F774" s="13" t="str">
        <f t="shared" si="75"/>
        <v>FL</v>
      </c>
      <c r="G774" s="13" t="str">
        <f t="shared" si="76"/>
        <v>73</v>
      </c>
      <c r="H774" s="13" t="str">
        <f t="shared" si="77"/>
        <v>2507</v>
      </c>
    </row>
    <row r="775" spans="1:8" x14ac:dyDescent="0.3">
      <c r="A775" s="13" t="s">
        <v>1647</v>
      </c>
      <c r="B775" s="13" t="s">
        <v>1648</v>
      </c>
      <c r="C775" s="13" t="str">
        <f t="shared" si="72"/>
        <v>JACQUELINE MOON</v>
      </c>
      <c r="D775" s="13" t="str">
        <f t="shared" si="73"/>
        <v>jacqueline moon</v>
      </c>
      <c r="E775" s="13" t="str">
        <f t="shared" si="74"/>
        <v>Jacqueline Moon</v>
      </c>
      <c r="F775" s="13" t="str">
        <f t="shared" si="75"/>
        <v>FL</v>
      </c>
      <c r="G775" s="13" t="str">
        <f t="shared" si="76"/>
        <v>74</v>
      </c>
      <c r="H775" s="13" t="str">
        <f t="shared" si="77"/>
        <v>2507</v>
      </c>
    </row>
    <row r="776" spans="1:8" x14ac:dyDescent="0.3">
      <c r="A776" s="13" t="s">
        <v>1649</v>
      </c>
      <c r="B776" s="13" t="s">
        <v>1650</v>
      </c>
      <c r="C776" s="13" t="str">
        <f t="shared" si="72"/>
        <v>JAMES CAMPBELL</v>
      </c>
      <c r="D776" s="13" t="str">
        <f t="shared" si="73"/>
        <v>james campbell</v>
      </c>
      <c r="E776" s="13" t="str">
        <f t="shared" si="74"/>
        <v>James Campbell</v>
      </c>
      <c r="F776" s="13" t="str">
        <f t="shared" si="75"/>
        <v>FL</v>
      </c>
      <c r="G776" s="13" t="str">
        <f t="shared" si="76"/>
        <v>75</v>
      </c>
      <c r="H776" s="13" t="str">
        <f t="shared" si="77"/>
        <v>2507</v>
      </c>
    </row>
    <row r="777" spans="1:8" x14ac:dyDescent="0.3">
      <c r="A777" s="13" t="s">
        <v>1651</v>
      </c>
      <c r="B777" s="13" t="s">
        <v>1652</v>
      </c>
      <c r="C777" s="13" t="str">
        <f t="shared" si="72"/>
        <v>MELISSA VASQUEZ</v>
      </c>
      <c r="D777" s="13" t="str">
        <f t="shared" si="73"/>
        <v>melissa vasquez</v>
      </c>
      <c r="E777" s="13" t="str">
        <f t="shared" si="74"/>
        <v>Melissa Vasquez</v>
      </c>
      <c r="F777" s="13" t="str">
        <f t="shared" si="75"/>
        <v>FL</v>
      </c>
      <c r="G777" s="13" t="str">
        <f t="shared" si="76"/>
        <v>76</v>
      </c>
      <c r="H777" s="13" t="str">
        <f t="shared" si="77"/>
        <v>2507</v>
      </c>
    </row>
    <row r="778" spans="1:8" x14ac:dyDescent="0.3">
      <c r="A778" s="13" t="s">
        <v>1653</v>
      </c>
      <c r="B778" s="13" t="s">
        <v>1654</v>
      </c>
      <c r="C778" s="13" t="str">
        <f t="shared" si="72"/>
        <v>KATHERINE CARLSON</v>
      </c>
      <c r="D778" s="13" t="str">
        <f t="shared" si="73"/>
        <v>katherine carlson</v>
      </c>
      <c r="E778" s="13" t="str">
        <f t="shared" si="74"/>
        <v>Katherine Carlson</v>
      </c>
      <c r="F778" s="13" t="str">
        <f t="shared" si="75"/>
        <v>FL</v>
      </c>
      <c r="G778" s="13" t="str">
        <f t="shared" si="76"/>
        <v>77</v>
      </c>
      <c r="H778" s="13" t="str">
        <f t="shared" si="77"/>
        <v>2507</v>
      </c>
    </row>
    <row r="779" spans="1:8" x14ac:dyDescent="0.3">
      <c r="A779" s="13" t="s">
        <v>1655</v>
      </c>
      <c r="B779" s="13" t="s">
        <v>1656</v>
      </c>
      <c r="C779" s="13" t="str">
        <f t="shared" si="72"/>
        <v>ADAM CLAY</v>
      </c>
      <c r="D779" s="13" t="str">
        <f t="shared" si="73"/>
        <v>adam clay</v>
      </c>
      <c r="E779" s="13" t="str">
        <f t="shared" si="74"/>
        <v>Adam Clay</v>
      </c>
      <c r="F779" s="13" t="str">
        <f t="shared" si="75"/>
        <v>FL</v>
      </c>
      <c r="G779" s="13" t="str">
        <f t="shared" si="76"/>
        <v>78</v>
      </c>
      <c r="H779" s="13" t="str">
        <f t="shared" si="77"/>
        <v>2507</v>
      </c>
    </row>
    <row r="780" spans="1:8" x14ac:dyDescent="0.3">
      <c r="A780" s="13" t="s">
        <v>1657</v>
      </c>
      <c r="B780" s="13" t="s">
        <v>1658</v>
      </c>
      <c r="C780" s="13" t="str">
        <f t="shared" si="72"/>
        <v>AMY COMBS</v>
      </c>
      <c r="D780" s="13" t="str">
        <f t="shared" si="73"/>
        <v>amy combs</v>
      </c>
      <c r="E780" s="13" t="str">
        <f t="shared" si="74"/>
        <v>Amy Combs</v>
      </c>
      <c r="F780" s="13" t="str">
        <f t="shared" si="75"/>
        <v>FL</v>
      </c>
      <c r="G780" s="13" t="str">
        <f t="shared" si="76"/>
        <v>79</v>
      </c>
      <c r="H780" s="13" t="str">
        <f t="shared" si="77"/>
        <v>2507</v>
      </c>
    </row>
    <row r="781" spans="1:8" x14ac:dyDescent="0.3">
      <c r="A781" s="13" t="s">
        <v>1659</v>
      </c>
      <c r="B781" s="13" t="s">
        <v>1660</v>
      </c>
      <c r="C781" s="13" t="str">
        <f t="shared" si="72"/>
        <v>ANTHONY CASE</v>
      </c>
      <c r="D781" s="13" t="str">
        <f t="shared" si="73"/>
        <v>anthony case</v>
      </c>
      <c r="E781" s="13" t="str">
        <f t="shared" si="74"/>
        <v>Anthony Case</v>
      </c>
      <c r="F781" s="13" t="str">
        <f t="shared" si="75"/>
        <v>FL</v>
      </c>
      <c r="G781" s="13" t="str">
        <f t="shared" si="76"/>
        <v>80</v>
      </c>
      <c r="H781" s="13" t="str">
        <f t="shared" si="77"/>
        <v>2507</v>
      </c>
    </row>
    <row r="782" spans="1:8" x14ac:dyDescent="0.3">
      <c r="A782" s="13" t="s">
        <v>1661</v>
      </c>
      <c r="B782" s="13" t="s">
        <v>1662</v>
      </c>
      <c r="C782" s="13" t="str">
        <f t="shared" si="72"/>
        <v>KIMBERLY BROWN</v>
      </c>
      <c r="D782" s="13" t="str">
        <f t="shared" si="73"/>
        <v>kimberly brown</v>
      </c>
      <c r="E782" s="13" t="str">
        <f t="shared" si="74"/>
        <v>Kimberly Brown</v>
      </c>
      <c r="F782" s="13" t="str">
        <f t="shared" si="75"/>
        <v>FL</v>
      </c>
      <c r="G782" s="13" t="str">
        <f t="shared" si="76"/>
        <v>81</v>
      </c>
      <c r="H782" s="13" t="str">
        <f t="shared" si="77"/>
        <v>2507</v>
      </c>
    </row>
    <row r="783" spans="1:8" x14ac:dyDescent="0.3">
      <c r="A783" s="13" t="s">
        <v>1663</v>
      </c>
      <c r="B783" s="13" t="s">
        <v>1664</v>
      </c>
      <c r="C783" s="13" t="str">
        <f t="shared" si="72"/>
        <v>JOSHUA HOLLOWAY</v>
      </c>
      <c r="D783" s="13" t="str">
        <f t="shared" si="73"/>
        <v>joshua holloway</v>
      </c>
      <c r="E783" s="13" t="str">
        <f t="shared" si="74"/>
        <v>Joshua Holloway</v>
      </c>
      <c r="F783" s="13" t="str">
        <f t="shared" si="75"/>
        <v>FL</v>
      </c>
      <c r="G783" s="13" t="str">
        <f t="shared" si="76"/>
        <v>82</v>
      </c>
      <c r="H783" s="13" t="str">
        <f t="shared" si="77"/>
        <v>2507</v>
      </c>
    </row>
    <row r="784" spans="1:8" x14ac:dyDescent="0.3">
      <c r="A784" s="13" t="s">
        <v>1665</v>
      </c>
      <c r="B784" s="13" t="s">
        <v>1666</v>
      </c>
      <c r="C784" s="13" t="str">
        <f t="shared" si="72"/>
        <v>CYNTHIA WALTON</v>
      </c>
      <c r="D784" s="13" t="str">
        <f t="shared" si="73"/>
        <v>cynthia walton</v>
      </c>
      <c r="E784" s="13" t="str">
        <f t="shared" si="74"/>
        <v>Cynthia Walton</v>
      </c>
      <c r="F784" s="13" t="str">
        <f t="shared" si="75"/>
        <v>FL</v>
      </c>
      <c r="G784" s="13" t="str">
        <f t="shared" si="76"/>
        <v>83</v>
      </c>
      <c r="H784" s="13" t="str">
        <f t="shared" si="77"/>
        <v>2507</v>
      </c>
    </row>
    <row r="785" spans="1:8" x14ac:dyDescent="0.3">
      <c r="A785" s="13" t="s">
        <v>1667</v>
      </c>
      <c r="B785" s="13" t="s">
        <v>1668</v>
      </c>
      <c r="C785" s="13" t="str">
        <f t="shared" si="72"/>
        <v>SHAWN DELGADO</v>
      </c>
      <c r="D785" s="13" t="str">
        <f t="shared" si="73"/>
        <v>shawn delgado</v>
      </c>
      <c r="E785" s="13" t="str">
        <f t="shared" si="74"/>
        <v>Shawn Delgado</v>
      </c>
      <c r="F785" s="13" t="str">
        <f t="shared" si="75"/>
        <v>FL</v>
      </c>
      <c r="G785" s="13" t="str">
        <f t="shared" si="76"/>
        <v>84</v>
      </c>
      <c r="H785" s="13" t="str">
        <f t="shared" si="77"/>
        <v>2507</v>
      </c>
    </row>
    <row r="786" spans="1:8" x14ac:dyDescent="0.3">
      <c r="A786" s="13" t="s">
        <v>1669</v>
      </c>
      <c r="B786" s="13" t="s">
        <v>1670</v>
      </c>
      <c r="C786" s="13" t="str">
        <f t="shared" si="72"/>
        <v>JEREMY SMITH</v>
      </c>
      <c r="D786" s="13" t="str">
        <f t="shared" si="73"/>
        <v>jeremy smith</v>
      </c>
      <c r="E786" s="13" t="str">
        <f t="shared" si="74"/>
        <v>Jeremy Smith</v>
      </c>
      <c r="F786" s="13" t="str">
        <f t="shared" si="75"/>
        <v>FL</v>
      </c>
      <c r="G786" s="13" t="str">
        <f t="shared" si="76"/>
        <v>85</v>
      </c>
      <c r="H786" s="13" t="str">
        <f t="shared" si="77"/>
        <v>2507</v>
      </c>
    </row>
    <row r="787" spans="1:8" x14ac:dyDescent="0.3">
      <c r="A787" s="13" t="s">
        <v>1671</v>
      </c>
      <c r="B787" s="13" t="s">
        <v>1672</v>
      </c>
      <c r="C787" s="13" t="str">
        <f t="shared" si="72"/>
        <v>MARC ORTIZ</v>
      </c>
      <c r="D787" s="13" t="str">
        <f t="shared" si="73"/>
        <v>marc ortiz</v>
      </c>
      <c r="E787" s="13" t="str">
        <f t="shared" si="74"/>
        <v>Marc Ortiz</v>
      </c>
      <c r="F787" s="13" t="str">
        <f t="shared" si="75"/>
        <v>FL</v>
      </c>
      <c r="G787" s="13" t="str">
        <f t="shared" si="76"/>
        <v>86</v>
      </c>
      <c r="H787" s="13" t="str">
        <f t="shared" si="77"/>
        <v>2507</v>
      </c>
    </row>
    <row r="788" spans="1:8" x14ac:dyDescent="0.3">
      <c r="A788" s="13" t="s">
        <v>1673</v>
      </c>
      <c r="B788" s="13" t="s">
        <v>1674</v>
      </c>
      <c r="C788" s="13" t="str">
        <f t="shared" si="72"/>
        <v>MICHELLE GREGORY</v>
      </c>
      <c r="D788" s="13" t="str">
        <f t="shared" si="73"/>
        <v>michelle gregory</v>
      </c>
      <c r="E788" s="13" t="str">
        <f t="shared" si="74"/>
        <v>Michelle Gregory</v>
      </c>
      <c r="F788" s="13" t="str">
        <f t="shared" si="75"/>
        <v>FL</v>
      </c>
      <c r="G788" s="13" t="str">
        <f t="shared" si="76"/>
        <v>87</v>
      </c>
      <c r="H788" s="13" t="str">
        <f t="shared" si="77"/>
        <v>2507</v>
      </c>
    </row>
    <row r="789" spans="1:8" x14ac:dyDescent="0.3">
      <c r="A789" s="13" t="s">
        <v>1675</v>
      </c>
      <c r="B789" s="13" t="s">
        <v>1676</v>
      </c>
      <c r="C789" s="13" t="str">
        <f t="shared" si="72"/>
        <v>MELANIE GAY</v>
      </c>
      <c r="D789" s="13" t="str">
        <f t="shared" si="73"/>
        <v>melanie gay</v>
      </c>
      <c r="E789" s="13" t="str">
        <f t="shared" si="74"/>
        <v>Melanie Gay</v>
      </c>
      <c r="F789" s="13" t="str">
        <f t="shared" si="75"/>
        <v>FL</v>
      </c>
      <c r="G789" s="13" t="str">
        <f t="shared" si="76"/>
        <v>88</v>
      </c>
      <c r="H789" s="13" t="str">
        <f t="shared" si="77"/>
        <v>2507</v>
      </c>
    </row>
    <row r="790" spans="1:8" x14ac:dyDescent="0.3">
      <c r="A790" s="13" t="s">
        <v>1677</v>
      </c>
      <c r="B790" s="13" t="s">
        <v>1678</v>
      </c>
      <c r="C790" s="13" t="str">
        <f t="shared" si="72"/>
        <v>BRITTANY LAMBERT</v>
      </c>
      <c r="D790" s="13" t="str">
        <f t="shared" si="73"/>
        <v>brittany lambert</v>
      </c>
      <c r="E790" s="13" t="str">
        <f t="shared" si="74"/>
        <v>Brittany Lambert</v>
      </c>
      <c r="F790" s="13" t="str">
        <f t="shared" si="75"/>
        <v>FL</v>
      </c>
      <c r="G790" s="13" t="str">
        <f t="shared" si="76"/>
        <v>89</v>
      </c>
      <c r="H790" s="13" t="str">
        <f t="shared" si="77"/>
        <v>2507</v>
      </c>
    </row>
    <row r="791" spans="1:8" x14ac:dyDescent="0.3">
      <c r="A791" s="13" t="s">
        <v>1679</v>
      </c>
      <c r="B791" s="13" t="s">
        <v>1680</v>
      </c>
      <c r="C791" s="13" t="str">
        <f t="shared" si="72"/>
        <v>MARY HERNANDEZ</v>
      </c>
      <c r="D791" s="13" t="str">
        <f t="shared" si="73"/>
        <v>mary hernandez</v>
      </c>
      <c r="E791" s="13" t="str">
        <f t="shared" si="74"/>
        <v>Mary Hernandez</v>
      </c>
      <c r="F791" s="13" t="str">
        <f t="shared" si="75"/>
        <v>FL</v>
      </c>
      <c r="G791" s="13" t="str">
        <f t="shared" si="76"/>
        <v>90</v>
      </c>
      <c r="H791" s="13" t="str">
        <f t="shared" si="77"/>
        <v>2507</v>
      </c>
    </row>
    <row r="792" spans="1:8" x14ac:dyDescent="0.3">
      <c r="A792" s="13" t="s">
        <v>1681</v>
      </c>
      <c r="B792" s="13" t="s">
        <v>1682</v>
      </c>
      <c r="C792" s="13" t="str">
        <f t="shared" si="72"/>
        <v>JONATHAN JONES</v>
      </c>
      <c r="D792" s="13" t="str">
        <f t="shared" si="73"/>
        <v>jonathan jones</v>
      </c>
      <c r="E792" s="13" t="str">
        <f t="shared" si="74"/>
        <v>Jonathan Jones</v>
      </c>
      <c r="F792" s="13" t="str">
        <f t="shared" si="75"/>
        <v>FL</v>
      </c>
      <c r="G792" s="13" t="str">
        <f t="shared" si="76"/>
        <v>91</v>
      </c>
      <c r="H792" s="13" t="str">
        <f t="shared" si="77"/>
        <v>2507</v>
      </c>
    </row>
    <row r="793" spans="1:8" x14ac:dyDescent="0.3">
      <c r="A793" s="13" t="s">
        <v>1683</v>
      </c>
      <c r="B793" s="13" t="s">
        <v>1684</v>
      </c>
      <c r="C793" s="13" t="str">
        <f t="shared" si="72"/>
        <v>GINA WILLIAMS</v>
      </c>
      <c r="D793" s="13" t="str">
        <f t="shared" si="73"/>
        <v>gina williams</v>
      </c>
      <c r="E793" s="13" t="str">
        <f t="shared" si="74"/>
        <v>Gina Williams</v>
      </c>
      <c r="F793" s="13" t="str">
        <f t="shared" si="75"/>
        <v>FL</v>
      </c>
      <c r="G793" s="13" t="str">
        <f t="shared" si="76"/>
        <v>92</v>
      </c>
      <c r="H793" s="13" t="str">
        <f t="shared" si="77"/>
        <v>2507</v>
      </c>
    </row>
    <row r="794" spans="1:8" x14ac:dyDescent="0.3">
      <c r="A794" s="13" t="s">
        <v>1685</v>
      </c>
      <c r="B794" s="13" t="s">
        <v>1686</v>
      </c>
      <c r="C794" s="13" t="str">
        <f t="shared" si="72"/>
        <v>KELLY LAWSON</v>
      </c>
      <c r="D794" s="13" t="str">
        <f t="shared" si="73"/>
        <v>kelly lawson</v>
      </c>
      <c r="E794" s="13" t="str">
        <f t="shared" si="74"/>
        <v>Kelly Lawson</v>
      </c>
      <c r="F794" s="13" t="str">
        <f t="shared" si="75"/>
        <v>FL</v>
      </c>
      <c r="G794" s="13" t="str">
        <f t="shared" si="76"/>
        <v>93</v>
      </c>
      <c r="H794" s="13" t="str">
        <f t="shared" si="77"/>
        <v>2507</v>
      </c>
    </row>
    <row r="795" spans="1:8" x14ac:dyDescent="0.3">
      <c r="A795" s="13" t="s">
        <v>1687</v>
      </c>
      <c r="B795" s="13" t="s">
        <v>1688</v>
      </c>
      <c r="C795" s="13" t="str">
        <f t="shared" si="72"/>
        <v>KEITH SMITH</v>
      </c>
      <c r="D795" s="13" t="str">
        <f t="shared" si="73"/>
        <v>keith smith</v>
      </c>
      <c r="E795" s="13" t="str">
        <f t="shared" si="74"/>
        <v>Keith Smith</v>
      </c>
      <c r="F795" s="13" t="str">
        <f t="shared" si="75"/>
        <v>FL</v>
      </c>
      <c r="G795" s="13" t="str">
        <f t="shared" si="76"/>
        <v>94</v>
      </c>
      <c r="H795" s="13" t="str">
        <f t="shared" si="77"/>
        <v>2507</v>
      </c>
    </row>
    <row r="796" spans="1:8" x14ac:dyDescent="0.3">
      <c r="A796" s="13" t="s">
        <v>1689</v>
      </c>
      <c r="B796" s="13" t="s">
        <v>1690</v>
      </c>
      <c r="C796" s="13" t="str">
        <f t="shared" si="72"/>
        <v>CHRISTOPHER HUNTER</v>
      </c>
      <c r="D796" s="13" t="str">
        <f t="shared" si="73"/>
        <v>christopher hunter</v>
      </c>
      <c r="E796" s="13" t="str">
        <f t="shared" si="74"/>
        <v>Christopher Hunter</v>
      </c>
      <c r="F796" s="13" t="str">
        <f t="shared" si="75"/>
        <v>FL</v>
      </c>
      <c r="G796" s="13" t="str">
        <f t="shared" si="76"/>
        <v>95</v>
      </c>
      <c r="H796" s="13" t="str">
        <f t="shared" si="77"/>
        <v>2507</v>
      </c>
    </row>
    <row r="797" spans="1:8" x14ac:dyDescent="0.3">
      <c r="A797" s="13" t="s">
        <v>1691</v>
      </c>
      <c r="B797" s="13" t="s">
        <v>1692</v>
      </c>
      <c r="C797" s="13" t="str">
        <f t="shared" si="72"/>
        <v>DWAYNE PARKS</v>
      </c>
      <c r="D797" s="13" t="str">
        <f t="shared" si="73"/>
        <v>dwayne parks</v>
      </c>
      <c r="E797" s="13" t="str">
        <f t="shared" si="74"/>
        <v>Dwayne Parks</v>
      </c>
      <c r="F797" s="13" t="str">
        <f t="shared" si="75"/>
        <v>FL</v>
      </c>
      <c r="G797" s="13" t="str">
        <f t="shared" si="76"/>
        <v>96</v>
      </c>
      <c r="H797" s="13" t="str">
        <f t="shared" si="77"/>
        <v>2507</v>
      </c>
    </row>
    <row r="798" spans="1:8" x14ac:dyDescent="0.3">
      <c r="A798" s="13" t="s">
        <v>1693</v>
      </c>
      <c r="B798" s="13" t="s">
        <v>1694</v>
      </c>
      <c r="C798" s="13" t="str">
        <f t="shared" si="72"/>
        <v>MARY HALL</v>
      </c>
      <c r="D798" s="13" t="str">
        <f t="shared" si="73"/>
        <v>mary hall</v>
      </c>
      <c r="E798" s="13" t="str">
        <f t="shared" si="74"/>
        <v>Mary Hall</v>
      </c>
      <c r="F798" s="13" t="str">
        <f t="shared" si="75"/>
        <v>FL</v>
      </c>
      <c r="G798" s="13" t="str">
        <f t="shared" si="76"/>
        <v>97</v>
      </c>
      <c r="H798" s="13" t="str">
        <f t="shared" si="77"/>
        <v>2507</v>
      </c>
    </row>
    <row r="799" spans="1:8" x14ac:dyDescent="0.3">
      <c r="A799" s="13" t="s">
        <v>1695</v>
      </c>
      <c r="B799" s="13" t="s">
        <v>1696</v>
      </c>
      <c r="C799" s="13" t="str">
        <f t="shared" si="72"/>
        <v>JAKE GILMORE</v>
      </c>
      <c r="D799" s="13" t="str">
        <f t="shared" si="73"/>
        <v>jake gilmore</v>
      </c>
      <c r="E799" s="13" t="str">
        <f t="shared" si="74"/>
        <v>Jake Gilmore</v>
      </c>
      <c r="F799" s="13" t="str">
        <f t="shared" si="75"/>
        <v>FL</v>
      </c>
      <c r="G799" s="13" t="str">
        <f t="shared" si="76"/>
        <v>98</v>
      </c>
      <c r="H799" s="13" t="str">
        <f t="shared" si="77"/>
        <v>2507</v>
      </c>
    </row>
    <row r="800" spans="1:8" x14ac:dyDescent="0.3">
      <c r="A800" s="13" t="s">
        <v>1697</v>
      </c>
      <c r="B800" s="13" t="s">
        <v>1698</v>
      </c>
      <c r="C800" s="13" t="str">
        <f t="shared" si="72"/>
        <v>MARK LOPEZ</v>
      </c>
      <c r="D800" s="13" t="str">
        <f t="shared" si="73"/>
        <v>mark lopez</v>
      </c>
      <c r="E800" s="13" t="str">
        <f t="shared" si="74"/>
        <v>Mark Lopez</v>
      </c>
      <c r="F800" s="13" t="str">
        <f t="shared" si="75"/>
        <v>FL</v>
      </c>
      <c r="G800" s="13" t="str">
        <f t="shared" si="76"/>
        <v>99</v>
      </c>
      <c r="H800" s="13" t="str">
        <f t="shared" si="77"/>
        <v>2507</v>
      </c>
    </row>
    <row r="801" spans="1:8" x14ac:dyDescent="0.3">
      <c r="A801" s="13" t="s">
        <v>1699</v>
      </c>
      <c r="B801" s="13" t="s">
        <v>1700</v>
      </c>
      <c r="C801" s="13" t="str">
        <f t="shared" si="72"/>
        <v>DANA RICE</v>
      </c>
      <c r="D801" s="13" t="str">
        <f t="shared" si="73"/>
        <v>dana rice</v>
      </c>
      <c r="E801" s="13" t="str">
        <f t="shared" si="74"/>
        <v>Dana Rice</v>
      </c>
      <c r="F801" s="13" t="str">
        <f t="shared" si="75"/>
        <v>FL</v>
      </c>
      <c r="G801" s="13" t="str">
        <f t="shared" si="76"/>
        <v>00</v>
      </c>
      <c r="H801" s="13" t="str">
        <f t="shared" si="77"/>
        <v>2508</v>
      </c>
    </row>
    <row r="802" spans="1:8" x14ac:dyDescent="0.3">
      <c r="A802" s="13" t="s">
        <v>1701</v>
      </c>
      <c r="B802" s="13" t="s">
        <v>1702</v>
      </c>
      <c r="C802" s="13" t="str">
        <f t="shared" si="72"/>
        <v>BETH YOUNG</v>
      </c>
      <c r="D802" s="13" t="str">
        <f t="shared" si="73"/>
        <v>beth young</v>
      </c>
      <c r="E802" s="13" t="str">
        <f t="shared" si="74"/>
        <v>Beth Young</v>
      </c>
      <c r="F802" s="13" t="str">
        <f t="shared" si="75"/>
        <v>FL</v>
      </c>
      <c r="G802" s="13" t="str">
        <f t="shared" si="76"/>
        <v>01</v>
      </c>
      <c r="H802" s="13" t="str">
        <f t="shared" si="77"/>
        <v>2508</v>
      </c>
    </row>
    <row r="803" spans="1:8" x14ac:dyDescent="0.3">
      <c r="A803" s="13" t="s">
        <v>1703</v>
      </c>
      <c r="B803" s="13" t="s">
        <v>1704</v>
      </c>
      <c r="C803" s="13" t="str">
        <f t="shared" si="72"/>
        <v>RYAN POWELL</v>
      </c>
      <c r="D803" s="13" t="str">
        <f t="shared" si="73"/>
        <v>ryan powell</v>
      </c>
      <c r="E803" s="13" t="str">
        <f t="shared" si="74"/>
        <v>Ryan Powell</v>
      </c>
      <c r="F803" s="13" t="str">
        <f t="shared" si="75"/>
        <v>FL</v>
      </c>
      <c r="G803" s="13" t="str">
        <f t="shared" si="76"/>
        <v>02</v>
      </c>
      <c r="H803" s="13" t="str">
        <f t="shared" si="77"/>
        <v>2508</v>
      </c>
    </row>
    <row r="804" spans="1:8" x14ac:dyDescent="0.3">
      <c r="A804" s="13" t="s">
        <v>1705</v>
      </c>
      <c r="B804" s="13" t="s">
        <v>1706</v>
      </c>
      <c r="C804" s="13" t="str">
        <f t="shared" si="72"/>
        <v>AMANDA FOWLER</v>
      </c>
      <c r="D804" s="13" t="str">
        <f t="shared" si="73"/>
        <v>amanda fowler</v>
      </c>
      <c r="E804" s="13" t="str">
        <f t="shared" si="74"/>
        <v>Amanda Fowler</v>
      </c>
      <c r="F804" s="13" t="str">
        <f t="shared" si="75"/>
        <v>FL</v>
      </c>
      <c r="G804" s="13" t="str">
        <f t="shared" si="76"/>
        <v>03</v>
      </c>
      <c r="H804" s="13" t="str">
        <f t="shared" si="77"/>
        <v>2508</v>
      </c>
    </row>
    <row r="805" spans="1:8" x14ac:dyDescent="0.3">
      <c r="A805" s="13" t="s">
        <v>1707</v>
      </c>
      <c r="B805" s="13" t="s">
        <v>1708</v>
      </c>
      <c r="C805" s="13" t="str">
        <f t="shared" si="72"/>
        <v>LINDSAY RIVERA</v>
      </c>
      <c r="D805" s="13" t="str">
        <f t="shared" si="73"/>
        <v>lindsay rivera</v>
      </c>
      <c r="E805" s="13" t="str">
        <f t="shared" si="74"/>
        <v>Lindsay Rivera</v>
      </c>
      <c r="F805" s="13" t="str">
        <f t="shared" si="75"/>
        <v>FL</v>
      </c>
      <c r="G805" s="13" t="str">
        <f t="shared" si="76"/>
        <v>04</v>
      </c>
      <c r="H805" s="13" t="str">
        <f t="shared" si="77"/>
        <v>2508</v>
      </c>
    </row>
    <row r="806" spans="1:8" x14ac:dyDescent="0.3">
      <c r="A806" s="13" t="s">
        <v>1709</v>
      </c>
      <c r="B806" s="13" t="s">
        <v>1710</v>
      </c>
      <c r="C806" s="13" t="str">
        <f t="shared" si="72"/>
        <v>MARK WARD</v>
      </c>
      <c r="D806" s="13" t="str">
        <f t="shared" si="73"/>
        <v>mark ward</v>
      </c>
      <c r="E806" s="13" t="str">
        <f t="shared" si="74"/>
        <v>Mark Ward</v>
      </c>
      <c r="F806" s="13" t="str">
        <f t="shared" si="75"/>
        <v>FL</v>
      </c>
      <c r="G806" s="13" t="str">
        <f t="shared" si="76"/>
        <v>05</v>
      </c>
      <c r="H806" s="13" t="str">
        <f t="shared" si="77"/>
        <v>2508</v>
      </c>
    </row>
    <row r="807" spans="1:8" x14ac:dyDescent="0.3">
      <c r="A807" s="13" t="s">
        <v>1711</v>
      </c>
      <c r="B807" s="13" t="s">
        <v>1712</v>
      </c>
      <c r="C807" s="13" t="str">
        <f t="shared" si="72"/>
        <v>AMANDA SMITH</v>
      </c>
      <c r="D807" s="13" t="str">
        <f t="shared" si="73"/>
        <v>amanda smith</v>
      </c>
      <c r="E807" s="13" t="str">
        <f t="shared" si="74"/>
        <v>Amanda Smith</v>
      </c>
      <c r="F807" s="13" t="str">
        <f t="shared" si="75"/>
        <v>FL</v>
      </c>
      <c r="G807" s="13" t="str">
        <f t="shared" si="76"/>
        <v>06</v>
      </c>
      <c r="H807" s="13" t="str">
        <f t="shared" si="77"/>
        <v>2508</v>
      </c>
    </row>
    <row r="808" spans="1:8" x14ac:dyDescent="0.3">
      <c r="A808" s="13" t="s">
        <v>1713</v>
      </c>
      <c r="B808" s="13" t="s">
        <v>1714</v>
      </c>
      <c r="C808" s="13" t="str">
        <f t="shared" si="72"/>
        <v>EMILY BROWN</v>
      </c>
      <c r="D808" s="13" t="str">
        <f t="shared" si="73"/>
        <v>emily brown</v>
      </c>
      <c r="E808" s="13" t="str">
        <f t="shared" si="74"/>
        <v>Emily Brown</v>
      </c>
      <c r="F808" s="13" t="str">
        <f t="shared" si="75"/>
        <v>FL</v>
      </c>
      <c r="G808" s="13" t="str">
        <f t="shared" si="76"/>
        <v>07</v>
      </c>
      <c r="H808" s="13" t="str">
        <f t="shared" si="77"/>
        <v>2508</v>
      </c>
    </row>
    <row r="809" spans="1:8" x14ac:dyDescent="0.3">
      <c r="A809" s="13" t="s">
        <v>1715</v>
      </c>
      <c r="B809" s="13" t="s">
        <v>1716</v>
      </c>
      <c r="C809" s="13" t="str">
        <f t="shared" si="72"/>
        <v>DWAYNE CARDENAS</v>
      </c>
      <c r="D809" s="13" t="str">
        <f t="shared" si="73"/>
        <v>dwayne cardenas</v>
      </c>
      <c r="E809" s="13" t="str">
        <f t="shared" si="74"/>
        <v>Dwayne Cardenas</v>
      </c>
      <c r="F809" s="13" t="str">
        <f t="shared" si="75"/>
        <v>FL</v>
      </c>
      <c r="G809" s="13" t="str">
        <f t="shared" si="76"/>
        <v>08</v>
      </c>
      <c r="H809" s="13" t="str">
        <f t="shared" si="77"/>
        <v>2508</v>
      </c>
    </row>
    <row r="810" spans="1:8" x14ac:dyDescent="0.3">
      <c r="A810" s="13" t="s">
        <v>1717</v>
      </c>
      <c r="B810" s="13" t="s">
        <v>1718</v>
      </c>
      <c r="C810" s="13" t="str">
        <f t="shared" si="72"/>
        <v>DR. RHONDA HERNANDEZ</v>
      </c>
      <c r="D810" s="13" t="str">
        <f t="shared" si="73"/>
        <v>dr. rhonda hernandez</v>
      </c>
      <c r="E810" s="13" t="str">
        <f t="shared" si="74"/>
        <v>Dr. Rhonda Hernandez</v>
      </c>
      <c r="F810" s="13" t="str">
        <f t="shared" si="75"/>
        <v>FL</v>
      </c>
      <c r="G810" s="13" t="str">
        <f t="shared" si="76"/>
        <v>09</v>
      </c>
      <c r="H810" s="13" t="str">
        <f t="shared" si="77"/>
        <v>2508</v>
      </c>
    </row>
    <row r="811" spans="1:8" x14ac:dyDescent="0.3">
      <c r="A811" s="13" t="s">
        <v>1719</v>
      </c>
      <c r="B811" s="13" t="s">
        <v>1720</v>
      </c>
      <c r="C811" s="13" t="str">
        <f t="shared" si="72"/>
        <v>MELODY BARKER</v>
      </c>
      <c r="D811" s="13" t="str">
        <f t="shared" si="73"/>
        <v>melody barker</v>
      </c>
      <c r="E811" s="13" t="str">
        <f t="shared" si="74"/>
        <v>Melody Barker</v>
      </c>
      <c r="F811" s="13" t="str">
        <f t="shared" si="75"/>
        <v>FL</v>
      </c>
      <c r="G811" s="13" t="str">
        <f t="shared" si="76"/>
        <v>10</v>
      </c>
      <c r="H811" s="13" t="str">
        <f t="shared" si="77"/>
        <v>2508</v>
      </c>
    </row>
    <row r="812" spans="1:8" x14ac:dyDescent="0.3">
      <c r="A812" s="13" t="s">
        <v>1721</v>
      </c>
      <c r="B812" s="13" t="s">
        <v>1722</v>
      </c>
      <c r="C812" s="13" t="str">
        <f t="shared" si="72"/>
        <v>RUSSELL CARPENTER</v>
      </c>
      <c r="D812" s="13" t="str">
        <f t="shared" si="73"/>
        <v>russell carpenter</v>
      </c>
      <c r="E812" s="13" t="str">
        <f t="shared" si="74"/>
        <v>Russell Carpenter</v>
      </c>
      <c r="F812" s="13" t="str">
        <f t="shared" si="75"/>
        <v>FL</v>
      </c>
      <c r="G812" s="13" t="str">
        <f t="shared" si="76"/>
        <v>11</v>
      </c>
      <c r="H812" s="13" t="str">
        <f t="shared" si="77"/>
        <v>2508</v>
      </c>
    </row>
    <row r="813" spans="1:8" x14ac:dyDescent="0.3">
      <c r="A813" s="13" t="s">
        <v>1723</v>
      </c>
      <c r="B813" s="13" t="s">
        <v>1724</v>
      </c>
      <c r="C813" s="13" t="str">
        <f t="shared" si="72"/>
        <v>RICHARD HILL</v>
      </c>
      <c r="D813" s="13" t="str">
        <f t="shared" si="73"/>
        <v>richard hill</v>
      </c>
      <c r="E813" s="13" t="str">
        <f t="shared" si="74"/>
        <v>Richard Hill</v>
      </c>
      <c r="F813" s="13" t="str">
        <f t="shared" si="75"/>
        <v>FL</v>
      </c>
      <c r="G813" s="13" t="str">
        <f t="shared" si="76"/>
        <v>12</v>
      </c>
      <c r="H813" s="13" t="str">
        <f t="shared" si="77"/>
        <v>2508</v>
      </c>
    </row>
    <row r="814" spans="1:8" x14ac:dyDescent="0.3">
      <c r="A814" s="13" t="s">
        <v>1725</v>
      </c>
      <c r="B814" s="13" t="s">
        <v>1726</v>
      </c>
      <c r="C814" s="13" t="str">
        <f t="shared" si="72"/>
        <v>LINDSAY POTTS</v>
      </c>
      <c r="D814" s="13" t="str">
        <f t="shared" si="73"/>
        <v>lindsay potts</v>
      </c>
      <c r="E814" s="13" t="str">
        <f t="shared" si="74"/>
        <v>Lindsay Potts</v>
      </c>
      <c r="F814" s="13" t="str">
        <f t="shared" si="75"/>
        <v>FL</v>
      </c>
      <c r="G814" s="13" t="str">
        <f t="shared" si="76"/>
        <v>13</v>
      </c>
      <c r="H814" s="13" t="str">
        <f t="shared" si="77"/>
        <v>2508</v>
      </c>
    </row>
    <row r="815" spans="1:8" x14ac:dyDescent="0.3">
      <c r="A815" s="13" t="s">
        <v>1727</v>
      </c>
      <c r="B815" s="13" t="s">
        <v>1728</v>
      </c>
      <c r="C815" s="13" t="str">
        <f t="shared" si="72"/>
        <v>MICHELLE CAMPBELL</v>
      </c>
      <c r="D815" s="13" t="str">
        <f t="shared" si="73"/>
        <v>michelle campbell</v>
      </c>
      <c r="E815" s="13" t="str">
        <f t="shared" si="74"/>
        <v>Michelle Campbell</v>
      </c>
      <c r="F815" s="13" t="str">
        <f t="shared" si="75"/>
        <v>FL</v>
      </c>
      <c r="G815" s="13" t="str">
        <f t="shared" si="76"/>
        <v>14</v>
      </c>
      <c r="H815" s="13" t="str">
        <f t="shared" si="77"/>
        <v>2508</v>
      </c>
    </row>
    <row r="816" spans="1:8" x14ac:dyDescent="0.3">
      <c r="A816" s="13" t="s">
        <v>1729</v>
      </c>
      <c r="B816" s="13" t="s">
        <v>1730</v>
      </c>
      <c r="C816" s="13" t="str">
        <f t="shared" si="72"/>
        <v>ALAN WILLIAMS</v>
      </c>
      <c r="D816" s="13" t="str">
        <f t="shared" si="73"/>
        <v>alan williams</v>
      </c>
      <c r="E816" s="13" t="str">
        <f t="shared" si="74"/>
        <v>Alan Williams</v>
      </c>
      <c r="F816" s="13" t="str">
        <f t="shared" si="75"/>
        <v>FL</v>
      </c>
      <c r="G816" s="13" t="str">
        <f t="shared" si="76"/>
        <v>15</v>
      </c>
      <c r="H816" s="13" t="str">
        <f t="shared" si="77"/>
        <v>2508</v>
      </c>
    </row>
    <row r="817" spans="1:8" x14ac:dyDescent="0.3">
      <c r="A817" s="13" t="s">
        <v>1731</v>
      </c>
      <c r="B817" s="13" t="s">
        <v>1732</v>
      </c>
      <c r="C817" s="13" t="str">
        <f t="shared" si="72"/>
        <v>ROBIN HINTON</v>
      </c>
      <c r="D817" s="13" t="str">
        <f t="shared" si="73"/>
        <v>robin hinton</v>
      </c>
      <c r="E817" s="13" t="str">
        <f t="shared" si="74"/>
        <v>Robin Hinton</v>
      </c>
      <c r="F817" s="13" t="str">
        <f t="shared" si="75"/>
        <v>FL</v>
      </c>
      <c r="G817" s="13" t="str">
        <f t="shared" si="76"/>
        <v>16</v>
      </c>
      <c r="H817" s="13" t="str">
        <f t="shared" si="77"/>
        <v>2508</v>
      </c>
    </row>
    <row r="818" spans="1:8" x14ac:dyDescent="0.3">
      <c r="A818" s="13" t="s">
        <v>1733</v>
      </c>
      <c r="B818" s="13" t="s">
        <v>1734</v>
      </c>
      <c r="C818" s="13" t="str">
        <f t="shared" si="72"/>
        <v>BRIAN HOLLAND</v>
      </c>
      <c r="D818" s="13" t="str">
        <f t="shared" si="73"/>
        <v>brian holland</v>
      </c>
      <c r="E818" s="13" t="str">
        <f t="shared" si="74"/>
        <v>Brian Holland</v>
      </c>
      <c r="F818" s="13" t="str">
        <f t="shared" si="75"/>
        <v>FL</v>
      </c>
      <c r="G818" s="13" t="str">
        <f t="shared" si="76"/>
        <v>17</v>
      </c>
      <c r="H818" s="13" t="str">
        <f t="shared" si="77"/>
        <v>2508</v>
      </c>
    </row>
    <row r="819" spans="1:8" x14ac:dyDescent="0.3">
      <c r="A819" s="13" t="s">
        <v>1735</v>
      </c>
      <c r="B819" s="13" t="s">
        <v>1736</v>
      </c>
      <c r="C819" s="13" t="str">
        <f t="shared" si="72"/>
        <v>ADAM STONE</v>
      </c>
      <c r="D819" s="13" t="str">
        <f t="shared" si="73"/>
        <v>adam stone</v>
      </c>
      <c r="E819" s="13" t="str">
        <f t="shared" si="74"/>
        <v>Adam Stone</v>
      </c>
      <c r="F819" s="13" t="str">
        <f t="shared" si="75"/>
        <v>FL</v>
      </c>
      <c r="G819" s="13" t="str">
        <f t="shared" si="76"/>
        <v>18</v>
      </c>
      <c r="H819" s="13" t="str">
        <f t="shared" si="77"/>
        <v>2508</v>
      </c>
    </row>
    <row r="820" spans="1:8" x14ac:dyDescent="0.3">
      <c r="A820" s="13" t="s">
        <v>1737</v>
      </c>
      <c r="B820" s="13" t="s">
        <v>1738</v>
      </c>
      <c r="C820" s="13" t="str">
        <f t="shared" si="72"/>
        <v>CURTIS LAMBERT</v>
      </c>
      <c r="D820" s="13" t="str">
        <f t="shared" si="73"/>
        <v>curtis lambert</v>
      </c>
      <c r="E820" s="13" t="str">
        <f t="shared" si="74"/>
        <v>Curtis Lambert</v>
      </c>
      <c r="F820" s="13" t="str">
        <f t="shared" si="75"/>
        <v>FL</v>
      </c>
      <c r="G820" s="13" t="str">
        <f t="shared" si="76"/>
        <v>19</v>
      </c>
      <c r="H820" s="13" t="str">
        <f t="shared" si="77"/>
        <v>2508</v>
      </c>
    </row>
    <row r="821" spans="1:8" x14ac:dyDescent="0.3">
      <c r="A821" s="13" t="s">
        <v>1739</v>
      </c>
      <c r="B821" s="13" t="s">
        <v>1740</v>
      </c>
      <c r="C821" s="13" t="str">
        <f t="shared" si="72"/>
        <v>ALEXANDRA SIMS</v>
      </c>
      <c r="D821" s="13" t="str">
        <f t="shared" si="73"/>
        <v>alexandra sims</v>
      </c>
      <c r="E821" s="13" t="str">
        <f t="shared" si="74"/>
        <v>Alexandra Sims</v>
      </c>
      <c r="F821" s="13" t="str">
        <f t="shared" si="75"/>
        <v>FL</v>
      </c>
      <c r="G821" s="13" t="str">
        <f t="shared" si="76"/>
        <v>20</v>
      </c>
      <c r="H821" s="13" t="str">
        <f t="shared" si="77"/>
        <v>2508</v>
      </c>
    </row>
    <row r="822" spans="1:8" x14ac:dyDescent="0.3">
      <c r="A822" s="13" t="s">
        <v>1741</v>
      </c>
      <c r="B822" s="13" t="s">
        <v>1742</v>
      </c>
      <c r="C822" s="13" t="str">
        <f t="shared" si="72"/>
        <v>BRENDA SPENCER</v>
      </c>
      <c r="D822" s="13" t="str">
        <f t="shared" si="73"/>
        <v>brenda spencer</v>
      </c>
      <c r="E822" s="13" t="str">
        <f t="shared" si="74"/>
        <v>Brenda Spencer</v>
      </c>
      <c r="F822" s="13" t="str">
        <f t="shared" si="75"/>
        <v>FL</v>
      </c>
      <c r="G822" s="13" t="str">
        <f t="shared" si="76"/>
        <v>21</v>
      </c>
      <c r="H822" s="13" t="str">
        <f t="shared" si="77"/>
        <v>2508</v>
      </c>
    </row>
    <row r="823" spans="1:8" x14ac:dyDescent="0.3">
      <c r="A823" s="13" t="s">
        <v>1743</v>
      </c>
      <c r="B823" s="13" t="s">
        <v>1744</v>
      </c>
      <c r="C823" s="13" t="str">
        <f t="shared" si="72"/>
        <v>JOSHUA BUSH</v>
      </c>
      <c r="D823" s="13" t="str">
        <f t="shared" si="73"/>
        <v>joshua bush</v>
      </c>
      <c r="E823" s="13" t="str">
        <f t="shared" si="74"/>
        <v>Joshua Bush</v>
      </c>
      <c r="F823" s="13" t="str">
        <f t="shared" si="75"/>
        <v>FL</v>
      </c>
      <c r="G823" s="13" t="str">
        <f t="shared" si="76"/>
        <v>22</v>
      </c>
      <c r="H823" s="13" t="str">
        <f t="shared" si="77"/>
        <v>2508</v>
      </c>
    </row>
    <row r="824" spans="1:8" x14ac:dyDescent="0.3">
      <c r="A824" s="13" t="s">
        <v>1745</v>
      </c>
      <c r="B824" s="13" t="s">
        <v>1746</v>
      </c>
      <c r="C824" s="13" t="str">
        <f t="shared" si="72"/>
        <v>ERIN MARTIN</v>
      </c>
      <c r="D824" s="13" t="str">
        <f t="shared" si="73"/>
        <v>erin martin</v>
      </c>
      <c r="E824" s="13" t="str">
        <f t="shared" si="74"/>
        <v>Erin Martin</v>
      </c>
      <c r="F824" s="13" t="str">
        <f t="shared" si="75"/>
        <v>FL</v>
      </c>
      <c r="G824" s="13" t="str">
        <f t="shared" si="76"/>
        <v>23</v>
      </c>
      <c r="H824" s="13" t="str">
        <f t="shared" si="77"/>
        <v>2508</v>
      </c>
    </row>
    <row r="825" spans="1:8" x14ac:dyDescent="0.3">
      <c r="A825" s="13" t="s">
        <v>1747</v>
      </c>
      <c r="B825" s="13" t="s">
        <v>1748</v>
      </c>
      <c r="C825" s="13" t="str">
        <f t="shared" si="72"/>
        <v>ALEXANDER HOGAN</v>
      </c>
      <c r="D825" s="13" t="str">
        <f t="shared" si="73"/>
        <v>alexander hogan</v>
      </c>
      <c r="E825" s="13" t="str">
        <f t="shared" si="74"/>
        <v>Alexander Hogan</v>
      </c>
      <c r="F825" s="13" t="str">
        <f t="shared" si="75"/>
        <v>FL</v>
      </c>
      <c r="G825" s="13" t="str">
        <f t="shared" si="76"/>
        <v>24</v>
      </c>
      <c r="H825" s="13" t="str">
        <f t="shared" si="77"/>
        <v>2508</v>
      </c>
    </row>
    <row r="826" spans="1:8" x14ac:dyDescent="0.3">
      <c r="A826" s="13" t="s">
        <v>1749</v>
      </c>
      <c r="B826" s="13" t="s">
        <v>1750</v>
      </c>
      <c r="C826" s="13" t="str">
        <f t="shared" si="72"/>
        <v>WILLIAM HARRIS</v>
      </c>
      <c r="D826" s="13" t="str">
        <f t="shared" si="73"/>
        <v>william harris</v>
      </c>
      <c r="E826" s="13" t="str">
        <f t="shared" si="74"/>
        <v>William Harris</v>
      </c>
      <c r="F826" s="13" t="str">
        <f t="shared" si="75"/>
        <v>FL</v>
      </c>
      <c r="G826" s="13" t="str">
        <f t="shared" si="76"/>
        <v>25</v>
      </c>
      <c r="H826" s="13" t="str">
        <f t="shared" si="77"/>
        <v>2508</v>
      </c>
    </row>
    <row r="827" spans="1:8" x14ac:dyDescent="0.3">
      <c r="A827" s="13" t="s">
        <v>1751</v>
      </c>
      <c r="B827" s="13" t="s">
        <v>1752</v>
      </c>
      <c r="C827" s="13" t="str">
        <f t="shared" si="72"/>
        <v>MICHAEL MCMAHON</v>
      </c>
      <c r="D827" s="13" t="str">
        <f t="shared" si="73"/>
        <v>michael mcmahon</v>
      </c>
      <c r="E827" s="13" t="str">
        <f t="shared" si="74"/>
        <v>Michael Mcmahon</v>
      </c>
      <c r="F827" s="13" t="str">
        <f t="shared" si="75"/>
        <v>FL</v>
      </c>
      <c r="G827" s="13" t="str">
        <f t="shared" si="76"/>
        <v>26</v>
      </c>
      <c r="H827" s="13" t="str">
        <f t="shared" si="77"/>
        <v>2508</v>
      </c>
    </row>
    <row r="828" spans="1:8" x14ac:dyDescent="0.3">
      <c r="A828" s="13" t="s">
        <v>1753</v>
      </c>
      <c r="B828" s="13" t="s">
        <v>1754</v>
      </c>
      <c r="C828" s="13" t="str">
        <f t="shared" si="72"/>
        <v>MICHAEL WATSON</v>
      </c>
      <c r="D828" s="13" t="str">
        <f t="shared" si="73"/>
        <v>michael watson</v>
      </c>
      <c r="E828" s="13" t="str">
        <f t="shared" si="74"/>
        <v>Michael Watson</v>
      </c>
      <c r="F828" s="13" t="str">
        <f t="shared" si="75"/>
        <v>FL</v>
      </c>
      <c r="G828" s="13" t="str">
        <f t="shared" si="76"/>
        <v>27</v>
      </c>
      <c r="H828" s="13" t="str">
        <f t="shared" si="77"/>
        <v>2508</v>
      </c>
    </row>
    <row r="829" spans="1:8" x14ac:dyDescent="0.3">
      <c r="A829" s="13" t="s">
        <v>1755</v>
      </c>
      <c r="B829" s="13" t="s">
        <v>1756</v>
      </c>
      <c r="C829" s="13" t="str">
        <f t="shared" si="72"/>
        <v>LORI PEREZ</v>
      </c>
      <c r="D829" s="13" t="str">
        <f t="shared" si="73"/>
        <v>lori perez</v>
      </c>
      <c r="E829" s="13" t="str">
        <f t="shared" si="74"/>
        <v>Lori Perez</v>
      </c>
      <c r="F829" s="13" t="str">
        <f t="shared" si="75"/>
        <v>FL</v>
      </c>
      <c r="G829" s="13" t="str">
        <f t="shared" si="76"/>
        <v>28</v>
      </c>
      <c r="H829" s="13" t="str">
        <f t="shared" si="77"/>
        <v>2508</v>
      </c>
    </row>
    <row r="830" spans="1:8" x14ac:dyDescent="0.3">
      <c r="A830" s="13" t="s">
        <v>1757</v>
      </c>
      <c r="B830" s="13" t="s">
        <v>1758</v>
      </c>
      <c r="C830" s="13" t="str">
        <f t="shared" si="72"/>
        <v>LINDSAY LE</v>
      </c>
      <c r="D830" s="13" t="str">
        <f t="shared" si="73"/>
        <v>lindsay le</v>
      </c>
      <c r="E830" s="13" t="str">
        <f t="shared" si="74"/>
        <v>Lindsay Le</v>
      </c>
      <c r="F830" s="13" t="str">
        <f t="shared" si="75"/>
        <v>FL</v>
      </c>
      <c r="G830" s="13" t="str">
        <f t="shared" si="76"/>
        <v>29</v>
      </c>
      <c r="H830" s="13" t="str">
        <f t="shared" si="77"/>
        <v>2508</v>
      </c>
    </row>
    <row r="831" spans="1:8" x14ac:dyDescent="0.3">
      <c r="A831" s="13" t="s">
        <v>1759</v>
      </c>
      <c r="B831" s="13" t="s">
        <v>1760</v>
      </c>
      <c r="C831" s="13" t="str">
        <f t="shared" si="72"/>
        <v>SCOTT LONG</v>
      </c>
      <c r="D831" s="13" t="str">
        <f t="shared" si="73"/>
        <v>scott long</v>
      </c>
      <c r="E831" s="13" t="str">
        <f t="shared" si="74"/>
        <v>Scott Long</v>
      </c>
      <c r="F831" s="13" t="str">
        <f t="shared" si="75"/>
        <v>FL</v>
      </c>
      <c r="G831" s="13" t="str">
        <f t="shared" si="76"/>
        <v>30</v>
      </c>
      <c r="H831" s="13" t="str">
        <f t="shared" si="77"/>
        <v>2508</v>
      </c>
    </row>
    <row r="832" spans="1:8" x14ac:dyDescent="0.3">
      <c r="A832" s="13" t="s">
        <v>1761</v>
      </c>
      <c r="B832" s="13" t="s">
        <v>1762</v>
      </c>
      <c r="C832" s="13" t="str">
        <f t="shared" si="72"/>
        <v>DIANA FERGUSON</v>
      </c>
      <c r="D832" s="13" t="str">
        <f t="shared" si="73"/>
        <v>diana ferguson</v>
      </c>
      <c r="E832" s="13" t="str">
        <f t="shared" si="74"/>
        <v>Diana Ferguson</v>
      </c>
      <c r="F832" s="13" t="str">
        <f t="shared" si="75"/>
        <v>FL</v>
      </c>
      <c r="G832" s="13" t="str">
        <f t="shared" si="76"/>
        <v>31</v>
      </c>
      <c r="H832" s="13" t="str">
        <f t="shared" si="77"/>
        <v>2508</v>
      </c>
    </row>
    <row r="833" spans="1:8" x14ac:dyDescent="0.3">
      <c r="A833" s="13" t="s">
        <v>1763</v>
      </c>
      <c r="B833" s="13" t="s">
        <v>1764</v>
      </c>
      <c r="C833" s="13" t="str">
        <f t="shared" si="72"/>
        <v>JOSEPH MILLER</v>
      </c>
      <c r="D833" s="13" t="str">
        <f t="shared" si="73"/>
        <v>joseph miller</v>
      </c>
      <c r="E833" s="13" t="str">
        <f t="shared" si="74"/>
        <v>Joseph Miller</v>
      </c>
      <c r="F833" s="13" t="str">
        <f t="shared" si="75"/>
        <v>FL</v>
      </c>
      <c r="G833" s="13" t="str">
        <f t="shared" si="76"/>
        <v>32</v>
      </c>
      <c r="H833" s="13" t="str">
        <f t="shared" si="77"/>
        <v>2508</v>
      </c>
    </row>
    <row r="834" spans="1:8" x14ac:dyDescent="0.3">
      <c r="A834" s="13" t="s">
        <v>1765</v>
      </c>
      <c r="B834" s="13" t="s">
        <v>1766</v>
      </c>
      <c r="C834" s="13" t="str">
        <f t="shared" si="72"/>
        <v>JULIA REID</v>
      </c>
      <c r="D834" s="13" t="str">
        <f t="shared" si="73"/>
        <v>julia reid</v>
      </c>
      <c r="E834" s="13" t="str">
        <f t="shared" si="74"/>
        <v>Julia Reid</v>
      </c>
      <c r="F834" s="13" t="str">
        <f t="shared" si="75"/>
        <v>FL</v>
      </c>
      <c r="G834" s="13" t="str">
        <f t="shared" si="76"/>
        <v>33</v>
      </c>
      <c r="H834" s="13" t="str">
        <f t="shared" si="77"/>
        <v>2508</v>
      </c>
    </row>
    <row r="835" spans="1:8" x14ac:dyDescent="0.3">
      <c r="A835" s="13" t="s">
        <v>1767</v>
      </c>
      <c r="B835" s="13" t="s">
        <v>1768</v>
      </c>
      <c r="C835" s="13" t="str">
        <f t="shared" ref="C835:C898" si="78">UPPER(B835)</f>
        <v>SAMANTHA MATTHEWS</v>
      </c>
      <c r="D835" s="13" t="str">
        <f t="shared" ref="D835:D898" si="79">LOWER(B835)</f>
        <v>samantha matthews</v>
      </c>
      <c r="E835" s="13" t="str">
        <f t="shared" ref="E835:E898" si="80">PROPER(C835)</f>
        <v>Samantha Matthews</v>
      </c>
      <c r="F835" s="13" t="str">
        <f t="shared" ref="F835:F898" si="81">LEFT(A835,2)</f>
        <v>FL</v>
      </c>
      <c r="G835" s="13" t="str">
        <f t="shared" ref="G835:G898" si="82">RIGHT(A835,2)</f>
        <v>34</v>
      </c>
      <c r="H835" s="13" t="str">
        <f t="shared" ref="H835:H898" si="83">MID(A835,3,4)</f>
        <v>2508</v>
      </c>
    </row>
    <row r="836" spans="1:8" x14ac:dyDescent="0.3">
      <c r="A836" s="13" t="s">
        <v>1769</v>
      </c>
      <c r="B836" s="13" t="s">
        <v>1770</v>
      </c>
      <c r="C836" s="13" t="str">
        <f t="shared" si="78"/>
        <v>BRIAN BAILEY</v>
      </c>
      <c r="D836" s="13" t="str">
        <f t="shared" si="79"/>
        <v>brian bailey</v>
      </c>
      <c r="E836" s="13" t="str">
        <f t="shared" si="80"/>
        <v>Brian Bailey</v>
      </c>
      <c r="F836" s="13" t="str">
        <f t="shared" si="81"/>
        <v>FL</v>
      </c>
      <c r="G836" s="13" t="str">
        <f t="shared" si="82"/>
        <v>35</v>
      </c>
      <c r="H836" s="13" t="str">
        <f t="shared" si="83"/>
        <v>2508</v>
      </c>
    </row>
    <row r="837" spans="1:8" x14ac:dyDescent="0.3">
      <c r="A837" s="13" t="s">
        <v>1771</v>
      </c>
      <c r="B837" s="13" t="s">
        <v>1772</v>
      </c>
      <c r="C837" s="13" t="str">
        <f t="shared" si="78"/>
        <v>TONI HINTON</v>
      </c>
      <c r="D837" s="13" t="str">
        <f t="shared" si="79"/>
        <v>toni hinton</v>
      </c>
      <c r="E837" s="13" t="str">
        <f t="shared" si="80"/>
        <v>Toni Hinton</v>
      </c>
      <c r="F837" s="13" t="str">
        <f t="shared" si="81"/>
        <v>FL</v>
      </c>
      <c r="G837" s="13" t="str">
        <f t="shared" si="82"/>
        <v>36</v>
      </c>
      <c r="H837" s="13" t="str">
        <f t="shared" si="83"/>
        <v>2508</v>
      </c>
    </row>
    <row r="838" spans="1:8" x14ac:dyDescent="0.3">
      <c r="A838" s="13" t="s">
        <v>1773</v>
      </c>
      <c r="B838" s="13" t="s">
        <v>1774</v>
      </c>
      <c r="C838" s="13" t="str">
        <f t="shared" si="78"/>
        <v>ROBIN ORTIZ</v>
      </c>
      <c r="D838" s="13" t="str">
        <f t="shared" si="79"/>
        <v>robin ortiz</v>
      </c>
      <c r="E838" s="13" t="str">
        <f t="shared" si="80"/>
        <v>Robin Ortiz</v>
      </c>
      <c r="F838" s="13" t="str">
        <f t="shared" si="81"/>
        <v>FL</v>
      </c>
      <c r="G838" s="13" t="str">
        <f t="shared" si="82"/>
        <v>37</v>
      </c>
      <c r="H838" s="13" t="str">
        <f t="shared" si="83"/>
        <v>2508</v>
      </c>
    </row>
    <row r="839" spans="1:8" x14ac:dyDescent="0.3">
      <c r="A839" s="13" t="s">
        <v>1775</v>
      </c>
      <c r="B839" s="13" t="s">
        <v>1776</v>
      </c>
      <c r="C839" s="13" t="str">
        <f t="shared" si="78"/>
        <v>ADAM GRIFFITH</v>
      </c>
      <c r="D839" s="13" t="str">
        <f t="shared" si="79"/>
        <v>adam griffith</v>
      </c>
      <c r="E839" s="13" t="str">
        <f t="shared" si="80"/>
        <v>Adam Griffith</v>
      </c>
      <c r="F839" s="13" t="str">
        <f t="shared" si="81"/>
        <v>FL</v>
      </c>
      <c r="G839" s="13" t="str">
        <f t="shared" si="82"/>
        <v>38</v>
      </c>
      <c r="H839" s="13" t="str">
        <f t="shared" si="83"/>
        <v>2508</v>
      </c>
    </row>
    <row r="840" spans="1:8" x14ac:dyDescent="0.3">
      <c r="A840" s="13" t="s">
        <v>1777</v>
      </c>
      <c r="B840" s="13" t="s">
        <v>1778</v>
      </c>
      <c r="C840" s="13" t="str">
        <f t="shared" si="78"/>
        <v>DANIEL ROBERSON</v>
      </c>
      <c r="D840" s="13" t="str">
        <f t="shared" si="79"/>
        <v>daniel roberson</v>
      </c>
      <c r="E840" s="13" t="str">
        <f t="shared" si="80"/>
        <v>Daniel Roberson</v>
      </c>
      <c r="F840" s="13" t="str">
        <f t="shared" si="81"/>
        <v>FL</v>
      </c>
      <c r="G840" s="13" t="str">
        <f t="shared" si="82"/>
        <v>39</v>
      </c>
      <c r="H840" s="13" t="str">
        <f t="shared" si="83"/>
        <v>2508</v>
      </c>
    </row>
    <row r="841" spans="1:8" x14ac:dyDescent="0.3">
      <c r="A841" s="13" t="s">
        <v>1779</v>
      </c>
      <c r="B841" s="13" t="s">
        <v>1780</v>
      </c>
      <c r="C841" s="13" t="str">
        <f t="shared" si="78"/>
        <v>DALE HAYNES</v>
      </c>
      <c r="D841" s="13" t="str">
        <f t="shared" si="79"/>
        <v>dale haynes</v>
      </c>
      <c r="E841" s="13" t="str">
        <f t="shared" si="80"/>
        <v>Dale Haynes</v>
      </c>
      <c r="F841" s="13" t="str">
        <f t="shared" si="81"/>
        <v>FL</v>
      </c>
      <c r="G841" s="13" t="str">
        <f t="shared" si="82"/>
        <v>40</v>
      </c>
      <c r="H841" s="13" t="str">
        <f t="shared" si="83"/>
        <v>2508</v>
      </c>
    </row>
    <row r="842" spans="1:8" x14ac:dyDescent="0.3">
      <c r="A842" s="13" t="s">
        <v>1781</v>
      </c>
      <c r="B842" s="13" t="s">
        <v>1782</v>
      </c>
      <c r="C842" s="13" t="str">
        <f t="shared" si="78"/>
        <v>EMILY SCOTT</v>
      </c>
      <c r="D842" s="13" t="str">
        <f t="shared" si="79"/>
        <v>emily scott</v>
      </c>
      <c r="E842" s="13" t="str">
        <f t="shared" si="80"/>
        <v>Emily Scott</v>
      </c>
      <c r="F842" s="13" t="str">
        <f t="shared" si="81"/>
        <v>FL</v>
      </c>
      <c r="G842" s="13" t="str">
        <f t="shared" si="82"/>
        <v>41</v>
      </c>
      <c r="H842" s="13" t="str">
        <f t="shared" si="83"/>
        <v>2508</v>
      </c>
    </row>
    <row r="843" spans="1:8" x14ac:dyDescent="0.3">
      <c r="A843" s="13" t="s">
        <v>1783</v>
      </c>
      <c r="B843" s="13" t="s">
        <v>1784</v>
      </c>
      <c r="C843" s="13" t="str">
        <f t="shared" si="78"/>
        <v>DAVID BROWN</v>
      </c>
      <c r="D843" s="13" t="str">
        <f t="shared" si="79"/>
        <v>david brown</v>
      </c>
      <c r="E843" s="13" t="str">
        <f t="shared" si="80"/>
        <v>David Brown</v>
      </c>
      <c r="F843" s="13" t="str">
        <f t="shared" si="81"/>
        <v>FL</v>
      </c>
      <c r="G843" s="13" t="str">
        <f t="shared" si="82"/>
        <v>42</v>
      </c>
      <c r="H843" s="13" t="str">
        <f t="shared" si="83"/>
        <v>2508</v>
      </c>
    </row>
    <row r="844" spans="1:8" x14ac:dyDescent="0.3">
      <c r="A844" s="13" t="s">
        <v>1785</v>
      </c>
      <c r="B844" s="13" t="s">
        <v>1786</v>
      </c>
      <c r="C844" s="13" t="str">
        <f t="shared" si="78"/>
        <v>STEPHANIE GUZMAN</v>
      </c>
      <c r="D844" s="13" t="str">
        <f t="shared" si="79"/>
        <v>stephanie guzman</v>
      </c>
      <c r="E844" s="13" t="str">
        <f t="shared" si="80"/>
        <v>Stephanie Guzman</v>
      </c>
      <c r="F844" s="13" t="str">
        <f t="shared" si="81"/>
        <v>FL</v>
      </c>
      <c r="G844" s="13" t="str">
        <f t="shared" si="82"/>
        <v>43</v>
      </c>
      <c r="H844" s="13" t="str">
        <f t="shared" si="83"/>
        <v>2508</v>
      </c>
    </row>
    <row r="845" spans="1:8" x14ac:dyDescent="0.3">
      <c r="A845" s="13" t="s">
        <v>1787</v>
      </c>
      <c r="B845" s="13" t="s">
        <v>1788</v>
      </c>
      <c r="C845" s="13" t="str">
        <f t="shared" si="78"/>
        <v>MAXWELL JOHNSON</v>
      </c>
      <c r="D845" s="13" t="str">
        <f t="shared" si="79"/>
        <v>maxwell johnson</v>
      </c>
      <c r="E845" s="13" t="str">
        <f t="shared" si="80"/>
        <v>Maxwell Johnson</v>
      </c>
      <c r="F845" s="13" t="str">
        <f t="shared" si="81"/>
        <v>FL</v>
      </c>
      <c r="G845" s="13" t="str">
        <f t="shared" si="82"/>
        <v>44</v>
      </c>
      <c r="H845" s="13" t="str">
        <f t="shared" si="83"/>
        <v>2508</v>
      </c>
    </row>
    <row r="846" spans="1:8" x14ac:dyDescent="0.3">
      <c r="A846" s="13" t="s">
        <v>1789</v>
      </c>
      <c r="B846" s="13" t="s">
        <v>1790</v>
      </c>
      <c r="C846" s="13" t="str">
        <f t="shared" si="78"/>
        <v>REGINALD STEPHENS</v>
      </c>
      <c r="D846" s="13" t="str">
        <f t="shared" si="79"/>
        <v>reginald stephens</v>
      </c>
      <c r="E846" s="13" t="str">
        <f t="shared" si="80"/>
        <v>Reginald Stephens</v>
      </c>
      <c r="F846" s="13" t="str">
        <f t="shared" si="81"/>
        <v>FL</v>
      </c>
      <c r="G846" s="13" t="str">
        <f t="shared" si="82"/>
        <v>45</v>
      </c>
      <c r="H846" s="13" t="str">
        <f t="shared" si="83"/>
        <v>2508</v>
      </c>
    </row>
    <row r="847" spans="1:8" x14ac:dyDescent="0.3">
      <c r="A847" s="13" t="s">
        <v>1791</v>
      </c>
      <c r="B847" s="13" t="s">
        <v>1792</v>
      </c>
      <c r="C847" s="13" t="str">
        <f t="shared" si="78"/>
        <v>JUSTIN JONES</v>
      </c>
      <c r="D847" s="13" t="str">
        <f t="shared" si="79"/>
        <v>justin jones</v>
      </c>
      <c r="E847" s="13" t="str">
        <f t="shared" si="80"/>
        <v>Justin Jones</v>
      </c>
      <c r="F847" s="13" t="str">
        <f t="shared" si="81"/>
        <v>FL</v>
      </c>
      <c r="G847" s="13" t="str">
        <f t="shared" si="82"/>
        <v>46</v>
      </c>
      <c r="H847" s="13" t="str">
        <f t="shared" si="83"/>
        <v>2508</v>
      </c>
    </row>
    <row r="848" spans="1:8" x14ac:dyDescent="0.3">
      <c r="A848" s="13" t="s">
        <v>1793</v>
      </c>
      <c r="B848" s="13" t="s">
        <v>1794</v>
      </c>
      <c r="C848" s="13" t="str">
        <f t="shared" si="78"/>
        <v>KRISTINE GARCIA</v>
      </c>
      <c r="D848" s="13" t="str">
        <f t="shared" si="79"/>
        <v>kristine garcia</v>
      </c>
      <c r="E848" s="13" t="str">
        <f t="shared" si="80"/>
        <v>Kristine Garcia</v>
      </c>
      <c r="F848" s="13" t="str">
        <f t="shared" si="81"/>
        <v>FL</v>
      </c>
      <c r="G848" s="13" t="str">
        <f t="shared" si="82"/>
        <v>47</v>
      </c>
      <c r="H848" s="13" t="str">
        <f t="shared" si="83"/>
        <v>2508</v>
      </c>
    </row>
    <row r="849" spans="1:8" x14ac:dyDescent="0.3">
      <c r="A849" s="13" t="s">
        <v>1795</v>
      </c>
      <c r="B849" s="13" t="s">
        <v>1796</v>
      </c>
      <c r="C849" s="13" t="str">
        <f t="shared" si="78"/>
        <v>JOHN NGUYEN</v>
      </c>
      <c r="D849" s="13" t="str">
        <f t="shared" si="79"/>
        <v>john nguyen</v>
      </c>
      <c r="E849" s="13" t="str">
        <f t="shared" si="80"/>
        <v>John Nguyen</v>
      </c>
      <c r="F849" s="13" t="str">
        <f t="shared" si="81"/>
        <v>FL</v>
      </c>
      <c r="G849" s="13" t="str">
        <f t="shared" si="82"/>
        <v>48</v>
      </c>
      <c r="H849" s="13" t="str">
        <f t="shared" si="83"/>
        <v>2508</v>
      </c>
    </row>
    <row r="850" spans="1:8" x14ac:dyDescent="0.3">
      <c r="A850" s="13" t="s">
        <v>1797</v>
      </c>
      <c r="B850" s="13" t="s">
        <v>1798</v>
      </c>
      <c r="C850" s="13" t="str">
        <f t="shared" si="78"/>
        <v>ANNA FLEMING</v>
      </c>
      <c r="D850" s="13" t="str">
        <f t="shared" si="79"/>
        <v>anna fleming</v>
      </c>
      <c r="E850" s="13" t="str">
        <f t="shared" si="80"/>
        <v>Anna Fleming</v>
      </c>
      <c r="F850" s="13" t="str">
        <f t="shared" si="81"/>
        <v>FL</v>
      </c>
      <c r="G850" s="13" t="str">
        <f t="shared" si="82"/>
        <v>49</v>
      </c>
      <c r="H850" s="13" t="str">
        <f t="shared" si="83"/>
        <v>2508</v>
      </c>
    </row>
    <row r="851" spans="1:8" x14ac:dyDescent="0.3">
      <c r="A851" s="13" t="s">
        <v>1799</v>
      </c>
      <c r="B851" s="13" t="s">
        <v>1800</v>
      </c>
      <c r="C851" s="13" t="str">
        <f t="shared" si="78"/>
        <v>LINDA WILLIAMSON</v>
      </c>
      <c r="D851" s="13" t="str">
        <f t="shared" si="79"/>
        <v>linda williamson</v>
      </c>
      <c r="E851" s="13" t="str">
        <f t="shared" si="80"/>
        <v>Linda Williamson</v>
      </c>
      <c r="F851" s="13" t="str">
        <f t="shared" si="81"/>
        <v>FL</v>
      </c>
      <c r="G851" s="13" t="str">
        <f t="shared" si="82"/>
        <v>50</v>
      </c>
      <c r="H851" s="13" t="str">
        <f t="shared" si="83"/>
        <v>2508</v>
      </c>
    </row>
    <row r="852" spans="1:8" x14ac:dyDescent="0.3">
      <c r="A852" s="13" t="s">
        <v>1801</v>
      </c>
      <c r="B852" s="13" t="s">
        <v>1802</v>
      </c>
      <c r="C852" s="13" t="str">
        <f t="shared" si="78"/>
        <v>ROY WILSON</v>
      </c>
      <c r="D852" s="13" t="str">
        <f t="shared" si="79"/>
        <v>roy wilson</v>
      </c>
      <c r="E852" s="13" t="str">
        <f t="shared" si="80"/>
        <v>Roy Wilson</v>
      </c>
      <c r="F852" s="13" t="str">
        <f t="shared" si="81"/>
        <v>FL</v>
      </c>
      <c r="G852" s="13" t="str">
        <f t="shared" si="82"/>
        <v>51</v>
      </c>
      <c r="H852" s="13" t="str">
        <f t="shared" si="83"/>
        <v>2508</v>
      </c>
    </row>
    <row r="853" spans="1:8" x14ac:dyDescent="0.3">
      <c r="A853" s="13" t="s">
        <v>1803</v>
      </c>
      <c r="B853" s="13" t="s">
        <v>1804</v>
      </c>
      <c r="C853" s="13" t="str">
        <f t="shared" si="78"/>
        <v>JENNIFER PIERCE</v>
      </c>
      <c r="D853" s="13" t="str">
        <f t="shared" si="79"/>
        <v>jennifer pierce</v>
      </c>
      <c r="E853" s="13" t="str">
        <f t="shared" si="80"/>
        <v>Jennifer Pierce</v>
      </c>
      <c r="F853" s="13" t="str">
        <f t="shared" si="81"/>
        <v>FL</v>
      </c>
      <c r="G853" s="13" t="str">
        <f t="shared" si="82"/>
        <v>52</v>
      </c>
      <c r="H853" s="13" t="str">
        <f t="shared" si="83"/>
        <v>2508</v>
      </c>
    </row>
    <row r="854" spans="1:8" x14ac:dyDescent="0.3">
      <c r="A854" s="13" t="s">
        <v>1805</v>
      </c>
      <c r="B854" s="13" t="s">
        <v>1806</v>
      </c>
      <c r="C854" s="13" t="str">
        <f t="shared" si="78"/>
        <v>JASON JOHNSON</v>
      </c>
      <c r="D854" s="13" t="str">
        <f t="shared" si="79"/>
        <v>jason johnson</v>
      </c>
      <c r="E854" s="13" t="str">
        <f t="shared" si="80"/>
        <v>Jason Johnson</v>
      </c>
      <c r="F854" s="13" t="str">
        <f t="shared" si="81"/>
        <v>FL</v>
      </c>
      <c r="G854" s="13" t="str">
        <f t="shared" si="82"/>
        <v>53</v>
      </c>
      <c r="H854" s="13" t="str">
        <f t="shared" si="83"/>
        <v>2508</v>
      </c>
    </row>
    <row r="855" spans="1:8" x14ac:dyDescent="0.3">
      <c r="A855" s="13" t="s">
        <v>1807</v>
      </c>
      <c r="B855" s="13" t="s">
        <v>1808</v>
      </c>
      <c r="C855" s="13" t="str">
        <f t="shared" si="78"/>
        <v>JASMINE LANE</v>
      </c>
      <c r="D855" s="13" t="str">
        <f t="shared" si="79"/>
        <v>jasmine lane</v>
      </c>
      <c r="E855" s="13" t="str">
        <f t="shared" si="80"/>
        <v>Jasmine Lane</v>
      </c>
      <c r="F855" s="13" t="str">
        <f t="shared" si="81"/>
        <v>FL</v>
      </c>
      <c r="G855" s="13" t="str">
        <f t="shared" si="82"/>
        <v>54</v>
      </c>
      <c r="H855" s="13" t="str">
        <f t="shared" si="83"/>
        <v>2508</v>
      </c>
    </row>
    <row r="856" spans="1:8" x14ac:dyDescent="0.3">
      <c r="A856" s="13" t="s">
        <v>1809</v>
      </c>
      <c r="B856" s="13" t="s">
        <v>1810</v>
      </c>
      <c r="C856" s="13" t="str">
        <f t="shared" si="78"/>
        <v>EVAN SOTO</v>
      </c>
      <c r="D856" s="13" t="str">
        <f t="shared" si="79"/>
        <v>evan soto</v>
      </c>
      <c r="E856" s="13" t="str">
        <f t="shared" si="80"/>
        <v>Evan Soto</v>
      </c>
      <c r="F856" s="13" t="str">
        <f t="shared" si="81"/>
        <v>FL</v>
      </c>
      <c r="G856" s="13" t="str">
        <f t="shared" si="82"/>
        <v>55</v>
      </c>
      <c r="H856" s="13" t="str">
        <f t="shared" si="83"/>
        <v>2508</v>
      </c>
    </row>
    <row r="857" spans="1:8" x14ac:dyDescent="0.3">
      <c r="A857" s="13" t="s">
        <v>1811</v>
      </c>
      <c r="B857" s="13" t="s">
        <v>1812</v>
      </c>
      <c r="C857" s="13" t="str">
        <f t="shared" si="78"/>
        <v>KEVIN SERRANO</v>
      </c>
      <c r="D857" s="13" t="str">
        <f t="shared" si="79"/>
        <v>kevin serrano</v>
      </c>
      <c r="E857" s="13" t="str">
        <f t="shared" si="80"/>
        <v>Kevin Serrano</v>
      </c>
      <c r="F857" s="13" t="str">
        <f t="shared" si="81"/>
        <v>FL</v>
      </c>
      <c r="G857" s="13" t="str">
        <f t="shared" si="82"/>
        <v>56</v>
      </c>
      <c r="H857" s="13" t="str">
        <f t="shared" si="83"/>
        <v>2508</v>
      </c>
    </row>
    <row r="858" spans="1:8" x14ac:dyDescent="0.3">
      <c r="A858" s="13" t="s">
        <v>1813</v>
      </c>
      <c r="B858" s="13" t="s">
        <v>1814</v>
      </c>
      <c r="C858" s="13" t="str">
        <f t="shared" si="78"/>
        <v>NATHANIEL BENSON</v>
      </c>
      <c r="D858" s="13" t="str">
        <f t="shared" si="79"/>
        <v>nathaniel benson</v>
      </c>
      <c r="E858" s="13" t="str">
        <f t="shared" si="80"/>
        <v>Nathaniel Benson</v>
      </c>
      <c r="F858" s="13" t="str">
        <f t="shared" si="81"/>
        <v>FL</v>
      </c>
      <c r="G858" s="13" t="str">
        <f t="shared" si="82"/>
        <v>57</v>
      </c>
      <c r="H858" s="13" t="str">
        <f t="shared" si="83"/>
        <v>2508</v>
      </c>
    </row>
    <row r="859" spans="1:8" x14ac:dyDescent="0.3">
      <c r="A859" s="13" t="s">
        <v>1815</v>
      </c>
      <c r="B859" s="13" t="s">
        <v>1816</v>
      </c>
      <c r="C859" s="13" t="str">
        <f t="shared" si="78"/>
        <v>DEANNA MILES</v>
      </c>
      <c r="D859" s="13" t="str">
        <f t="shared" si="79"/>
        <v>deanna miles</v>
      </c>
      <c r="E859" s="13" t="str">
        <f t="shared" si="80"/>
        <v>Deanna Miles</v>
      </c>
      <c r="F859" s="13" t="str">
        <f t="shared" si="81"/>
        <v>FL</v>
      </c>
      <c r="G859" s="13" t="str">
        <f t="shared" si="82"/>
        <v>58</v>
      </c>
      <c r="H859" s="13" t="str">
        <f t="shared" si="83"/>
        <v>2508</v>
      </c>
    </row>
    <row r="860" spans="1:8" x14ac:dyDescent="0.3">
      <c r="A860" s="13" t="s">
        <v>1817</v>
      </c>
      <c r="B860" s="13" t="s">
        <v>1818</v>
      </c>
      <c r="C860" s="13" t="str">
        <f t="shared" si="78"/>
        <v>BEVERLY ROY</v>
      </c>
      <c r="D860" s="13" t="str">
        <f t="shared" si="79"/>
        <v>beverly roy</v>
      </c>
      <c r="E860" s="13" t="str">
        <f t="shared" si="80"/>
        <v>Beverly Roy</v>
      </c>
      <c r="F860" s="13" t="str">
        <f t="shared" si="81"/>
        <v>FL</v>
      </c>
      <c r="G860" s="13" t="str">
        <f t="shared" si="82"/>
        <v>59</v>
      </c>
      <c r="H860" s="13" t="str">
        <f t="shared" si="83"/>
        <v>2508</v>
      </c>
    </row>
    <row r="861" spans="1:8" x14ac:dyDescent="0.3">
      <c r="A861" s="13" t="s">
        <v>1819</v>
      </c>
      <c r="B861" s="13" t="s">
        <v>1820</v>
      </c>
      <c r="C861" s="13" t="str">
        <f t="shared" si="78"/>
        <v>HEATHER SAUNDERS</v>
      </c>
      <c r="D861" s="13" t="str">
        <f t="shared" si="79"/>
        <v>heather saunders</v>
      </c>
      <c r="E861" s="13" t="str">
        <f t="shared" si="80"/>
        <v>Heather Saunders</v>
      </c>
      <c r="F861" s="13" t="str">
        <f t="shared" si="81"/>
        <v>FL</v>
      </c>
      <c r="G861" s="13" t="str">
        <f t="shared" si="82"/>
        <v>60</v>
      </c>
      <c r="H861" s="13" t="str">
        <f t="shared" si="83"/>
        <v>2508</v>
      </c>
    </row>
    <row r="862" spans="1:8" x14ac:dyDescent="0.3">
      <c r="A862" s="13" t="s">
        <v>1821</v>
      </c>
      <c r="B862" s="13" t="s">
        <v>1822</v>
      </c>
      <c r="C862" s="13" t="str">
        <f t="shared" si="78"/>
        <v>NICHOLAS GUERRERO</v>
      </c>
      <c r="D862" s="13" t="str">
        <f t="shared" si="79"/>
        <v>nicholas guerrero</v>
      </c>
      <c r="E862" s="13" t="str">
        <f t="shared" si="80"/>
        <v>Nicholas Guerrero</v>
      </c>
      <c r="F862" s="13" t="str">
        <f t="shared" si="81"/>
        <v>FL</v>
      </c>
      <c r="G862" s="13" t="str">
        <f t="shared" si="82"/>
        <v>61</v>
      </c>
      <c r="H862" s="13" t="str">
        <f t="shared" si="83"/>
        <v>2508</v>
      </c>
    </row>
    <row r="863" spans="1:8" x14ac:dyDescent="0.3">
      <c r="A863" s="13" t="s">
        <v>1823</v>
      </c>
      <c r="B863" s="13" t="s">
        <v>1824</v>
      </c>
      <c r="C863" s="13" t="str">
        <f t="shared" si="78"/>
        <v>CHRISTOPHER JOHNSON</v>
      </c>
      <c r="D863" s="13" t="str">
        <f t="shared" si="79"/>
        <v>christopher johnson</v>
      </c>
      <c r="E863" s="13" t="str">
        <f t="shared" si="80"/>
        <v>Christopher Johnson</v>
      </c>
      <c r="F863" s="13" t="str">
        <f t="shared" si="81"/>
        <v>FL</v>
      </c>
      <c r="G863" s="13" t="str">
        <f t="shared" si="82"/>
        <v>62</v>
      </c>
      <c r="H863" s="13" t="str">
        <f t="shared" si="83"/>
        <v>2508</v>
      </c>
    </row>
    <row r="864" spans="1:8" x14ac:dyDescent="0.3">
      <c r="A864" s="13" t="s">
        <v>1825</v>
      </c>
      <c r="B864" s="13" t="s">
        <v>1826</v>
      </c>
      <c r="C864" s="13" t="str">
        <f t="shared" si="78"/>
        <v>STEVEN FLOWERS</v>
      </c>
      <c r="D864" s="13" t="str">
        <f t="shared" si="79"/>
        <v>steven flowers</v>
      </c>
      <c r="E864" s="13" t="str">
        <f t="shared" si="80"/>
        <v>Steven Flowers</v>
      </c>
      <c r="F864" s="13" t="str">
        <f t="shared" si="81"/>
        <v>FL</v>
      </c>
      <c r="G864" s="13" t="str">
        <f t="shared" si="82"/>
        <v>63</v>
      </c>
      <c r="H864" s="13" t="str">
        <f t="shared" si="83"/>
        <v>2508</v>
      </c>
    </row>
    <row r="865" spans="1:8" x14ac:dyDescent="0.3">
      <c r="A865" s="13" t="s">
        <v>1827</v>
      </c>
      <c r="B865" s="13" t="s">
        <v>1828</v>
      </c>
      <c r="C865" s="13" t="str">
        <f t="shared" si="78"/>
        <v>MARVIN WOODS III</v>
      </c>
      <c r="D865" s="13" t="str">
        <f t="shared" si="79"/>
        <v>marvin woods iii</v>
      </c>
      <c r="E865" s="13" t="str">
        <f t="shared" si="80"/>
        <v>Marvin Woods Iii</v>
      </c>
      <c r="F865" s="13" t="str">
        <f t="shared" si="81"/>
        <v>FL</v>
      </c>
      <c r="G865" s="13" t="str">
        <f t="shared" si="82"/>
        <v>64</v>
      </c>
      <c r="H865" s="13" t="str">
        <f t="shared" si="83"/>
        <v>2508</v>
      </c>
    </row>
    <row r="866" spans="1:8" x14ac:dyDescent="0.3">
      <c r="A866" s="13" t="s">
        <v>1829</v>
      </c>
      <c r="B866" s="13" t="s">
        <v>1830</v>
      </c>
      <c r="C866" s="13" t="str">
        <f t="shared" si="78"/>
        <v>MICHELLE COOK</v>
      </c>
      <c r="D866" s="13" t="str">
        <f t="shared" si="79"/>
        <v>michelle cook</v>
      </c>
      <c r="E866" s="13" t="str">
        <f t="shared" si="80"/>
        <v>Michelle Cook</v>
      </c>
      <c r="F866" s="13" t="str">
        <f t="shared" si="81"/>
        <v>FL</v>
      </c>
      <c r="G866" s="13" t="str">
        <f t="shared" si="82"/>
        <v>65</v>
      </c>
      <c r="H866" s="13" t="str">
        <f t="shared" si="83"/>
        <v>2508</v>
      </c>
    </row>
    <row r="867" spans="1:8" x14ac:dyDescent="0.3">
      <c r="A867" s="13" t="s">
        <v>1831</v>
      </c>
      <c r="B867" s="13" t="s">
        <v>1832</v>
      </c>
      <c r="C867" s="13" t="str">
        <f t="shared" si="78"/>
        <v>LOGAN ZAMORA</v>
      </c>
      <c r="D867" s="13" t="str">
        <f t="shared" si="79"/>
        <v>logan zamora</v>
      </c>
      <c r="E867" s="13" t="str">
        <f t="shared" si="80"/>
        <v>Logan Zamora</v>
      </c>
      <c r="F867" s="13" t="str">
        <f t="shared" si="81"/>
        <v>FL</v>
      </c>
      <c r="G867" s="13" t="str">
        <f t="shared" si="82"/>
        <v>66</v>
      </c>
      <c r="H867" s="13" t="str">
        <f t="shared" si="83"/>
        <v>2508</v>
      </c>
    </row>
    <row r="868" spans="1:8" x14ac:dyDescent="0.3">
      <c r="A868" s="13" t="s">
        <v>1833</v>
      </c>
      <c r="B868" s="13" t="s">
        <v>1834</v>
      </c>
      <c r="C868" s="13" t="str">
        <f t="shared" si="78"/>
        <v>CASEY ROBERTS</v>
      </c>
      <c r="D868" s="13" t="str">
        <f t="shared" si="79"/>
        <v>casey roberts</v>
      </c>
      <c r="E868" s="13" t="str">
        <f t="shared" si="80"/>
        <v>Casey Roberts</v>
      </c>
      <c r="F868" s="13" t="str">
        <f t="shared" si="81"/>
        <v>FL</v>
      </c>
      <c r="G868" s="13" t="str">
        <f t="shared" si="82"/>
        <v>67</v>
      </c>
      <c r="H868" s="13" t="str">
        <f t="shared" si="83"/>
        <v>2508</v>
      </c>
    </row>
    <row r="869" spans="1:8" x14ac:dyDescent="0.3">
      <c r="A869" s="13" t="s">
        <v>1835</v>
      </c>
      <c r="B869" s="13" t="s">
        <v>1836</v>
      </c>
      <c r="C869" s="13" t="str">
        <f t="shared" si="78"/>
        <v>JERRY PRICE</v>
      </c>
      <c r="D869" s="13" t="str">
        <f t="shared" si="79"/>
        <v>jerry price</v>
      </c>
      <c r="E869" s="13" t="str">
        <f t="shared" si="80"/>
        <v>Jerry Price</v>
      </c>
      <c r="F869" s="13" t="str">
        <f t="shared" si="81"/>
        <v>FL</v>
      </c>
      <c r="G869" s="13" t="str">
        <f t="shared" si="82"/>
        <v>68</v>
      </c>
      <c r="H869" s="13" t="str">
        <f t="shared" si="83"/>
        <v>2508</v>
      </c>
    </row>
    <row r="870" spans="1:8" x14ac:dyDescent="0.3">
      <c r="A870" s="13" t="s">
        <v>1837</v>
      </c>
      <c r="B870" s="13" t="s">
        <v>1838</v>
      </c>
      <c r="C870" s="13" t="str">
        <f t="shared" si="78"/>
        <v>KELLY ELLIS</v>
      </c>
      <c r="D870" s="13" t="str">
        <f t="shared" si="79"/>
        <v>kelly ellis</v>
      </c>
      <c r="E870" s="13" t="str">
        <f t="shared" si="80"/>
        <v>Kelly Ellis</v>
      </c>
      <c r="F870" s="13" t="str">
        <f t="shared" si="81"/>
        <v>FL</v>
      </c>
      <c r="G870" s="13" t="str">
        <f t="shared" si="82"/>
        <v>69</v>
      </c>
      <c r="H870" s="13" t="str">
        <f t="shared" si="83"/>
        <v>2508</v>
      </c>
    </row>
    <row r="871" spans="1:8" x14ac:dyDescent="0.3">
      <c r="A871" s="13" t="s">
        <v>1839</v>
      </c>
      <c r="B871" s="13" t="s">
        <v>1840</v>
      </c>
      <c r="C871" s="13" t="str">
        <f t="shared" si="78"/>
        <v>CALEB GUERRA</v>
      </c>
      <c r="D871" s="13" t="str">
        <f t="shared" si="79"/>
        <v>caleb guerra</v>
      </c>
      <c r="E871" s="13" t="str">
        <f t="shared" si="80"/>
        <v>Caleb Guerra</v>
      </c>
      <c r="F871" s="13" t="str">
        <f t="shared" si="81"/>
        <v>FL</v>
      </c>
      <c r="G871" s="13" t="str">
        <f t="shared" si="82"/>
        <v>70</v>
      </c>
      <c r="H871" s="13" t="str">
        <f t="shared" si="83"/>
        <v>2508</v>
      </c>
    </row>
    <row r="872" spans="1:8" x14ac:dyDescent="0.3">
      <c r="A872" s="13" t="s">
        <v>1841</v>
      </c>
      <c r="B872" s="13" t="s">
        <v>1842</v>
      </c>
      <c r="C872" s="13" t="str">
        <f t="shared" si="78"/>
        <v>SAMANTHA NORMAN</v>
      </c>
      <c r="D872" s="13" t="str">
        <f t="shared" si="79"/>
        <v>samantha norman</v>
      </c>
      <c r="E872" s="13" t="str">
        <f t="shared" si="80"/>
        <v>Samantha Norman</v>
      </c>
      <c r="F872" s="13" t="str">
        <f t="shared" si="81"/>
        <v>FL</v>
      </c>
      <c r="G872" s="13" t="str">
        <f t="shared" si="82"/>
        <v>71</v>
      </c>
      <c r="H872" s="13" t="str">
        <f t="shared" si="83"/>
        <v>2508</v>
      </c>
    </row>
    <row r="873" spans="1:8" x14ac:dyDescent="0.3">
      <c r="A873" s="13" t="s">
        <v>1843</v>
      </c>
      <c r="B873" s="13" t="s">
        <v>1844</v>
      </c>
      <c r="C873" s="13" t="str">
        <f t="shared" si="78"/>
        <v>SARAH CLARKE</v>
      </c>
      <c r="D873" s="13" t="str">
        <f t="shared" si="79"/>
        <v>sarah clarke</v>
      </c>
      <c r="E873" s="13" t="str">
        <f t="shared" si="80"/>
        <v>Sarah Clarke</v>
      </c>
      <c r="F873" s="13" t="str">
        <f t="shared" si="81"/>
        <v>FL</v>
      </c>
      <c r="G873" s="13" t="str">
        <f t="shared" si="82"/>
        <v>72</v>
      </c>
      <c r="H873" s="13" t="str">
        <f t="shared" si="83"/>
        <v>2508</v>
      </c>
    </row>
    <row r="874" spans="1:8" x14ac:dyDescent="0.3">
      <c r="A874" s="13" t="s">
        <v>1845</v>
      </c>
      <c r="B874" s="13" t="s">
        <v>1846</v>
      </c>
      <c r="C874" s="13" t="str">
        <f t="shared" si="78"/>
        <v>AARON BLAIR</v>
      </c>
      <c r="D874" s="13" t="str">
        <f t="shared" si="79"/>
        <v>aaron blair</v>
      </c>
      <c r="E874" s="13" t="str">
        <f t="shared" si="80"/>
        <v>Aaron Blair</v>
      </c>
      <c r="F874" s="13" t="str">
        <f t="shared" si="81"/>
        <v>FL</v>
      </c>
      <c r="G874" s="13" t="str">
        <f t="shared" si="82"/>
        <v>73</v>
      </c>
      <c r="H874" s="13" t="str">
        <f t="shared" si="83"/>
        <v>2508</v>
      </c>
    </row>
    <row r="875" spans="1:8" x14ac:dyDescent="0.3">
      <c r="A875" s="13" t="s">
        <v>1847</v>
      </c>
      <c r="B875" s="13" t="s">
        <v>1848</v>
      </c>
      <c r="C875" s="13" t="str">
        <f t="shared" si="78"/>
        <v>COURTNEY BURTON</v>
      </c>
      <c r="D875" s="13" t="str">
        <f t="shared" si="79"/>
        <v>courtney burton</v>
      </c>
      <c r="E875" s="13" t="str">
        <f t="shared" si="80"/>
        <v>Courtney Burton</v>
      </c>
      <c r="F875" s="13" t="str">
        <f t="shared" si="81"/>
        <v>FL</v>
      </c>
      <c r="G875" s="13" t="str">
        <f t="shared" si="82"/>
        <v>74</v>
      </c>
      <c r="H875" s="13" t="str">
        <f t="shared" si="83"/>
        <v>2508</v>
      </c>
    </row>
    <row r="876" spans="1:8" x14ac:dyDescent="0.3">
      <c r="A876" s="13" t="s">
        <v>1849</v>
      </c>
      <c r="B876" s="13" t="s">
        <v>1850</v>
      </c>
      <c r="C876" s="13" t="str">
        <f t="shared" si="78"/>
        <v>GERALD TAYLOR</v>
      </c>
      <c r="D876" s="13" t="str">
        <f t="shared" si="79"/>
        <v>gerald taylor</v>
      </c>
      <c r="E876" s="13" t="str">
        <f t="shared" si="80"/>
        <v>Gerald Taylor</v>
      </c>
      <c r="F876" s="13" t="str">
        <f t="shared" si="81"/>
        <v>FL</v>
      </c>
      <c r="G876" s="13" t="str">
        <f t="shared" si="82"/>
        <v>75</v>
      </c>
      <c r="H876" s="13" t="str">
        <f t="shared" si="83"/>
        <v>2508</v>
      </c>
    </row>
    <row r="877" spans="1:8" x14ac:dyDescent="0.3">
      <c r="A877" s="13" t="s">
        <v>1851</v>
      </c>
      <c r="B877" s="13" t="s">
        <v>1852</v>
      </c>
      <c r="C877" s="13" t="str">
        <f t="shared" si="78"/>
        <v>MARY WARD</v>
      </c>
      <c r="D877" s="13" t="str">
        <f t="shared" si="79"/>
        <v>mary ward</v>
      </c>
      <c r="E877" s="13" t="str">
        <f t="shared" si="80"/>
        <v>Mary Ward</v>
      </c>
      <c r="F877" s="13" t="str">
        <f t="shared" si="81"/>
        <v>FL</v>
      </c>
      <c r="G877" s="13" t="str">
        <f t="shared" si="82"/>
        <v>76</v>
      </c>
      <c r="H877" s="13" t="str">
        <f t="shared" si="83"/>
        <v>2508</v>
      </c>
    </row>
    <row r="878" spans="1:8" x14ac:dyDescent="0.3">
      <c r="A878" s="13" t="s">
        <v>1853</v>
      </c>
      <c r="B878" s="13" t="s">
        <v>1854</v>
      </c>
      <c r="C878" s="13" t="str">
        <f t="shared" si="78"/>
        <v>MRS. LISA BEARD DVM</v>
      </c>
      <c r="D878" s="13" t="str">
        <f t="shared" si="79"/>
        <v>mrs. lisa beard dvm</v>
      </c>
      <c r="E878" s="13" t="str">
        <f t="shared" si="80"/>
        <v>Mrs. Lisa Beard Dvm</v>
      </c>
      <c r="F878" s="13" t="str">
        <f t="shared" si="81"/>
        <v>FL</v>
      </c>
      <c r="G878" s="13" t="str">
        <f t="shared" si="82"/>
        <v>77</v>
      </c>
      <c r="H878" s="13" t="str">
        <f t="shared" si="83"/>
        <v>2508</v>
      </c>
    </row>
    <row r="879" spans="1:8" x14ac:dyDescent="0.3">
      <c r="A879" s="13" t="s">
        <v>1855</v>
      </c>
      <c r="B879" s="13" t="s">
        <v>1856</v>
      </c>
      <c r="C879" s="13" t="str">
        <f t="shared" si="78"/>
        <v>LARRY WALLACE</v>
      </c>
      <c r="D879" s="13" t="str">
        <f t="shared" si="79"/>
        <v>larry wallace</v>
      </c>
      <c r="E879" s="13" t="str">
        <f t="shared" si="80"/>
        <v>Larry Wallace</v>
      </c>
      <c r="F879" s="13" t="str">
        <f t="shared" si="81"/>
        <v>FL</v>
      </c>
      <c r="G879" s="13" t="str">
        <f t="shared" si="82"/>
        <v>78</v>
      </c>
      <c r="H879" s="13" t="str">
        <f t="shared" si="83"/>
        <v>2508</v>
      </c>
    </row>
    <row r="880" spans="1:8" x14ac:dyDescent="0.3">
      <c r="A880" s="13" t="s">
        <v>1857</v>
      </c>
      <c r="B880" s="13" t="s">
        <v>1858</v>
      </c>
      <c r="C880" s="13" t="str">
        <f t="shared" si="78"/>
        <v>JEREMIAH THOMPSON</v>
      </c>
      <c r="D880" s="13" t="str">
        <f t="shared" si="79"/>
        <v>jeremiah thompson</v>
      </c>
      <c r="E880" s="13" t="str">
        <f t="shared" si="80"/>
        <v>Jeremiah Thompson</v>
      </c>
      <c r="F880" s="13" t="str">
        <f t="shared" si="81"/>
        <v>FL</v>
      </c>
      <c r="G880" s="13" t="str">
        <f t="shared" si="82"/>
        <v>79</v>
      </c>
      <c r="H880" s="13" t="str">
        <f t="shared" si="83"/>
        <v>2508</v>
      </c>
    </row>
    <row r="881" spans="1:8" x14ac:dyDescent="0.3">
      <c r="A881" s="13" t="s">
        <v>1859</v>
      </c>
      <c r="B881" s="13" t="s">
        <v>1860</v>
      </c>
      <c r="C881" s="13" t="str">
        <f t="shared" si="78"/>
        <v>MRS. JESSICA WILLIAMS DVM</v>
      </c>
      <c r="D881" s="13" t="str">
        <f t="shared" si="79"/>
        <v>mrs. jessica williams dvm</v>
      </c>
      <c r="E881" s="13" t="str">
        <f t="shared" si="80"/>
        <v>Mrs. Jessica Williams Dvm</v>
      </c>
      <c r="F881" s="13" t="str">
        <f t="shared" si="81"/>
        <v>FL</v>
      </c>
      <c r="G881" s="13" t="str">
        <f t="shared" si="82"/>
        <v>80</v>
      </c>
      <c r="H881" s="13" t="str">
        <f t="shared" si="83"/>
        <v>2508</v>
      </c>
    </row>
    <row r="882" spans="1:8" x14ac:dyDescent="0.3">
      <c r="A882" s="13" t="s">
        <v>1861</v>
      </c>
      <c r="B882" s="13" t="s">
        <v>1862</v>
      </c>
      <c r="C882" s="13" t="str">
        <f t="shared" si="78"/>
        <v>MARTIN MORENO</v>
      </c>
      <c r="D882" s="13" t="str">
        <f t="shared" si="79"/>
        <v>martin moreno</v>
      </c>
      <c r="E882" s="13" t="str">
        <f t="shared" si="80"/>
        <v>Martin Moreno</v>
      </c>
      <c r="F882" s="13" t="str">
        <f t="shared" si="81"/>
        <v>FL</v>
      </c>
      <c r="G882" s="13" t="str">
        <f t="shared" si="82"/>
        <v>81</v>
      </c>
      <c r="H882" s="13" t="str">
        <f t="shared" si="83"/>
        <v>2508</v>
      </c>
    </row>
    <row r="883" spans="1:8" x14ac:dyDescent="0.3">
      <c r="A883" s="13" t="s">
        <v>1863</v>
      </c>
      <c r="B883" s="13" t="s">
        <v>1864</v>
      </c>
      <c r="C883" s="13" t="str">
        <f t="shared" si="78"/>
        <v>YOLANDA PROCTOR</v>
      </c>
      <c r="D883" s="13" t="str">
        <f t="shared" si="79"/>
        <v>yolanda proctor</v>
      </c>
      <c r="E883" s="13" t="str">
        <f t="shared" si="80"/>
        <v>Yolanda Proctor</v>
      </c>
      <c r="F883" s="13" t="str">
        <f t="shared" si="81"/>
        <v>FL</v>
      </c>
      <c r="G883" s="13" t="str">
        <f t="shared" si="82"/>
        <v>82</v>
      </c>
      <c r="H883" s="13" t="str">
        <f t="shared" si="83"/>
        <v>2508</v>
      </c>
    </row>
    <row r="884" spans="1:8" x14ac:dyDescent="0.3">
      <c r="A884" s="13" t="s">
        <v>1865</v>
      </c>
      <c r="B884" s="13" t="s">
        <v>1866</v>
      </c>
      <c r="C884" s="13" t="str">
        <f t="shared" si="78"/>
        <v>ALLEN TURNER</v>
      </c>
      <c r="D884" s="13" t="str">
        <f t="shared" si="79"/>
        <v>allen turner</v>
      </c>
      <c r="E884" s="13" t="str">
        <f t="shared" si="80"/>
        <v>Allen Turner</v>
      </c>
      <c r="F884" s="13" t="str">
        <f t="shared" si="81"/>
        <v>FL</v>
      </c>
      <c r="G884" s="13" t="str">
        <f t="shared" si="82"/>
        <v>83</v>
      </c>
      <c r="H884" s="13" t="str">
        <f t="shared" si="83"/>
        <v>2508</v>
      </c>
    </row>
    <row r="885" spans="1:8" x14ac:dyDescent="0.3">
      <c r="A885" s="13" t="s">
        <v>1867</v>
      </c>
      <c r="B885" s="13" t="s">
        <v>1868</v>
      </c>
      <c r="C885" s="13" t="str">
        <f t="shared" si="78"/>
        <v>BETH HUFF</v>
      </c>
      <c r="D885" s="13" t="str">
        <f t="shared" si="79"/>
        <v>beth huff</v>
      </c>
      <c r="E885" s="13" t="str">
        <f t="shared" si="80"/>
        <v>Beth Huff</v>
      </c>
      <c r="F885" s="13" t="str">
        <f t="shared" si="81"/>
        <v>FL</v>
      </c>
      <c r="G885" s="13" t="str">
        <f t="shared" si="82"/>
        <v>84</v>
      </c>
      <c r="H885" s="13" t="str">
        <f t="shared" si="83"/>
        <v>2508</v>
      </c>
    </row>
    <row r="886" spans="1:8" x14ac:dyDescent="0.3">
      <c r="A886" s="13" t="s">
        <v>1869</v>
      </c>
      <c r="B886" s="13" t="s">
        <v>1870</v>
      </c>
      <c r="C886" s="13" t="str">
        <f t="shared" si="78"/>
        <v>JOHN MCKINNEY</v>
      </c>
      <c r="D886" s="13" t="str">
        <f t="shared" si="79"/>
        <v>john mckinney</v>
      </c>
      <c r="E886" s="13" t="str">
        <f t="shared" si="80"/>
        <v>John Mckinney</v>
      </c>
      <c r="F886" s="13" t="str">
        <f t="shared" si="81"/>
        <v>FL</v>
      </c>
      <c r="G886" s="13" t="str">
        <f t="shared" si="82"/>
        <v>85</v>
      </c>
      <c r="H886" s="13" t="str">
        <f t="shared" si="83"/>
        <v>2508</v>
      </c>
    </row>
    <row r="887" spans="1:8" x14ac:dyDescent="0.3">
      <c r="A887" s="13" t="s">
        <v>1871</v>
      </c>
      <c r="B887" s="13" t="s">
        <v>589</v>
      </c>
      <c r="C887" s="13" t="str">
        <f t="shared" si="78"/>
        <v>SARAH HO</v>
      </c>
      <c r="D887" s="13" t="str">
        <f t="shared" si="79"/>
        <v>sarah ho</v>
      </c>
      <c r="E887" s="13" t="str">
        <f t="shared" si="80"/>
        <v>Sarah Ho</v>
      </c>
      <c r="F887" s="13" t="str">
        <f t="shared" si="81"/>
        <v>FL</v>
      </c>
      <c r="G887" s="13" t="str">
        <f t="shared" si="82"/>
        <v>86</v>
      </c>
      <c r="H887" s="13" t="str">
        <f t="shared" si="83"/>
        <v>2508</v>
      </c>
    </row>
    <row r="888" spans="1:8" x14ac:dyDescent="0.3">
      <c r="A888" s="13" t="s">
        <v>1872</v>
      </c>
      <c r="B888" s="13" t="s">
        <v>1873</v>
      </c>
      <c r="C888" s="13" t="str">
        <f t="shared" si="78"/>
        <v>LINDSEY WANG</v>
      </c>
      <c r="D888" s="13" t="str">
        <f t="shared" si="79"/>
        <v>lindsey wang</v>
      </c>
      <c r="E888" s="13" t="str">
        <f t="shared" si="80"/>
        <v>Lindsey Wang</v>
      </c>
      <c r="F888" s="13" t="str">
        <f t="shared" si="81"/>
        <v>FL</v>
      </c>
      <c r="G888" s="13" t="str">
        <f t="shared" si="82"/>
        <v>87</v>
      </c>
      <c r="H888" s="13" t="str">
        <f t="shared" si="83"/>
        <v>2508</v>
      </c>
    </row>
    <row r="889" spans="1:8" x14ac:dyDescent="0.3">
      <c r="A889" s="13" t="s">
        <v>1874</v>
      </c>
      <c r="B889" s="13" t="s">
        <v>1875</v>
      </c>
      <c r="C889" s="13" t="str">
        <f t="shared" si="78"/>
        <v>MARGARET SCHWARTZ</v>
      </c>
      <c r="D889" s="13" t="str">
        <f t="shared" si="79"/>
        <v>margaret schwartz</v>
      </c>
      <c r="E889" s="13" t="str">
        <f t="shared" si="80"/>
        <v>Margaret Schwartz</v>
      </c>
      <c r="F889" s="13" t="str">
        <f t="shared" si="81"/>
        <v>FL</v>
      </c>
      <c r="G889" s="13" t="str">
        <f t="shared" si="82"/>
        <v>88</v>
      </c>
      <c r="H889" s="13" t="str">
        <f t="shared" si="83"/>
        <v>2508</v>
      </c>
    </row>
    <row r="890" spans="1:8" x14ac:dyDescent="0.3">
      <c r="A890" s="13" t="s">
        <v>1876</v>
      </c>
      <c r="B890" s="13" t="s">
        <v>1877</v>
      </c>
      <c r="C890" s="13" t="str">
        <f t="shared" si="78"/>
        <v>KYLE RAY</v>
      </c>
      <c r="D890" s="13" t="str">
        <f t="shared" si="79"/>
        <v>kyle ray</v>
      </c>
      <c r="E890" s="13" t="str">
        <f t="shared" si="80"/>
        <v>Kyle Ray</v>
      </c>
      <c r="F890" s="13" t="str">
        <f t="shared" si="81"/>
        <v>FL</v>
      </c>
      <c r="G890" s="13" t="str">
        <f t="shared" si="82"/>
        <v>89</v>
      </c>
      <c r="H890" s="13" t="str">
        <f t="shared" si="83"/>
        <v>2508</v>
      </c>
    </row>
    <row r="891" spans="1:8" x14ac:dyDescent="0.3">
      <c r="A891" s="13" t="s">
        <v>1878</v>
      </c>
      <c r="B891" s="13" t="s">
        <v>1879</v>
      </c>
      <c r="C891" s="13" t="str">
        <f t="shared" si="78"/>
        <v>ISAAC HEBERT</v>
      </c>
      <c r="D891" s="13" t="str">
        <f t="shared" si="79"/>
        <v>isaac hebert</v>
      </c>
      <c r="E891" s="13" t="str">
        <f t="shared" si="80"/>
        <v>Isaac Hebert</v>
      </c>
      <c r="F891" s="13" t="str">
        <f t="shared" si="81"/>
        <v>FL</v>
      </c>
      <c r="G891" s="13" t="str">
        <f t="shared" si="82"/>
        <v>90</v>
      </c>
      <c r="H891" s="13" t="str">
        <f t="shared" si="83"/>
        <v>2508</v>
      </c>
    </row>
    <row r="892" spans="1:8" x14ac:dyDescent="0.3">
      <c r="A892" s="13" t="s">
        <v>1880</v>
      </c>
      <c r="B892" s="13" t="s">
        <v>1881</v>
      </c>
      <c r="C892" s="13" t="str">
        <f t="shared" si="78"/>
        <v>MICHELE JONES</v>
      </c>
      <c r="D892" s="13" t="str">
        <f t="shared" si="79"/>
        <v>michele jones</v>
      </c>
      <c r="E892" s="13" t="str">
        <f t="shared" si="80"/>
        <v>Michele Jones</v>
      </c>
      <c r="F892" s="13" t="str">
        <f t="shared" si="81"/>
        <v>FL</v>
      </c>
      <c r="G892" s="13" t="str">
        <f t="shared" si="82"/>
        <v>91</v>
      </c>
      <c r="H892" s="13" t="str">
        <f t="shared" si="83"/>
        <v>2508</v>
      </c>
    </row>
    <row r="893" spans="1:8" x14ac:dyDescent="0.3">
      <c r="A893" s="13" t="s">
        <v>1882</v>
      </c>
      <c r="B893" s="13" t="s">
        <v>1883</v>
      </c>
      <c r="C893" s="13" t="str">
        <f t="shared" si="78"/>
        <v>AUSTIN ALLEN</v>
      </c>
      <c r="D893" s="13" t="str">
        <f t="shared" si="79"/>
        <v>austin allen</v>
      </c>
      <c r="E893" s="13" t="str">
        <f t="shared" si="80"/>
        <v>Austin Allen</v>
      </c>
      <c r="F893" s="13" t="str">
        <f t="shared" si="81"/>
        <v>FL</v>
      </c>
      <c r="G893" s="13" t="str">
        <f t="shared" si="82"/>
        <v>92</v>
      </c>
      <c r="H893" s="13" t="str">
        <f t="shared" si="83"/>
        <v>2508</v>
      </c>
    </row>
    <row r="894" spans="1:8" x14ac:dyDescent="0.3">
      <c r="A894" s="13" t="s">
        <v>1884</v>
      </c>
      <c r="B894" s="13" t="s">
        <v>1885</v>
      </c>
      <c r="C894" s="13" t="str">
        <f t="shared" si="78"/>
        <v>HALEY CASTRO</v>
      </c>
      <c r="D894" s="13" t="str">
        <f t="shared" si="79"/>
        <v>haley castro</v>
      </c>
      <c r="E894" s="13" t="str">
        <f t="shared" si="80"/>
        <v>Haley Castro</v>
      </c>
      <c r="F894" s="13" t="str">
        <f t="shared" si="81"/>
        <v>FL</v>
      </c>
      <c r="G894" s="13" t="str">
        <f t="shared" si="82"/>
        <v>93</v>
      </c>
      <c r="H894" s="13" t="str">
        <f t="shared" si="83"/>
        <v>2508</v>
      </c>
    </row>
    <row r="895" spans="1:8" x14ac:dyDescent="0.3">
      <c r="A895" s="13" t="s">
        <v>1886</v>
      </c>
      <c r="B895" s="13" t="s">
        <v>1887</v>
      </c>
      <c r="C895" s="13" t="str">
        <f t="shared" si="78"/>
        <v>DAVID ARMSTRONG</v>
      </c>
      <c r="D895" s="13" t="str">
        <f t="shared" si="79"/>
        <v>david armstrong</v>
      </c>
      <c r="E895" s="13" t="str">
        <f t="shared" si="80"/>
        <v>David Armstrong</v>
      </c>
      <c r="F895" s="13" t="str">
        <f t="shared" si="81"/>
        <v>FL</v>
      </c>
      <c r="G895" s="13" t="str">
        <f t="shared" si="82"/>
        <v>94</v>
      </c>
      <c r="H895" s="13" t="str">
        <f t="shared" si="83"/>
        <v>2508</v>
      </c>
    </row>
    <row r="896" spans="1:8" x14ac:dyDescent="0.3">
      <c r="A896" s="13" t="s">
        <v>1888</v>
      </c>
      <c r="B896" s="13" t="s">
        <v>1889</v>
      </c>
      <c r="C896" s="13" t="str">
        <f t="shared" si="78"/>
        <v>WENDY MITCHELL</v>
      </c>
      <c r="D896" s="13" t="str">
        <f t="shared" si="79"/>
        <v>wendy mitchell</v>
      </c>
      <c r="E896" s="13" t="str">
        <f t="shared" si="80"/>
        <v>Wendy Mitchell</v>
      </c>
      <c r="F896" s="13" t="str">
        <f t="shared" si="81"/>
        <v>FL</v>
      </c>
      <c r="G896" s="13" t="str">
        <f t="shared" si="82"/>
        <v>95</v>
      </c>
      <c r="H896" s="13" t="str">
        <f t="shared" si="83"/>
        <v>2508</v>
      </c>
    </row>
    <row r="897" spans="1:8" x14ac:dyDescent="0.3">
      <c r="A897" s="13" t="s">
        <v>1890</v>
      </c>
      <c r="B897" s="13" t="s">
        <v>1891</v>
      </c>
      <c r="C897" s="13" t="str">
        <f t="shared" si="78"/>
        <v>ANTHONY HERNANDEZ</v>
      </c>
      <c r="D897" s="13" t="str">
        <f t="shared" si="79"/>
        <v>anthony hernandez</v>
      </c>
      <c r="E897" s="13" t="str">
        <f t="shared" si="80"/>
        <v>Anthony Hernandez</v>
      </c>
      <c r="F897" s="13" t="str">
        <f t="shared" si="81"/>
        <v>FL</v>
      </c>
      <c r="G897" s="13" t="str">
        <f t="shared" si="82"/>
        <v>96</v>
      </c>
      <c r="H897" s="13" t="str">
        <f t="shared" si="83"/>
        <v>2508</v>
      </c>
    </row>
    <row r="898" spans="1:8" x14ac:dyDescent="0.3">
      <c r="A898" s="13" t="s">
        <v>1892</v>
      </c>
      <c r="B898" s="13" t="s">
        <v>1893</v>
      </c>
      <c r="C898" s="13" t="str">
        <f t="shared" si="78"/>
        <v>ERICA JOHNSON</v>
      </c>
      <c r="D898" s="13" t="str">
        <f t="shared" si="79"/>
        <v>erica johnson</v>
      </c>
      <c r="E898" s="13" t="str">
        <f t="shared" si="80"/>
        <v>Erica Johnson</v>
      </c>
      <c r="F898" s="13" t="str">
        <f t="shared" si="81"/>
        <v>FL</v>
      </c>
      <c r="G898" s="13" t="str">
        <f t="shared" si="82"/>
        <v>97</v>
      </c>
      <c r="H898" s="13" t="str">
        <f t="shared" si="83"/>
        <v>2508</v>
      </c>
    </row>
    <row r="899" spans="1:8" x14ac:dyDescent="0.3">
      <c r="A899" s="13" t="s">
        <v>1894</v>
      </c>
      <c r="B899" s="13" t="s">
        <v>1895</v>
      </c>
      <c r="C899" s="13" t="str">
        <f t="shared" ref="C899:C962" si="84">UPPER(B899)</f>
        <v>RANDALL BARRETT</v>
      </c>
      <c r="D899" s="13" t="str">
        <f t="shared" ref="D899:D962" si="85">LOWER(B899)</f>
        <v>randall barrett</v>
      </c>
      <c r="E899" s="13" t="str">
        <f t="shared" ref="E899:E962" si="86">PROPER(C899)</f>
        <v>Randall Barrett</v>
      </c>
      <c r="F899" s="13" t="str">
        <f t="shared" ref="F899:F962" si="87">LEFT(A899,2)</f>
        <v>FL</v>
      </c>
      <c r="G899" s="13" t="str">
        <f t="shared" ref="G899:G962" si="88">RIGHT(A899,2)</f>
        <v>98</v>
      </c>
      <c r="H899" s="13" t="str">
        <f t="shared" ref="H899:H962" si="89">MID(A899,3,4)</f>
        <v>2508</v>
      </c>
    </row>
    <row r="900" spans="1:8" x14ac:dyDescent="0.3">
      <c r="A900" s="13" t="s">
        <v>1896</v>
      </c>
      <c r="B900" s="13" t="s">
        <v>1897</v>
      </c>
      <c r="C900" s="13" t="str">
        <f t="shared" si="84"/>
        <v>NATHAN HUFF</v>
      </c>
      <c r="D900" s="13" t="str">
        <f t="shared" si="85"/>
        <v>nathan huff</v>
      </c>
      <c r="E900" s="13" t="str">
        <f t="shared" si="86"/>
        <v>Nathan Huff</v>
      </c>
      <c r="F900" s="13" t="str">
        <f t="shared" si="87"/>
        <v>FL</v>
      </c>
      <c r="G900" s="13" t="str">
        <f t="shared" si="88"/>
        <v>99</v>
      </c>
      <c r="H900" s="13" t="str">
        <f t="shared" si="89"/>
        <v>2508</v>
      </c>
    </row>
    <row r="901" spans="1:8" x14ac:dyDescent="0.3">
      <c r="A901" s="13" t="s">
        <v>1898</v>
      </c>
      <c r="B901" s="13" t="s">
        <v>1899</v>
      </c>
      <c r="C901" s="13" t="str">
        <f t="shared" si="84"/>
        <v>ROBIN WALSH</v>
      </c>
      <c r="D901" s="13" t="str">
        <f t="shared" si="85"/>
        <v>robin walsh</v>
      </c>
      <c r="E901" s="13" t="str">
        <f t="shared" si="86"/>
        <v>Robin Walsh</v>
      </c>
      <c r="F901" s="13" t="str">
        <f t="shared" si="87"/>
        <v>FL</v>
      </c>
      <c r="G901" s="13" t="str">
        <f t="shared" si="88"/>
        <v>00</v>
      </c>
      <c r="H901" s="13" t="str">
        <f t="shared" si="89"/>
        <v>2509</v>
      </c>
    </row>
    <row r="902" spans="1:8" x14ac:dyDescent="0.3">
      <c r="A902" s="13" t="s">
        <v>1900</v>
      </c>
      <c r="B902" s="13" t="s">
        <v>1901</v>
      </c>
      <c r="C902" s="13" t="str">
        <f t="shared" si="84"/>
        <v>YVONNE ROBINSON</v>
      </c>
      <c r="D902" s="13" t="str">
        <f t="shared" si="85"/>
        <v>yvonne robinson</v>
      </c>
      <c r="E902" s="13" t="str">
        <f t="shared" si="86"/>
        <v>Yvonne Robinson</v>
      </c>
      <c r="F902" s="13" t="str">
        <f t="shared" si="87"/>
        <v>FL</v>
      </c>
      <c r="G902" s="13" t="str">
        <f t="shared" si="88"/>
        <v>01</v>
      </c>
      <c r="H902" s="13" t="str">
        <f t="shared" si="89"/>
        <v>2509</v>
      </c>
    </row>
    <row r="903" spans="1:8" x14ac:dyDescent="0.3">
      <c r="A903" s="13" t="s">
        <v>1902</v>
      </c>
      <c r="B903" s="13" t="s">
        <v>1903</v>
      </c>
      <c r="C903" s="13" t="str">
        <f t="shared" si="84"/>
        <v>KATHLEEN HENDRIX</v>
      </c>
      <c r="D903" s="13" t="str">
        <f t="shared" si="85"/>
        <v>kathleen hendrix</v>
      </c>
      <c r="E903" s="13" t="str">
        <f t="shared" si="86"/>
        <v>Kathleen Hendrix</v>
      </c>
      <c r="F903" s="13" t="str">
        <f t="shared" si="87"/>
        <v>FL</v>
      </c>
      <c r="G903" s="13" t="str">
        <f t="shared" si="88"/>
        <v>02</v>
      </c>
      <c r="H903" s="13" t="str">
        <f t="shared" si="89"/>
        <v>2509</v>
      </c>
    </row>
    <row r="904" spans="1:8" x14ac:dyDescent="0.3">
      <c r="A904" s="13" t="s">
        <v>1904</v>
      </c>
      <c r="B904" s="13" t="s">
        <v>1905</v>
      </c>
      <c r="C904" s="13" t="str">
        <f t="shared" si="84"/>
        <v>JENNIFER BAKER</v>
      </c>
      <c r="D904" s="13" t="str">
        <f t="shared" si="85"/>
        <v>jennifer baker</v>
      </c>
      <c r="E904" s="13" t="str">
        <f t="shared" si="86"/>
        <v>Jennifer Baker</v>
      </c>
      <c r="F904" s="13" t="str">
        <f t="shared" si="87"/>
        <v>FL</v>
      </c>
      <c r="G904" s="13" t="str">
        <f t="shared" si="88"/>
        <v>03</v>
      </c>
      <c r="H904" s="13" t="str">
        <f t="shared" si="89"/>
        <v>2509</v>
      </c>
    </row>
    <row r="905" spans="1:8" x14ac:dyDescent="0.3">
      <c r="A905" s="13" t="s">
        <v>1906</v>
      </c>
      <c r="B905" s="13" t="s">
        <v>1907</v>
      </c>
      <c r="C905" s="13" t="str">
        <f t="shared" si="84"/>
        <v>KIM MARTINEZ</v>
      </c>
      <c r="D905" s="13" t="str">
        <f t="shared" si="85"/>
        <v>kim martinez</v>
      </c>
      <c r="E905" s="13" t="str">
        <f t="shared" si="86"/>
        <v>Kim Martinez</v>
      </c>
      <c r="F905" s="13" t="str">
        <f t="shared" si="87"/>
        <v>FL</v>
      </c>
      <c r="G905" s="13" t="str">
        <f t="shared" si="88"/>
        <v>04</v>
      </c>
      <c r="H905" s="13" t="str">
        <f t="shared" si="89"/>
        <v>2509</v>
      </c>
    </row>
    <row r="906" spans="1:8" x14ac:dyDescent="0.3">
      <c r="A906" s="13" t="s">
        <v>1908</v>
      </c>
      <c r="B906" s="13" t="s">
        <v>1909</v>
      </c>
      <c r="C906" s="13" t="str">
        <f t="shared" si="84"/>
        <v>ANDREW LITTLE</v>
      </c>
      <c r="D906" s="13" t="str">
        <f t="shared" si="85"/>
        <v>andrew little</v>
      </c>
      <c r="E906" s="13" t="str">
        <f t="shared" si="86"/>
        <v>Andrew Little</v>
      </c>
      <c r="F906" s="13" t="str">
        <f t="shared" si="87"/>
        <v>FL</v>
      </c>
      <c r="G906" s="13" t="str">
        <f t="shared" si="88"/>
        <v>05</v>
      </c>
      <c r="H906" s="13" t="str">
        <f t="shared" si="89"/>
        <v>2509</v>
      </c>
    </row>
    <row r="907" spans="1:8" x14ac:dyDescent="0.3">
      <c r="A907" s="13" t="s">
        <v>1910</v>
      </c>
      <c r="B907" s="13" t="s">
        <v>1911</v>
      </c>
      <c r="C907" s="13" t="str">
        <f t="shared" si="84"/>
        <v>KELLY SHELTON</v>
      </c>
      <c r="D907" s="13" t="str">
        <f t="shared" si="85"/>
        <v>kelly shelton</v>
      </c>
      <c r="E907" s="13" t="str">
        <f t="shared" si="86"/>
        <v>Kelly Shelton</v>
      </c>
      <c r="F907" s="13" t="str">
        <f t="shared" si="87"/>
        <v>FL</v>
      </c>
      <c r="G907" s="13" t="str">
        <f t="shared" si="88"/>
        <v>06</v>
      </c>
      <c r="H907" s="13" t="str">
        <f t="shared" si="89"/>
        <v>2509</v>
      </c>
    </row>
    <row r="908" spans="1:8" x14ac:dyDescent="0.3">
      <c r="A908" s="13" t="s">
        <v>1912</v>
      </c>
      <c r="B908" s="13" t="s">
        <v>1913</v>
      </c>
      <c r="C908" s="13" t="str">
        <f t="shared" si="84"/>
        <v>STEVEN DUNCAN</v>
      </c>
      <c r="D908" s="13" t="str">
        <f t="shared" si="85"/>
        <v>steven duncan</v>
      </c>
      <c r="E908" s="13" t="str">
        <f t="shared" si="86"/>
        <v>Steven Duncan</v>
      </c>
      <c r="F908" s="13" t="str">
        <f t="shared" si="87"/>
        <v>FL</v>
      </c>
      <c r="G908" s="13" t="str">
        <f t="shared" si="88"/>
        <v>07</v>
      </c>
      <c r="H908" s="13" t="str">
        <f t="shared" si="89"/>
        <v>2509</v>
      </c>
    </row>
    <row r="909" spans="1:8" x14ac:dyDescent="0.3">
      <c r="A909" s="13" t="s">
        <v>1914</v>
      </c>
      <c r="B909" s="13" t="s">
        <v>1915</v>
      </c>
      <c r="C909" s="13" t="str">
        <f t="shared" si="84"/>
        <v>KRISTEN HANEY</v>
      </c>
      <c r="D909" s="13" t="str">
        <f t="shared" si="85"/>
        <v>kristen haney</v>
      </c>
      <c r="E909" s="13" t="str">
        <f t="shared" si="86"/>
        <v>Kristen Haney</v>
      </c>
      <c r="F909" s="13" t="str">
        <f t="shared" si="87"/>
        <v>FL</v>
      </c>
      <c r="G909" s="13" t="str">
        <f t="shared" si="88"/>
        <v>08</v>
      </c>
      <c r="H909" s="13" t="str">
        <f t="shared" si="89"/>
        <v>2509</v>
      </c>
    </row>
    <row r="910" spans="1:8" x14ac:dyDescent="0.3">
      <c r="A910" s="13" t="s">
        <v>1916</v>
      </c>
      <c r="B910" s="13" t="s">
        <v>1917</v>
      </c>
      <c r="C910" s="13" t="str">
        <f t="shared" si="84"/>
        <v>KATHY REESE</v>
      </c>
      <c r="D910" s="13" t="str">
        <f t="shared" si="85"/>
        <v>kathy reese</v>
      </c>
      <c r="E910" s="13" t="str">
        <f t="shared" si="86"/>
        <v>Kathy Reese</v>
      </c>
      <c r="F910" s="13" t="str">
        <f t="shared" si="87"/>
        <v>FL</v>
      </c>
      <c r="G910" s="13" t="str">
        <f t="shared" si="88"/>
        <v>09</v>
      </c>
      <c r="H910" s="13" t="str">
        <f t="shared" si="89"/>
        <v>2509</v>
      </c>
    </row>
    <row r="911" spans="1:8" x14ac:dyDescent="0.3">
      <c r="A911" s="13" t="s">
        <v>1918</v>
      </c>
      <c r="B911" s="13" t="s">
        <v>1919</v>
      </c>
      <c r="C911" s="13" t="str">
        <f t="shared" si="84"/>
        <v>STEVEN MURPHY</v>
      </c>
      <c r="D911" s="13" t="str">
        <f t="shared" si="85"/>
        <v>steven murphy</v>
      </c>
      <c r="E911" s="13" t="str">
        <f t="shared" si="86"/>
        <v>Steven Murphy</v>
      </c>
      <c r="F911" s="13" t="str">
        <f t="shared" si="87"/>
        <v>FL</v>
      </c>
      <c r="G911" s="13" t="str">
        <f t="shared" si="88"/>
        <v>10</v>
      </c>
      <c r="H911" s="13" t="str">
        <f t="shared" si="89"/>
        <v>2509</v>
      </c>
    </row>
    <row r="912" spans="1:8" x14ac:dyDescent="0.3">
      <c r="A912" s="13" t="s">
        <v>1920</v>
      </c>
      <c r="B912" s="13" t="s">
        <v>1921</v>
      </c>
      <c r="C912" s="13" t="str">
        <f t="shared" si="84"/>
        <v>WILLIAM HARTMAN</v>
      </c>
      <c r="D912" s="13" t="str">
        <f t="shared" si="85"/>
        <v>william hartman</v>
      </c>
      <c r="E912" s="13" t="str">
        <f t="shared" si="86"/>
        <v>William Hartman</v>
      </c>
      <c r="F912" s="13" t="str">
        <f t="shared" si="87"/>
        <v>FL</v>
      </c>
      <c r="G912" s="13" t="str">
        <f t="shared" si="88"/>
        <v>11</v>
      </c>
      <c r="H912" s="13" t="str">
        <f t="shared" si="89"/>
        <v>2509</v>
      </c>
    </row>
    <row r="913" spans="1:8" x14ac:dyDescent="0.3">
      <c r="A913" s="13" t="s">
        <v>1922</v>
      </c>
      <c r="B913" s="13" t="s">
        <v>1923</v>
      </c>
      <c r="C913" s="13" t="str">
        <f t="shared" si="84"/>
        <v>SONYA HALEY</v>
      </c>
      <c r="D913" s="13" t="str">
        <f t="shared" si="85"/>
        <v>sonya haley</v>
      </c>
      <c r="E913" s="13" t="str">
        <f t="shared" si="86"/>
        <v>Sonya Haley</v>
      </c>
      <c r="F913" s="13" t="str">
        <f t="shared" si="87"/>
        <v>FL</v>
      </c>
      <c r="G913" s="13" t="str">
        <f t="shared" si="88"/>
        <v>12</v>
      </c>
      <c r="H913" s="13" t="str">
        <f t="shared" si="89"/>
        <v>2509</v>
      </c>
    </row>
    <row r="914" spans="1:8" x14ac:dyDescent="0.3">
      <c r="A914" s="13" t="s">
        <v>1924</v>
      </c>
      <c r="B914" s="13" t="s">
        <v>541</v>
      </c>
      <c r="C914" s="13" t="str">
        <f t="shared" si="84"/>
        <v>ROBERT EVANS</v>
      </c>
      <c r="D914" s="13" t="str">
        <f t="shared" si="85"/>
        <v>robert evans</v>
      </c>
      <c r="E914" s="13" t="str">
        <f t="shared" si="86"/>
        <v>Robert Evans</v>
      </c>
      <c r="F914" s="13" t="str">
        <f t="shared" si="87"/>
        <v>FL</v>
      </c>
      <c r="G914" s="13" t="str">
        <f t="shared" si="88"/>
        <v>13</v>
      </c>
      <c r="H914" s="13" t="str">
        <f t="shared" si="89"/>
        <v>2509</v>
      </c>
    </row>
    <row r="915" spans="1:8" x14ac:dyDescent="0.3">
      <c r="A915" s="13" t="s">
        <v>1925</v>
      </c>
      <c r="B915" s="13" t="s">
        <v>1926</v>
      </c>
      <c r="C915" s="13" t="str">
        <f t="shared" si="84"/>
        <v>PATRICIA RICHARDSON</v>
      </c>
      <c r="D915" s="13" t="str">
        <f t="shared" si="85"/>
        <v>patricia richardson</v>
      </c>
      <c r="E915" s="13" t="str">
        <f t="shared" si="86"/>
        <v>Patricia Richardson</v>
      </c>
      <c r="F915" s="13" t="str">
        <f t="shared" si="87"/>
        <v>FL</v>
      </c>
      <c r="G915" s="13" t="str">
        <f t="shared" si="88"/>
        <v>14</v>
      </c>
      <c r="H915" s="13" t="str">
        <f t="shared" si="89"/>
        <v>2509</v>
      </c>
    </row>
    <row r="916" spans="1:8" x14ac:dyDescent="0.3">
      <c r="A916" s="13" t="s">
        <v>1927</v>
      </c>
      <c r="B916" s="13" t="s">
        <v>1928</v>
      </c>
      <c r="C916" s="13" t="str">
        <f t="shared" si="84"/>
        <v>CAROLYN LOPEZ</v>
      </c>
      <c r="D916" s="13" t="str">
        <f t="shared" si="85"/>
        <v>carolyn lopez</v>
      </c>
      <c r="E916" s="13" t="str">
        <f t="shared" si="86"/>
        <v>Carolyn Lopez</v>
      </c>
      <c r="F916" s="13" t="str">
        <f t="shared" si="87"/>
        <v>FL</v>
      </c>
      <c r="G916" s="13" t="str">
        <f t="shared" si="88"/>
        <v>15</v>
      </c>
      <c r="H916" s="13" t="str">
        <f t="shared" si="89"/>
        <v>2509</v>
      </c>
    </row>
    <row r="917" spans="1:8" x14ac:dyDescent="0.3">
      <c r="A917" s="13" t="s">
        <v>1929</v>
      </c>
      <c r="B917" s="13" t="s">
        <v>1930</v>
      </c>
      <c r="C917" s="13" t="str">
        <f t="shared" si="84"/>
        <v>KYLE BURNS</v>
      </c>
      <c r="D917" s="13" t="str">
        <f t="shared" si="85"/>
        <v>kyle burns</v>
      </c>
      <c r="E917" s="13" t="str">
        <f t="shared" si="86"/>
        <v>Kyle Burns</v>
      </c>
      <c r="F917" s="13" t="str">
        <f t="shared" si="87"/>
        <v>FL</v>
      </c>
      <c r="G917" s="13" t="str">
        <f t="shared" si="88"/>
        <v>16</v>
      </c>
      <c r="H917" s="13" t="str">
        <f t="shared" si="89"/>
        <v>2509</v>
      </c>
    </row>
    <row r="918" spans="1:8" x14ac:dyDescent="0.3">
      <c r="A918" s="13" t="s">
        <v>1931</v>
      </c>
      <c r="B918" s="13" t="s">
        <v>1932</v>
      </c>
      <c r="C918" s="13" t="str">
        <f t="shared" si="84"/>
        <v>MARGARET GARCIA</v>
      </c>
      <c r="D918" s="13" t="str">
        <f t="shared" si="85"/>
        <v>margaret garcia</v>
      </c>
      <c r="E918" s="13" t="str">
        <f t="shared" si="86"/>
        <v>Margaret Garcia</v>
      </c>
      <c r="F918" s="13" t="str">
        <f t="shared" si="87"/>
        <v>FL</v>
      </c>
      <c r="G918" s="13" t="str">
        <f t="shared" si="88"/>
        <v>17</v>
      </c>
      <c r="H918" s="13" t="str">
        <f t="shared" si="89"/>
        <v>2509</v>
      </c>
    </row>
    <row r="919" spans="1:8" x14ac:dyDescent="0.3">
      <c r="A919" s="13" t="s">
        <v>1933</v>
      </c>
      <c r="B919" s="13" t="s">
        <v>1934</v>
      </c>
      <c r="C919" s="13" t="str">
        <f t="shared" si="84"/>
        <v>BRITTANY BARKER</v>
      </c>
      <c r="D919" s="13" t="str">
        <f t="shared" si="85"/>
        <v>brittany barker</v>
      </c>
      <c r="E919" s="13" t="str">
        <f t="shared" si="86"/>
        <v>Brittany Barker</v>
      </c>
      <c r="F919" s="13" t="str">
        <f t="shared" si="87"/>
        <v>FL</v>
      </c>
      <c r="G919" s="13" t="str">
        <f t="shared" si="88"/>
        <v>18</v>
      </c>
      <c r="H919" s="13" t="str">
        <f t="shared" si="89"/>
        <v>2509</v>
      </c>
    </row>
    <row r="920" spans="1:8" x14ac:dyDescent="0.3">
      <c r="A920" s="13" t="s">
        <v>1935</v>
      </c>
      <c r="B920" s="13" t="s">
        <v>1936</v>
      </c>
      <c r="C920" s="13" t="str">
        <f t="shared" si="84"/>
        <v>PAUL CAMPBELL</v>
      </c>
      <c r="D920" s="13" t="str">
        <f t="shared" si="85"/>
        <v>paul campbell</v>
      </c>
      <c r="E920" s="13" t="str">
        <f t="shared" si="86"/>
        <v>Paul Campbell</v>
      </c>
      <c r="F920" s="13" t="str">
        <f t="shared" si="87"/>
        <v>FL</v>
      </c>
      <c r="G920" s="13" t="str">
        <f t="shared" si="88"/>
        <v>19</v>
      </c>
      <c r="H920" s="13" t="str">
        <f t="shared" si="89"/>
        <v>2509</v>
      </c>
    </row>
    <row r="921" spans="1:8" x14ac:dyDescent="0.3">
      <c r="A921" s="13" t="s">
        <v>1937</v>
      </c>
      <c r="B921" s="13" t="s">
        <v>1938</v>
      </c>
      <c r="C921" s="13" t="str">
        <f t="shared" si="84"/>
        <v>AMY MORROW</v>
      </c>
      <c r="D921" s="13" t="str">
        <f t="shared" si="85"/>
        <v>amy morrow</v>
      </c>
      <c r="E921" s="13" t="str">
        <f t="shared" si="86"/>
        <v>Amy Morrow</v>
      </c>
      <c r="F921" s="13" t="str">
        <f t="shared" si="87"/>
        <v>FL</v>
      </c>
      <c r="G921" s="13" t="str">
        <f t="shared" si="88"/>
        <v>20</v>
      </c>
      <c r="H921" s="13" t="str">
        <f t="shared" si="89"/>
        <v>2509</v>
      </c>
    </row>
    <row r="922" spans="1:8" x14ac:dyDescent="0.3">
      <c r="A922" s="13" t="s">
        <v>1939</v>
      </c>
      <c r="B922" s="13" t="s">
        <v>1940</v>
      </c>
      <c r="C922" s="13" t="str">
        <f t="shared" si="84"/>
        <v>AMY FITZGERALD</v>
      </c>
      <c r="D922" s="13" t="str">
        <f t="shared" si="85"/>
        <v>amy fitzgerald</v>
      </c>
      <c r="E922" s="13" t="str">
        <f t="shared" si="86"/>
        <v>Amy Fitzgerald</v>
      </c>
      <c r="F922" s="13" t="str">
        <f t="shared" si="87"/>
        <v>FL</v>
      </c>
      <c r="G922" s="13" t="str">
        <f t="shared" si="88"/>
        <v>21</v>
      </c>
      <c r="H922" s="13" t="str">
        <f t="shared" si="89"/>
        <v>2509</v>
      </c>
    </row>
    <row r="923" spans="1:8" x14ac:dyDescent="0.3">
      <c r="A923" s="13" t="s">
        <v>1941</v>
      </c>
      <c r="B923" s="13" t="s">
        <v>1942</v>
      </c>
      <c r="C923" s="13" t="str">
        <f t="shared" si="84"/>
        <v>ANITA BECKER</v>
      </c>
      <c r="D923" s="13" t="str">
        <f t="shared" si="85"/>
        <v>anita becker</v>
      </c>
      <c r="E923" s="13" t="str">
        <f t="shared" si="86"/>
        <v>Anita Becker</v>
      </c>
      <c r="F923" s="13" t="str">
        <f t="shared" si="87"/>
        <v>FL</v>
      </c>
      <c r="G923" s="13" t="str">
        <f t="shared" si="88"/>
        <v>22</v>
      </c>
      <c r="H923" s="13" t="str">
        <f t="shared" si="89"/>
        <v>2509</v>
      </c>
    </row>
    <row r="924" spans="1:8" x14ac:dyDescent="0.3">
      <c r="A924" s="13" t="s">
        <v>1943</v>
      </c>
      <c r="B924" s="13" t="s">
        <v>1944</v>
      </c>
      <c r="C924" s="13" t="str">
        <f t="shared" si="84"/>
        <v>MRS. AMY BROOKS</v>
      </c>
      <c r="D924" s="13" t="str">
        <f t="shared" si="85"/>
        <v>mrs. amy brooks</v>
      </c>
      <c r="E924" s="13" t="str">
        <f t="shared" si="86"/>
        <v>Mrs. Amy Brooks</v>
      </c>
      <c r="F924" s="13" t="str">
        <f t="shared" si="87"/>
        <v>FL</v>
      </c>
      <c r="G924" s="13" t="str">
        <f t="shared" si="88"/>
        <v>23</v>
      </c>
      <c r="H924" s="13" t="str">
        <f t="shared" si="89"/>
        <v>2509</v>
      </c>
    </row>
    <row r="925" spans="1:8" x14ac:dyDescent="0.3">
      <c r="A925" s="13" t="s">
        <v>1945</v>
      </c>
      <c r="B925" s="13" t="s">
        <v>1946</v>
      </c>
      <c r="C925" s="13" t="str">
        <f t="shared" si="84"/>
        <v>LORI MARSHALL</v>
      </c>
      <c r="D925" s="13" t="str">
        <f t="shared" si="85"/>
        <v>lori marshall</v>
      </c>
      <c r="E925" s="13" t="str">
        <f t="shared" si="86"/>
        <v>Lori Marshall</v>
      </c>
      <c r="F925" s="13" t="str">
        <f t="shared" si="87"/>
        <v>FL</v>
      </c>
      <c r="G925" s="13" t="str">
        <f t="shared" si="88"/>
        <v>24</v>
      </c>
      <c r="H925" s="13" t="str">
        <f t="shared" si="89"/>
        <v>2509</v>
      </c>
    </row>
    <row r="926" spans="1:8" x14ac:dyDescent="0.3">
      <c r="A926" s="13" t="s">
        <v>1947</v>
      </c>
      <c r="B926" s="13" t="s">
        <v>1948</v>
      </c>
      <c r="C926" s="13" t="str">
        <f t="shared" si="84"/>
        <v>JENNIFER MILLER</v>
      </c>
      <c r="D926" s="13" t="str">
        <f t="shared" si="85"/>
        <v>jennifer miller</v>
      </c>
      <c r="E926" s="13" t="str">
        <f t="shared" si="86"/>
        <v>Jennifer Miller</v>
      </c>
      <c r="F926" s="13" t="str">
        <f t="shared" si="87"/>
        <v>FL</v>
      </c>
      <c r="G926" s="13" t="str">
        <f t="shared" si="88"/>
        <v>25</v>
      </c>
      <c r="H926" s="13" t="str">
        <f t="shared" si="89"/>
        <v>2509</v>
      </c>
    </row>
    <row r="927" spans="1:8" x14ac:dyDescent="0.3">
      <c r="A927" s="13" t="s">
        <v>1949</v>
      </c>
      <c r="B927" s="13" t="s">
        <v>1950</v>
      </c>
      <c r="C927" s="13" t="str">
        <f t="shared" si="84"/>
        <v>THOMAS YOUNG</v>
      </c>
      <c r="D927" s="13" t="str">
        <f t="shared" si="85"/>
        <v>thomas young</v>
      </c>
      <c r="E927" s="13" t="str">
        <f t="shared" si="86"/>
        <v>Thomas Young</v>
      </c>
      <c r="F927" s="13" t="str">
        <f t="shared" si="87"/>
        <v>FL</v>
      </c>
      <c r="G927" s="13" t="str">
        <f t="shared" si="88"/>
        <v>26</v>
      </c>
      <c r="H927" s="13" t="str">
        <f t="shared" si="89"/>
        <v>2509</v>
      </c>
    </row>
    <row r="928" spans="1:8" x14ac:dyDescent="0.3">
      <c r="A928" s="13" t="s">
        <v>1951</v>
      </c>
      <c r="B928" s="13" t="s">
        <v>1952</v>
      </c>
      <c r="C928" s="13" t="str">
        <f t="shared" si="84"/>
        <v>ZACHARY LARSEN</v>
      </c>
      <c r="D928" s="13" t="str">
        <f t="shared" si="85"/>
        <v>zachary larsen</v>
      </c>
      <c r="E928" s="13" t="str">
        <f t="shared" si="86"/>
        <v>Zachary Larsen</v>
      </c>
      <c r="F928" s="13" t="str">
        <f t="shared" si="87"/>
        <v>FL</v>
      </c>
      <c r="G928" s="13" t="str">
        <f t="shared" si="88"/>
        <v>27</v>
      </c>
      <c r="H928" s="13" t="str">
        <f t="shared" si="89"/>
        <v>2509</v>
      </c>
    </row>
    <row r="929" spans="1:8" x14ac:dyDescent="0.3">
      <c r="A929" s="13" t="s">
        <v>1953</v>
      </c>
      <c r="B929" s="13" t="s">
        <v>1954</v>
      </c>
      <c r="C929" s="13" t="str">
        <f t="shared" si="84"/>
        <v>VALERIE GUTIERREZ</v>
      </c>
      <c r="D929" s="13" t="str">
        <f t="shared" si="85"/>
        <v>valerie gutierrez</v>
      </c>
      <c r="E929" s="13" t="str">
        <f t="shared" si="86"/>
        <v>Valerie Gutierrez</v>
      </c>
      <c r="F929" s="13" t="str">
        <f t="shared" si="87"/>
        <v>FL</v>
      </c>
      <c r="G929" s="13" t="str">
        <f t="shared" si="88"/>
        <v>28</v>
      </c>
      <c r="H929" s="13" t="str">
        <f t="shared" si="89"/>
        <v>2509</v>
      </c>
    </row>
    <row r="930" spans="1:8" x14ac:dyDescent="0.3">
      <c r="A930" s="13" t="s">
        <v>1955</v>
      </c>
      <c r="B930" s="13" t="s">
        <v>1956</v>
      </c>
      <c r="C930" s="13" t="str">
        <f t="shared" si="84"/>
        <v>DANIEL PARKER</v>
      </c>
      <c r="D930" s="13" t="str">
        <f t="shared" si="85"/>
        <v>daniel parker</v>
      </c>
      <c r="E930" s="13" t="str">
        <f t="shared" si="86"/>
        <v>Daniel Parker</v>
      </c>
      <c r="F930" s="13" t="str">
        <f t="shared" si="87"/>
        <v>FL</v>
      </c>
      <c r="G930" s="13" t="str">
        <f t="shared" si="88"/>
        <v>29</v>
      </c>
      <c r="H930" s="13" t="str">
        <f t="shared" si="89"/>
        <v>2509</v>
      </c>
    </row>
    <row r="931" spans="1:8" x14ac:dyDescent="0.3">
      <c r="A931" s="13" t="s">
        <v>1957</v>
      </c>
      <c r="B931" s="13" t="s">
        <v>1958</v>
      </c>
      <c r="C931" s="13" t="str">
        <f t="shared" si="84"/>
        <v>NICOLE BENNETT</v>
      </c>
      <c r="D931" s="13" t="str">
        <f t="shared" si="85"/>
        <v>nicole bennett</v>
      </c>
      <c r="E931" s="13" t="str">
        <f t="shared" si="86"/>
        <v>Nicole Bennett</v>
      </c>
      <c r="F931" s="13" t="str">
        <f t="shared" si="87"/>
        <v>FL</v>
      </c>
      <c r="G931" s="13" t="str">
        <f t="shared" si="88"/>
        <v>30</v>
      </c>
      <c r="H931" s="13" t="str">
        <f t="shared" si="89"/>
        <v>2509</v>
      </c>
    </row>
    <row r="932" spans="1:8" x14ac:dyDescent="0.3">
      <c r="A932" s="13" t="s">
        <v>1959</v>
      </c>
      <c r="B932" s="13" t="s">
        <v>1960</v>
      </c>
      <c r="C932" s="13" t="str">
        <f t="shared" si="84"/>
        <v>LAUREN LOWERY</v>
      </c>
      <c r="D932" s="13" t="str">
        <f t="shared" si="85"/>
        <v>lauren lowery</v>
      </c>
      <c r="E932" s="13" t="str">
        <f t="shared" si="86"/>
        <v>Lauren Lowery</v>
      </c>
      <c r="F932" s="13" t="str">
        <f t="shared" si="87"/>
        <v>FL</v>
      </c>
      <c r="G932" s="13" t="str">
        <f t="shared" si="88"/>
        <v>31</v>
      </c>
      <c r="H932" s="13" t="str">
        <f t="shared" si="89"/>
        <v>2509</v>
      </c>
    </row>
    <row r="933" spans="1:8" x14ac:dyDescent="0.3">
      <c r="A933" s="13" t="s">
        <v>1961</v>
      </c>
      <c r="B933" s="13" t="s">
        <v>1962</v>
      </c>
      <c r="C933" s="13" t="str">
        <f t="shared" si="84"/>
        <v>ALEXANDER WOODWARD</v>
      </c>
      <c r="D933" s="13" t="str">
        <f t="shared" si="85"/>
        <v>alexander woodward</v>
      </c>
      <c r="E933" s="13" t="str">
        <f t="shared" si="86"/>
        <v>Alexander Woodward</v>
      </c>
      <c r="F933" s="13" t="str">
        <f t="shared" si="87"/>
        <v>FL</v>
      </c>
      <c r="G933" s="13" t="str">
        <f t="shared" si="88"/>
        <v>32</v>
      </c>
      <c r="H933" s="13" t="str">
        <f t="shared" si="89"/>
        <v>2509</v>
      </c>
    </row>
    <row r="934" spans="1:8" x14ac:dyDescent="0.3">
      <c r="A934" s="13" t="s">
        <v>1963</v>
      </c>
      <c r="B934" s="13" t="s">
        <v>1964</v>
      </c>
      <c r="C934" s="13" t="str">
        <f t="shared" si="84"/>
        <v>ANTHONY WALTER</v>
      </c>
      <c r="D934" s="13" t="str">
        <f t="shared" si="85"/>
        <v>anthony walter</v>
      </c>
      <c r="E934" s="13" t="str">
        <f t="shared" si="86"/>
        <v>Anthony Walter</v>
      </c>
      <c r="F934" s="13" t="str">
        <f t="shared" si="87"/>
        <v>FL</v>
      </c>
      <c r="G934" s="13" t="str">
        <f t="shared" si="88"/>
        <v>33</v>
      </c>
      <c r="H934" s="13" t="str">
        <f t="shared" si="89"/>
        <v>2509</v>
      </c>
    </row>
    <row r="935" spans="1:8" x14ac:dyDescent="0.3">
      <c r="A935" s="13" t="s">
        <v>1965</v>
      </c>
      <c r="B935" s="13" t="s">
        <v>1966</v>
      </c>
      <c r="C935" s="13" t="str">
        <f t="shared" si="84"/>
        <v>VALERIE FINLEY</v>
      </c>
      <c r="D935" s="13" t="str">
        <f t="shared" si="85"/>
        <v>valerie finley</v>
      </c>
      <c r="E935" s="13" t="str">
        <f t="shared" si="86"/>
        <v>Valerie Finley</v>
      </c>
      <c r="F935" s="13" t="str">
        <f t="shared" si="87"/>
        <v>FL</v>
      </c>
      <c r="G935" s="13" t="str">
        <f t="shared" si="88"/>
        <v>34</v>
      </c>
      <c r="H935" s="13" t="str">
        <f t="shared" si="89"/>
        <v>2509</v>
      </c>
    </row>
    <row r="936" spans="1:8" x14ac:dyDescent="0.3">
      <c r="A936" s="13" t="s">
        <v>1967</v>
      </c>
      <c r="B936" s="13" t="s">
        <v>1968</v>
      </c>
      <c r="C936" s="13" t="str">
        <f t="shared" si="84"/>
        <v>DEBORAH KELLEY</v>
      </c>
      <c r="D936" s="13" t="str">
        <f t="shared" si="85"/>
        <v>deborah kelley</v>
      </c>
      <c r="E936" s="13" t="str">
        <f t="shared" si="86"/>
        <v>Deborah Kelley</v>
      </c>
      <c r="F936" s="13" t="str">
        <f t="shared" si="87"/>
        <v>FL</v>
      </c>
      <c r="G936" s="13" t="str">
        <f t="shared" si="88"/>
        <v>35</v>
      </c>
      <c r="H936" s="13" t="str">
        <f t="shared" si="89"/>
        <v>2509</v>
      </c>
    </row>
    <row r="937" spans="1:8" x14ac:dyDescent="0.3">
      <c r="A937" s="13" t="s">
        <v>1969</v>
      </c>
      <c r="B937" s="13" t="s">
        <v>1970</v>
      </c>
      <c r="C937" s="13" t="str">
        <f t="shared" si="84"/>
        <v>KRISTINA MILLER</v>
      </c>
      <c r="D937" s="13" t="str">
        <f t="shared" si="85"/>
        <v>kristina miller</v>
      </c>
      <c r="E937" s="13" t="str">
        <f t="shared" si="86"/>
        <v>Kristina Miller</v>
      </c>
      <c r="F937" s="13" t="str">
        <f t="shared" si="87"/>
        <v>FL</v>
      </c>
      <c r="G937" s="13" t="str">
        <f t="shared" si="88"/>
        <v>36</v>
      </c>
      <c r="H937" s="13" t="str">
        <f t="shared" si="89"/>
        <v>2509</v>
      </c>
    </row>
    <row r="938" spans="1:8" x14ac:dyDescent="0.3">
      <c r="A938" s="13" t="s">
        <v>1971</v>
      </c>
      <c r="B938" s="13" t="s">
        <v>1972</v>
      </c>
      <c r="C938" s="13" t="str">
        <f t="shared" si="84"/>
        <v>ANNE HAMPTON</v>
      </c>
      <c r="D938" s="13" t="str">
        <f t="shared" si="85"/>
        <v>anne hampton</v>
      </c>
      <c r="E938" s="13" t="str">
        <f t="shared" si="86"/>
        <v>Anne Hampton</v>
      </c>
      <c r="F938" s="13" t="str">
        <f t="shared" si="87"/>
        <v>FL</v>
      </c>
      <c r="G938" s="13" t="str">
        <f t="shared" si="88"/>
        <v>37</v>
      </c>
      <c r="H938" s="13" t="str">
        <f t="shared" si="89"/>
        <v>2509</v>
      </c>
    </row>
    <row r="939" spans="1:8" x14ac:dyDescent="0.3">
      <c r="A939" s="13" t="s">
        <v>1973</v>
      </c>
      <c r="B939" s="13" t="s">
        <v>1974</v>
      </c>
      <c r="C939" s="13" t="str">
        <f t="shared" si="84"/>
        <v>SANDRA HENRY</v>
      </c>
      <c r="D939" s="13" t="str">
        <f t="shared" si="85"/>
        <v>sandra henry</v>
      </c>
      <c r="E939" s="13" t="str">
        <f t="shared" si="86"/>
        <v>Sandra Henry</v>
      </c>
      <c r="F939" s="13" t="str">
        <f t="shared" si="87"/>
        <v>FL</v>
      </c>
      <c r="G939" s="13" t="str">
        <f t="shared" si="88"/>
        <v>38</v>
      </c>
      <c r="H939" s="13" t="str">
        <f t="shared" si="89"/>
        <v>2509</v>
      </c>
    </row>
    <row r="940" spans="1:8" x14ac:dyDescent="0.3">
      <c r="A940" s="13" t="s">
        <v>1975</v>
      </c>
      <c r="B940" s="13" t="s">
        <v>1976</v>
      </c>
      <c r="C940" s="13" t="str">
        <f t="shared" si="84"/>
        <v>TONY HESTER</v>
      </c>
      <c r="D940" s="13" t="str">
        <f t="shared" si="85"/>
        <v>tony hester</v>
      </c>
      <c r="E940" s="13" t="str">
        <f t="shared" si="86"/>
        <v>Tony Hester</v>
      </c>
      <c r="F940" s="13" t="str">
        <f t="shared" si="87"/>
        <v>FL</v>
      </c>
      <c r="G940" s="13" t="str">
        <f t="shared" si="88"/>
        <v>39</v>
      </c>
      <c r="H940" s="13" t="str">
        <f t="shared" si="89"/>
        <v>2509</v>
      </c>
    </row>
    <row r="941" spans="1:8" x14ac:dyDescent="0.3">
      <c r="A941" s="13" t="s">
        <v>1977</v>
      </c>
      <c r="B941" s="13" t="s">
        <v>1978</v>
      </c>
      <c r="C941" s="13" t="str">
        <f t="shared" si="84"/>
        <v>NATHAN DAVIS</v>
      </c>
      <c r="D941" s="13" t="str">
        <f t="shared" si="85"/>
        <v>nathan davis</v>
      </c>
      <c r="E941" s="13" t="str">
        <f t="shared" si="86"/>
        <v>Nathan Davis</v>
      </c>
      <c r="F941" s="13" t="str">
        <f t="shared" si="87"/>
        <v>FL</v>
      </c>
      <c r="G941" s="13" t="str">
        <f t="shared" si="88"/>
        <v>40</v>
      </c>
      <c r="H941" s="13" t="str">
        <f t="shared" si="89"/>
        <v>2509</v>
      </c>
    </row>
    <row r="942" spans="1:8" x14ac:dyDescent="0.3">
      <c r="A942" s="13" t="s">
        <v>1979</v>
      </c>
      <c r="B942" s="13" t="s">
        <v>1980</v>
      </c>
      <c r="C942" s="13" t="str">
        <f t="shared" si="84"/>
        <v>ERICA JACKSON</v>
      </c>
      <c r="D942" s="13" t="str">
        <f t="shared" si="85"/>
        <v>erica jackson</v>
      </c>
      <c r="E942" s="13" t="str">
        <f t="shared" si="86"/>
        <v>Erica Jackson</v>
      </c>
      <c r="F942" s="13" t="str">
        <f t="shared" si="87"/>
        <v>FL</v>
      </c>
      <c r="G942" s="13" t="str">
        <f t="shared" si="88"/>
        <v>41</v>
      </c>
      <c r="H942" s="13" t="str">
        <f t="shared" si="89"/>
        <v>2509</v>
      </c>
    </row>
    <row r="943" spans="1:8" x14ac:dyDescent="0.3">
      <c r="A943" s="13" t="s">
        <v>1981</v>
      </c>
      <c r="B943" s="13" t="s">
        <v>1982</v>
      </c>
      <c r="C943" s="13" t="str">
        <f t="shared" si="84"/>
        <v>NANCY GLOVER</v>
      </c>
      <c r="D943" s="13" t="str">
        <f t="shared" si="85"/>
        <v>nancy glover</v>
      </c>
      <c r="E943" s="13" t="str">
        <f t="shared" si="86"/>
        <v>Nancy Glover</v>
      </c>
      <c r="F943" s="13" t="str">
        <f t="shared" si="87"/>
        <v>FL</v>
      </c>
      <c r="G943" s="13" t="str">
        <f t="shared" si="88"/>
        <v>42</v>
      </c>
      <c r="H943" s="13" t="str">
        <f t="shared" si="89"/>
        <v>2509</v>
      </c>
    </row>
    <row r="944" spans="1:8" x14ac:dyDescent="0.3">
      <c r="A944" s="13" t="s">
        <v>1983</v>
      </c>
      <c r="B944" s="13" t="s">
        <v>1984</v>
      </c>
      <c r="C944" s="13" t="str">
        <f t="shared" si="84"/>
        <v>RICHARD SANCHEZ</v>
      </c>
      <c r="D944" s="13" t="str">
        <f t="shared" si="85"/>
        <v>richard sanchez</v>
      </c>
      <c r="E944" s="13" t="str">
        <f t="shared" si="86"/>
        <v>Richard Sanchez</v>
      </c>
      <c r="F944" s="13" t="str">
        <f t="shared" si="87"/>
        <v>FL</v>
      </c>
      <c r="G944" s="13" t="str">
        <f t="shared" si="88"/>
        <v>43</v>
      </c>
      <c r="H944" s="13" t="str">
        <f t="shared" si="89"/>
        <v>2509</v>
      </c>
    </row>
    <row r="945" spans="1:8" x14ac:dyDescent="0.3">
      <c r="A945" s="13" t="s">
        <v>1985</v>
      </c>
      <c r="B945" s="13" t="s">
        <v>1986</v>
      </c>
      <c r="C945" s="13" t="str">
        <f t="shared" si="84"/>
        <v>SAVANNAH REID</v>
      </c>
      <c r="D945" s="13" t="str">
        <f t="shared" si="85"/>
        <v>savannah reid</v>
      </c>
      <c r="E945" s="13" t="str">
        <f t="shared" si="86"/>
        <v>Savannah Reid</v>
      </c>
      <c r="F945" s="13" t="str">
        <f t="shared" si="87"/>
        <v>FL</v>
      </c>
      <c r="G945" s="13" t="str">
        <f t="shared" si="88"/>
        <v>44</v>
      </c>
      <c r="H945" s="13" t="str">
        <f t="shared" si="89"/>
        <v>2509</v>
      </c>
    </row>
    <row r="946" spans="1:8" x14ac:dyDescent="0.3">
      <c r="A946" s="13" t="s">
        <v>1987</v>
      </c>
      <c r="B946" s="13" t="s">
        <v>1988</v>
      </c>
      <c r="C946" s="13" t="str">
        <f t="shared" si="84"/>
        <v>ROBERT SALAZAR</v>
      </c>
      <c r="D946" s="13" t="str">
        <f t="shared" si="85"/>
        <v>robert salazar</v>
      </c>
      <c r="E946" s="13" t="str">
        <f t="shared" si="86"/>
        <v>Robert Salazar</v>
      </c>
      <c r="F946" s="13" t="str">
        <f t="shared" si="87"/>
        <v>FL</v>
      </c>
      <c r="G946" s="13" t="str">
        <f t="shared" si="88"/>
        <v>45</v>
      </c>
      <c r="H946" s="13" t="str">
        <f t="shared" si="89"/>
        <v>2509</v>
      </c>
    </row>
    <row r="947" spans="1:8" x14ac:dyDescent="0.3">
      <c r="A947" s="13" t="s">
        <v>1989</v>
      </c>
      <c r="B947" s="13" t="s">
        <v>1990</v>
      </c>
      <c r="C947" s="13" t="str">
        <f t="shared" si="84"/>
        <v>HECTOR GREER</v>
      </c>
      <c r="D947" s="13" t="str">
        <f t="shared" si="85"/>
        <v>hector greer</v>
      </c>
      <c r="E947" s="13" t="str">
        <f t="shared" si="86"/>
        <v>Hector Greer</v>
      </c>
      <c r="F947" s="13" t="str">
        <f t="shared" si="87"/>
        <v>FL</v>
      </c>
      <c r="G947" s="13" t="str">
        <f t="shared" si="88"/>
        <v>46</v>
      </c>
      <c r="H947" s="13" t="str">
        <f t="shared" si="89"/>
        <v>2509</v>
      </c>
    </row>
    <row r="948" spans="1:8" x14ac:dyDescent="0.3">
      <c r="A948" s="13" t="s">
        <v>1991</v>
      </c>
      <c r="B948" s="13" t="s">
        <v>1992</v>
      </c>
      <c r="C948" s="13" t="str">
        <f t="shared" si="84"/>
        <v>THOMAS JACKSON</v>
      </c>
      <c r="D948" s="13" t="str">
        <f t="shared" si="85"/>
        <v>thomas jackson</v>
      </c>
      <c r="E948" s="13" t="str">
        <f t="shared" si="86"/>
        <v>Thomas Jackson</v>
      </c>
      <c r="F948" s="13" t="str">
        <f t="shared" si="87"/>
        <v>FL</v>
      </c>
      <c r="G948" s="13" t="str">
        <f t="shared" si="88"/>
        <v>47</v>
      </c>
      <c r="H948" s="13" t="str">
        <f t="shared" si="89"/>
        <v>2509</v>
      </c>
    </row>
    <row r="949" spans="1:8" x14ac:dyDescent="0.3">
      <c r="A949" s="13" t="s">
        <v>1993</v>
      </c>
      <c r="B949" s="13" t="s">
        <v>1994</v>
      </c>
      <c r="C949" s="13" t="str">
        <f t="shared" si="84"/>
        <v>TINA CLARK</v>
      </c>
      <c r="D949" s="13" t="str">
        <f t="shared" si="85"/>
        <v>tina clark</v>
      </c>
      <c r="E949" s="13" t="str">
        <f t="shared" si="86"/>
        <v>Tina Clark</v>
      </c>
      <c r="F949" s="13" t="str">
        <f t="shared" si="87"/>
        <v>FL</v>
      </c>
      <c r="G949" s="13" t="str">
        <f t="shared" si="88"/>
        <v>48</v>
      </c>
      <c r="H949" s="13" t="str">
        <f t="shared" si="89"/>
        <v>2509</v>
      </c>
    </row>
    <row r="950" spans="1:8" x14ac:dyDescent="0.3">
      <c r="A950" s="13" t="s">
        <v>1995</v>
      </c>
      <c r="B950" s="13" t="s">
        <v>1996</v>
      </c>
      <c r="C950" s="13" t="str">
        <f t="shared" si="84"/>
        <v>HEATHER BROWN</v>
      </c>
      <c r="D950" s="13" t="str">
        <f t="shared" si="85"/>
        <v>heather brown</v>
      </c>
      <c r="E950" s="13" t="str">
        <f t="shared" si="86"/>
        <v>Heather Brown</v>
      </c>
      <c r="F950" s="13" t="str">
        <f t="shared" si="87"/>
        <v>FL</v>
      </c>
      <c r="G950" s="13" t="str">
        <f t="shared" si="88"/>
        <v>49</v>
      </c>
      <c r="H950" s="13" t="str">
        <f t="shared" si="89"/>
        <v>2509</v>
      </c>
    </row>
    <row r="951" spans="1:8" x14ac:dyDescent="0.3">
      <c r="A951" s="13" t="s">
        <v>1997</v>
      </c>
      <c r="B951" s="13" t="s">
        <v>1998</v>
      </c>
      <c r="C951" s="13" t="str">
        <f t="shared" si="84"/>
        <v>JOHN WEAVER</v>
      </c>
      <c r="D951" s="13" t="str">
        <f t="shared" si="85"/>
        <v>john weaver</v>
      </c>
      <c r="E951" s="13" t="str">
        <f t="shared" si="86"/>
        <v>John Weaver</v>
      </c>
      <c r="F951" s="13" t="str">
        <f t="shared" si="87"/>
        <v>FL</v>
      </c>
      <c r="G951" s="13" t="str">
        <f t="shared" si="88"/>
        <v>50</v>
      </c>
      <c r="H951" s="13" t="str">
        <f t="shared" si="89"/>
        <v>2509</v>
      </c>
    </row>
    <row r="952" spans="1:8" x14ac:dyDescent="0.3">
      <c r="A952" s="13" t="s">
        <v>1999</v>
      </c>
      <c r="B952" s="13" t="s">
        <v>2000</v>
      </c>
      <c r="C952" s="13" t="str">
        <f t="shared" si="84"/>
        <v>BRADLEY HARRIS</v>
      </c>
      <c r="D952" s="13" t="str">
        <f t="shared" si="85"/>
        <v>bradley harris</v>
      </c>
      <c r="E952" s="13" t="str">
        <f t="shared" si="86"/>
        <v>Bradley Harris</v>
      </c>
      <c r="F952" s="13" t="str">
        <f t="shared" si="87"/>
        <v>FL</v>
      </c>
      <c r="G952" s="13" t="str">
        <f t="shared" si="88"/>
        <v>51</v>
      </c>
      <c r="H952" s="13" t="str">
        <f t="shared" si="89"/>
        <v>2509</v>
      </c>
    </row>
    <row r="953" spans="1:8" x14ac:dyDescent="0.3">
      <c r="A953" s="13" t="s">
        <v>2001</v>
      </c>
      <c r="B953" s="13" t="s">
        <v>2002</v>
      </c>
      <c r="C953" s="13" t="str">
        <f t="shared" si="84"/>
        <v>CASSANDRA MACDONALD</v>
      </c>
      <c r="D953" s="13" t="str">
        <f t="shared" si="85"/>
        <v>cassandra macdonald</v>
      </c>
      <c r="E953" s="13" t="str">
        <f t="shared" si="86"/>
        <v>Cassandra Macdonald</v>
      </c>
      <c r="F953" s="13" t="str">
        <f t="shared" si="87"/>
        <v>FL</v>
      </c>
      <c r="G953" s="13" t="str">
        <f t="shared" si="88"/>
        <v>52</v>
      </c>
      <c r="H953" s="13" t="str">
        <f t="shared" si="89"/>
        <v>2509</v>
      </c>
    </row>
    <row r="954" spans="1:8" x14ac:dyDescent="0.3">
      <c r="A954" s="13" t="s">
        <v>2003</v>
      </c>
      <c r="B954" s="13" t="s">
        <v>2004</v>
      </c>
      <c r="C954" s="13" t="str">
        <f t="shared" si="84"/>
        <v>MATTHEW WHITE</v>
      </c>
      <c r="D954" s="13" t="str">
        <f t="shared" si="85"/>
        <v>matthew white</v>
      </c>
      <c r="E954" s="13" t="str">
        <f t="shared" si="86"/>
        <v>Matthew White</v>
      </c>
      <c r="F954" s="13" t="str">
        <f t="shared" si="87"/>
        <v>FL</v>
      </c>
      <c r="G954" s="13" t="str">
        <f t="shared" si="88"/>
        <v>53</v>
      </c>
      <c r="H954" s="13" t="str">
        <f t="shared" si="89"/>
        <v>2509</v>
      </c>
    </row>
    <row r="955" spans="1:8" x14ac:dyDescent="0.3">
      <c r="A955" s="13" t="s">
        <v>2005</v>
      </c>
      <c r="B955" s="13" t="s">
        <v>2006</v>
      </c>
      <c r="C955" s="13" t="str">
        <f t="shared" si="84"/>
        <v>MISS KIMBERLY MARSHALL</v>
      </c>
      <c r="D955" s="13" t="str">
        <f t="shared" si="85"/>
        <v>miss kimberly marshall</v>
      </c>
      <c r="E955" s="13" t="str">
        <f t="shared" si="86"/>
        <v>Miss Kimberly Marshall</v>
      </c>
      <c r="F955" s="13" t="str">
        <f t="shared" si="87"/>
        <v>FL</v>
      </c>
      <c r="G955" s="13" t="str">
        <f t="shared" si="88"/>
        <v>54</v>
      </c>
      <c r="H955" s="13" t="str">
        <f t="shared" si="89"/>
        <v>2509</v>
      </c>
    </row>
    <row r="956" spans="1:8" x14ac:dyDescent="0.3">
      <c r="A956" s="13" t="s">
        <v>2007</v>
      </c>
      <c r="B956" s="13" t="s">
        <v>2008</v>
      </c>
      <c r="C956" s="13" t="str">
        <f t="shared" si="84"/>
        <v>LAURA THOMPSON</v>
      </c>
      <c r="D956" s="13" t="str">
        <f t="shared" si="85"/>
        <v>laura thompson</v>
      </c>
      <c r="E956" s="13" t="str">
        <f t="shared" si="86"/>
        <v>Laura Thompson</v>
      </c>
      <c r="F956" s="13" t="str">
        <f t="shared" si="87"/>
        <v>FL</v>
      </c>
      <c r="G956" s="13" t="str">
        <f t="shared" si="88"/>
        <v>55</v>
      </c>
      <c r="H956" s="13" t="str">
        <f t="shared" si="89"/>
        <v>2509</v>
      </c>
    </row>
    <row r="957" spans="1:8" x14ac:dyDescent="0.3">
      <c r="A957" s="13" t="s">
        <v>2009</v>
      </c>
      <c r="B957" s="13" t="s">
        <v>2010</v>
      </c>
      <c r="C957" s="13" t="str">
        <f t="shared" si="84"/>
        <v>NATHAN SOTO</v>
      </c>
      <c r="D957" s="13" t="str">
        <f t="shared" si="85"/>
        <v>nathan soto</v>
      </c>
      <c r="E957" s="13" t="str">
        <f t="shared" si="86"/>
        <v>Nathan Soto</v>
      </c>
      <c r="F957" s="13" t="str">
        <f t="shared" si="87"/>
        <v>FL</v>
      </c>
      <c r="G957" s="13" t="str">
        <f t="shared" si="88"/>
        <v>56</v>
      </c>
      <c r="H957" s="13" t="str">
        <f t="shared" si="89"/>
        <v>2509</v>
      </c>
    </row>
    <row r="958" spans="1:8" x14ac:dyDescent="0.3">
      <c r="A958" s="13" t="s">
        <v>2011</v>
      </c>
      <c r="B958" s="13" t="s">
        <v>2012</v>
      </c>
      <c r="C958" s="13" t="str">
        <f t="shared" si="84"/>
        <v>RHONDA HINES</v>
      </c>
      <c r="D958" s="13" t="str">
        <f t="shared" si="85"/>
        <v>rhonda hines</v>
      </c>
      <c r="E958" s="13" t="str">
        <f t="shared" si="86"/>
        <v>Rhonda Hines</v>
      </c>
      <c r="F958" s="13" t="str">
        <f t="shared" si="87"/>
        <v>FL</v>
      </c>
      <c r="G958" s="13" t="str">
        <f t="shared" si="88"/>
        <v>57</v>
      </c>
      <c r="H958" s="13" t="str">
        <f t="shared" si="89"/>
        <v>2509</v>
      </c>
    </row>
    <row r="959" spans="1:8" x14ac:dyDescent="0.3">
      <c r="A959" s="13" t="s">
        <v>2013</v>
      </c>
      <c r="B959" s="13" t="s">
        <v>2014</v>
      </c>
      <c r="C959" s="13" t="str">
        <f t="shared" si="84"/>
        <v>GABRIELLE BOWMAN</v>
      </c>
      <c r="D959" s="13" t="str">
        <f t="shared" si="85"/>
        <v>gabrielle bowman</v>
      </c>
      <c r="E959" s="13" t="str">
        <f t="shared" si="86"/>
        <v>Gabrielle Bowman</v>
      </c>
      <c r="F959" s="13" t="str">
        <f t="shared" si="87"/>
        <v>FL</v>
      </c>
      <c r="G959" s="13" t="str">
        <f t="shared" si="88"/>
        <v>58</v>
      </c>
      <c r="H959" s="13" t="str">
        <f t="shared" si="89"/>
        <v>2509</v>
      </c>
    </row>
    <row r="960" spans="1:8" x14ac:dyDescent="0.3">
      <c r="A960" s="13" t="s">
        <v>2015</v>
      </c>
      <c r="B960" s="13" t="s">
        <v>2016</v>
      </c>
      <c r="C960" s="13" t="str">
        <f t="shared" si="84"/>
        <v>JULIAN EDWARDS</v>
      </c>
      <c r="D960" s="13" t="str">
        <f t="shared" si="85"/>
        <v>julian edwards</v>
      </c>
      <c r="E960" s="13" t="str">
        <f t="shared" si="86"/>
        <v>Julian Edwards</v>
      </c>
      <c r="F960" s="13" t="str">
        <f t="shared" si="87"/>
        <v>FL</v>
      </c>
      <c r="G960" s="13" t="str">
        <f t="shared" si="88"/>
        <v>59</v>
      </c>
      <c r="H960" s="13" t="str">
        <f t="shared" si="89"/>
        <v>2509</v>
      </c>
    </row>
    <row r="961" spans="1:8" x14ac:dyDescent="0.3">
      <c r="A961" s="13" t="s">
        <v>2017</v>
      </c>
      <c r="B961" s="13" t="s">
        <v>2018</v>
      </c>
      <c r="C961" s="13" t="str">
        <f t="shared" si="84"/>
        <v>NICHOLAS SCOTT</v>
      </c>
      <c r="D961" s="13" t="str">
        <f t="shared" si="85"/>
        <v>nicholas scott</v>
      </c>
      <c r="E961" s="13" t="str">
        <f t="shared" si="86"/>
        <v>Nicholas Scott</v>
      </c>
      <c r="F961" s="13" t="str">
        <f t="shared" si="87"/>
        <v>FL</v>
      </c>
      <c r="G961" s="13" t="str">
        <f t="shared" si="88"/>
        <v>60</v>
      </c>
      <c r="H961" s="13" t="str">
        <f t="shared" si="89"/>
        <v>2509</v>
      </c>
    </row>
    <row r="962" spans="1:8" x14ac:dyDescent="0.3">
      <c r="A962" s="13" t="s">
        <v>2019</v>
      </c>
      <c r="B962" s="13" t="s">
        <v>2020</v>
      </c>
      <c r="C962" s="13" t="str">
        <f t="shared" si="84"/>
        <v>DANIEL GREEN</v>
      </c>
      <c r="D962" s="13" t="str">
        <f t="shared" si="85"/>
        <v>daniel green</v>
      </c>
      <c r="E962" s="13" t="str">
        <f t="shared" si="86"/>
        <v>Daniel Green</v>
      </c>
      <c r="F962" s="13" t="str">
        <f t="shared" si="87"/>
        <v>FL</v>
      </c>
      <c r="G962" s="13" t="str">
        <f t="shared" si="88"/>
        <v>61</v>
      </c>
      <c r="H962" s="13" t="str">
        <f t="shared" si="89"/>
        <v>2509</v>
      </c>
    </row>
    <row r="963" spans="1:8" x14ac:dyDescent="0.3">
      <c r="A963" s="13" t="s">
        <v>2021</v>
      </c>
      <c r="B963" s="13" t="s">
        <v>2022</v>
      </c>
      <c r="C963" s="13" t="str">
        <f t="shared" ref="C963:C1001" si="90">UPPER(B963)</f>
        <v>CATHERINE JOHNSTON</v>
      </c>
      <c r="D963" s="13" t="str">
        <f t="shared" ref="D963:D1001" si="91">LOWER(B963)</f>
        <v>catherine johnston</v>
      </c>
      <c r="E963" s="13" t="str">
        <f t="shared" ref="E963:E1001" si="92">PROPER(C963)</f>
        <v>Catherine Johnston</v>
      </c>
      <c r="F963" s="13" t="str">
        <f t="shared" ref="F963:F1001" si="93">LEFT(A963,2)</f>
        <v>FL</v>
      </c>
      <c r="G963" s="13" t="str">
        <f t="shared" ref="G963:G1001" si="94">RIGHT(A963,2)</f>
        <v>62</v>
      </c>
      <c r="H963" s="13" t="str">
        <f t="shared" ref="H963:H1001" si="95">MID(A963,3,4)</f>
        <v>2509</v>
      </c>
    </row>
    <row r="964" spans="1:8" x14ac:dyDescent="0.3">
      <c r="A964" s="13" t="s">
        <v>2023</v>
      </c>
      <c r="B964" s="13" t="s">
        <v>2024</v>
      </c>
      <c r="C964" s="13" t="str">
        <f t="shared" si="90"/>
        <v>BRENDA KOCH</v>
      </c>
      <c r="D964" s="13" t="str">
        <f t="shared" si="91"/>
        <v>brenda koch</v>
      </c>
      <c r="E964" s="13" t="str">
        <f t="shared" si="92"/>
        <v>Brenda Koch</v>
      </c>
      <c r="F964" s="13" t="str">
        <f t="shared" si="93"/>
        <v>FL</v>
      </c>
      <c r="G964" s="13" t="str">
        <f t="shared" si="94"/>
        <v>63</v>
      </c>
      <c r="H964" s="13" t="str">
        <f t="shared" si="95"/>
        <v>2509</v>
      </c>
    </row>
    <row r="965" spans="1:8" x14ac:dyDescent="0.3">
      <c r="A965" s="13" t="s">
        <v>2025</v>
      </c>
      <c r="B965" s="13" t="s">
        <v>2026</v>
      </c>
      <c r="C965" s="13" t="str">
        <f t="shared" si="90"/>
        <v>MR. ROBERT MEZA</v>
      </c>
      <c r="D965" s="13" t="str">
        <f t="shared" si="91"/>
        <v>mr. robert meza</v>
      </c>
      <c r="E965" s="13" t="str">
        <f t="shared" si="92"/>
        <v>Mr. Robert Meza</v>
      </c>
      <c r="F965" s="13" t="str">
        <f t="shared" si="93"/>
        <v>FL</v>
      </c>
      <c r="G965" s="13" t="str">
        <f t="shared" si="94"/>
        <v>64</v>
      </c>
      <c r="H965" s="13" t="str">
        <f t="shared" si="95"/>
        <v>2509</v>
      </c>
    </row>
    <row r="966" spans="1:8" x14ac:dyDescent="0.3">
      <c r="A966" s="13" t="s">
        <v>2027</v>
      </c>
      <c r="B966" s="13" t="s">
        <v>2028</v>
      </c>
      <c r="C966" s="13" t="str">
        <f t="shared" si="90"/>
        <v>LATOYA BROWN</v>
      </c>
      <c r="D966" s="13" t="str">
        <f t="shared" si="91"/>
        <v>latoya brown</v>
      </c>
      <c r="E966" s="13" t="str">
        <f t="shared" si="92"/>
        <v>Latoya Brown</v>
      </c>
      <c r="F966" s="13" t="str">
        <f t="shared" si="93"/>
        <v>FL</v>
      </c>
      <c r="G966" s="13" t="str">
        <f t="shared" si="94"/>
        <v>65</v>
      </c>
      <c r="H966" s="13" t="str">
        <f t="shared" si="95"/>
        <v>2509</v>
      </c>
    </row>
    <row r="967" spans="1:8" x14ac:dyDescent="0.3">
      <c r="A967" s="13" t="s">
        <v>2029</v>
      </c>
      <c r="B967" s="13" t="s">
        <v>2030</v>
      </c>
      <c r="C967" s="13" t="str">
        <f t="shared" si="90"/>
        <v>DAVID OSBORNE III</v>
      </c>
      <c r="D967" s="13" t="str">
        <f t="shared" si="91"/>
        <v>david osborne iii</v>
      </c>
      <c r="E967" s="13" t="str">
        <f t="shared" si="92"/>
        <v>David Osborne Iii</v>
      </c>
      <c r="F967" s="13" t="str">
        <f t="shared" si="93"/>
        <v>FL</v>
      </c>
      <c r="G967" s="13" t="str">
        <f t="shared" si="94"/>
        <v>66</v>
      </c>
      <c r="H967" s="13" t="str">
        <f t="shared" si="95"/>
        <v>2509</v>
      </c>
    </row>
    <row r="968" spans="1:8" x14ac:dyDescent="0.3">
      <c r="A968" s="13" t="s">
        <v>2031</v>
      </c>
      <c r="B968" s="13" t="s">
        <v>2032</v>
      </c>
      <c r="C968" s="13" t="str">
        <f t="shared" si="90"/>
        <v>DAVID HOOPER</v>
      </c>
      <c r="D968" s="13" t="str">
        <f t="shared" si="91"/>
        <v>david hooper</v>
      </c>
      <c r="E968" s="13" t="str">
        <f t="shared" si="92"/>
        <v>David Hooper</v>
      </c>
      <c r="F968" s="13" t="str">
        <f t="shared" si="93"/>
        <v>FL</v>
      </c>
      <c r="G968" s="13" t="str">
        <f t="shared" si="94"/>
        <v>67</v>
      </c>
      <c r="H968" s="13" t="str">
        <f t="shared" si="95"/>
        <v>2509</v>
      </c>
    </row>
    <row r="969" spans="1:8" x14ac:dyDescent="0.3">
      <c r="A969" s="13" t="s">
        <v>2033</v>
      </c>
      <c r="B969" s="13" t="s">
        <v>2034</v>
      </c>
      <c r="C969" s="13" t="str">
        <f t="shared" si="90"/>
        <v>SARAH MILLER</v>
      </c>
      <c r="D969" s="13" t="str">
        <f t="shared" si="91"/>
        <v>sarah miller</v>
      </c>
      <c r="E969" s="13" t="str">
        <f t="shared" si="92"/>
        <v>Sarah Miller</v>
      </c>
      <c r="F969" s="13" t="str">
        <f t="shared" si="93"/>
        <v>FL</v>
      </c>
      <c r="G969" s="13" t="str">
        <f t="shared" si="94"/>
        <v>68</v>
      </c>
      <c r="H969" s="13" t="str">
        <f t="shared" si="95"/>
        <v>2509</v>
      </c>
    </row>
    <row r="970" spans="1:8" x14ac:dyDescent="0.3">
      <c r="A970" s="13" t="s">
        <v>2035</v>
      </c>
      <c r="B970" s="13" t="s">
        <v>2036</v>
      </c>
      <c r="C970" s="13" t="str">
        <f t="shared" si="90"/>
        <v>LISA WERNER MD</v>
      </c>
      <c r="D970" s="13" t="str">
        <f t="shared" si="91"/>
        <v>lisa werner md</v>
      </c>
      <c r="E970" s="13" t="str">
        <f t="shared" si="92"/>
        <v>Lisa Werner Md</v>
      </c>
      <c r="F970" s="13" t="str">
        <f t="shared" si="93"/>
        <v>FL</v>
      </c>
      <c r="G970" s="13" t="str">
        <f t="shared" si="94"/>
        <v>69</v>
      </c>
      <c r="H970" s="13" t="str">
        <f t="shared" si="95"/>
        <v>2509</v>
      </c>
    </row>
    <row r="971" spans="1:8" x14ac:dyDescent="0.3">
      <c r="A971" s="13" t="s">
        <v>2037</v>
      </c>
      <c r="B971" s="13" t="s">
        <v>2038</v>
      </c>
      <c r="C971" s="13" t="str">
        <f t="shared" si="90"/>
        <v>ERIC JIMENEZ</v>
      </c>
      <c r="D971" s="13" t="str">
        <f t="shared" si="91"/>
        <v>eric jimenez</v>
      </c>
      <c r="E971" s="13" t="str">
        <f t="shared" si="92"/>
        <v>Eric Jimenez</v>
      </c>
      <c r="F971" s="13" t="str">
        <f t="shared" si="93"/>
        <v>FL</v>
      </c>
      <c r="G971" s="13" t="str">
        <f t="shared" si="94"/>
        <v>70</v>
      </c>
      <c r="H971" s="13" t="str">
        <f t="shared" si="95"/>
        <v>2509</v>
      </c>
    </row>
    <row r="972" spans="1:8" x14ac:dyDescent="0.3">
      <c r="A972" s="13" t="s">
        <v>2039</v>
      </c>
      <c r="B972" s="13" t="s">
        <v>2040</v>
      </c>
      <c r="C972" s="13" t="str">
        <f t="shared" si="90"/>
        <v>JAY BUSH</v>
      </c>
      <c r="D972" s="13" t="str">
        <f t="shared" si="91"/>
        <v>jay bush</v>
      </c>
      <c r="E972" s="13" t="str">
        <f t="shared" si="92"/>
        <v>Jay Bush</v>
      </c>
      <c r="F972" s="13" t="str">
        <f t="shared" si="93"/>
        <v>FL</v>
      </c>
      <c r="G972" s="13" t="str">
        <f t="shared" si="94"/>
        <v>71</v>
      </c>
      <c r="H972" s="13" t="str">
        <f t="shared" si="95"/>
        <v>2509</v>
      </c>
    </row>
    <row r="973" spans="1:8" x14ac:dyDescent="0.3">
      <c r="A973" s="13" t="s">
        <v>2041</v>
      </c>
      <c r="B973" s="13" t="s">
        <v>2042</v>
      </c>
      <c r="C973" s="13" t="str">
        <f t="shared" si="90"/>
        <v>JOHNNY RICE</v>
      </c>
      <c r="D973" s="13" t="str">
        <f t="shared" si="91"/>
        <v>johnny rice</v>
      </c>
      <c r="E973" s="13" t="str">
        <f t="shared" si="92"/>
        <v>Johnny Rice</v>
      </c>
      <c r="F973" s="13" t="str">
        <f t="shared" si="93"/>
        <v>FL</v>
      </c>
      <c r="G973" s="13" t="str">
        <f t="shared" si="94"/>
        <v>72</v>
      </c>
      <c r="H973" s="13" t="str">
        <f t="shared" si="95"/>
        <v>2509</v>
      </c>
    </row>
    <row r="974" spans="1:8" x14ac:dyDescent="0.3">
      <c r="A974" s="13" t="s">
        <v>2043</v>
      </c>
      <c r="B974" s="13" t="s">
        <v>2044</v>
      </c>
      <c r="C974" s="13" t="str">
        <f t="shared" si="90"/>
        <v>MATTHEW STRONG</v>
      </c>
      <c r="D974" s="13" t="str">
        <f t="shared" si="91"/>
        <v>matthew strong</v>
      </c>
      <c r="E974" s="13" t="str">
        <f t="shared" si="92"/>
        <v>Matthew Strong</v>
      </c>
      <c r="F974" s="13" t="str">
        <f t="shared" si="93"/>
        <v>FL</v>
      </c>
      <c r="G974" s="13" t="str">
        <f t="shared" si="94"/>
        <v>73</v>
      </c>
      <c r="H974" s="13" t="str">
        <f t="shared" si="95"/>
        <v>2509</v>
      </c>
    </row>
    <row r="975" spans="1:8" x14ac:dyDescent="0.3">
      <c r="A975" s="13" t="s">
        <v>2045</v>
      </c>
      <c r="B975" s="13" t="s">
        <v>2046</v>
      </c>
      <c r="C975" s="13" t="str">
        <f t="shared" si="90"/>
        <v>MARK CHANDLER</v>
      </c>
      <c r="D975" s="13" t="str">
        <f t="shared" si="91"/>
        <v>mark chandler</v>
      </c>
      <c r="E975" s="13" t="str">
        <f t="shared" si="92"/>
        <v>Mark Chandler</v>
      </c>
      <c r="F975" s="13" t="str">
        <f t="shared" si="93"/>
        <v>FL</v>
      </c>
      <c r="G975" s="13" t="str">
        <f t="shared" si="94"/>
        <v>74</v>
      </c>
      <c r="H975" s="13" t="str">
        <f t="shared" si="95"/>
        <v>2509</v>
      </c>
    </row>
    <row r="976" spans="1:8" x14ac:dyDescent="0.3">
      <c r="A976" s="13" t="s">
        <v>2047</v>
      </c>
      <c r="B976" s="13" t="s">
        <v>2048</v>
      </c>
      <c r="C976" s="13" t="str">
        <f t="shared" si="90"/>
        <v>CRYSTAL BROWN</v>
      </c>
      <c r="D976" s="13" t="str">
        <f t="shared" si="91"/>
        <v>crystal brown</v>
      </c>
      <c r="E976" s="13" t="str">
        <f t="shared" si="92"/>
        <v>Crystal Brown</v>
      </c>
      <c r="F976" s="13" t="str">
        <f t="shared" si="93"/>
        <v>FL</v>
      </c>
      <c r="G976" s="13" t="str">
        <f t="shared" si="94"/>
        <v>75</v>
      </c>
      <c r="H976" s="13" t="str">
        <f t="shared" si="95"/>
        <v>2509</v>
      </c>
    </row>
    <row r="977" spans="1:8" x14ac:dyDescent="0.3">
      <c r="A977" s="13" t="s">
        <v>2049</v>
      </c>
      <c r="B977" s="13" t="s">
        <v>2050</v>
      </c>
      <c r="C977" s="13" t="str">
        <f t="shared" si="90"/>
        <v>TIMOTHY BARTON</v>
      </c>
      <c r="D977" s="13" t="str">
        <f t="shared" si="91"/>
        <v>timothy barton</v>
      </c>
      <c r="E977" s="13" t="str">
        <f t="shared" si="92"/>
        <v>Timothy Barton</v>
      </c>
      <c r="F977" s="13" t="str">
        <f t="shared" si="93"/>
        <v>FL</v>
      </c>
      <c r="G977" s="13" t="str">
        <f t="shared" si="94"/>
        <v>76</v>
      </c>
      <c r="H977" s="13" t="str">
        <f t="shared" si="95"/>
        <v>2509</v>
      </c>
    </row>
    <row r="978" spans="1:8" x14ac:dyDescent="0.3">
      <c r="A978" s="13" t="s">
        <v>2051</v>
      </c>
      <c r="B978" s="13" t="s">
        <v>2052</v>
      </c>
      <c r="C978" s="13" t="str">
        <f t="shared" si="90"/>
        <v>LISA HICKMAN</v>
      </c>
      <c r="D978" s="13" t="str">
        <f t="shared" si="91"/>
        <v>lisa hickman</v>
      </c>
      <c r="E978" s="13" t="str">
        <f t="shared" si="92"/>
        <v>Lisa Hickman</v>
      </c>
      <c r="F978" s="13" t="str">
        <f t="shared" si="93"/>
        <v>FL</v>
      </c>
      <c r="G978" s="13" t="str">
        <f t="shared" si="94"/>
        <v>77</v>
      </c>
      <c r="H978" s="13" t="str">
        <f t="shared" si="95"/>
        <v>2509</v>
      </c>
    </row>
    <row r="979" spans="1:8" x14ac:dyDescent="0.3">
      <c r="A979" s="13" t="s">
        <v>2053</v>
      </c>
      <c r="B979" s="13" t="s">
        <v>2054</v>
      </c>
      <c r="C979" s="13" t="str">
        <f t="shared" si="90"/>
        <v>ALAN MENDOZA</v>
      </c>
      <c r="D979" s="13" t="str">
        <f t="shared" si="91"/>
        <v>alan mendoza</v>
      </c>
      <c r="E979" s="13" t="str">
        <f t="shared" si="92"/>
        <v>Alan Mendoza</v>
      </c>
      <c r="F979" s="13" t="str">
        <f t="shared" si="93"/>
        <v>FL</v>
      </c>
      <c r="G979" s="13" t="str">
        <f t="shared" si="94"/>
        <v>78</v>
      </c>
      <c r="H979" s="13" t="str">
        <f t="shared" si="95"/>
        <v>2509</v>
      </c>
    </row>
    <row r="980" spans="1:8" x14ac:dyDescent="0.3">
      <c r="A980" s="13" t="s">
        <v>2055</v>
      </c>
      <c r="B980" s="13" t="s">
        <v>2056</v>
      </c>
      <c r="C980" s="13" t="str">
        <f t="shared" si="90"/>
        <v>JASON SANDERS</v>
      </c>
      <c r="D980" s="13" t="str">
        <f t="shared" si="91"/>
        <v>jason sanders</v>
      </c>
      <c r="E980" s="13" t="str">
        <f t="shared" si="92"/>
        <v>Jason Sanders</v>
      </c>
      <c r="F980" s="13" t="str">
        <f t="shared" si="93"/>
        <v>FL</v>
      </c>
      <c r="G980" s="13" t="str">
        <f t="shared" si="94"/>
        <v>79</v>
      </c>
      <c r="H980" s="13" t="str">
        <f t="shared" si="95"/>
        <v>2509</v>
      </c>
    </row>
    <row r="981" spans="1:8" x14ac:dyDescent="0.3">
      <c r="A981" s="13" t="s">
        <v>2057</v>
      </c>
      <c r="B981" s="13" t="s">
        <v>2058</v>
      </c>
      <c r="C981" s="13" t="str">
        <f t="shared" si="90"/>
        <v>CHARLES DEAN</v>
      </c>
      <c r="D981" s="13" t="str">
        <f t="shared" si="91"/>
        <v>charles dean</v>
      </c>
      <c r="E981" s="13" t="str">
        <f t="shared" si="92"/>
        <v>Charles Dean</v>
      </c>
      <c r="F981" s="13" t="str">
        <f t="shared" si="93"/>
        <v>FL</v>
      </c>
      <c r="G981" s="13" t="str">
        <f t="shared" si="94"/>
        <v>80</v>
      </c>
      <c r="H981" s="13" t="str">
        <f t="shared" si="95"/>
        <v>2509</v>
      </c>
    </row>
    <row r="982" spans="1:8" x14ac:dyDescent="0.3">
      <c r="A982" s="13" t="s">
        <v>2059</v>
      </c>
      <c r="B982" s="13" t="s">
        <v>2060</v>
      </c>
      <c r="C982" s="13" t="str">
        <f t="shared" si="90"/>
        <v>BLAKE NEWTON</v>
      </c>
      <c r="D982" s="13" t="str">
        <f t="shared" si="91"/>
        <v>blake newton</v>
      </c>
      <c r="E982" s="13" t="str">
        <f t="shared" si="92"/>
        <v>Blake Newton</v>
      </c>
      <c r="F982" s="13" t="str">
        <f t="shared" si="93"/>
        <v>FL</v>
      </c>
      <c r="G982" s="13" t="str">
        <f t="shared" si="94"/>
        <v>81</v>
      </c>
      <c r="H982" s="13" t="str">
        <f t="shared" si="95"/>
        <v>2509</v>
      </c>
    </row>
    <row r="983" spans="1:8" x14ac:dyDescent="0.3">
      <c r="A983" s="13" t="s">
        <v>2061</v>
      </c>
      <c r="B983" s="13" t="s">
        <v>2062</v>
      </c>
      <c r="C983" s="13" t="str">
        <f t="shared" si="90"/>
        <v>DAVID GONZALEZ</v>
      </c>
      <c r="D983" s="13" t="str">
        <f t="shared" si="91"/>
        <v>david gonzalez</v>
      </c>
      <c r="E983" s="13" t="str">
        <f t="shared" si="92"/>
        <v>David Gonzalez</v>
      </c>
      <c r="F983" s="13" t="str">
        <f t="shared" si="93"/>
        <v>FL</v>
      </c>
      <c r="G983" s="13" t="str">
        <f t="shared" si="94"/>
        <v>82</v>
      </c>
      <c r="H983" s="13" t="str">
        <f t="shared" si="95"/>
        <v>2509</v>
      </c>
    </row>
    <row r="984" spans="1:8" x14ac:dyDescent="0.3">
      <c r="A984" s="13" t="s">
        <v>2063</v>
      </c>
      <c r="B984" s="13" t="s">
        <v>2064</v>
      </c>
      <c r="C984" s="13" t="str">
        <f t="shared" si="90"/>
        <v>CINDY WILLIAMS</v>
      </c>
      <c r="D984" s="13" t="str">
        <f t="shared" si="91"/>
        <v>cindy williams</v>
      </c>
      <c r="E984" s="13" t="str">
        <f t="shared" si="92"/>
        <v>Cindy Williams</v>
      </c>
      <c r="F984" s="13" t="str">
        <f t="shared" si="93"/>
        <v>FL</v>
      </c>
      <c r="G984" s="13" t="str">
        <f t="shared" si="94"/>
        <v>83</v>
      </c>
      <c r="H984" s="13" t="str">
        <f t="shared" si="95"/>
        <v>2509</v>
      </c>
    </row>
    <row r="985" spans="1:8" x14ac:dyDescent="0.3">
      <c r="A985" s="13" t="s">
        <v>2065</v>
      </c>
      <c r="B985" s="13" t="s">
        <v>2066</v>
      </c>
      <c r="C985" s="13" t="str">
        <f t="shared" si="90"/>
        <v>LAURA WONG DDS</v>
      </c>
      <c r="D985" s="13" t="str">
        <f t="shared" si="91"/>
        <v>laura wong dds</v>
      </c>
      <c r="E985" s="13" t="str">
        <f t="shared" si="92"/>
        <v>Laura Wong Dds</v>
      </c>
      <c r="F985" s="13" t="str">
        <f t="shared" si="93"/>
        <v>FL</v>
      </c>
      <c r="G985" s="13" t="str">
        <f t="shared" si="94"/>
        <v>84</v>
      </c>
      <c r="H985" s="13" t="str">
        <f t="shared" si="95"/>
        <v>2509</v>
      </c>
    </row>
    <row r="986" spans="1:8" x14ac:dyDescent="0.3">
      <c r="A986" s="13" t="s">
        <v>2067</v>
      </c>
      <c r="B986" s="13" t="s">
        <v>2068</v>
      </c>
      <c r="C986" s="13" t="str">
        <f t="shared" si="90"/>
        <v>ROBERT MORAN</v>
      </c>
      <c r="D986" s="13" t="str">
        <f t="shared" si="91"/>
        <v>robert moran</v>
      </c>
      <c r="E986" s="13" t="str">
        <f t="shared" si="92"/>
        <v>Robert Moran</v>
      </c>
      <c r="F986" s="13" t="str">
        <f t="shared" si="93"/>
        <v>FL</v>
      </c>
      <c r="G986" s="13" t="str">
        <f t="shared" si="94"/>
        <v>85</v>
      </c>
      <c r="H986" s="13" t="str">
        <f t="shared" si="95"/>
        <v>2509</v>
      </c>
    </row>
    <row r="987" spans="1:8" x14ac:dyDescent="0.3">
      <c r="A987" s="13" t="s">
        <v>2069</v>
      </c>
      <c r="B987" s="13" t="s">
        <v>2070</v>
      </c>
      <c r="C987" s="13" t="str">
        <f t="shared" si="90"/>
        <v>BRADLEY WU</v>
      </c>
      <c r="D987" s="13" t="str">
        <f t="shared" si="91"/>
        <v>bradley wu</v>
      </c>
      <c r="E987" s="13" t="str">
        <f t="shared" si="92"/>
        <v>Bradley Wu</v>
      </c>
      <c r="F987" s="13" t="str">
        <f t="shared" si="93"/>
        <v>FL</v>
      </c>
      <c r="G987" s="13" t="str">
        <f t="shared" si="94"/>
        <v>86</v>
      </c>
      <c r="H987" s="13" t="str">
        <f t="shared" si="95"/>
        <v>2509</v>
      </c>
    </row>
    <row r="988" spans="1:8" x14ac:dyDescent="0.3">
      <c r="A988" s="13" t="s">
        <v>2071</v>
      </c>
      <c r="B988" s="13" t="s">
        <v>2072</v>
      </c>
      <c r="C988" s="13" t="str">
        <f t="shared" si="90"/>
        <v>DANIEL THOMAS</v>
      </c>
      <c r="D988" s="13" t="str">
        <f t="shared" si="91"/>
        <v>daniel thomas</v>
      </c>
      <c r="E988" s="13" t="str">
        <f t="shared" si="92"/>
        <v>Daniel Thomas</v>
      </c>
      <c r="F988" s="13" t="str">
        <f t="shared" si="93"/>
        <v>FL</v>
      </c>
      <c r="G988" s="13" t="str">
        <f t="shared" si="94"/>
        <v>87</v>
      </c>
      <c r="H988" s="13" t="str">
        <f t="shared" si="95"/>
        <v>2509</v>
      </c>
    </row>
    <row r="989" spans="1:8" x14ac:dyDescent="0.3">
      <c r="A989" s="13" t="s">
        <v>2073</v>
      </c>
      <c r="B989" s="13" t="s">
        <v>2074</v>
      </c>
      <c r="C989" s="13" t="str">
        <f t="shared" si="90"/>
        <v>MICHELLE PETERSON</v>
      </c>
      <c r="D989" s="13" t="str">
        <f t="shared" si="91"/>
        <v>michelle peterson</v>
      </c>
      <c r="E989" s="13" t="str">
        <f t="shared" si="92"/>
        <v>Michelle Peterson</v>
      </c>
      <c r="F989" s="13" t="str">
        <f t="shared" si="93"/>
        <v>FL</v>
      </c>
      <c r="G989" s="13" t="str">
        <f t="shared" si="94"/>
        <v>88</v>
      </c>
      <c r="H989" s="13" t="str">
        <f t="shared" si="95"/>
        <v>2509</v>
      </c>
    </row>
    <row r="990" spans="1:8" x14ac:dyDescent="0.3">
      <c r="A990" s="13" t="s">
        <v>2075</v>
      </c>
      <c r="B990" s="13" t="s">
        <v>2076</v>
      </c>
      <c r="C990" s="13" t="str">
        <f t="shared" si="90"/>
        <v>SETH THOMAS</v>
      </c>
      <c r="D990" s="13" t="str">
        <f t="shared" si="91"/>
        <v>seth thomas</v>
      </c>
      <c r="E990" s="13" t="str">
        <f t="shared" si="92"/>
        <v>Seth Thomas</v>
      </c>
      <c r="F990" s="13" t="str">
        <f t="shared" si="93"/>
        <v>FL</v>
      </c>
      <c r="G990" s="13" t="str">
        <f t="shared" si="94"/>
        <v>89</v>
      </c>
      <c r="H990" s="13" t="str">
        <f t="shared" si="95"/>
        <v>2509</v>
      </c>
    </row>
    <row r="991" spans="1:8" x14ac:dyDescent="0.3">
      <c r="A991" s="13" t="s">
        <v>2077</v>
      </c>
      <c r="B991" s="13" t="s">
        <v>2078</v>
      </c>
      <c r="C991" s="13" t="str">
        <f t="shared" si="90"/>
        <v>EVAN RAMOS</v>
      </c>
      <c r="D991" s="13" t="str">
        <f t="shared" si="91"/>
        <v>evan ramos</v>
      </c>
      <c r="E991" s="13" t="str">
        <f t="shared" si="92"/>
        <v>Evan Ramos</v>
      </c>
      <c r="F991" s="13" t="str">
        <f t="shared" si="93"/>
        <v>FL</v>
      </c>
      <c r="G991" s="13" t="str">
        <f t="shared" si="94"/>
        <v>90</v>
      </c>
      <c r="H991" s="13" t="str">
        <f t="shared" si="95"/>
        <v>2509</v>
      </c>
    </row>
    <row r="992" spans="1:8" x14ac:dyDescent="0.3">
      <c r="A992" s="13" t="s">
        <v>2079</v>
      </c>
      <c r="B992" s="13" t="s">
        <v>2080</v>
      </c>
      <c r="C992" s="13" t="str">
        <f t="shared" si="90"/>
        <v>MICHELLE SOLIS</v>
      </c>
      <c r="D992" s="13" t="str">
        <f t="shared" si="91"/>
        <v>michelle solis</v>
      </c>
      <c r="E992" s="13" t="str">
        <f t="shared" si="92"/>
        <v>Michelle Solis</v>
      </c>
      <c r="F992" s="13" t="str">
        <f t="shared" si="93"/>
        <v>FL</v>
      </c>
      <c r="G992" s="13" t="str">
        <f t="shared" si="94"/>
        <v>91</v>
      </c>
      <c r="H992" s="13" t="str">
        <f t="shared" si="95"/>
        <v>2509</v>
      </c>
    </row>
    <row r="993" spans="1:8" x14ac:dyDescent="0.3">
      <c r="A993" s="13" t="s">
        <v>2081</v>
      </c>
      <c r="B993" s="13" t="s">
        <v>2082</v>
      </c>
      <c r="C993" s="13" t="str">
        <f t="shared" si="90"/>
        <v>CHARLOTTE TAYLOR</v>
      </c>
      <c r="D993" s="13" t="str">
        <f t="shared" si="91"/>
        <v>charlotte taylor</v>
      </c>
      <c r="E993" s="13" t="str">
        <f t="shared" si="92"/>
        <v>Charlotte Taylor</v>
      </c>
      <c r="F993" s="13" t="str">
        <f t="shared" si="93"/>
        <v>FL</v>
      </c>
      <c r="G993" s="13" t="str">
        <f t="shared" si="94"/>
        <v>92</v>
      </c>
      <c r="H993" s="13" t="str">
        <f t="shared" si="95"/>
        <v>2509</v>
      </c>
    </row>
    <row r="994" spans="1:8" x14ac:dyDescent="0.3">
      <c r="A994" s="13" t="s">
        <v>2083</v>
      </c>
      <c r="B994" s="13" t="s">
        <v>2084</v>
      </c>
      <c r="C994" s="13" t="str">
        <f t="shared" si="90"/>
        <v>SANDRA PRESTON</v>
      </c>
      <c r="D994" s="13" t="str">
        <f t="shared" si="91"/>
        <v>sandra preston</v>
      </c>
      <c r="E994" s="13" t="str">
        <f t="shared" si="92"/>
        <v>Sandra Preston</v>
      </c>
      <c r="F994" s="13" t="str">
        <f t="shared" si="93"/>
        <v>FL</v>
      </c>
      <c r="G994" s="13" t="str">
        <f t="shared" si="94"/>
        <v>93</v>
      </c>
      <c r="H994" s="13" t="str">
        <f t="shared" si="95"/>
        <v>2509</v>
      </c>
    </row>
    <row r="995" spans="1:8" x14ac:dyDescent="0.3">
      <c r="A995" s="13" t="s">
        <v>2085</v>
      </c>
      <c r="B995" s="13" t="s">
        <v>2086</v>
      </c>
      <c r="C995" s="13" t="str">
        <f t="shared" si="90"/>
        <v>JIM WEISS</v>
      </c>
      <c r="D995" s="13" t="str">
        <f t="shared" si="91"/>
        <v>jim weiss</v>
      </c>
      <c r="E995" s="13" t="str">
        <f t="shared" si="92"/>
        <v>Jim Weiss</v>
      </c>
      <c r="F995" s="13" t="str">
        <f t="shared" si="93"/>
        <v>FL</v>
      </c>
      <c r="G995" s="13" t="str">
        <f t="shared" si="94"/>
        <v>94</v>
      </c>
      <c r="H995" s="13" t="str">
        <f t="shared" si="95"/>
        <v>2509</v>
      </c>
    </row>
    <row r="996" spans="1:8" x14ac:dyDescent="0.3">
      <c r="A996" s="13" t="s">
        <v>2087</v>
      </c>
      <c r="B996" s="13" t="s">
        <v>2088</v>
      </c>
      <c r="C996" s="13" t="str">
        <f t="shared" si="90"/>
        <v>JENNIFER HINTON</v>
      </c>
      <c r="D996" s="13" t="str">
        <f t="shared" si="91"/>
        <v>jennifer hinton</v>
      </c>
      <c r="E996" s="13" t="str">
        <f t="shared" si="92"/>
        <v>Jennifer Hinton</v>
      </c>
      <c r="F996" s="13" t="str">
        <f t="shared" si="93"/>
        <v>FL</v>
      </c>
      <c r="G996" s="13" t="str">
        <f t="shared" si="94"/>
        <v>95</v>
      </c>
      <c r="H996" s="13" t="str">
        <f t="shared" si="95"/>
        <v>2509</v>
      </c>
    </row>
    <row r="997" spans="1:8" x14ac:dyDescent="0.3">
      <c r="A997" s="13" t="s">
        <v>2089</v>
      </c>
      <c r="B997" s="13" t="s">
        <v>2090</v>
      </c>
      <c r="C997" s="13" t="str">
        <f t="shared" si="90"/>
        <v>ALBERT WILCOX</v>
      </c>
      <c r="D997" s="13" t="str">
        <f t="shared" si="91"/>
        <v>albert wilcox</v>
      </c>
      <c r="E997" s="13" t="str">
        <f t="shared" si="92"/>
        <v>Albert Wilcox</v>
      </c>
      <c r="F997" s="13" t="str">
        <f t="shared" si="93"/>
        <v>FL</v>
      </c>
      <c r="G997" s="13" t="str">
        <f t="shared" si="94"/>
        <v>96</v>
      </c>
      <c r="H997" s="13" t="str">
        <f t="shared" si="95"/>
        <v>2509</v>
      </c>
    </row>
    <row r="998" spans="1:8" x14ac:dyDescent="0.3">
      <c r="A998" s="13" t="s">
        <v>2091</v>
      </c>
      <c r="B998" s="13" t="s">
        <v>2092</v>
      </c>
      <c r="C998" s="13" t="str">
        <f t="shared" si="90"/>
        <v>CHERYL NORRIS</v>
      </c>
      <c r="D998" s="13" t="str">
        <f t="shared" si="91"/>
        <v>cheryl norris</v>
      </c>
      <c r="E998" s="13" t="str">
        <f t="shared" si="92"/>
        <v>Cheryl Norris</v>
      </c>
      <c r="F998" s="13" t="str">
        <f t="shared" si="93"/>
        <v>FL</v>
      </c>
      <c r="G998" s="13" t="str">
        <f t="shared" si="94"/>
        <v>97</v>
      </c>
      <c r="H998" s="13" t="str">
        <f t="shared" si="95"/>
        <v>2509</v>
      </c>
    </row>
    <row r="999" spans="1:8" x14ac:dyDescent="0.3">
      <c r="A999" s="13" t="s">
        <v>2093</v>
      </c>
      <c r="B999" s="13" t="s">
        <v>2094</v>
      </c>
      <c r="C999" s="13" t="str">
        <f t="shared" si="90"/>
        <v>KATHY WATKINS</v>
      </c>
      <c r="D999" s="13" t="str">
        <f t="shared" si="91"/>
        <v>kathy watkins</v>
      </c>
      <c r="E999" s="13" t="str">
        <f t="shared" si="92"/>
        <v>Kathy Watkins</v>
      </c>
      <c r="F999" s="13" t="str">
        <f t="shared" si="93"/>
        <v>FL</v>
      </c>
      <c r="G999" s="13" t="str">
        <f t="shared" si="94"/>
        <v>98</v>
      </c>
      <c r="H999" s="13" t="str">
        <f t="shared" si="95"/>
        <v>2509</v>
      </c>
    </row>
    <row r="1000" spans="1:8" x14ac:dyDescent="0.3">
      <c r="A1000" s="13" t="s">
        <v>2095</v>
      </c>
      <c r="B1000" s="13" t="s">
        <v>2096</v>
      </c>
      <c r="C1000" s="13" t="str">
        <f t="shared" si="90"/>
        <v>JOHN OBRIEN</v>
      </c>
      <c r="D1000" s="13" t="str">
        <f t="shared" si="91"/>
        <v>john obrien</v>
      </c>
      <c r="E1000" s="13" t="str">
        <f t="shared" si="92"/>
        <v>John Obrien</v>
      </c>
      <c r="F1000" s="13" t="str">
        <f t="shared" si="93"/>
        <v>FL</v>
      </c>
      <c r="G1000" s="13" t="str">
        <f t="shared" si="94"/>
        <v>99</v>
      </c>
      <c r="H1000" s="13" t="str">
        <f t="shared" si="95"/>
        <v>2509</v>
      </c>
    </row>
    <row r="1001" spans="1:8" x14ac:dyDescent="0.3">
      <c r="A1001" s="13" t="s">
        <v>2097</v>
      </c>
      <c r="B1001" s="13" t="s">
        <v>2098</v>
      </c>
      <c r="C1001" s="13" t="str">
        <f t="shared" si="90"/>
        <v>DAWN GREEN</v>
      </c>
      <c r="D1001" s="13" t="str">
        <f t="shared" si="91"/>
        <v>dawn green</v>
      </c>
      <c r="E1001" s="13" t="str">
        <f t="shared" si="92"/>
        <v>Dawn Green</v>
      </c>
      <c r="F1001" s="13" t="str">
        <f t="shared" si="93"/>
        <v>FL</v>
      </c>
      <c r="G1001" s="13" t="str">
        <f t="shared" si="94"/>
        <v>00</v>
      </c>
      <c r="H1001" s="13" t="str">
        <f t="shared" si="95"/>
        <v>2510</v>
      </c>
    </row>
  </sheetData>
  <hyperlinks>
    <hyperlink ref="L8" location="'Day 5 – Text Functions'!C2" display="CLICK HERE" xr:uid="{3282B1D0-16C6-4A0E-B6A3-3E02381995F3}"/>
    <hyperlink ref="L9" location="'Day 5 – Text Functions'!D2" display="CLICK HERE" xr:uid="{F1E2C12B-2CDA-48EF-8269-8A907845BE15}"/>
    <hyperlink ref="L10" location="'Day 5 – Text Functions'!E2" display="CLICK HERE" xr:uid="{CCDEE914-A095-438E-8004-FD0F14D5FF10}"/>
    <hyperlink ref="L11" location="'Day 5 – Text Functions'!F2" display="CLICK HERE" xr:uid="{38A6C06A-5DBB-4966-B05D-4A051A995C0E}"/>
    <hyperlink ref="L12" location="'Day 5 – Text Functions'!G2" display="CLICK HERE" xr:uid="{6C29F601-A4F4-4A46-B033-5C9D1A021B85}"/>
    <hyperlink ref="L13" location="'Day 5 – Text Functions'!H2" display="CLICK HERE" xr:uid="{55A1EECE-F8D9-4844-A656-94DE72761AC8}"/>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290A3-C6EC-48E5-9C18-86A5E298F021}">
  <dimension ref="A1:T1001"/>
  <sheetViews>
    <sheetView showGridLines="0" tabSelected="1" workbookViewId="0">
      <selection activeCell="W1" sqref="W1"/>
    </sheetView>
  </sheetViews>
  <sheetFormatPr defaultColWidth="8.44140625" defaultRowHeight="14.4" x14ac:dyDescent="0.3"/>
  <cols>
    <col min="1" max="1" width="9.77734375" style="27" customWidth="1"/>
    <col min="2" max="2" width="6.5546875" style="4" customWidth="1"/>
    <col min="3" max="3" width="8.44140625" style="4"/>
    <col min="4" max="4" width="8.44140625" style="25"/>
    <col min="5" max="5" width="6.21875" style="4" bestFit="1" customWidth="1"/>
    <col min="6" max="6" width="8.44140625" style="25"/>
    <col min="7" max="7" width="8.44140625" style="4"/>
    <col min="8" max="8" width="8.44140625" style="25"/>
    <col min="9" max="9" width="8.44140625" style="4"/>
    <col min="10" max="10" width="13.6640625" style="25" customWidth="1"/>
    <col min="11" max="11" width="8.44140625" style="4"/>
    <col min="12" max="12" width="8.44140625" style="25"/>
    <col min="13" max="13" width="8.44140625" style="4"/>
    <col min="14" max="14" width="8.44140625" style="25"/>
    <col min="15" max="15" width="8.44140625" style="4"/>
    <col min="16" max="16" width="8.44140625" style="25"/>
    <col min="17" max="17" width="8.44140625" style="4"/>
    <col min="18" max="18" width="8.44140625" style="25"/>
    <col min="19" max="19" width="8.44140625" style="4"/>
    <col min="20" max="20" width="15.109375" style="26" customWidth="1"/>
    <col min="21" max="21" width="1.6640625" customWidth="1"/>
  </cols>
  <sheetData>
    <row r="1" spans="1:20" s="33" customFormat="1" ht="43.2" x14ac:dyDescent="0.3">
      <c r="A1" s="28" t="s">
        <v>0</v>
      </c>
      <c r="B1" s="29" t="s">
        <v>1</v>
      </c>
      <c r="C1" s="29" t="s">
        <v>2</v>
      </c>
      <c r="D1" s="30" t="s">
        <v>2179</v>
      </c>
      <c r="E1" s="29" t="s">
        <v>3</v>
      </c>
      <c r="F1" s="31" t="s">
        <v>2180</v>
      </c>
      <c r="G1" s="29" t="s">
        <v>4</v>
      </c>
      <c r="H1" s="31" t="s">
        <v>2181</v>
      </c>
      <c r="I1" s="29" t="s">
        <v>6</v>
      </c>
      <c r="J1" s="31" t="s">
        <v>2182</v>
      </c>
      <c r="K1" s="29" t="s">
        <v>7</v>
      </c>
      <c r="L1" s="31" t="s">
        <v>2183</v>
      </c>
      <c r="M1" s="29" t="s">
        <v>8</v>
      </c>
      <c r="N1" s="31" t="s">
        <v>2184</v>
      </c>
      <c r="O1" s="29" t="s">
        <v>9</v>
      </c>
      <c r="P1" s="31" t="s">
        <v>2185</v>
      </c>
      <c r="Q1" s="29" t="s">
        <v>10</v>
      </c>
      <c r="R1" s="31" t="s">
        <v>2186</v>
      </c>
      <c r="S1" s="29" t="s">
        <v>11</v>
      </c>
      <c r="T1" s="32" t="s">
        <v>2187</v>
      </c>
    </row>
    <row r="2" spans="1:20" x14ac:dyDescent="0.3">
      <c r="A2" s="27" t="s">
        <v>16</v>
      </c>
      <c r="B2" s="4" t="s">
        <v>17</v>
      </c>
      <c r="C2" s="4" t="s">
        <v>18</v>
      </c>
      <c r="D2" s="25" t="s">
        <v>97</v>
      </c>
      <c r="E2" s="4">
        <v>52</v>
      </c>
      <c r="F2" s="25">
        <v>52</v>
      </c>
      <c r="G2" s="4" t="s">
        <v>19</v>
      </c>
      <c r="H2" s="25" t="s">
        <v>19</v>
      </c>
      <c r="I2" s="4" t="s">
        <v>21</v>
      </c>
      <c r="J2" s="25" t="s">
        <v>21</v>
      </c>
      <c r="K2" s="4">
        <v>11</v>
      </c>
      <c r="L2" s="25">
        <v>11</v>
      </c>
      <c r="M2" s="4" t="s">
        <v>22</v>
      </c>
      <c r="N2" s="25" t="s">
        <v>22</v>
      </c>
      <c r="P2" s="25" t="s">
        <v>2120</v>
      </c>
      <c r="Q2" s="4" t="s">
        <v>23</v>
      </c>
      <c r="R2" s="25" t="s">
        <v>23</v>
      </c>
      <c r="T2" s="26" t="s">
        <v>2120</v>
      </c>
    </row>
    <row r="3" spans="1:20" x14ac:dyDescent="0.3">
      <c r="A3" s="27" t="s">
        <v>26</v>
      </c>
      <c r="B3" s="4" t="s">
        <v>27</v>
      </c>
      <c r="C3" s="4" t="s">
        <v>28</v>
      </c>
      <c r="D3" s="25" t="s">
        <v>97</v>
      </c>
      <c r="E3" s="4">
        <v>52</v>
      </c>
      <c r="F3" s="25">
        <v>52</v>
      </c>
      <c r="G3" s="4" t="s">
        <v>29</v>
      </c>
      <c r="H3" s="25" t="s">
        <v>29</v>
      </c>
      <c r="I3" s="4" t="s">
        <v>31</v>
      </c>
      <c r="J3" s="25" t="s">
        <v>31</v>
      </c>
      <c r="K3" s="4">
        <v>34</v>
      </c>
      <c r="L3" s="25">
        <v>34</v>
      </c>
      <c r="M3" s="4" t="s">
        <v>32</v>
      </c>
      <c r="N3" s="25" t="s">
        <v>32</v>
      </c>
      <c r="O3" s="4">
        <v>3.3</v>
      </c>
      <c r="P3" s="25">
        <v>3.3</v>
      </c>
      <c r="Q3" s="4" t="s">
        <v>33</v>
      </c>
      <c r="R3" s="25" t="s">
        <v>33</v>
      </c>
      <c r="S3" s="4">
        <v>0.84</v>
      </c>
      <c r="T3" s="26">
        <v>0.84</v>
      </c>
    </row>
    <row r="4" spans="1:20" x14ac:dyDescent="0.3">
      <c r="A4" s="27" t="s">
        <v>35</v>
      </c>
      <c r="B4" s="4" t="s">
        <v>36</v>
      </c>
      <c r="C4" s="4" t="s">
        <v>37</v>
      </c>
      <c r="D4" s="25" t="s">
        <v>118</v>
      </c>
      <c r="E4" s="4">
        <v>53</v>
      </c>
      <c r="F4" s="25">
        <v>53</v>
      </c>
      <c r="G4" s="4" t="s">
        <v>38</v>
      </c>
      <c r="H4" s="25" t="s">
        <v>38</v>
      </c>
      <c r="I4" s="4" t="s">
        <v>39</v>
      </c>
      <c r="J4" s="25" t="s">
        <v>39</v>
      </c>
      <c r="K4" s="4">
        <v>31</v>
      </c>
      <c r="L4" s="25">
        <v>31</v>
      </c>
      <c r="M4" s="4" t="s">
        <v>40</v>
      </c>
      <c r="N4" s="25" t="s">
        <v>40</v>
      </c>
      <c r="O4" s="4">
        <v>0</v>
      </c>
      <c r="P4" s="25">
        <v>0</v>
      </c>
      <c r="Q4" s="4" t="s">
        <v>41</v>
      </c>
      <c r="R4" s="25" t="s">
        <v>41</v>
      </c>
      <c r="S4" s="4">
        <v>0.71</v>
      </c>
      <c r="T4" s="26">
        <v>0.71</v>
      </c>
    </row>
    <row r="5" spans="1:20" x14ac:dyDescent="0.3">
      <c r="A5" s="27" t="s">
        <v>43</v>
      </c>
      <c r="B5" s="4" t="s">
        <v>44</v>
      </c>
      <c r="C5" s="4" t="s">
        <v>45</v>
      </c>
      <c r="D5" s="25" t="s">
        <v>97</v>
      </c>
      <c r="E5" s="4">
        <v>38</v>
      </c>
      <c r="F5" s="25">
        <v>38</v>
      </c>
      <c r="G5" s="4" t="s">
        <v>29</v>
      </c>
      <c r="H5" s="25" t="s">
        <v>29</v>
      </c>
      <c r="I5" s="4" t="s">
        <v>46</v>
      </c>
      <c r="J5" s="25" t="s">
        <v>46</v>
      </c>
      <c r="K5" s="4">
        <v>4</v>
      </c>
      <c r="L5" s="25">
        <v>4</v>
      </c>
      <c r="M5" s="4" t="s">
        <v>47</v>
      </c>
      <c r="N5" s="25" t="s">
        <v>47</v>
      </c>
      <c r="O5" s="4">
        <v>1.5</v>
      </c>
      <c r="P5" s="25">
        <v>1.5</v>
      </c>
      <c r="Q5" s="4" t="s">
        <v>41</v>
      </c>
      <c r="R5" s="25" t="s">
        <v>41</v>
      </c>
      <c r="S5" s="4">
        <v>0.9</v>
      </c>
      <c r="T5" s="26">
        <v>0.9</v>
      </c>
    </row>
    <row r="6" spans="1:20" x14ac:dyDescent="0.3">
      <c r="A6" s="27" t="s">
        <v>48</v>
      </c>
      <c r="B6" s="4" t="s">
        <v>49</v>
      </c>
      <c r="C6" s="4" t="s">
        <v>50</v>
      </c>
      <c r="D6" s="25" t="s">
        <v>97</v>
      </c>
      <c r="E6" s="4">
        <v>53</v>
      </c>
      <c r="F6" s="25">
        <v>53</v>
      </c>
      <c r="G6" s="4" t="s">
        <v>38</v>
      </c>
      <c r="H6" s="25" t="s">
        <v>38</v>
      </c>
      <c r="I6" s="4" t="s">
        <v>51</v>
      </c>
      <c r="J6" s="25" t="s">
        <v>2120</v>
      </c>
      <c r="K6" s="4">
        <v>27</v>
      </c>
      <c r="L6" s="25">
        <v>27</v>
      </c>
      <c r="M6" s="4" t="s">
        <v>52</v>
      </c>
      <c r="N6" s="25" t="s">
        <v>52</v>
      </c>
      <c r="O6" s="4">
        <v>4.8</v>
      </c>
      <c r="P6" s="25">
        <v>4.8</v>
      </c>
      <c r="Q6" s="4" t="s">
        <v>23</v>
      </c>
      <c r="R6" s="25" t="s">
        <v>23</v>
      </c>
      <c r="S6" s="34">
        <v>0.83</v>
      </c>
      <c r="T6" s="26">
        <v>0.83</v>
      </c>
    </row>
    <row r="7" spans="1:20" x14ac:dyDescent="0.3">
      <c r="A7" s="27" t="s">
        <v>53</v>
      </c>
      <c r="B7" s="4" t="s">
        <v>54</v>
      </c>
      <c r="C7" s="4" t="s">
        <v>50</v>
      </c>
      <c r="D7" s="25" t="s">
        <v>97</v>
      </c>
      <c r="E7" s="4">
        <v>59</v>
      </c>
      <c r="F7" s="25">
        <v>59</v>
      </c>
      <c r="G7" s="4" t="s">
        <v>55</v>
      </c>
      <c r="H7" s="25" t="s">
        <v>55</v>
      </c>
      <c r="I7" s="4" t="s">
        <v>57</v>
      </c>
      <c r="J7" s="25" t="s">
        <v>57</v>
      </c>
      <c r="K7" s="4">
        <v>14</v>
      </c>
      <c r="L7" s="25">
        <v>14</v>
      </c>
      <c r="M7" s="4" t="s">
        <v>58</v>
      </c>
      <c r="N7" s="25" t="s">
        <v>58</v>
      </c>
      <c r="O7" s="4">
        <v>2.4</v>
      </c>
      <c r="P7" s="25">
        <v>2.4</v>
      </c>
      <c r="Q7" s="4" t="s">
        <v>59</v>
      </c>
      <c r="R7" s="25" t="s">
        <v>59</v>
      </c>
      <c r="T7" s="26" t="s">
        <v>2120</v>
      </c>
    </row>
    <row r="8" spans="1:20" x14ac:dyDescent="0.3">
      <c r="A8" s="27" t="s">
        <v>61</v>
      </c>
      <c r="B8" s="4" t="s">
        <v>62</v>
      </c>
      <c r="C8" s="4" t="s">
        <v>63</v>
      </c>
      <c r="D8" s="25" t="s">
        <v>118</v>
      </c>
      <c r="E8" s="4">
        <v>52</v>
      </c>
      <c r="F8" s="25">
        <v>52</v>
      </c>
      <c r="G8" s="4" t="s">
        <v>64</v>
      </c>
      <c r="H8" s="25" t="s">
        <v>64</v>
      </c>
      <c r="I8" s="4" t="s">
        <v>66</v>
      </c>
      <c r="J8" s="25" t="s">
        <v>66</v>
      </c>
      <c r="K8" s="4">
        <v>10</v>
      </c>
      <c r="L8" s="25">
        <v>10</v>
      </c>
      <c r="M8" s="4" t="s">
        <v>67</v>
      </c>
      <c r="N8" s="25" t="s">
        <v>67</v>
      </c>
      <c r="O8" s="4">
        <v>3.1</v>
      </c>
      <c r="P8" s="25">
        <v>3.1</v>
      </c>
      <c r="Q8" s="4" t="s">
        <v>23</v>
      </c>
      <c r="R8" s="25" t="s">
        <v>23</v>
      </c>
      <c r="S8" s="4">
        <v>0.94</v>
      </c>
      <c r="T8" s="26">
        <v>0.94</v>
      </c>
    </row>
    <row r="9" spans="1:20" x14ac:dyDescent="0.3">
      <c r="A9" s="27" t="s">
        <v>68</v>
      </c>
      <c r="B9" s="4" t="s">
        <v>69</v>
      </c>
      <c r="C9" s="4" t="s">
        <v>37</v>
      </c>
      <c r="D9" s="25" t="s">
        <v>118</v>
      </c>
      <c r="E9" s="4">
        <v>43</v>
      </c>
      <c r="F9" s="25">
        <v>43</v>
      </c>
      <c r="G9" s="4" t="s">
        <v>19</v>
      </c>
      <c r="H9" s="25" t="s">
        <v>19</v>
      </c>
      <c r="I9" s="4" t="s">
        <v>21</v>
      </c>
      <c r="J9" s="25" t="s">
        <v>21</v>
      </c>
      <c r="K9" s="4">
        <v>14</v>
      </c>
      <c r="L9" s="25">
        <v>14</v>
      </c>
      <c r="M9" s="4" t="s">
        <v>70</v>
      </c>
      <c r="N9" s="25" t="s">
        <v>70</v>
      </c>
      <c r="O9" s="4">
        <v>4.5999999999999996</v>
      </c>
      <c r="P9" s="25">
        <v>4.5999999999999996</v>
      </c>
      <c r="Q9" s="4" t="s">
        <v>59</v>
      </c>
      <c r="R9" s="25" t="s">
        <v>59</v>
      </c>
      <c r="S9" s="4">
        <v>0.94</v>
      </c>
      <c r="T9" s="26">
        <v>0.94</v>
      </c>
    </row>
    <row r="10" spans="1:20" x14ac:dyDescent="0.3">
      <c r="A10" s="27" t="s">
        <v>71</v>
      </c>
      <c r="B10" s="4" t="s">
        <v>72</v>
      </c>
      <c r="C10" s="4" t="s">
        <v>37</v>
      </c>
      <c r="D10" s="25" t="s">
        <v>118</v>
      </c>
      <c r="E10" s="4">
        <v>26</v>
      </c>
      <c r="F10" s="25">
        <v>26</v>
      </c>
      <c r="G10" s="4" t="s">
        <v>73</v>
      </c>
      <c r="H10" s="25" t="s">
        <v>73</v>
      </c>
      <c r="I10" s="4" t="s">
        <v>21</v>
      </c>
      <c r="J10" s="25" t="s">
        <v>21</v>
      </c>
      <c r="K10" s="4">
        <v>4</v>
      </c>
      <c r="L10" s="25">
        <v>4</v>
      </c>
      <c r="M10" s="4" t="s">
        <v>51</v>
      </c>
      <c r="N10" s="25" t="s">
        <v>2119</v>
      </c>
      <c r="O10" s="4">
        <v>4</v>
      </c>
      <c r="P10" s="25">
        <v>4</v>
      </c>
      <c r="Q10" s="4" t="s">
        <v>74</v>
      </c>
      <c r="R10" s="25" t="s">
        <v>74</v>
      </c>
      <c r="S10" s="4">
        <v>0.76</v>
      </c>
      <c r="T10" s="26">
        <v>0.76</v>
      </c>
    </row>
    <row r="11" spans="1:20" x14ac:dyDescent="0.3">
      <c r="A11" s="27" t="s">
        <v>76</v>
      </c>
      <c r="B11" s="4" t="s">
        <v>77</v>
      </c>
      <c r="C11" s="4" t="s">
        <v>78</v>
      </c>
      <c r="D11" s="25" t="s">
        <v>118</v>
      </c>
      <c r="E11" s="4">
        <v>52</v>
      </c>
      <c r="F11" s="25">
        <v>52</v>
      </c>
      <c r="G11" s="4" t="s">
        <v>79</v>
      </c>
      <c r="H11" s="25" t="s">
        <v>79</v>
      </c>
      <c r="I11" s="4" t="s">
        <v>57</v>
      </c>
      <c r="J11" s="25" t="s">
        <v>57</v>
      </c>
      <c r="K11" s="4">
        <v>22</v>
      </c>
      <c r="L11" s="25">
        <v>22</v>
      </c>
      <c r="M11" s="4" t="s">
        <v>81</v>
      </c>
      <c r="N11" s="25" t="s">
        <v>81</v>
      </c>
      <c r="P11" s="25" t="s">
        <v>2120</v>
      </c>
      <c r="Q11" s="4" t="s">
        <v>33</v>
      </c>
      <c r="R11" s="25" t="s">
        <v>33</v>
      </c>
      <c r="T11" s="26" t="s">
        <v>2120</v>
      </c>
    </row>
    <row r="12" spans="1:20" x14ac:dyDescent="0.3">
      <c r="A12" s="27" t="s">
        <v>83</v>
      </c>
      <c r="B12" s="4" t="s">
        <v>84</v>
      </c>
      <c r="C12" s="4" t="s">
        <v>63</v>
      </c>
      <c r="D12" s="25" t="s">
        <v>118</v>
      </c>
      <c r="E12" s="4">
        <v>40</v>
      </c>
      <c r="F12" s="25">
        <v>40</v>
      </c>
      <c r="G12" s="4" t="s">
        <v>85</v>
      </c>
      <c r="H12" s="25" t="s">
        <v>85</v>
      </c>
      <c r="I12" s="4" t="s">
        <v>66</v>
      </c>
      <c r="J12" s="25" t="s">
        <v>66</v>
      </c>
      <c r="K12" s="4">
        <v>17</v>
      </c>
      <c r="L12" s="25">
        <v>17</v>
      </c>
      <c r="M12" s="4" t="s">
        <v>86</v>
      </c>
      <c r="N12" s="25" t="s">
        <v>86</v>
      </c>
      <c r="O12" s="4">
        <v>3.6</v>
      </c>
      <c r="P12" s="25">
        <v>3.6</v>
      </c>
      <c r="Q12" s="4" t="s">
        <v>87</v>
      </c>
      <c r="R12" s="25" t="s">
        <v>87</v>
      </c>
      <c r="S12" s="4">
        <v>0.77</v>
      </c>
      <c r="T12" s="26">
        <v>0.77</v>
      </c>
    </row>
    <row r="13" spans="1:20" x14ac:dyDescent="0.3">
      <c r="A13" s="27" t="s">
        <v>89</v>
      </c>
      <c r="B13" s="4" t="s">
        <v>90</v>
      </c>
      <c r="C13" s="4" t="s">
        <v>28</v>
      </c>
      <c r="D13" s="25" t="s">
        <v>97</v>
      </c>
      <c r="E13" s="4">
        <v>55</v>
      </c>
      <c r="F13" s="25">
        <v>55</v>
      </c>
      <c r="G13" s="4" t="s">
        <v>91</v>
      </c>
      <c r="H13" s="25" t="s">
        <v>91</v>
      </c>
      <c r="I13" s="4" t="s">
        <v>93</v>
      </c>
      <c r="J13" s="25" t="s">
        <v>93</v>
      </c>
      <c r="K13" s="4">
        <v>15</v>
      </c>
      <c r="L13" s="25">
        <v>15</v>
      </c>
      <c r="M13" s="4" t="s">
        <v>51</v>
      </c>
      <c r="N13" s="25" t="s">
        <v>2119</v>
      </c>
      <c r="P13" s="25" t="s">
        <v>2120</v>
      </c>
      <c r="Q13" s="4" t="s">
        <v>94</v>
      </c>
      <c r="R13" s="25" t="s">
        <v>94</v>
      </c>
      <c r="S13" s="4">
        <v>0.86</v>
      </c>
      <c r="T13" s="26">
        <v>0.86</v>
      </c>
    </row>
    <row r="14" spans="1:20" x14ac:dyDescent="0.3">
      <c r="A14" s="27" t="s">
        <v>95</v>
      </c>
      <c r="B14" s="4" t="s">
        <v>96</v>
      </c>
      <c r="C14" s="4" t="s">
        <v>97</v>
      </c>
      <c r="D14" s="25" t="s">
        <v>97</v>
      </c>
      <c r="E14" s="4">
        <v>57</v>
      </c>
      <c r="F14" s="25">
        <v>57</v>
      </c>
      <c r="G14" s="4" t="s">
        <v>85</v>
      </c>
      <c r="H14" s="25" t="s">
        <v>85</v>
      </c>
      <c r="I14" s="4" t="s">
        <v>98</v>
      </c>
      <c r="J14" s="25" t="s">
        <v>98</v>
      </c>
      <c r="K14" s="4">
        <v>18</v>
      </c>
      <c r="L14" s="25">
        <v>18</v>
      </c>
      <c r="M14" s="4" t="s">
        <v>51</v>
      </c>
      <c r="N14" s="25" t="s">
        <v>2119</v>
      </c>
      <c r="O14" s="4">
        <v>2</v>
      </c>
      <c r="P14" s="25">
        <v>2</v>
      </c>
      <c r="Q14" s="4" t="s">
        <v>23</v>
      </c>
      <c r="R14" s="25" t="s">
        <v>23</v>
      </c>
      <c r="S14" s="4">
        <v>0.86</v>
      </c>
      <c r="T14" s="26">
        <v>0.86</v>
      </c>
    </row>
    <row r="15" spans="1:20" x14ac:dyDescent="0.3">
      <c r="A15" s="27" t="s">
        <v>99</v>
      </c>
      <c r="B15" s="4" t="s">
        <v>100</v>
      </c>
      <c r="C15" s="4" t="s">
        <v>78</v>
      </c>
      <c r="D15" s="25" t="s">
        <v>118</v>
      </c>
      <c r="E15" s="4">
        <v>38</v>
      </c>
      <c r="F15" s="25">
        <v>38</v>
      </c>
      <c r="G15" s="4" t="s">
        <v>51</v>
      </c>
      <c r="H15" s="2" t="s">
        <v>2120</v>
      </c>
      <c r="I15" s="4" t="s">
        <v>39</v>
      </c>
      <c r="J15" s="25" t="s">
        <v>39</v>
      </c>
      <c r="K15" s="4">
        <v>20</v>
      </c>
      <c r="L15" s="25">
        <v>20</v>
      </c>
      <c r="M15" s="4" t="s">
        <v>67</v>
      </c>
      <c r="N15" s="25" t="s">
        <v>67</v>
      </c>
      <c r="O15" s="4">
        <v>2.9</v>
      </c>
      <c r="P15" s="25">
        <v>2.9</v>
      </c>
      <c r="Q15" s="4" t="s">
        <v>33</v>
      </c>
      <c r="R15" s="25" t="s">
        <v>33</v>
      </c>
      <c r="S15" s="4">
        <v>0.93</v>
      </c>
      <c r="T15" s="26">
        <v>0.93</v>
      </c>
    </row>
    <row r="16" spans="1:20" x14ac:dyDescent="0.3">
      <c r="A16" s="27" t="s">
        <v>101</v>
      </c>
      <c r="B16" s="4" t="s">
        <v>102</v>
      </c>
      <c r="C16" s="4" t="s">
        <v>78</v>
      </c>
      <c r="D16" s="25" t="s">
        <v>118</v>
      </c>
      <c r="E16" s="4">
        <v>50</v>
      </c>
      <c r="F16" s="25">
        <v>50</v>
      </c>
      <c r="G16" s="4" t="s">
        <v>38</v>
      </c>
      <c r="H16" s="25" t="s">
        <v>38</v>
      </c>
      <c r="I16" s="4" t="s">
        <v>66</v>
      </c>
      <c r="J16" s="25" t="s">
        <v>66</v>
      </c>
      <c r="K16" s="4">
        <v>22</v>
      </c>
      <c r="L16" s="25">
        <v>22</v>
      </c>
      <c r="M16" s="4" t="s">
        <v>103</v>
      </c>
      <c r="N16" s="25" t="s">
        <v>103</v>
      </c>
      <c r="O16" s="4">
        <v>3.7</v>
      </c>
      <c r="P16" s="25">
        <v>3.7</v>
      </c>
      <c r="Q16" s="4" t="s">
        <v>33</v>
      </c>
      <c r="R16" s="25" t="s">
        <v>33</v>
      </c>
      <c r="S16" s="4">
        <v>0.7</v>
      </c>
      <c r="T16" s="26">
        <v>0.7</v>
      </c>
    </row>
    <row r="17" spans="1:20" x14ac:dyDescent="0.3">
      <c r="A17" s="27" t="s">
        <v>104</v>
      </c>
      <c r="B17" s="4" t="s">
        <v>105</v>
      </c>
      <c r="C17" s="4" t="s">
        <v>63</v>
      </c>
      <c r="D17" s="25" t="s">
        <v>118</v>
      </c>
      <c r="E17" s="4">
        <v>42</v>
      </c>
      <c r="F17" s="25">
        <v>42</v>
      </c>
      <c r="G17" s="4" t="s">
        <v>106</v>
      </c>
      <c r="H17" s="25" t="s">
        <v>106</v>
      </c>
      <c r="I17" s="4" t="s">
        <v>51</v>
      </c>
      <c r="J17" s="25" t="s">
        <v>2120</v>
      </c>
      <c r="K17" s="4">
        <v>0</v>
      </c>
      <c r="L17" s="25">
        <v>0</v>
      </c>
      <c r="M17" s="4" t="s">
        <v>58</v>
      </c>
      <c r="N17" s="25" t="s">
        <v>58</v>
      </c>
      <c r="O17" s="4">
        <v>1.2</v>
      </c>
      <c r="P17" s="25">
        <v>1.2</v>
      </c>
      <c r="Q17" s="4" t="s">
        <v>23</v>
      </c>
      <c r="R17" s="25" t="s">
        <v>23</v>
      </c>
      <c r="S17" s="4">
        <v>0.69</v>
      </c>
      <c r="T17" s="26">
        <v>0.69</v>
      </c>
    </row>
    <row r="18" spans="1:20" x14ac:dyDescent="0.3">
      <c r="A18" s="27" t="s">
        <v>108</v>
      </c>
      <c r="B18" s="4" t="s">
        <v>109</v>
      </c>
      <c r="C18" s="4" t="s">
        <v>97</v>
      </c>
      <c r="D18" s="25" t="s">
        <v>97</v>
      </c>
      <c r="E18" s="4">
        <v>39</v>
      </c>
      <c r="F18" s="25">
        <v>39</v>
      </c>
      <c r="G18" s="4" t="s">
        <v>29</v>
      </c>
      <c r="H18" s="25" t="s">
        <v>29</v>
      </c>
      <c r="I18" s="4" t="s">
        <v>110</v>
      </c>
      <c r="J18" s="25" t="s">
        <v>110</v>
      </c>
      <c r="K18" s="4">
        <v>13</v>
      </c>
      <c r="L18" s="25">
        <v>13</v>
      </c>
      <c r="M18" s="4" t="s">
        <v>58</v>
      </c>
      <c r="N18" s="25" t="s">
        <v>58</v>
      </c>
      <c r="O18" s="4">
        <v>2.5</v>
      </c>
      <c r="P18" s="25">
        <v>2.5</v>
      </c>
      <c r="Q18" s="4" t="s">
        <v>59</v>
      </c>
      <c r="R18" s="25" t="s">
        <v>59</v>
      </c>
      <c r="S18" s="4">
        <v>0.6</v>
      </c>
      <c r="T18" s="26">
        <v>0.6</v>
      </c>
    </row>
    <row r="19" spans="1:20" x14ac:dyDescent="0.3">
      <c r="A19" s="27" t="s">
        <v>111</v>
      </c>
      <c r="B19" s="4" t="s">
        <v>112</v>
      </c>
      <c r="C19" s="4" t="s">
        <v>113</v>
      </c>
      <c r="D19" s="25" t="s">
        <v>118</v>
      </c>
      <c r="E19" s="4">
        <v>56</v>
      </c>
      <c r="F19" s="25">
        <v>56</v>
      </c>
      <c r="G19" s="4" t="s">
        <v>114</v>
      </c>
      <c r="H19" s="25" t="s">
        <v>114</v>
      </c>
      <c r="I19" s="4" t="s">
        <v>21</v>
      </c>
      <c r="J19" s="25" t="s">
        <v>21</v>
      </c>
      <c r="L19" s="25" t="s">
        <v>2120</v>
      </c>
      <c r="M19" s="4" t="s">
        <v>51</v>
      </c>
      <c r="N19" s="25" t="s">
        <v>2119</v>
      </c>
      <c r="P19" s="25" t="s">
        <v>2120</v>
      </c>
      <c r="Q19" s="4" t="s">
        <v>51</v>
      </c>
      <c r="R19" s="25" t="s">
        <v>2120</v>
      </c>
      <c r="S19" s="4">
        <v>0.87</v>
      </c>
      <c r="T19" s="26">
        <v>0.87</v>
      </c>
    </row>
    <row r="20" spans="1:20" x14ac:dyDescent="0.3">
      <c r="A20" s="27" t="s">
        <v>116</v>
      </c>
      <c r="B20" s="4" t="s">
        <v>117</v>
      </c>
      <c r="C20" s="4" t="s">
        <v>118</v>
      </c>
      <c r="D20" s="25" t="s">
        <v>118</v>
      </c>
      <c r="E20" s="4">
        <v>56</v>
      </c>
      <c r="F20" s="25">
        <v>56</v>
      </c>
      <c r="G20" s="4" t="s">
        <v>73</v>
      </c>
      <c r="H20" s="25" t="s">
        <v>73</v>
      </c>
      <c r="I20" s="4" t="s">
        <v>93</v>
      </c>
      <c r="J20" s="25" t="s">
        <v>93</v>
      </c>
      <c r="K20" s="4">
        <v>31</v>
      </c>
      <c r="L20" s="25">
        <v>31</v>
      </c>
      <c r="M20" s="4" t="s">
        <v>119</v>
      </c>
      <c r="N20" s="25" t="s">
        <v>119</v>
      </c>
      <c r="O20" s="4">
        <v>1.1000000000000001</v>
      </c>
      <c r="P20" s="25">
        <v>1.1000000000000001</v>
      </c>
      <c r="Q20" s="4" t="s">
        <v>41</v>
      </c>
      <c r="R20" s="25" t="s">
        <v>41</v>
      </c>
      <c r="S20" s="4">
        <v>0.75</v>
      </c>
      <c r="T20" s="26">
        <v>0.75</v>
      </c>
    </row>
    <row r="21" spans="1:20" x14ac:dyDescent="0.3">
      <c r="A21" s="27" t="s">
        <v>120</v>
      </c>
      <c r="B21" s="4" t="s">
        <v>121</v>
      </c>
      <c r="C21" s="4" t="s">
        <v>118</v>
      </c>
      <c r="D21" s="25" t="s">
        <v>118</v>
      </c>
      <c r="E21" s="4">
        <v>57</v>
      </c>
      <c r="F21" s="25">
        <v>57</v>
      </c>
      <c r="G21" s="4" t="s">
        <v>19</v>
      </c>
      <c r="H21" s="25" t="s">
        <v>19</v>
      </c>
      <c r="I21" s="4" t="s">
        <v>46</v>
      </c>
      <c r="J21" s="25" t="s">
        <v>46</v>
      </c>
      <c r="K21" s="4">
        <v>3</v>
      </c>
      <c r="L21" s="25">
        <v>3</v>
      </c>
      <c r="M21" s="4" t="s">
        <v>32</v>
      </c>
      <c r="N21" s="25" t="s">
        <v>32</v>
      </c>
      <c r="O21" s="4">
        <v>1.8</v>
      </c>
      <c r="P21" s="25">
        <v>1.8</v>
      </c>
      <c r="Q21" s="4" t="s">
        <v>87</v>
      </c>
      <c r="R21" s="25" t="s">
        <v>87</v>
      </c>
      <c r="S21" s="4">
        <v>0.68</v>
      </c>
      <c r="T21" s="26">
        <v>0.68</v>
      </c>
    </row>
    <row r="22" spans="1:20" x14ac:dyDescent="0.3">
      <c r="A22" s="27" t="s">
        <v>122</v>
      </c>
      <c r="B22" s="4" t="s">
        <v>123</v>
      </c>
      <c r="C22" s="4" t="s">
        <v>118</v>
      </c>
      <c r="D22" s="25" t="s">
        <v>118</v>
      </c>
      <c r="F22" s="25" t="s">
        <v>2119</v>
      </c>
      <c r="G22" s="4" t="s">
        <v>64</v>
      </c>
      <c r="H22" s="25" t="s">
        <v>64</v>
      </c>
      <c r="I22" s="4" t="s">
        <v>57</v>
      </c>
      <c r="J22" s="25" t="s">
        <v>57</v>
      </c>
      <c r="K22" s="4">
        <v>9</v>
      </c>
      <c r="L22" s="25">
        <v>9</v>
      </c>
      <c r="M22" s="4" t="s">
        <v>40</v>
      </c>
      <c r="N22" s="25" t="s">
        <v>40</v>
      </c>
      <c r="O22" s="4">
        <v>1.8</v>
      </c>
      <c r="P22" s="25">
        <v>1.8</v>
      </c>
      <c r="Q22" s="4" t="s">
        <v>59</v>
      </c>
      <c r="R22" s="25" t="s">
        <v>59</v>
      </c>
      <c r="S22" s="4">
        <v>0.65</v>
      </c>
      <c r="T22" s="26">
        <v>0.65</v>
      </c>
    </row>
    <row r="23" spans="1:20" x14ac:dyDescent="0.3">
      <c r="A23" s="27" t="s">
        <v>124</v>
      </c>
      <c r="B23" s="4" t="s">
        <v>125</v>
      </c>
      <c r="C23" s="4" t="s">
        <v>63</v>
      </c>
      <c r="D23" s="25" t="s">
        <v>118</v>
      </c>
      <c r="E23" s="4">
        <v>51</v>
      </c>
      <c r="F23" s="25">
        <v>51</v>
      </c>
      <c r="G23" s="4" t="s">
        <v>106</v>
      </c>
      <c r="H23" s="25" t="s">
        <v>106</v>
      </c>
      <c r="I23" s="4" t="s">
        <v>110</v>
      </c>
      <c r="J23" s="25" t="s">
        <v>110</v>
      </c>
      <c r="L23" s="25" t="s">
        <v>2120</v>
      </c>
      <c r="M23" s="4" t="s">
        <v>51</v>
      </c>
      <c r="N23" s="25" t="s">
        <v>2119</v>
      </c>
      <c r="O23" s="4">
        <v>2.4</v>
      </c>
      <c r="P23" s="25">
        <v>2.4</v>
      </c>
      <c r="Q23" s="4" t="s">
        <v>41</v>
      </c>
      <c r="R23" s="25" t="s">
        <v>41</v>
      </c>
      <c r="S23" s="4">
        <v>0.69</v>
      </c>
      <c r="T23" s="26">
        <v>0.69</v>
      </c>
    </row>
    <row r="24" spans="1:20" x14ac:dyDescent="0.3">
      <c r="A24" s="27" t="s">
        <v>126</v>
      </c>
      <c r="B24" s="4" t="s">
        <v>127</v>
      </c>
      <c r="C24" s="4" t="s">
        <v>63</v>
      </c>
      <c r="D24" s="25" t="s">
        <v>118</v>
      </c>
      <c r="E24" s="4">
        <v>51</v>
      </c>
      <c r="F24" s="25">
        <v>51</v>
      </c>
      <c r="G24" s="4" t="s">
        <v>128</v>
      </c>
      <c r="H24" s="25" t="s">
        <v>128</v>
      </c>
      <c r="I24" s="4" t="s">
        <v>98</v>
      </c>
      <c r="J24" s="25" t="s">
        <v>98</v>
      </c>
      <c r="K24" s="4">
        <v>21</v>
      </c>
      <c r="L24" s="25">
        <v>21</v>
      </c>
      <c r="M24" s="4" t="s">
        <v>130</v>
      </c>
      <c r="N24" s="25" t="s">
        <v>130</v>
      </c>
      <c r="O24" s="4">
        <v>4.7</v>
      </c>
      <c r="P24" s="25">
        <v>4.7</v>
      </c>
      <c r="Q24" s="4" t="s">
        <v>41</v>
      </c>
      <c r="R24" s="25" t="s">
        <v>41</v>
      </c>
      <c r="T24" s="26" t="s">
        <v>2120</v>
      </c>
    </row>
    <row r="25" spans="1:20" x14ac:dyDescent="0.3">
      <c r="A25" s="27" t="s">
        <v>131</v>
      </c>
      <c r="B25" s="4" t="s">
        <v>132</v>
      </c>
      <c r="C25" s="4" t="s">
        <v>50</v>
      </c>
      <c r="D25" s="25" t="s">
        <v>97</v>
      </c>
      <c r="E25" s="4">
        <v>51</v>
      </c>
      <c r="F25" s="25">
        <v>51</v>
      </c>
      <c r="G25" s="4" t="s">
        <v>133</v>
      </c>
      <c r="H25" s="25" t="s">
        <v>133</v>
      </c>
      <c r="I25" s="4" t="s">
        <v>135</v>
      </c>
      <c r="J25" s="25" t="s">
        <v>135</v>
      </c>
      <c r="K25" s="4">
        <v>15</v>
      </c>
      <c r="L25" s="25">
        <v>15</v>
      </c>
      <c r="M25" s="4" t="s">
        <v>81</v>
      </c>
      <c r="N25" s="25" t="s">
        <v>81</v>
      </c>
      <c r="O25" s="4">
        <v>1.3</v>
      </c>
      <c r="P25" s="25">
        <v>1.3</v>
      </c>
      <c r="Q25" s="4" t="s">
        <v>33</v>
      </c>
      <c r="R25" s="25" t="s">
        <v>33</v>
      </c>
      <c r="S25" s="4">
        <v>1</v>
      </c>
      <c r="T25" s="26">
        <v>1</v>
      </c>
    </row>
    <row r="26" spans="1:20" x14ac:dyDescent="0.3">
      <c r="A26" s="27" t="s">
        <v>136</v>
      </c>
      <c r="B26" s="4" t="s">
        <v>137</v>
      </c>
      <c r="C26" s="4" t="s">
        <v>18</v>
      </c>
      <c r="D26" s="25" t="s">
        <v>97</v>
      </c>
      <c r="E26" s="4">
        <v>54</v>
      </c>
      <c r="F26" s="25">
        <v>54</v>
      </c>
      <c r="G26" s="4" t="s">
        <v>64</v>
      </c>
      <c r="H26" s="25" t="s">
        <v>64</v>
      </c>
      <c r="I26" s="4" t="s">
        <v>135</v>
      </c>
      <c r="J26" s="25" t="s">
        <v>135</v>
      </c>
      <c r="K26" s="4">
        <v>13</v>
      </c>
      <c r="L26" s="25">
        <v>13</v>
      </c>
      <c r="M26" s="4" t="s">
        <v>103</v>
      </c>
      <c r="N26" s="25" t="s">
        <v>103</v>
      </c>
      <c r="O26" s="4">
        <v>2.9</v>
      </c>
      <c r="P26" s="25">
        <v>2.9</v>
      </c>
      <c r="Q26" s="4" t="s">
        <v>51</v>
      </c>
      <c r="R26" s="25" t="s">
        <v>2120</v>
      </c>
      <c r="S26" s="4">
        <v>92</v>
      </c>
      <c r="T26" s="26">
        <v>92</v>
      </c>
    </row>
    <row r="27" spans="1:20" x14ac:dyDescent="0.3">
      <c r="A27" s="27" t="s">
        <v>138</v>
      </c>
      <c r="B27" s="4" t="s">
        <v>139</v>
      </c>
      <c r="C27" s="4" t="s">
        <v>28</v>
      </c>
      <c r="D27" s="25" t="s">
        <v>97</v>
      </c>
      <c r="E27" s="4">
        <v>22</v>
      </c>
      <c r="F27" s="25">
        <v>22</v>
      </c>
      <c r="G27" s="4" t="s">
        <v>133</v>
      </c>
      <c r="H27" s="25" t="s">
        <v>133</v>
      </c>
      <c r="I27" s="4" t="s">
        <v>110</v>
      </c>
      <c r="J27" s="25" t="s">
        <v>110</v>
      </c>
      <c r="K27" s="4">
        <v>0</v>
      </c>
      <c r="L27" s="25">
        <v>0</v>
      </c>
      <c r="M27" s="4" t="s">
        <v>130</v>
      </c>
      <c r="N27" s="25" t="s">
        <v>130</v>
      </c>
      <c r="O27" s="4">
        <v>1.2</v>
      </c>
      <c r="P27" s="25">
        <v>1.2</v>
      </c>
      <c r="Q27" s="4" t="s">
        <v>33</v>
      </c>
      <c r="R27" s="25" t="s">
        <v>33</v>
      </c>
      <c r="S27" s="4">
        <v>0.7</v>
      </c>
      <c r="T27" s="26">
        <v>0.7</v>
      </c>
    </row>
    <row r="28" spans="1:20" x14ac:dyDescent="0.3">
      <c r="A28" s="27" t="s">
        <v>140</v>
      </c>
      <c r="B28" s="4" t="s">
        <v>141</v>
      </c>
      <c r="C28" s="4" t="s">
        <v>50</v>
      </c>
      <c r="D28" s="25" t="s">
        <v>97</v>
      </c>
      <c r="E28" s="4">
        <v>34</v>
      </c>
      <c r="F28" s="25">
        <v>34</v>
      </c>
      <c r="G28" s="4" t="s">
        <v>106</v>
      </c>
      <c r="H28" s="25" t="s">
        <v>106</v>
      </c>
      <c r="I28" s="4" t="s">
        <v>21</v>
      </c>
      <c r="J28" s="25" t="s">
        <v>21</v>
      </c>
      <c r="K28" s="4">
        <v>8</v>
      </c>
      <c r="L28" s="25">
        <v>8</v>
      </c>
      <c r="M28" s="4" t="s">
        <v>142</v>
      </c>
      <c r="N28" s="25" t="s">
        <v>142</v>
      </c>
      <c r="O28" s="4">
        <v>0</v>
      </c>
      <c r="P28" s="25">
        <v>0</v>
      </c>
      <c r="Q28" s="4" t="s">
        <v>74</v>
      </c>
      <c r="R28" s="25" t="s">
        <v>74</v>
      </c>
      <c r="S28" s="4">
        <v>0.89</v>
      </c>
      <c r="T28" s="26">
        <v>0.89</v>
      </c>
    </row>
    <row r="29" spans="1:20" x14ac:dyDescent="0.3">
      <c r="A29" s="27" t="s">
        <v>143</v>
      </c>
      <c r="B29" s="4" t="s">
        <v>144</v>
      </c>
      <c r="C29" s="4" t="s">
        <v>97</v>
      </c>
      <c r="D29" s="25" t="s">
        <v>97</v>
      </c>
      <c r="E29" s="4">
        <v>36</v>
      </c>
      <c r="F29" s="25">
        <v>36</v>
      </c>
      <c r="G29" s="4" t="s">
        <v>145</v>
      </c>
      <c r="H29" s="25" t="s">
        <v>145</v>
      </c>
      <c r="I29" s="4" t="s">
        <v>39</v>
      </c>
      <c r="J29" s="25" t="s">
        <v>39</v>
      </c>
      <c r="K29" s="4">
        <v>11</v>
      </c>
      <c r="L29" s="25">
        <v>11</v>
      </c>
      <c r="M29" s="4" t="s">
        <v>51</v>
      </c>
      <c r="N29" s="25" t="s">
        <v>2119</v>
      </c>
      <c r="O29" s="4">
        <v>1.8</v>
      </c>
      <c r="P29" s="25">
        <v>1.8</v>
      </c>
      <c r="Q29" s="4" t="s">
        <v>94</v>
      </c>
      <c r="R29" s="25" t="s">
        <v>94</v>
      </c>
      <c r="S29" s="4">
        <v>0.86</v>
      </c>
      <c r="T29" s="26">
        <v>0.86</v>
      </c>
    </row>
    <row r="30" spans="1:20" x14ac:dyDescent="0.3">
      <c r="A30" s="27" t="s">
        <v>147</v>
      </c>
      <c r="B30" s="4" t="s">
        <v>148</v>
      </c>
      <c r="C30" s="4" t="s">
        <v>50</v>
      </c>
      <c r="D30" s="25" t="s">
        <v>97</v>
      </c>
      <c r="E30" s="4">
        <v>47</v>
      </c>
      <c r="F30" s="25">
        <v>47</v>
      </c>
      <c r="G30" s="4" t="s">
        <v>149</v>
      </c>
      <c r="H30" s="25" t="s">
        <v>149</v>
      </c>
      <c r="I30" s="4" t="s">
        <v>57</v>
      </c>
      <c r="J30" s="25" t="s">
        <v>57</v>
      </c>
      <c r="K30" s="4">
        <v>22</v>
      </c>
      <c r="L30" s="25">
        <v>22</v>
      </c>
      <c r="M30" s="4" t="s">
        <v>52</v>
      </c>
      <c r="N30" s="25" t="s">
        <v>52</v>
      </c>
      <c r="O30" s="4">
        <v>1.3</v>
      </c>
      <c r="P30" s="25">
        <v>1.3</v>
      </c>
      <c r="Q30" s="4" t="s">
        <v>23</v>
      </c>
      <c r="R30" s="25" t="s">
        <v>23</v>
      </c>
      <c r="S30" s="4">
        <v>0.62</v>
      </c>
      <c r="T30" s="26">
        <v>0.62</v>
      </c>
    </row>
    <row r="31" spans="1:20" x14ac:dyDescent="0.3">
      <c r="A31" s="27" t="s">
        <v>150</v>
      </c>
      <c r="B31" s="4" t="s">
        <v>151</v>
      </c>
      <c r="C31" s="4" t="s">
        <v>28</v>
      </c>
      <c r="D31" s="25" t="s">
        <v>97</v>
      </c>
      <c r="E31" s="4">
        <v>41</v>
      </c>
      <c r="F31" s="25">
        <v>41</v>
      </c>
      <c r="G31" s="4" t="s">
        <v>55</v>
      </c>
      <c r="H31" s="25" t="s">
        <v>55</v>
      </c>
      <c r="I31" s="4" t="s">
        <v>66</v>
      </c>
      <c r="J31" s="25" t="s">
        <v>66</v>
      </c>
      <c r="K31" s="4">
        <v>14</v>
      </c>
      <c r="L31" s="25">
        <v>14</v>
      </c>
      <c r="M31" s="4" t="s">
        <v>67</v>
      </c>
      <c r="N31" s="25" t="s">
        <v>67</v>
      </c>
      <c r="O31" s="4">
        <v>1.2</v>
      </c>
      <c r="P31" s="25">
        <v>1.2</v>
      </c>
      <c r="Q31" s="4" t="s">
        <v>23</v>
      </c>
      <c r="R31" s="25" t="s">
        <v>23</v>
      </c>
      <c r="T31" s="26" t="s">
        <v>2120</v>
      </c>
    </row>
    <row r="32" spans="1:20" x14ac:dyDescent="0.3">
      <c r="A32" s="27" t="s">
        <v>152</v>
      </c>
      <c r="B32" s="4" t="s">
        <v>153</v>
      </c>
      <c r="C32" s="4" t="s">
        <v>118</v>
      </c>
      <c r="D32" s="25" t="s">
        <v>118</v>
      </c>
      <c r="E32" s="4">
        <v>22</v>
      </c>
      <c r="F32" s="25">
        <v>22</v>
      </c>
      <c r="G32" s="4" t="s">
        <v>55</v>
      </c>
      <c r="H32" s="25" t="s">
        <v>55</v>
      </c>
      <c r="I32" s="4" t="s">
        <v>110</v>
      </c>
      <c r="J32" s="25" t="s">
        <v>110</v>
      </c>
      <c r="K32" s="4">
        <v>4</v>
      </c>
      <c r="L32" s="25">
        <v>4</v>
      </c>
      <c r="M32" s="4" t="s">
        <v>51</v>
      </c>
      <c r="N32" s="25" t="s">
        <v>2119</v>
      </c>
      <c r="O32" s="4">
        <v>1</v>
      </c>
      <c r="P32" s="25">
        <v>1</v>
      </c>
      <c r="Q32" s="4" t="s">
        <v>87</v>
      </c>
      <c r="R32" s="25" t="s">
        <v>87</v>
      </c>
      <c r="T32" s="26" t="s">
        <v>2120</v>
      </c>
    </row>
    <row r="33" spans="1:20" x14ac:dyDescent="0.3">
      <c r="A33" s="27" t="s">
        <v>154</v>
      </c>
      <c r="B33" s="4" t="s">
        <v>155</v>
      </c>
      <c r="C33" s="4" t="s">
        <v>118</v>
      </c>
      <c r="D33" s="25" t="s">
        <v>118</v>
      </c>
      <c r="E33" s="4">
        <v>38</v>
      </c>
      <c r="F33" s="25">
        <v>38</v>
      </c>
      <c r="G33" s="4" t="s">
        <v>156</v>
      </c>
      <c r="H33" s="25" t="s">
        <v>156</v>
      </c>
      <c r="I33" s="4" t="s">
        <v>135</v>
      </c>
      <c r="J33" s="25" t="s">
        <v>135</v>
      </c>
      <c r="K33" s="4">
        <v>19</v>
      </c>
      <c r="L33" s="25">
        <v>19</v>
      </c>
      <c r="M33" s="4" t="s">
        <v>32</v>
      </c>
      <c r="N33" s="25" t="s">
        <v>32</v>
      </c>
      <c r="O33" s="4">
        <v>4.2</v>
      </c>
      <c r="P33" s="25">
        <v>4.2</v>
      </c>
      <c r="Q33" s="4" t="s">
        <v>41</v>
      </c>
      <c r="R33" s="25" t="s">
        <v>41</v>
      </c>
      <c r="S33" s="4">
        <v>0.68</v>
      </c>
      <c r="T33" s="26">
        <v>0.68</v>
      </c>
    </row>
    <row r="34" spans="1:20" x14ac:dyDescent="0.3">
      <c r="A34" s="27" t="s">
        <v>158</v>
      </c>
      <c r="B34" s="4" t="s">
        <v>159</v>
      </c>
      <c r="C34" s="4" t="s">
        <v>113</v>
      </c>
      <c r="D34" s="25" t="s">
        <v>118</v>
      </c>
      <c r="E34" s="4">
        <v>46</v>
      </c>
      <c r="F34" s="25">
        <v>46</v>
      </c>
      <c r="G34" s="4" t="s">
        <v>160</v>
      </c>
      <c r="H34" s="25" t="s">
        <v>160</v>
      </c>
      <c r="I34" s="4" t="s">
        <v>57</v>
      </c>
      <c r="J34" s="25" t="s">
        <v>57</v>
      </c>
      <c r="K34" s="4">
        <v>9</v>
      </c>
      <c r="L34" s="25">
        <v>9</v>
      </c>
      <c r="M34" s="4" t="s">
        <v>162</v>
      </c>
      <c r="N34" s="25" t="s">
        <v>162</v>
      </c>
      <c r="O34" s="4">
        <v>1.4</v>
      </c>
      <c r="P34" s="25">
        <v>1.4</v>
      </c>
      <c r="Q34" s="4" t="s">
        <v>74</v>
      </c>
      <c r="R34" s="25" t="s">
        <v>74</v>
      </c>
      <c r="S34" s="4">
        <v>0.76</v>
      </c>
      <c r="T34" s="26">
        <v>0.76</v>
      </c>
    </row>
    <row r="35" spans="1:20" x14ac:dyDescent="0.3">
      <c r="A35" s="27" t="s">
        <v>163</v>
      </c>
      <c r="B35" s="4" t="s">
        <v>164</v>
      </c>
      <c r="C35" s="4" t="s">
        <v>37</v>
      </c>
      <c r="D35" s="25" t="s">
        <v>118</v>
      </c>
      <c r="F35" s="25" t="s">
        <v>2119</v>
      </c>
      <c r="G35" s="4" t="s">
        <v>133</v>
      </c>
      <c r="H35" s="25" t="s">
        <v>133</v>
      </c>
      <c r="I35" s="4" t="s">
        <v>57</v>
      </c>
      <c r="J35" s="25" t="s">
        <v>57</v>
      </c>
      <c r="K35" s="4">
        <v>9</v>
      </c>
      <c r="L35" s="25">
        <v>9</v>
      </c>
      <c r="M35" s="4" t="s">
        <v>86</v>
      </c>
      <c r="N35" s="25" t="s">
        <v>86</v>
      </c>
      <c r="O35" s="4">
        <v>2.4</v>
      </c>
      <c r="P35" s="25">
        <v>2.4</v>
      </c>
      <c r="Q35" s="4" t="s">
        <v>87</v>
      </c>
      <c r="R35" s="25" t="s">
        <v>87</v>
      </c>
      <c r="S35" s="4">
        <v>82</v>
      </c>
      <c r="T35" s="26">
        <v>82</v>
      </c>
    </row>
    <row r="36" spans="1:20" x14ac:dyDescent="0.3">
      <c r="A36" s="27" t="s">
        <v>165</v>
      </c>
      <c r="B36" s="4" t="s">
        <v>166</v>
      </c>
      <c r="C36" s="4" t="s">
        <v>28</v>
      </c>
      <c r="D36" s="25" t="s">
        <v>97</v>
      </c>
      <c r="E36" s="4">
        <v>54</v>
      </c>
      <c r="F36" s="25">
        <v>54</v>
      </c>
      <c r="G36" s="4" t="s">
        <v>73</v>
      </c>
      <c r="H36" s="25" t="s">
        <v>73</v>
      </c>
      <c r="I36" s="4" t="s">
        <v>46</v>
      </c>
      <c r="J36" s="25" t="s">
        <v>46</v>
      </c>
      <c r="K36" s="4">
        <v>32</v>
      </c>
      <c r="L36" s="25">
        <v>32</v>
      </c>
      <c r="M36" s="4" t="s">
        <v>103</v>
      </c>
      <c r="N36" s="25" t="s">
        <v>103</v>
      </c>
      <c r="O36" s="4">
        <v>1</v>
      </c>
      <c r="P36" s="25">
        <v>1</v>
      </c>
      <c r="Q36" s="4" t="s">
        <v>87</v>
      </c>
      <c r="R36" s="25" t="s">
        <v>87</v>
      </c>
      <c r="S36" s="4">
        <v>0.81</v>
      </c>
      <c r="T36" s="26">
        <v>0.81</v>
      </c>
    </row>
    <row r="37" spans="1:20" x14ac:dyDescent="0.3">
      <c r="A37" s="27" t="s">
        <v>167</v>
      </c>
      <c r="B37" s="4" t="s">
        <v>168</v>
      </c>
      <c r="C37" s="4" t="s">
        <v>50</v>
      </c>
      <c r="D37" s="25" t="s">
        <v>97</v>
      </c>
      <c r="E37" s="4">
        <v>52</v>
      </c>
      <c r="F37" s="25">
        <v>52</v>
      </c>
      <c r="G37" s="4" t="s">
        <v>133</v>
      </c>
      <c r="H37" s="25" t="s">
        <v>133</v>
      </c>
      <c r="I37" s="4" t="s">
        <v>51</v>
      </c>
      <c r="J37" s="25" t="s">
        <v>2120</v>
      </c>
      <c r="K37" s="4">
        <v>28</v>
      </c>
      <c r="L37" s="25">
        <v>28</v>
      </c>
      <c r="M37" s="4" t="s">
        <v>142</v>
      </c>
      <c r="N37" s="25" t="s">
        <v>142</v>
      </c>
      <c r="P37" s="25" t="s">
        <v>2120</v>
      </c>
      <c r="Q37" s="4" t="s">
        <v>23</v>
      </c>
      <c r="R37" s="25" t="s">
        <v>23</v>
      </c>
      <c r="T37" s="26" t="s">
        <v>2120</v>
      </c>
    </row>
    <row r="38" spans="1:20" x14ac:dyDescent="0.3">
      <c r="A38" s="27" t="s">
        <v>169</v>
      </c>
      <c r="B38" s="4" t="s">
        <v>170</v>
      </c>
      <c r="C38" s="4" t="s">
        <v>18</v>
      </c>
      <c r="D38" s="25" t="s">
        <v>97</v>
      </c>
      <c r="E38" s="4">
        <v>42</v>
      </c>
      <c r="F38" s="25">
        <v>42</v>
      </c>
      <c r="G38" s="4" t="s">
        <v>106</v>
      </c>
      <c r="H38" s="25" t="s">
        <v>106</v>
      </c>
      <c r="I38" s="4" t="s">
        <v>31</v>
      </c>
      <c r="J38" s="25" t="s">
        <v>31</v>
      </c>
      <c r="K38" s="4">
        <v>6</v>
      </c>
      <c r="L38" s="25">
        <v>6</v>
      </c>
      <c r="M38" s="4" t="s">
        <v>86</v>
      </c>
      <c r="N38" s="25" t="s">
        <v>86</v>
      </c>
      <c r="P38" s="25" t="s">
        <v>2120</v>
      </c>
      <c r="Q38" s="4" t="s">
        <v>23</v>
      </c>
      <c r="R38" s="25" t="s">
        <v>23</v>
      </c>
      <c r="S38" s="4">
        <v>0.63</v>
      </c>
      <c r="T38" s="26">
        <v>0.63</v>
      </c>
    </row>
    <row r="39" spans="1:20" x14ac:dyDescent="0.3">
      <c r="A39" s="27" t="s">
        <v>171</v>
      </c>
      <c r="B39" s="4" t="s">
        <v>172</v>
      </c>
      <c r="C39" s="4" t="s">
        <v>45</v>
      </c>
      <c r="D39" s="25" t="s">
        <v>97</v>
      </c>
      <c r="E39" s="4">
        <v>29</v>
      </c>
      <c r="F39" s="25">
        <v>29</v>
      </c>
      <c r="G39" s="4" t="s">
        <v>55</v>
      </c>
      <c r="H39" s="25" t="s">
        <v>55</v>
      </c>
      <c r="I39" s="4" t="s">
        <v>39</v>
      </c>
      <c r="J39" s="25" t="s">
        <v>39</v>
      </c>
      <c r="K39" s="4">
        <v>10</v>
      </c>
      <c r="L39" s="25">
        <v>10</v>
      </c>
      <c r="M39" s="4" t="s">
        <v>86</v>
      </c>
      <c r="N39" s="25" t="s">
        <v>86</v>
      </c>
      <c r="O39" s="4">
        <v>2.2000000000000002</v>
      </c>
      <c r="P39" s="25">
        <v>2.2000000000000002</v>
      </c>
      <c r="Q39" s="4" t="s">
        <v>41</v>
      </c>
      <c r="R39" s="25" t="s">
        <v>41</v>
      </c>
      <c r="S39" s="4">
        <v>0.67</v>
      </c>
      <c r="T39" s="26">
        <v>0.67</v>
      </c>
    </row>
    <row r="40" spans="1:20" x14ac:dyDescent="0.3">
      <c r="A40" s="27" t="s">
        <v>173</v>
      </c>
      <c r="B40" s="4" t="s">
        <v>174</v>
      </c>
      <c r="C40" s="4" t="s">
        <v>45</v>
      </c>
      <c r="D40" s="25" t="s">
        <v>97</v>
      </c>
      <c r="E40" s="4">
        <v>42</v>
      </c>
      <c r="F40" s="25">
        <v>42</v>
      </c>
      <c r="G40" s="4" t="s">
        <v>175</v>
      </c>
      <c r="H40" s="25" t="s">
        <v>175</v>
      </c>
      <c r="I40" s="4" t="s">
        <v>31</v>
      </c>
      <c r="J40" s="25" t="s">
        <v>31</v>
      </c>
      <c r="K40" s="4">
        <v>23</v>
      </c>
      <c r="L40" s="25">
        <v>23</v>
      </c>
      <c r="M40" s="4" t="s">
        <v>40</v>
      </c>
      <c r="N40" s="25" t="s">
        <v>40</v>
      </c>
      <c r="O40" s="4">
        <v>3.2</v>
      </c>
      <c r="P40" s="25">
        <v>3.2</v>
      </c>
      <c r="Q40" s="4" t="s">
        <v>87</v>
      </c>
      <c r="R40" s="25" t="s">
        <v>87</v>
      </c>
      <c r="T40" s="26" t="s">
        <v>2120</v>
      </c>
    </row>
    <row r="41" spans="1:20" x14ac:dyDescent="0.3">
      <c r="A41" s="27" t="s">
        <v>177</v>
      </c>
      <c r="B41" s="4" t="s">
        <v>178</v>
      </c>
      <c r="C41" s="4" t="s">
        <v>118</v>
      </c>
      <c r="D41" s="25" t="s">
        <v>118</v>
      </c>
      <c r="E41" s="4">
        <v>60</v>
      </c>
      <c r="F41" s="25">
        <v>60</v>
      </c>
      <c r="G41" s="4" t="s">
        <v>106</v>
      </c>
      <c r="H41" s="25" t="s">
        <v>106</v>
      </c>
      <c r="I41" s="4" t="s">
        <v>46</v>
      </c>
      <c r="J41" s="25" t="s">
        <v>46</v>
      </c>
      <c r="K41" s="4">
        <v>13</v>
      </c>
      <c r="L41" s="25">
        <v>13</v>
      </c>
      <c r="M41" s="4" t="s">
        <v>142</v>
      </c>
      <c r="N41" s="25" t="s">
        <v>142</v>
      </c>
      <c r="O41" s="4">
        <v>3.6</v>
      </c>
      <c r="P41" s="25">
        <v>3.6</v>
      </c>
      <c r="Q41" s="4" t="s">
        <v>23</v>
      </c>
      <c r="R41" s="25" t="s">
        <v>23</v>
      </c>
      <c r="S41" s="4">
        <v>0.8</v>
      </c>
      <c r="T41" s="26">
        <v>0.8</v>
      </c>
    </row>
    <row r="42" spans="1:20" x14ac:dyDescent="0.3">
      <c r="A42" s="27" t="s">
        <v>179</v>
      </c>
      <c r="B42" s="4" t="s">
        <v>180</v>
      </c>
      <c r="C42" s="4" t="s">
        <v>97</v>
      </c>
      <c r="D42" s="25" t="s">
        <v>97</v>
      </c>
      <c r="E42" s="4">
        <v>59</v>
      </c>
      <c r="F42" s="25">
        <v>59</v>
      </c>
      <c r="G42" s="4" t="s">
        <v>85</v>
      </c>
      <c r="H42" s="25" t="s">
        <v>85</v>
      </c>
      <c r="I42" s="4" t="s">
        <v>57</v>
      </c>
      <c r="J42" s="25" t="s">
        <v>57</v>
      </c>
      <c r="K42" s="4">
        <v>3</v>
      </c>
      <c r="L42" s="25">
        <v>3</v>
      </c>
      <c r="M42" s="4" t="s">
        <v>119</v>
      </c>
      <c r="N42" s="25" t="s">
        <v>119</v>
      </c>
      <c r="O42" s="4">
        <v>0</v>
      </c>
      <c r="P42" s="25">
        <v>0</v>
      </c>
      <c r="Q42" s="4" t="s">
        <v>181</v>
      </c>
      <c r="R42" s="25" t="s">
        <v>181</v>
      </c>
      <c r="T42" s="26" t="s">
        <v>2120</v>
      </c>
    </row>
    <row r="43" spans="1:20" x14ac:dyDescent="0.3">
      <c r="A43" s="27" t="s">
        <v>182</v>
      </c>
      <c r="B43" s="4" t="s">
        <v>183</v>
      </c>
      <c r="C43" s="4" t="s">
        <v>97</v>
      </c>
      <c r="D43" s="25" t="s">
        <v>97</v>
      </c>
      <c r="E43" s="4">
        <v>21</v>
      </c>
      <c r="F43" s="25">
        <v>21</v>
      </c>
      <c r="G43" s="4" t="s">
        <v>149</v>
      </c>
      <c r="H43" s="25" t="s">
        <v>149</v>
      </c>
      <c r="I43" s="4" t="s">
        <v>46</v>
      </c>
      <c r="J43" s="25" t="s">
        <v>46</v>
      </c>
      <c r="K43" s="4">
        <v>0</v>
      </c>
      <c r="L43" s="25">
        <v>0</v>
      </c>
      <c r="M43" s="4" t="s">
        <v>52</v>
      </c>
      <c r="N43" s="25" t="s">
        <v>52</v>
      </c>
      <c r="O43" s="4">
        <v>2.7</v>
      </c>
      <c r="P43" s="25">
        <v>2.7</v>
      </c>
      <c r="Q43" s="4" t="s">
        <v>33</v>
      </c>
      <c r="R43" s="25" t="s">
        <v>33</v>
      </c>
      <c r="S43" s="4">
        <v>0.84</v>
      </c>
      <c r="T43" s="26">
        <v>0.84</v>
      </c>
    </row>
    <row r="44" spans="1:20" x14ac:dyDescent="0.3">
      <c r="A44" s="27" t="s">
        <v>184</v>
      </c>
      <c r="B44" s="4" t="s">
        <v>185</v>
      </c>
      <c r="C44" s="4" t="s">
        <v>97</v>
      </c>
      <c r="D44" s="25" t="s">
        <v>97</v>
      </c>
      <c r="E44" s="4">
        <v>35</v>
      </c>
      <c r="F44" s="25">
        <v>35</v>
      </c>
      <c r="G44" s="4" t="s">
        <v>38</v>
      </c>
      <c r="H44" s="25" t="s">
        <v>38</v>
      </c>
      <c r="I44" s="4" t="s">
        <v>110</v>
      </c>
      <c r="J44" s="25" t="s">
        <v>110</v>
      </c>
      <c r="K44" s="4">
        <v>10</v>
      </c>
      <c r="L44" s="25">
        <v>10</v>
      </c>
      <c r="M44" s="4" t="s">
        <v>81</v>
      </c>
      <c r="N44" s="25" t="s">
        <v>81</v>
      </c>
      <c r="O44" s="4">
        <v>0</v>
      </c>
      <c r="P44" s="25">
        <v>0</v>
      </c>
      <c r="Q44" s="4" t="s">
        <v>181</v>
      </c>
      <c r="R44" s="25" t="s">
        <v>181</v>
      </c>
      <c r="T44" s="26" t="s">
        <v>2120</v>
      </c>
    </row>
    <row r="45" spans="1:20" x14ac:dyDescent="0.3">
      <c r="A45" s="27" t="s">
        <v>186</v>
      </c>
      <c r="B45" s="4" t="s">
        <v>187</v>
      </c>
      <c r="C45" s="4" t="s">
        <v>37</v>
      </c>
      <c r="D45" s="25" t="s">
        <v>118</v>
      </c>
      <c r="E45" s="4">
        <v>41</v>
      </c>
      <c r="F45" s="25">
        <v>41</v>
      </c>
      <c r="G45" s="4" t="s">
        <v>85</v>
      </c>
      <c r="H45" s="25" t="s">
        <v>85</v>
      </c>
      <c r="I45" s="4" t="s">
        <v>66</v>
      </c>
      <c r="J45" s="25" t="s">
        <v>66</v>
      </c>
      <c r="L45" s="25" t="s">
        <v>2120</v>
      </c>
      <c r="M45" s="4" t="s">
        <v>162</v>
      </c>
      <c r="N45" s="25" t="s">
        <v>162</v>
      </c>
      <c r="O45" s="4">
        <v>2.8</v>
      </c>
      <c r="P45" s="25">
        <v>2.8</v>
      </c>
      <c r="Q45" s="4" t="s">
        <v>74</v>
      </c>
      <c r="R45" s="25" t="s">
        <v>74</v>
      </c>
      <c r="S45" s="4">
        <v>0.63</v>
      </c>
      <c r="T45" s="26">
        <v>0.63</v>
      </c>
    </row>
    <row r="46" spans="1:20" x14ac:dyDescent="0.3">
      <c r="A46" s="27" t="s">
        <v>188</v>
      </c>
      <c r="B46" s="4" t="s">
        <v>189</v>
      </c>
      <c r="C46" s="4" t="s">
        <v>97</v>
      </c>
      <c r="D46" s="25" t="s">
        <v>97</v>
      </c>
      <c r="E46" s="4">
        <v>51</v>
      </c>
      <c r="F46" s="25">
        <v>51</v>
      </c>
      <c r="G46" s="4" t="s">
        <v>55</v>
      </c>
      <c r="H46" s="25" t="s">
        <v>55</v>
      </c>
      <c r="I46" s="4" t="s">
        <v>135</v>
      </c>
      <c r="J46" s="25" t="s">
        <v>135</v>
      </c>
      <c r="K46" s="4">
        <v>23</v>
      </c>
      <c r="L46" s="25">
        <v>23</v>
      </c>
      <c r="M46" s="4" t="s">
        <v>162</v>
      </c>
      <c r="N46" s="25" t="s">
        <v>162</v>
      </c>
      <c r="O46" s="4">
        <v>2.5</v>
      </c>
      <c r="P46" s="25">
        <v>2.5</v>
      </c>
      <c r="Q46" s="4" t="s">
        <v>59</v>
      </c>
      <c r="R46" s="25" t="s">
        <v>59</v>
      </c>
      <c r="S46" s="4">
        <v>0.8</v>
      </c>
      <c r="T46" s="26">
        <v>0.8</v>
      </c>
    </row>
    <row r="47" spans="1:20" x14ac:dyDescent="0.3">
      <c r="A47" s="27" t="s">
        <v>190</v>
      </c>
      <c r="B47" s="4" t="s">
        <v>191</v>
      </c>
      <c r="C47" s="4" t="s">
        <v>37</v>
      </c>
      <c r="D47" s="25" t="s">
        <v>118</v>
      </c>
      <c r="E47" s="4">
        <v>41</v>
      </c>
      <c r="F47" s="25">
        <v>41</v>
      </c>
      <c r="G47" s="4" t="s">
        <v>175</v>
      </c>
      <c r="H47" s="25" t="s">
        <v>175</v>
      </c>
      <c r="I47" s="4" t="s">
        <v>46</v>
      </c>
      <c r="J47" s="25" t="s">
        <v>46</v>
      </c>
      <c r="K47" s="4">
        <v>9</v>
      </c>
      <c r="L47" s="25">
        <v>9</v>
      </c>
      <c r="M47" s="4" t="s">
        <v>192</v>
      </c>
      <c r="N47" s="25" t="s">
        <v>192</v>
      </c>
      <c r="O47" s="4">
        <v>4.9000000000000004</v>
      </c>
      <c r="P47" s="25">
        <v>4.9000000000000004</v>
      </c>
      <c r="Q47" s="4" t="s">
        <v>33</v>
      </c>
      <c r="R47" s="25" t="s">
        <v>33</v>
      </c>
      <c r="S47" s="4">
        <v>0.74</v>
      </c>
      <c r="T47" s="26">
        <v>0.74</v>
      </c>
    </row>
    <row r="48" spans="1:20" x14ac:dyDescent="0.3">
      <c r="A48" s="27" t="s">
        <v>193</v>
      </c>
      <c r="B48" s="4" t="s">
        <v>194</v>
      </c>
      <c r="C48" s="4" t="s">
        <v>97</v>
      </c>
      <c r="D48" s="25" t="s">
        <v>97</v>
      </c>
      <c r="E48" s="4">
        <v>47</v>
      </c>
      <c r="F48" s="25">
        <v>47</v>
      </c>
      <c r="G48" s="4" t="s">
        <v>160</v>
      </c>
      <c r="H48" s="25" t="s">
        <v>160</v>
      </c>
      <c r="I48" s="4" t="s">
        <v>110</v>
      </c>
      <c r="J48" s="25" t="s">
        <v>110</v>
      </c>
      <c r="K48" s="4">
        <v>15</v>
      </c>
      <c r="L48" s="25">
        <v>15</v>
      </c>
      <c r="M48" s="4" t="s">
        <v>130</v>
      </c>
      <c r="N48" s="25" t="s">
        <v>130</v>
      </c>
      <c r="O48" s="4">
        <v>4.5</v>
      </c>
      <c r="P48" s="25">
        <v>4.5</v>
      </c>
      <c r="Q48" s="4" t="s">
        <v>33</v>
      </c>
      <c r="R48" s="25" t="s">
        <v>33</v>
      </c>
      <c r="S48" s="4">
        <v>0.85</v>
      </c>
      <c r="T48" s="26">
        <v>0.85</v>
      </c>
    </row>
    <row r="49" spans="1:20" x14ac:dyDescent="0.3">
      <c r="A49" s="27" t="s">
        <v>195</v>
      </c>
      <c r="B49" s="4" t="s">
        <v>196</v>
      </c>
      <c r="C49" s="4" t="s">
        <v>37</v>
      </c>
      <c r="D49" s="25" t="s">
        <v>118</v>
      </c>
      <c r="E49" s="4">
        <v>25</v>
      </c>
      <c r="F49" s="25">
        <v>25</v>
      </c>
      <c r="G49" s="4" t="s">
        <v>197</v>
      </c>
      <c r="H49" s="25" t="s">
        <v>197</v>
      </c>
      <c r="I49" s="4" t="s">
        <v>39</v>
      </c>
      <c r="J49" s="25" t="s">
        <v>39</v>
      </c>
      <c r="K49" s="4">
        <v>4</v>
      </c>
      <c r="L49" s="25">
        <v>4</v>
      </c>
      <c r="M49" s="4" t="s">
        <v>40</v>
      </c>
      <c r="N49" s="25" t="s">
        <v>40</v>
      </c>
      <c r="O49" s="4">
        <v>2.7</v>
      </c>
      <c r="P49" s="25">
        <v>2.7</v>
      </c>
      <c r="Q49" s="4" t="s">
        <v>41</v>
      </c>
      <c r="R49" s="25" t="s">
        <v>41</v>
      </c>
      <c r="S49" s="4">
        <v>0.77</v>
      </c>
      <c r="T49" s="26">
        <v>0.77</v>
      </c>
    </row>
    <row r="50" spans="1:20" x14ac:dyDescent="0.3">
      <c r="A50" s="27" t="s">
        <v>199</v>
      </c>
      <c r="B50" s="4" t="s">
        <v>200</v>
      </c>
      <c r="C50" s="4" t="s">
        <v>45</v>
      </c>
      <c r="D50" s="25" t="s">
        <v>97</v>
      </c>
      <c r="E50" s="4">
        <v>25</v>
      </c>
      <c r="F50" s="25">
        <v>25</v>
      </c>
      <c r="G50" s="4" t="s">
        <v>201</v>
      </c>
      <c r="H50" s="25" t="s">
        <v>201</v>
      </c>
      <c r="I50" s="4" t="s">
        <v>31</v>
      </c>
      <c r="J50" s="25" t="s">
        <v>31</v>
      </c>
      <c r="K50" s="4">
        <v>7</v>
      </c>
      <c r="L50" s="25">
        <v>7</v>
      </c>
      <c r="M50" s="4" t="s">
        <v>162</v>
      </c>
      <c r="N50" s="25" t="s">
        <v>162</v>
      </c>
      <c r="O50" s="4">
        <v>1.9</v>
      </c>
      <c r="P50" s="25">
        <v>1.9</v>
      </c>
      <c r="Q50" s="4" t="s">
        <v>23</v>
      </c>
      <c r="R50" s="25" t="s">
        <v>23</v>
      </c>
      <c r="T50" s="26" t="s">
        <v>2120</v>
      </c>
    </row>
    <row r="51" spans="1:20" x14ac:dyDescent="0.3">
      <c r="A51" s="27" t="s">
        <v>202</v>
      </c>
      <c r="B51" s="4" t="s">
        <v>203</v>
      </c>
      <c r="C51" s="4" t="s">
        <v>63</v>
      </c>
      <c r="D51" s="25" t="s">
        <v>118</v>
      </c>
      <c r="E51" s="4">
        <v>29</v>
      </c>
      <c r="F51" s="25">
        <v>29</v>
      </c>
      <c r="G51" s="4" t="s">
        <v>51</v>
      </c>
      <c r="H51" s="2" t="s">
        <v>2120</v>
      </c>
      <c r="I51" s="4" t="s">
        <v>93</v>
      </c>
      <c r="J51" s="25" t="s">
        <v>93</v>
      </c>
      <c r="K51" s="4">
        <v>1</v>
      </c>
      <c r="L51" s="25">
        <v>1</v>
      </c>
      <c r="M51" s="4" t="s">
        <v>162</v>
      </c>
      <c r="N51" s="25" t="s">
        <v>162</v>
      </c>
      <c r="O51" s="4">
        <v>1.4</v>
      </c>
      <c r="P51" s="25">
        <v>1.4</v>
      </c>
      <c r="Q51" s="4" t="s">
        <v>33</v>
      </c>
      <c r="R51" s="25" t="s">
        <v>33</v>
      </c>
      <c r="S51" s="4">
        <v>0.63</v>
      </c>
      <c r="T51" s="26">
        <v>0.63</v>
      </c>
    </row>
    <row r="52" spans="1:20" x14ac:dyDescent="0.3">
      <c r="A52" s="27" t="s">
        <v>204</v>
      </c>
      <c r="B52" s="4" t="s">
        <v>205</v>
      </c>
      <c r="C52" s="4" t="s">
        <v>28</v>
      </c>
      <c r="D52" s="25" t="s">
        <v>97</v>
      </c>
      <c r="E52" s="4">
        <v>23</v>
      </c>
      <c r="F52" s="25">
        <v>23</v>
      </c>
      <c r="G52" s="4" t="s">
        <v>91</v>
      </c>
      <c r="H52" s="25" t="s">
        <v>91</v>
      </c>
      <c r="I52" s="4" t="s">
        <v>98</v>
      </c>
      <c r="J52" s="25" t="s">
        <v>98</v>
      </c>
      <c r="K52" s="4">
        <v>0</v>
      </c>
      <c r="L52" s="25">
        <v>0</v>
      </c>
      <c r="M52" s="4" t="s">
        <v>103</v>
      </c>
      <c r="N52" s="25" t="s">
        <v>103</v>
      </c>
      <c r="O52" s="4">
        <v>1.9</v>
      </c>
      <c r="P52" s="25">
        <v>1.9</v>
      </c>
      <c r="Q52" s="4" t="s">
        <v>74</v>
      </c>
      <c r="R52" s="25" t="s">
        <v>74</v>
      </c>
      <c r="S52" s="4">
        <v>0.79</v>
      </c>
      <c r="T52" s="26">
        <v>0.79</v>
      </c>
    </row>
    <row r="53" spans="1:20" x14ac:dyDescent="0.3">
      <c r="A53" s="27" t="s">
        <v>206</v>
      </c>
      <c r="B53" s="4" t="s">
        <v>207</v>
      </c>
      <c r="C53" s="4" t="s">
        <v>37</v>
      </c>
      <c r="D53" s="25" t="s">
        <v>118</v>
      </c>
      <c r="E53" s="4">
        <v>31</v>
      </c>
      <c r="F53" s="25">
        <v>31</v>
      </c>
      <c r="G53" s="4" t="s">
        <v>156</v>
      </c>
      <c r="H53" s="25" t="s">
        <v>156</v>
      </c>
      <c r="I53" s="4" t="s">
        <v>66</v>
      </c>
      <c r="J53" s="25" t="s">
        <v>66</v>
      </c>
      <c r="K53" s="4">
        <v>8</v>
      </c>
      <c r="L53" s="25">
        <v>8</v>
      </c>
      <c r="M53" s="4" t="s">
        <v>40</v>
      </c>
      <c r="N53" s="25" t="s">
        <v>40</v>
      </c>
      <c r="O53" s="4">
        <v>3.4</v>
      </c>
      <c r="P53" s="25">
        <v>3.4</v>
      </c>
      <c r="Q53" s="4" t="s">
        <v>23</v>
      </c>
      <c r="R53" s="25" t="s">
        <v>23</v>
      </c>
      <c r="T53" s="26" t="s">
        <v>2120</v>
      </c>
    </row>
    <row r="54" spans="1:20" x14ac:dyDescent="0.3">
      <c r="A54" s="27" t="s">
        <v>208</v>
      </c>
      <c r="B54" s="4" t="s">
        <v>209</v>
      </c>
      <c r="C54" s="4" t="s">
        <v>118</v>
      </c>
      <c r="D54" s="25" t="s">
        <v>118</v>
      </c>
      <c r="E54" s="4">
        <v>51</v>
      </c>
      <c r="F54" s="25">
        <v>51</v>
      </c>
      <c r="G54" s="4" t="s">
        <v>38</v>
      </c>
      <c r="H54" s="25" t="s">
        <v>38</v>
      </c>
      <c r="I54" s="4" t="s">
        <v>135</v>
      </c>
      <c r="J54" s="25" t="s">
        <v>135</v>
      </c>
      <c r="K54" s="4">
        <v>33</v>
      </c>
      <c r="L54" s="25">
        <v>33</v>
      </c>
      <c r="M54" s="4" t="s">
        <v>103</v>
      </c>
      <c r="N54" s="25" t="s">
        <v>103</v>
      </c>
      <c r="O54" s="4">
        <v>3.3</v>
      </c>
      <c r="P54" s="25">
        <v>3.3</v>
      </c>
      <c r="Q54" s="4" t="s">
        <v>51</v>
      </c>
      <c r="R54" s="25" t="s">
        <v>2120</v>
      </c>
      <c r="S54" s="4">
        <v>0.68</v>
      </c>
      <c r="T54" s="26">
        <v>0.68</v>
      </c>
    </row>
    <row r="55" spans="1:20" x14ac:dyDescent="0.3">
      <c r="A55" s="27" t="s">
        <v>210</v>
      </c>
      <c r="B55" s="4" t="s">
        <v>211</v>
      </c>
      <c r="C55" s="4" t="s">
        <v>63</v>
      </c>
      <c r="D55" s="25" t="s">
        <v>118</v>
      </c>
      <c r="F55" s="25" t="s">
        <v>2119</v>
      </c>
      <c r="G55" s="4" t="s">
        <v>212</v>
      </c>
      <c r="H55" s="25" t="s">
        <v>212</v>
      </c>
      <c r="I55" s="4" t="s">
        <v>93</v>
      </c>
      <c r="J55" s="25" t="s">
        <v>93</v>
      </c>
      <c r="K55" s="4">
        <v>1</v>
      </c>
      <c r="L55" s="25">
        <v>1</v>
      </c>
      <c r="M55" s="4" t="s">
        <v>52</v>
      </c>
      <c r="N55" s="25" t="s">
        <v>52</v>
      </c>
      <c r="O55" s="4">
        <v>0</v>
      </c>
      <c r="P55" s="25">
        <v>0</v>
      </c>
      <c r="Q55" s="4" t="s">
        <v>23</v>
      </c>
      <c r="R55" s="25" t="s">
        <v>23</v>
      </c>
      <c r="S55" s="4">
        <v>0.68</v>
      </c>
      <c r="T55" s="26">
        <v>0.68</v>
      </c>
    </row>
    <row r="56" spans="1:20" x14ac:dyDescent="0.3">
      <c r="A56" s="27" t="s">
        <v>213</v>
      </c>
      <c r="B56" s="4" t="s">
        <v>214</v>
      </c>
      <c r="C56" s="4" t="s">
        <v>18</v>
      </c>
      <c r="D56" s="25" t="s">
        <v>97</v>
      </c>
      <c r="E56" s="4">
        <v>29</v>
      </c>
      <c r="F56" s="25">
        <v>29</v>
      </c>
      <c r="G56" s="4" t="s">
        <v>79</v>
      </c>
      <c r="H56" s="25" t="s">
        <v>79</v>
      </c>
      <c r="I56" s="4" t="s">
        <v>98</v>
      </c>
      <c r="J56" s="25" t="s">
        <v>98</v>
      </c>
      <c r="K56" s="4">
        <v>11</v>
      </c>
      <c r="L56" s="25">
        <v>11</v>
      </c>
      <c r="M56" s="4" t="s">
        <v>22</v>
      </c>
      <c r="N56" s="25" t="s">
        <v>22</v>
      </c>
      <c r="O56" s="4">
        <v>2.2999999999999998</v>
      </c>
      <c r="P56" s="25">
        <v>2.2999999999999998</v>
      </c>
      <c r="Q56" s="4" t="s">
        <v>74</v>
      </c>
      <c r="R56" s="25" t="s">
        <v>74</v>
      </c>
      <c r="S56" s="4">
        <v>0.72</v>
      </c>
      <c r="T56" s="26">
        <v>0.72</v>
      </c>
    </row>
    <row r="57" spans="1:20" x14ac:dyDescent="0.3">
      <c r="A57" s="27" t="s">
        <v>215</v>
      </c>
      <c r="B57" s="4" t="s">
        <v>216</v>
      </c>
      <c r="C57" s="4" t="s">
        <v>63</v>
      </c>
      <c r="D57" s="25" t="s">
        <v>118</v>
      </c>
      <c r="E57" s="4">
        <v>50</v>
      </c>
      <c r="F57" s="25">
        <v>50</v>
      </c>
      <c r="G57" s="4" t="s">
        <v>85</v>
      </c>
      <c r="H57" s="25" t="s">
        <v>85</v>
      </c>
      <c r="I57" s="4" t="s">
        <v>57</v>
      </c>
      <c r="J57" s="25" t="s">
        <v>57</v>
      </c>
      <c r="K57" s="4">
        <v>15</v>
      </c>
      <c r="L57" s="25">
        <v>15</v>
      </c>
      <c r="M57" s="4" t="s">
        <v>51</v>
      </c>
      <c r="N57" s="25" t="s">
        <v>2119</v>
      </c>
      <c r="O57" s="4">
        <v>2</v>
      </c>
      <c r="P57" s="25">
        <v>2</v>
      </c>
      <c r="Q57" s="4" t="s">
        <v>87</v>
      </c>
      <c r="R57" s="25" t="s">
        <v>87</v>
      </c>
      <c r="S57" s="4">
        <v>0.65</v>
      </c>
      <c r="T57" s="26">
        <v>0.65</v>
      </c>
    </row>
    <row r="58" spans="1:20" x14ac:dyDescent="0.3">
      <c r="A58" s="27" t="s">
        <v>217</v>
      </c>
      <c r="B58" s="4" t="s">
        <v>218</v>
      </c>
      <c r="C58" s="4" t="s">
        <v>18</v>
      </c>
      <c r="D58" s="25" t="s">
        <v>97</v>
      </c>
      <c r="E58" s="4">
        <v>26</v>
      </c>
      <c r="F58" s="25">
        <v>26</v>
      </c>
      <c r="G58" s="4" t="s">
        <v>85</v>
      </c>
      <c r="H58" s="25" t="s">
        <v>85</v>
      </c>
      <c r="I58" s="4" t="s">
        <v>110</v>
      </c>
      <c r="J58" s="25" t="s">
        <v>110</v>
      </c>
      <c r="K58" s="4">
        <v>8</v>
      </c>
      <c r="L58" s="25">
        <v>8</v>
      </c>
      <c r="M58" s="4" t="s">
        <v>40</v>
      </c>
      <c r="N58" s="25" t="s">
        <v>40</v>
      </c>
      <c r="O58" s="4">
        <v>1.3</v>
      </c>
      <c r="P58" s="25">
        <v>1.3</v>
      </c>
      <c r="Q58" s="4" t="s">
        <v>59</v>
      </c>
      <c r="R58" s="25" t="s">
        <v>59</v>
      </c>
      <c r="S58" s="4">
        <v>0.76</v>
      </c>
      <c r="T58" s="26">
        <v>0.76</v>
      </c>
    </row>
    <row r="59" spans="1:20" x14ac:dyDescent="0.3">
      <c r="A59" s="27" t="s">
        <v>219</v>
      </c>
      <c r="B59" s="4" t="s">
        <v>220</v>
      </c>
      <c r="C59" s="4" t="s">
        <v>118</v>
      </c>
      <c r="D59" s="25" t="s">
        <v>118</v>
      </c>
      <c r="E59" s="4">
        <v>38</v>
      </c>
      <c r="F59" s="25">
        <v>38</v>
      </c>
      <c r="G59" s="4" t="s">
        <v>149</v>
      </c>
      <c r="H59" s="25" t="s">
        <v>149</v>
      </c>
      <c r="I59" s="4" t="s">
        <v>57</v>
      </c>
      <c r="J59" s="25" t="s">
        <v>57</v>
      </c>
      <c r="K59" s="4">
        <v>17</v>
      </c>
      <c r="L59" s="25">
        <v>17</v>
      </c>
      <c r="M59" s="4" t="s">
        <v>70</v>
      </c>
      <c r="N59" s="25" t="s">
        <v>70</v>
      </c>
      <c r="O59" s="4">
        <v>4</v>
      </c>
      <c r="P59" s="25">
        <v>4</v>
      </c>
      <c r="Q59" s="4" t="s">
        <v>74</v>
      </c>
      <c r="R59" s="25" t="s">
        <v>74</v>
      </c>
      <c r="S59" s="4">
        <v>0.9</v>
      </c>
      <c r="T59" s="26">
        <v>0.9</v>
      </c>
    </row>
    <row r="60" spans="1:20" x14ac:dyDescent="0.3">
      <c r="A60" s="27" t="s">
        <v>221</v>
      </c>
      <c r="B60" s="4" t="s">
        <v>222</v>
      </c>
      <c r="C60" s="4" t="s">
        <v>28</v>
      </c>
      <c r="D60" s="25" t="s">
        <v>97</v>
      </c>
      <c r="E60" s="4">
        <v>23</v>
      </c>
      <c r="F60" s="25">
        <v>23</v>
      </c>
      <c r="G60" s="4" t="s">
        <v>114</v>
      </c>
      <c r="H60" s="25" t="s">
        <v>114</v>
      </c>
      <c r="I60" s="4" t="s">
        <v>31</v>
      </c>
      <c r="J60" s="25" t="s">
        <v>31</v>
      </c>
      <c r="L60" s="25" t="s">
        <v>2120</v>
      </c>
      <c r="M60" s="4" t="s">
        <v>103</v>
      </c>
      <c r="N60" s="25" t="s">
        <v>103</v>
      </c>
      <c r="O60" s="4">
        <v>3.6</v>
      </c>
      <c r="P60" s="25">
        <v>3.6</v>
      </c>
      <c r="Q60" s="4" t="s">
        <v>33</v>
      </c>
      <c r="R60" s="25" t="s">
        <v>33</v>
      </c>
      <c r="S60" s="4">
        <v>0.65</v>
      </c>
      <c r="T60" s="26">
        <v>0.65</v>
      </c>
    </row>
    <row r="61" spans="1:20" x14ac:dyDescent="0.3">
      <c r="A61" s="27" t="s">
        <v>223</v>
      </c>
      <c r="B61" s="4" t="s">
        <v>224</v>
      </c>
      <c r="C61" s="4" t="s">
        <v>97</v>
      </c>
      <c r="D61" s="25" t="s">
        <v>97</v>
      </c>
      <c r="E61" s="4">
        <v>51</v>
      </c>
      <c r="F61" s="25">
        <v>51</v>
      </c>
      <c r="G61" s="4" t="s">
        <v>175</v>
      </c>
      <c r="H61" s="25" t="s">
        <v>175</v>
      </c>
      <c r="I61" s="4" t="s">
        <v>110</v>
      </c>
      <c r="J61" s="25" t="s">
        <v>110</v>
      </c>
      <c r="K61" s="4">
        <v>28</v>
      </c>
      <c r="L61" s="25">
        <v>28</v>
      </c>
      <c r="M61" s="4" t="s">
        <v>86</v>
      </c>
      <c r="N61" s="25" t="s">
        <v>86</v>
      </c>
      <c r="O61" s="4">
        <v>3.9</v>
      </c>
      <c r="P61" s="25">
        <v>3.9</v>
      </c>
      <c r="Q61" s="4" t="s">
        <v>23</v>
      </c>
      <c r="R61" s="25" t="s">
        <v>23</v>
      </c>
      <c r="S61" s="4">
        <v>0.63</v>
      </c>
      <c r="T61" s="26">
        <v>0.63</v>
      </c>
    </row>
    <row r="62" spans="1:20" x14ac:dyDescent="0.3">
      <c r="A62" s="27" t="s">
        <v>225</v>
      </c>
      <c r="B62" s="4" t="s">
        <v>226</v>
      </c>
      <c r="C62" s="4" t="s">
        <v>45</v>
      </c>
      <c r="D62" s="25" t="s">
        <v>97</v>
      </c>
      <c r="E62" s="4">
        <v>51</v>
      </c>
      <c r="F62" s="25">
        <v>51</v>
      </c>
      <c r="G62" s="4" t="s">
        <v>64</v>
      </c>
      <c r="H62" s="25" t="s">
        <v>64</v>
      </c>
      <c r="I62" s="4" t="s">
        <v>57</v>
      </c>
      <c r="J62" s="25" t="s">
        <v>57</v>
      </c>
      <c r="K62" s="4">
        <v>33</v>
      </c>
      <c r="L62" s="25">
        <v>33</v>
      </c>
      <c r="M62" s="4" t="s">
        <v>192</v>
      </c>
      <c r="N62" s="25" t="s">
        <v>192</v>
      </c>
      <c r="O62" s="4">
        <v>0</v>
      </c>
      <c r="P62" s="25">
        <v>0</v>
      </c>
      <c r="Q62" s="4" t="s">
        <v>74</v>
      </c>
      <c r="R62" s="25" t="s">
        <v>74</v>
      </c>
      <c r="T62" s="26" t="s">
        <v>2120</v>
      </c>
    </row>
    <row r="63" spans="1:20" x14ac:dyDescent="0.3">
      <c r="A63" s="27" t="s">
        <v>227</v>
      </c>
      <c r="B63" s="4" t="s">
        <v>228</v>
      </c>
      <c r="C63" s="4" t="s">
        <v>118</v>
      </c>
      <c r="D63" s="25" t="s">
        <v>118</v>
      </c>
      <c r="E63" s="4">
        <v>47</v>
      </c>
      <c r="F63" s="25">
        <v>47</v>
      </c>
      <c r="G63" s="4" t="s">
        <v>38</v>
      </c>
      <c r="H63" s="25" t="s">
        <v>38</v>
      </c>
      <c r="I63" s="4" t="s">
        <v>57</v>
      </c>
      <c r="J63" s="25" t="s">
        <v>57</v>
      </c>
      <c r="K63" s="4">
        <v>18</v>
      </c>
      <c r="L63" s="25">
        <v>18</v>
      </c>
      <c r="M63" s="4" t="s">
        <v>103</v>
      </c>
      <c r="N63" s="25" t="s">
        <v>103</v>
      </c>
      <c r="O63" s="4">
        <v>0</v>
      </c>
      <c r="P63" s="25">
        <v>0</v>
      </c>
      <c r="Q63" s="4" t="s">
        <v>23</v>
      </c>
      <c r="R63" s="25" t="s">
        <v>23</v>
      </c>
      <c r="T63" s="26" t="s">
        <v>2120</v>
      </c>
    </row>
    <row r="64" spans="1:20" x14ac:dyDescent="0.3">
      <c r="A64" s="27" t="s">
        <v>229</v>
      </c>
      <c r="B64" s="4" t="s">
        <v>230</v>
      </c>
      <c r="C64" s="4" t="s">
        <v>97</v>
      </c>
      <c r="D64" s="25" t="s">
        <v>97</v>
      </c>
      <c r="E64" s="4">
        <v>34</v>
      </c>
      <c r="F64" s="25">
        <v>34</v>
      </c>
      <c r="G64" s="4" t="s">
        <v>145</v>
      </c>
      <c r="H64" s="25" t="s">
        <v>145</v>
      </c>
      <c r="I64" s="4" t="s">
        <v>93</v>
      </c>
      <c r="J64" s="25" t="s">
        <v>93</v>
      </c>
      <c r="K64" s="4">
        <v>16</v>
      </c>
      <c r="L64" s="25">
        <v>16</v>
      </c>
      <c r="M64" s="4" t="s">
        <v>142</v>
      </c>
      <c r="N64" s="25" t="s">
        <v>142</v>
      </c>
      <c r="O64" s="4">
        <v>2.2999999999999998</v>
      </c>
      <c r="P64" s="25">
        <v>2.2999999999999998</v>
      </c>
      <c r="Q64" s="4" t="s">
        <v>87</v>
      </c>
      <c r="R64" s="25" t="s">
        <v>87</v>
      </c>
      <c r="S64" s="4">
        <v>0.93</v>
      </c>
      <c r="T64" s="26">
        <v>0.93</v>
      </c>
    </row>
    <row r="65" spans="1:20" x14ac:dyDescent="0.3">
      <c r="A65" s="27" t="s">
        <v>231</v>
      </c>
      <c r="B65" s="4" t="s">
        <v>232</v>
      </c>
      <c r="C65" s="4" t="s">
        <v>18</v>
      </c>
      <c r="D65" s="25" t="s">
        <v>97</v>
      </c>
      <c r="E65" s="4">
        <v>58</v>
      </c>
      <c r="F65" s="25">
        <v>58</v>
      </c>
      <c r="G65" s="4" t="s">
        <v>64</v>
      </c>
      <c r="H65" s="25" t="s">
        <v>64</v>
      </c>
      <c r="I65" s="4" t="s">
        <v>66</v>
      </c>
      <c r="J65" s="25" t="s">
        <v>66</v>
      </c>
      <c r="K65" s="4">
        <v>35</v>
      </c>
      <c r="L65" s="25">
        <v>35</v>
      </c>
      <c r="M65" s="4" t="s">
        <v>119</v>
      </c>
      <c r="N65" s="25" t="s">
        <v>119</v>
      </c>
      <c r="O65" s="4">
        <v>4.7</v>
      </c>
      <c r="P65" s="25">
        <v>4.7</v>
      </c>
      <c r="Q65" s="4" t="s">
        <v>181</v>
      </c>
      <c r="R65" s="25" t="s">
        <v>181</v>
      </c>
      <c r="S65" s="4">
        <v>0.7</v>
      </c>
      <c r="T65" s="26">
        <v>0.7</v>
      </c>
    </row>
    <row r="66" spans="1:20" x14ac:dyDescent="0.3">
      <c r="A66" s="27" t="s">
        <v>233</v>
      </c>
      <c r="B66" s="4" t="s">
        <v>234</v>
      </c>
      <c r="C66" s="4" t="s">
        <v>45</v>
      </c>
      <c r="D66" s="25" t="s">
        <v>97</v>
      </c>
      <c r="E66" s="4">
        <v>50</v>
      </c>
      <c r="F66" s="25">
        <v>50</v>
      </c>
      <c r="G66" s="4" t="s">
        <v>145</v>
      </c>
      <c r="H66" s="25" t="s">
        <v>145</v>
      </c>
      <c r="I66" s="4" t="s">
        <v>57</v>
      </c>
      <c r="J66" s="25" t="s">
        <v>57</v>
      </c>
      <c r="K66" s="4">
        <v>14</v>
      </c>
      <c r="L66" s="25">
        <v>14</v>
      </c>
      <c r="M66" s="4" t="s">
        <v>51</v>
      </c>
      <c r="N66" s="25" t="s">
        <v>2119</v>
      </c>
      <c r="O66" s="4">
        <v>3.5</v>
      </c>
      <c r="P66" s="25">
        <v>3.5</v>
      </c>
      <c r="Q66" s="4" t="s">
        <v>94</v>
      </c>
      <c r="R66" s="25" t="s">
        <v>94</v>
      </c>
      <c r="S66" s="4">
        <v>0.83</v>
      </c>
      <c r="T66" s="26">
        <v>0.83</v>
      </c>
    </row>
    <row r="67" spans="1:20" x14ac:dyDescent="0.3">
      <c r="A67" s="27" t="s">
        <v>235</v>
      </c>
      <c r="B67" s="4" t="s">
        <v>236</v>
      </c>
      <c r="C67" s="4" t="s">
        <v>28</v>
      </c>
      <c r="D67" s="25" t="s">
        <v>97</v>
      </c>
      <c r="E67" s="4">
        <v>34</v>
      </c>
      <c r="F67" s="25">
        <v>34</v>
      </c>
      <c r="G67" s="4" t="s">
        <v>212</v>
      </c>
      <c r="H67" s="25" t="s">
        <v>212</v>
      </c>
      <c r="I67" s="4" t="s">
        <v>46</v>
      </c>
      <c r="J67" s="25" t="s">
        <v>46</v>
      </c>
      <c r="K67" s="4">
        <v>12</v>
      </c>
      <c r="L67" s="25">
        <v>12</v>
      </c>
      <c r="M67" s="4" t="s">
        <v>86</v>
      </c>
      <c r="N67" s="25" t="s">
        <v>86</v>
      </c>
      <c r="O67" s="4">
        <v>2.4</v>
      </c>
      <c r="P67" s="25">
        <v>2.4</v>
      </c>
      <c r="Q67" s="4" t="s">
        <v>33</v>
      </c>
      <c r="R67" s="25" t="s">
        <v>33</v>
      </c>
      <c r="S67" s="4">
        <v>64</v>
      </c>
      <c r="T67" s="26">
        <v>64</v>
      </c>
    </row>
    <row r="68" spans="1:20" x14ac:dyDescent="0.3">
      <c r="A68" s="27" t="s">
        <v>237</v>
      </c>
      <c r="B68" s="4" t="s">
        <v>238</v>
      </c>
      <c r="C68" s="4" t="s">
        <v>97</v>
      </c>
      <c r="D68" s="25" t="s">
        <v>97</v>
      </c>
      <c r="E68" s="4">
        <v>45</v>
      </c>
      <c r="F68" s="25">
        <v>45</v>
      </c>
      <c r="G68" s="4" t="s">
        <v>128</v>
      </c>
      <c r="H68" s="25" t="s">
        <v>128</v>
      </c>
      <c r="I68" s="4" t="s">
        <v>57</v>
      </c>
      <c r="J68" s="25" t="s">
        <v>57</v>
      </c>
      <c r="K68" s="4">
        <v>11</v>
      </c>
      <c r="L68" s="25">
        <v>11</v>
      </c>
      <c r="M68" s="4" t="s">
        <v>67</v>
      </c>
      <c r="N68" s="25" t="s">
        <v>67</v>
      </c>
      <c r="O68" s="4">
        <v>4</v>
      </c>
      <c r="P68" s="25">
        <v>4</v>
      </c>
      <c r="Q68" s="4" t="s">
        <v>41</v>
      </c>
      <c r="R68" s="25" t="s">
        <v>41</v>
      </c>
      <c r="S68" s="4">
        <v>1</v>
      </c>
      <c r="T68" s="26">
        <v>1</v>
      </c>
    </row>
    <row r="69" spans="1:20" x14ac:dyDescent="0.3">
      <c r="A69" s="27" t="s">
        <v>239</v>
      </c>
      <c r="B69" s="4" t="s">
        <v>240</v>
      </c>
      <c r="C69" s="4" t="s">
        <v>28</v>
      </c>
      <c r="D69" s="25" t="s">
        <v>97</v>
      </c>
      <c r="E69" s="4">
        <v>55</v>
      </c>
      <c r="F69" s="25">
        <v>55</v>
      </c>
      <c r="G69" s="4" t="s">
        <v>128</v>
      </c>
      <c r="H69" s="25" t="s">
        <v>128</v>
      </c>
      <c r="I69" s="4" t="s">
        <v>46</v>
      </c>
      <c r="J69" s="25" t="s">
        <v>46</v>
      </c>
      <c r="K69" s="4">
        <v>0</v>
      </c>
      <c r="L69" s="25">
        <v>0</v>
      </c>
      <c r="M69" s="4" t="s">
        <v>47</v>
      </c>
      <c r="N69" s="25" t="s">
        <v>47</v>
      </c>
      <c r="O69" s="4">
        <v>0</v>
      </c>
      <c r="P69" s="25">
        <v>0</v>
      </c>
      <c r="Q69" s="4" t="s">
        <v>74</v>
      </c>
      <c r="R69" s="25" t="s">
        <v>74</v>
      </c>
      <c r="T69" s="26" t="s">
        <v>2120</v>
      </c>
    </row>
    <row r="70" spans="1:20" x14ac:dyDescent="0.3">
      <c r="A70" s="27" t="s">
        <v>241</v>
      </c>
      <c r="B70" s="4" t="s">
        <v>242</v>
      </c>
      <c r="C70" s="4" t="s">
        <v>63</v>
      </c>
      <c r="D70" s="25" t="s">
        <v>118</v>
      </c>
      <c r="F70" s="25" t="s">
        <v>2119</v>
      </c>
      <c r="G70" s="4" t="s">
        <v>91</v>
      </c>
      <c r="H70" s="25" t="s">
        <v>91</v>
      </c>
      <c r="I70" s="4" t="s">
        <v>93</v>
      </c>
      <c r="J70" s="25" t="s">
        <v>93</v>
      </c>
      <c r="K70" s="4">
        <v>6</v>
      </c>
      <c r="L70" s="25">
        <v>6</v>
      </c>
      <c r="M70" s="4" t="s">
        <v>22</v>
      </c>
      <c r="N70" s="25" t="s">
        <v>22</v>
      </c>
      <c r="O70" s="4">
        <v>1.5</v>
      </c>
      <c r="P70" s="25">
        <v>1.5</v>
      </c>
      <c r="Q70" s="4" t="s">
        <v>59</v>
      </c>
      <c r="R70" s="25" t="s">
        <v>59</v>
      </c>
      <c r="T70" s="26" t="s">
        <v>2120</v>
      </c>
    </row>
    <row r="71" spans="1:20" x14ac:dyDescent="0.3">
      <c r="A71" s="27" t="s">
        <v>243</v>
      </c>
      <c r="B71" s="4" t="s">
        <v>244</v>
      </c>
      <c r="C71" s="4" t="s">
        <v>28</v>
      </c>
      <c r="D71" s="25" t="s">
        <v>97</v>
      </c>
      <c r="E71" s="4">
        <v>60</v>
      </c>
      <c r="F71" s="25">
        <v>60</v>
      </c>
      <c r="G71" s="4" t="s">
        <v>197</v>
      </c>
      <c r="H71" s="25" t="s">
        <v>197</v>
      </c>
      <c r="I71" s="4" t="s">
        <v>93</v>
      </c>
      <c r="J71" s="25" t="s">
        <v>93</v>
      </c>
      <c r="K71" s="4">
        <v>38</v>
      </c>
      <c r="L71" s="25">
        <v>38</v>
      </c>
      <c r="M71" s="4" t="s">
        <v>142</v>
      </c>
      <c r="N71" s="25" t="s">
        <v>142</v>
      </c>
      <c r="O71" s="4">
        <v>2</v>
      </c>
      <c r="P71" s="25">
        <v>2</v>
      </c>
      <c r="Q71" s="4" t="s">
        <v>181</v>
      </c>
      <c r="R71" s="25" t="s">
        <v>181</v>
      </c>
      <c r="S71" s="4">
        <v>0.71</v>
      </c>
      <c r="T71" s="26">
        <v>0.71</v>
      </c>
    </row>
    <row r="72" spans="1:20" x14ac:dyDescent="0.3">
      <c r="A72" s="27" t="s">
        <v>245</v>
      </c>
      <c r="B72" s="4" t="s">
        <v>246</v>
      </c>
      <c r="C72" s="4" t="s">
        <v>18</v>
      </c>
      <c r="D72" s="25" t="s">
        <v>97</v>
      </c>
      <c r="E72" s="4">
        <v>33</v>
      </c>
      <c r="F72" s="25">
        <v>33</v>
      </c>
      <c r="G72" s="4" t="s">
        <v>175</v>
      </c>
      <c r="H72" s="25" t="s">
        <v>175</v>
      </c>
      <c r="I72" s="4" t="s">
        <v>31</v>
      </c>
      <c r="J72" s="25" t="s">
        <v>31</v>
      </c>
      <c r="K72" s="4">
        <v>11</v>
      </c>
      <c r="L72" s="25">
        <v>11</v>
      </c>
      <c r="M72" s="4" t="s">
        <v>51</v>
      </c>
      <c r="N72" s="25" t="s">
        <v>2119</v>
      </c>
      <c r="P72" s="25" t="s">
        <v>2120</v>
      </c>
      <c r="Q72" s="4" t="s">
        <v>87</v>
      </c>
      <c r="R72" s="25" t="s">
        <v>87</v>
      </c>
      <c r="S72" s="4">
        <v>0.84</v>
      </c>
      <c r="T72" s="26">
        <v>0.84</v>
      </c>
    </row>
    <row r="73" spans="1:20" x14ac:dyDescent="0.3">
      <c r="A73" s="27" t="s">
        <v>247</v>
      </c>
      <c r="B73" s="4" t="s">
        <v>248</v>
      </c>
      <c r="C73" s="4" t="s">
        <v>113</v>
      </c>
      <c r="D73" s="25" t="s">
        <v>118</v>
      </c>
      <c r="E73" s="4">
        <v>60</v>
      </c>
      <c r="F73" s="25">
        <v>60</v>
      </c>
      <c r="G73" s="4" t="s">
        <v>19</v>
      </c>
      <c r="H73" s="25" t="s">
        <v>19</v>
      </c>
      <c r="I73" s="4" t="s">
        <v>110</v>
      </c>
      <c r="J73" s="25" t="s">
        <v>110</v>
      </c>
      <c r="K73" s="4">
        <v>13</v>
      </c>
      <c r="L73" s="25">
        <v>13</v>
      </c>
      <c r="M73" s="4" t="s">
        <v>119</v>
      </c>
      <c r="N73" s="25" t="s">
        <v>119</v>
      </c>
      <c r="O73" s="4">
        <v>1</v>
      </c>
      <c r="P73" s="25">
        <v>1</v>
      </c>
      <c r="Q73" s="4" t="s">
        <v>59</v>
      </c>
      <c r="R73" s="25" t="s">
        <v>59</v>
      </c>
      <c r="T73" s="26" t="s">
        <v>2120</v>
      </c>
    </row>
    <row r="74" spans="1:20" x14ac:dyDescent="0.3">
      <c r="A74" s="27" t="s">
        <v>249</v>
      </c>
      <c r="B74" s="4" t="s">
        <v>250</v>
      </c>
      <c r="C74" s="4" t="s">
        <v>78</v>
      </c>
      <c r="D74" s="25" t="s">
        <v>118</v>
      </c>
      <c r="E74" s="4">
        <v>40</v>
      </c>
      <c r="F74" s="25">
        <v>40</v>
      </c>
      <c r="G74" s="4" t="s">
        <v>73</v>
      </c>
      <c r="H74" s="25" t="s">
        <v>73</v>
      </c>
      <c r="I74" s="4" t="s">
        <v>46</v>
      </c>
      <c r="J74" s="25" t="s">
        <v>46</v>
      </c>
      <c r="K74" s="4">
        <v>9</v>
      </c>
      <c r="L74" s="25">
        <v>9</v>
      </c>
      <c r="M74" s="4" t="s">
        <v>251</v>
      </c>
      <c r="N74" s="25" t="s">
        <v>251</v>
      </c>
      <c r="O74" s="4">
        <v>4.5</v>
      </c>
      <c r="P74" s="25">
        <v>4.5</v>
      </c>
      <c r="Q74" s="4" t="s">
        <v>87</v>
      </c>
      <c r="R74" s="25" t="s">
        <v>87</v>
      </c>
      <c r="S74" s="4">
        <v>0.69</v>
      </c>
      <c r="T74" s="26">
        <v>0.69</v>
      </c>
    </row>
    <row r="75" spans="1:20" x14ac:dyDescent="0.3">
      <c r="A75" s="27" t="s">
        <v>252</v>
      </c>
      <c r="B75" s="4" t="s">
        <v>253</v>
      </c>
      <c r="C75" s="4" t="s">
        <v>118</v>
      </c>
      <c r="D75" s="25" t="s">
        <v>118</v>
      </c>
      <c r="E75" s="4">
        <v>59</v>
      </c>
      <c r="F75" s="25">
        <v>59</v>
      </c>
      <c r="G75" s="4" t="s">
        <v>29</v>
      </c>
      <c r="H75" s="25" t="s">
        <v>29</v>
      </c>
      <c r="I75" s="4" t="s">
        <v>21</v>
      </c>
      <c r="J75" s="25" t="s">
        <v>21</v>
      </c>
      <c r="K75" s="4">
        <v>4</v>
      </c>
      <c r="L75" s="25">
        <v>4</v>
      </c>
      <c r="M75" s="4" t="s">
        <v>51</v>
      </c>
      <c r="N75" s="25" t="s">
        <v>2119</v>
      </c>
      <c r="O75" s="4">
        <v>1.9</v>
      </c>
      <c r="P75" s="25">
        <v>1.9</v>
      </c>
      <c r="Q75" s="4" t="s">
        <v>59</v>
      </c>
      <c r="R75" s="25" t="s">
        <v>59</v>
      </c>
      <c r="S75" s="4">
        <v>88</v>
      </c>
      <c r="T75" s="26">
        <v>88</v>
      </c>
    </row>
    <row r="76" spans="1:20" x14ac:dyDescent="0.3">
      <c r="A76" s="27" t="s">
        <v>254</v>
      </c>
      <c r="B76" s="4" t="s">
        <v>255</v>
      </c>
      <c r="C76" s="4" t="s">
        <v>113</v>
      </c>
      <c r="D76" s="25" t="s">
        <v>118</v>
      </c>
      <c r="E76" s="4">
        <v>36</v>
      </c>
      <c r="F76" s="25">
        <v>36</v>
      </c>
      <c r="G76" s="4" t="s">
        <v>51</v>
      </c>
      <c r="H76" s="2" t="s">
        <v>2120</v>
      </c>
      <c r="I76" s="4" t="s">
        <v>135</v>
      </c>
      <c r="J76" s="25" t="s">
        <v>135</v>
      </c>
      <c r="K76" s="4">
        <v>14</v>
      </c>
      <c r="L76" s="25">
        <v>14</v>
      </c>
      <c r="M76" s="4" t="s">
        <v>251</v>
      </c>
      <c r="N76" s="25" t="s">
        <v>251</v>
      </c>
      <c r="O76" s="4">
        <v>3.7</v>
      </c>
      <c r="P76" s="25">
        <v>3.7</v>
      </c>
      <c r="Q76" s="4" t="s">
        <v>23</v>
      </c>
      <c r="R76" s="25" t="s">
        <v>23</v>
      </c>
      <c r="T76" s="26" t="s">
        <v>2120</v>
      </c>
    </row>
    <row r="77" spans="1:20" x14ac:dyDescent="0.3">
      <c r="A77" s="27" t="s">
        <v>256</v>
      </c>
      <c r="B77" s="4" t="s">
        <v>257</v>
      </c>
      <c r="C77" s="4" t="s">
        <v>118</v>
      </c>
      <c r="D77" s="25" t="s">
        <v>118</v>
      </c>
      <c r="E77" s="4">
        <v>32</v>
      </c>
      <c r="F77" s="25">
        <v>32</v>
      </c>
      <c r="G77" s="4" t="s">
        <v>114</v>
      </c>
      <c r="H77" s="25" t="s">
        <v>114</v>
      </c>
      <c r="I77" s="4" t="s">
        <v>66</v>
      </c>
      <c r="J77" s="25" t="s">
        <v>66</v>
      </c>
      <c r="L77" s="25" t="s">
        <v>2120</v>
      </c>
      <c r="M77" s="4" t="s">
        <v>52</v>
      </c>
      <c r="N77" s="25" t="s">
        <v>52</v>
      </c>
      <c r="O77" s="4">
        <v>1.9</v>
      </c>
      <c r="P77" s="25">
        <v>1.9</v>
      </c>
      <c r="Q77" s="4" t="s">
        <v>74</v>
      </c>
      <c r="R77" s="25" t="s">
        <v>74</v>
      </c>
      <c r="S77" s="4">
        <v>0.96</v>
      </c>
      <c r="T77" s="26">
        <v>0.96</v>
      </c>
    </row>
    <row r="78" spans="1:20" x14ac:dyDescent="0.3">
      <c r="A78" s="27" t="s">
        <v>258</v>
      </c>
      <c r="B78" s="4" t="s">
        <v>259</v>
      </c>
      <c r="C78" s="4" t="s">
        <v>37</v>
      </c>
      <c r="D78" s="25" t="s">
        <v>118</v>
      </c>
      <c r="E78" s="4">
        <v>59</v>
      </c>
      <c r="F78" s="25">
        <v>59</v>
      </c>
      <c r="G78" s="4" t="s">
        <v>29</v>
      </c>
      <c r="H78" s="25" t="s">
        <v>29</v>
      </c>
      <c r="I78" s="4" t="s">
        <v>57</v>
      </c>
      <c r="J78" s="25" t="s">
        <v>57</v>
      </c>
      <c r="K78" s="4">
        <v>9</v>
      </c>
      <c r="L78" s="25">
        <v>9</v>
      </c>
      <c r="M78" s="4" t="s">
        <v>67</v>
      </c>
      <c r="N78" s="25" t="s">
        <v>67</v>
      </c>
      <c r="O78" s="4">
        <v>4</v>
      </c>
      <c r="P78" s="25">
        <v>4</v>
      </c>
      <c r="Q78" s="4" t="s">
        <v>33</v>
      </c>
      <c r="R78" s="25" t="s">
        <v>33</v>
      </c>
      <c r="S78" s="4">
        <v>96</v>
      </c>
      <c r="T78" s="26">
        <v>96</v>
      </c>
    </row>
    <row r="79" spans="1:20" x14ac:dyDescent="0.3">
      <c r="A79" s="27" t="s">
        <v>260</v>
      </c>
      <c r="B79" s="4" t="s">
        <v>261</v>
      </c>
      <c r="C79" s="4" t="s">
        <v>45</v>
      </c>
      <c r="D79" s="25" t="s">
        <v>97</v>
      </c>
      <c r="E79" s="4">
        <v>54</v>
      </c>
      <c r="F79" s="25">
        <v>54</v>
      </c>
      <c r="G79" s="4" t="s">
        <v>212</v>
      </c>
      <c r="H79" s="25" t="s">
        <v>212</v>
      </c>
      <c r="I79" s="4" t="s">
        <v>110</v>
      </c>
      <c r="J79" s="25" t="s">
        <v>110</v>
      </c>
      <c r="K79" s="4">
        <v>32</v>
      </c>
      <c r="L79" s="25">
        <v>32</v>
      </c>
      <c r="M79" s="4" t="s">
        <v>70</v>
      </c>
      <c r="N79" s="25" t="s">
        <v>70</v>
      </c>
      <c r="O79" s="4">
        <v>1.8</v>
      </c>
      <c r="P79" s="25">
        <v>1.8</v>
      </c>
      <c r="Q79" s="4" t="s">
        <v>41</v>
      </c>
      <c r="R79" s="25" t="s">
        <v>41</v>
      </c>
      <c r="T79" s="26" t="s">
        <v>2120</v>
      </c>
    </row>
    <row r="80" spans="1:20" x14ac:dyDescent="0.3">
      <c r="A80" s="27" t="s">
        <v>262</v>
      </c>
      <c r="B80" s="4" t="s">
        <v>263</v>
      </c>
      <c r="C80" s="4" t="s">
        <v>18</v>
      </c>
      <c r="D80" s="25" t="s">
        <v>97</v>
      </c>
      <c r="E80" s="4">
        <v>37</v>
      </c>
      <c r="F80" s="25">
        <v>37</v>
      </c>
      <c r="G80" s="4" t="s">
        <v>149</v>
      </c>
      <c r="H80" s="25" t="s">
        <v>149</v>
      </c>
      <c r="I80" s="4" t="s">
        <v>39</v>
      </c>
      <c r="J80" s="25" t="s">
        <v>39</v>
      </c>
      <c r="K80" s="4">
        <v>9</v>
      </c>
      <c r="L80" s="25">
        <v>9</v>
      </c>
      <c r="M80" s="4" t="s">
        <v>51</v>
      </c>
      <c r="N80" s="25" t="s">
        <v>2119</v>
      </c>
      <c r="O80" s="4">
        <v>0</v>
      </c>
      <c r="P80" s="25">
        <v>0</v>
      </c>
      <c r="Q80" s="4" t="s">
        <v>33</v>
      </c>
      <c r="R80" s="25" t="s">
        <v>33</v>
      </c>
      <c r="S80" s="4">
        <v>0.89</v>
      </c>
      <c r="T80" s="26">
        <v>0.89</v>
      </c>
    </row>
    <row r="81" spans="1:20" x14ac:dyDescent="0.3">
      <c r="A81" s="27" t="s">
        <v>264</v>
      </c>
      <c r="B81" s="4" t="s">
        <v>265</v>
      </c>
      <c r="C81" s="4" t="s">
        <v>78</v>
      </c>
      <c r="D81" s="25" t="s">
        <v>118</v>
      </c>
      <c r="E81" s="4">
        <v>54</v>
      </c>
      <c r="F81" s="25">
        <v>54</v>
      </c>
      <c r="G81" s="4" t="s">
        <v>114</v>
      </c>
      <c r="H81" s="25" t="s">
        <v>114</v>
      </c>
      <c r="I81" s="4" t="s">
        <v>135</v>
      </c>
      <c r="J81" s="25" t="s">
        <v>135</v>
      </c>
      <c r="K81" s="4">
        <v>21</v>
      </c>
      <c r="L81" s="25">
        <v>21</v>
      </c>
      <c r="M81" s="4" t="s">
        <v>251</v>
      </c>
      <c r="N81" s="25" t="s">
        <v>251</v>
      </c>
      <c r="O81" s="4">
        <v>4.5999999999999996</v>
      </c>
      <c r="P81" s="25">
        <v>4.5999999999999996</v>
      </c>
      <c r="Q81" s="4" t="s">
        <v>59</v>
      </c>
      <c r="R81" s="25" t="s">
        <v>59</v>
      </c>
      <c r="T81" s="26" t="s">
        <v>2120</v>
      </c>
    </row>
    <row r="82" spans="1:20" x14ac:dyDescent="0.3">
      <c r="A82" s="27" t="s">
        <v>266</v>
      </c>
      <c r="B82" s="4" t="s">
        <v>267</v>
      </c>
      <c r="C82" s="4" t="s">
        <v>97</v>
      </c>
      <c r="D82" s="25" t="s">
        <v>97</v>
      </c>
      <c r="E82" s="4">
        <v>33</v>
      </c>
      <c r="F82" s="25">
        <v>33</v>
      </c>
      <c r="G82" s="4" t="s">
        <v>91</v>
      </c>
      <c r="H82" s="25" t="s">
        <v>91</v>
      </c>
      <c r="I82" s="4" t="s">
        <v>93</v>
      </c>
      <c r="J82" s="25" t="s">
        <v>93</v>
      </c>
      <c r="K82" s="4">
        <v>12</v>
      </c>
      <c r="L82" s="25">
        <v>12</v>
      </c>
      <c r="M82" s="4" t="s">
        <v>22</v>
      </c>
      <c r="N82" s="25" t="s">
        <v>22</v>
      </c>
      <c r="O82" s="4">
        <v>3.6</v>
      </c>
      <c r="P82" s="25">
        <v>3.6</v>
      </c>
      <c r="Q82" s="4" t="s">
        <v>23</v>
      </c>
      <c r="R82" s="25" t="s">
        <v>23</v>
      </c>
      <c r="S82" s="4">
        <v>0.63</v>
      </c>
      <c r="T82" s="26">
        <v>0.63</v>
      </c>
    </row>
    <row r="83" spans="1:20" x14ac:dyDescent="0.3">
      <c r="A83" s="27" t="s">
        <v>268</v>
      </c>
      <c r="B83" s="4" t="s">
        <v>269</v>
      </c>
      <c r="C83" s="4" t="s">
        <v>18</v>
      </c>
      <c r="D83" s="25" t="s">
        <v>97</v>
      </c>
      <c r="E83" s="4">
        <v>25</v>
      </c>
      <c r="F83" s="25">
        <v>25</v>
      </c>
      <c r="G83" s="4" t="s">
        <v>160</v>
      </c>
      <c r="H83" s="25" t="s">
        <v>160</v>
      </c>
      <c r="I83" s="4" t="s">
        <v>46</v>
      </c>
      <c r="J83" s="25" t="s">
        <v>46</v>
      </c>
      <c r="K83" s="4">
        <v>7</v>
      </c>
      <c r="L83" s="25">
        <v>7</v>
      </c>
      <c r="M83" s="4" t="s">
        <v>70</v>
      </c>
      <c r="N83" s="25" t="s">
        <v>70</v>
      </c>
      <c r="O83" s="4">
        <v>4.4000000000000004</v>
      </c>
      <c r="P83" s="25">
        <v>4.4000000000000004</v>
      </c>
      <c r="Q83" s="4" t="s">
        <v>51</v>
      </c>
      <c r="R83" s="25" t="s">
        <v>2120</v>
      </c>
      <c r="S83" s="4">
        <v>81</v>
      </c>
      <c r="T83" s="26">
        <v>81</v>
      </c>
    </row>
    <row r="84" spans="1:20" x14ac:dyDescent="0.3">
      <c r="A84" s="27" t="s">
        <v>270</v>
      </c>
      <c r="B84" s="4" t="s">
        <v>271</v>
      </c>
      <c r="C84" s="4" t="s">
        <v>118</v>
      </c>
      <c r="D84" s="25" t="s">
        <v>118</v>
      </c>
      <c r="F84" s="25" t="s">
        <v>2119</v>
      </c>
      <c r="G84" s="4" t="s">
        <v>197</v>
      </c>
      <c r="H84" s="25" t="s">
        <v>197</v>
      </c>
      <c r="I84" s="4" t="s">
        <v>110</v>
      </c>
      <c r="J84" s="25" t="s">
        <v>110</v>
      </c>
      <c r="K84" s="4">
        <v>3</v>
      </c>
      <c r="L84" s="25">
        <v>3</v>
      </c>
      <c r="M84" s="4" t="s">
        <v>86</v>
      </c>
      <c r="N84" s="25" t="s">
        <v>86</v>
      </c>
      <c r="O84" s="4">
        <v>4.5999999999999996</v>
      </c>
      <c r="P84" s="25">
        <v>4.5999999999999996</v>
      </c>
      <c r="Q84" s="4" t="s">
        <v>41</v>
      </c>
      <c r="R84" s="25" t="s">
        <v>41</v>
      </c>
      <c r="S84" s="4">
        <v>0.74</v>
      </c>
      <c r="T84" s="26">
        <v>0.74</v>
      </c>
    </row>
    <row r="85" spans="1:20" x14ac:dyDescent="0.3">
      <c r="A85" s="27" t="s">
        <v>272</v>
      </c>
      <c r="B85" s="4" t="s">
        <v>273</v>
      </c>
      <c r="C85" s="4" t="s">
        <v>37</v>
      </c>
      <c r="D85" s="25" t="s">
        <v>118</v>
      </c>
      <c r="E85" s="4">
        <v>35</v>
      </c>
      <c r="F85" s="25">
        <v>35</v>
      </c>
      <c r="G85" s="4" t="s">
        <v>133</v>
      </c>
      <c r="H85" s="25" t="s">
        <v>133</v>
      </c>
      <c r="I85" s="4" t="s">
        <v>46</v>
      </c>
      <c r="J85" s="25" t="s">
        <v>46</v>
      </c>
      <c r="K85" s="4">
        <v>5</v>
      </c>
      <c r="L85" s="25">
        <v>5</v>
      </c>
      <c r="M85" s="4" t="s">
        <v>192</v>
      </c>
      <c r="N85" s="25" t="s">
        <v>192</v>
      </c>
      <c r="O85" s="4">
        <v>3.2</v>
      </c>
      <c r="P85" s="25">
        <v>3.2</v>
      </c>
      <c r="Q85" s="4" t="s">
        <v>59</v>
      </c>
      <c r="R85" s="25" t="s">
        <v>59</v>
      </c>
      <c r="S85" s="4">
        <v>0.72</v>
      </c>
      <c r="T85" s="26">
        <v>0.72</v>
      </c>
    </row>
    <row r="86" spans="1:20" x14ac:dyDescent="0.3">
      <c r="A86" s="27" t="s">
        <v>274</v>
      </c>
      <c r="B86" s="4" t="s">
        <v>275</v>
      </c>
      <c r="C86" s="4" t="s">
        <v>118</v>
      </c>
      <c r="D86" s="25" t="s">
        <v>118</v>
      </c>
      <c r="E86" s="4">
        <v>59</v>
      </c>
      <c r="F86" s="25">
        <v>59</v>
      </c>
      <c r="G86" s="4" t="s">
        <v>133</v>
      </c>
      <c r="H86" s="25" t="s">
        <v>133</v>
      </c>
      <c r="I86" s="4" t="s">
        <v>57</v>
      </c>
      <c r="J86" s="25" t="s">
        <v>57</v>
      </c>
      <c r="K86" s="4">
        <v>30</v>
      </c>
      <c r="L86" s="25">
        <v>30</v>
      </c>
      <c r="M86" s="4" t="s">
        <v>47</v>
      </c>
      <c r="N86" s="25" t="s">
        <v>47</v>
      </c>
      <c r="O86" s="4">
        <v>0</v>
      </c>
      <c r="P86" s="25">
        <v>0</v>
      </c>
      <c r="Q86" s="4" t="s">
        <v>74</v>
      </c>
      <c r="R86" s="25" t="s">
        <v>74</v>
      </c>
      <c r="T86" s="26" t="s">
        <v>2120</v>
      </c>
    </row>
    <row r="87" spans="1:20" x14ac:dyDescent="0.3">
      <c r="A87" s="27" t="s">
        <v>276</v>
      </c>
      <c r="B87" s="4" t="s">
        <v>277</v>
      </c>
      <c r="C87" s="4" t="s">
        <v>50</v>
      </c>
      <c r="D87" s="25" t="s">
        <v>97</v>
      </c>
      <c r="E87" s="4">
        <v>21</v>
      </c>
      <c r="F87" s="25">
        <v>21</v>
      </c>
      <c r="G87" s="4" t="s">
        <v>197</v>
      </c>
      <c r="H87" s="25" t="s">
        <v>197</v>
      </c>
      <c r="I87" s="4" t="s">
        <v>110</v>
      </c>
      <c r="J87" s="25" t="s">
        <v>110</v>
      </c>
      <c r="K87" s="4">
        <v>2</v>
      </c>
      <c r="L87" s="25">
        <v>2</v>
      </c>
      <c r="M87" s="4" t="s">
        <v>22</v>
      </c>
      <c r="N87" s="25" t="s">
        <v>22</v>
      </c>
      <c r="O87" s="4">
        <v>2.6</v>
      </c>
      <c r="P87" s="25">
        <v>2.6</v>
      </c>
      <c r="Q87" s="4" t="s">
        <v>94</v>
      </c>
      <c r="R87" s="25" t="s">
        <v>94</v>
      </c>
      <c r="S87" s="4">
        <v>0.85</v>
      </c>
      <c r="T87" s="26">
        <v>0.85</v>
      </c>
    </row>
    <row r="88" spans="1:20" x14ac:dyDescent="0.3">
      <c r="A88" s="27" t="s">
        <v>278</v>
      </c>
      <c r="B88" s="4" t="s">
        <v>279</v>
      </c>
      <c r="C88" s="4" t="s">
        <v>113</v>
      </c>
      <c r="D88" s="25" t="s">
        <v>118</v>
      </c>
      <c r="E88" s="4">
        <v>25</v>
      </c>
      <c r="F88" s="25">
        <v>25</v>
      </c>
      <c r="G88" s="4" t="s">
        <v>73</v>
      </c>
      <c r="H88" s="25" t="s">
        <v>73</v>
      </c>
      <c r="I88" s="4" t="s">
        <v>31</v>
      </c>
      <c r="J88" s="25" t="s">
        <v>31</v>
      </c>
      <c r="K88" s="4">
        <v>2</v>
      </c>
      <c r="L88" s="25">
        <v>2</v>
      </c>
      <c r="M88" s="4" t="s">
        <v>192</v>
      </c>
      <c r="N88" s="25" t="s">
        <v>192</v>
      </c>
      <c r="O88" s="4">
        <v>3.7</v>
      </c>
      <c r="P88" s="25">
        <v>3.7</v>
      </c>
      <c r="Q88" s="4" t="s">
        <v>41</v>
      </c>
      <c r="R88" s="25" t="s">
        <v>41</v>
      </c>
      <c r="T88" s="26" t="s">
        <v>2120</v>
      </c>
    </row>
    <row r="89" spans="1:20" x14ac:dyDescent="0.3">
      <c r="A89" s="27" t="s">
        <v>280</v>
      </c>
      <c r="B89" s="4" t="s">
        <v>281</v>
      </c>
      <c r="C89" s="4" t="s">
        <v>18</v>
      </c>
      <c r="D89" s="25" t="s">
        <v>97</v>
      </c>
      <c r="E89" s="4">
        <v>38</v>
      </c>
      <c r="F89" s="25">
        <v>38</v>
      </c>
      <c r="G89" s="4" t="s">
        <v>201</v>
      </c>
      <c r="H89" s="25" t="s">
        <v>201</v>
      </c>
      <c r="I89" s="4" t="s">
        <v>46</v>
      </c>
      <c r="J89" s="25" t="s">
        <v>46</v>
      </c>
      <c r="K89" s="4">
        <v>19</v>
      </c>
      <c r="L89" s="25">
        <v>19</v>
      </c>
      <c r="M89" s="4" t="s">
        <v>103</v>
      </c>
      <c r="N89" s="25" t="s">
        <v>103</v>
      </c>
      <c r="O89" s="4">
        <v>2.2999999999999998</v>
      </c>
      <c r="P89" s="25">
        <v>2.2999999999999998</v>
      </c>
      <c r="Q89" s="4" t="s">
        <v>59</v>
      </c>
      <c r="R89" s="25" t="s">
        <v>59</v>
      </c>
      <c r="S89" s="4">
        <v>0.61</v>
      </c>
      <c r="T89" s="26">
        <v>0.61</v>
      </c>
    </row>
    <row r="90" spans="1:20" x14ac:dyDescent="0.3">
      <c r="A90" s="27" t="s">
        <v>282</v>
      </c>
      <c r="B90" s="4" t="s">
        <v>283</v>
      </c>
      <c r="C90" s="4" t="s">
        <v>118</v>
      </c>
      <c r="D90" s="25" t="s">
        <v>118</v>
      </c>
      <c r="E90" s="4">
        <v>57</v>
      </c>
      <c r="F90" s="25">
        <v>57</v>
      </c>
      <c r="G90" s="4" t="s">
        <v>145</v>
      </c>
      <c r="H90" s="25" t="s">
        <v>145</v>
      </c>
      <c r="I90" s="4" t="s">
        <v>57</v>
      </c>
      <c r="J90" s="25" t="s">
        <v>57</v>
      </c>
      <c r="K90" s="4">
        <v>16</v>
      </c>
      <c r="L90" s="25">
        <v>16</v>
      </c>
      <c r="M90" s="4" t="s">
        <v>22</v>
      </c>
      <c r="N90" s="25" t="s">
        <v>22</v>
      </c>
      <c r="O90" s="4">
        <v>3.1</v>
      </c>
      <c r="P90" s="25">
        <v>3.1</v>
      </c>
      <c r="Q90" s="4" t="s">
        <v>59</v>
      </c>
      <c r="R90" s="25" t="s">
        <v>59</v>
      </c>
      <c r="T90" s="26" t="s">
        <v>2120</v>
      </c>
    </row>
    <row r="91" spans="1:20" x14ac:dyDescent="0.3">
      <c r="A91" s="27" t="s">
        <v>284</v>
      </c>
      <c r="B91" s="4" t="s">
        <v>285</v>
      </c>
      <c r="C91" s="4" t="s">
        <v>63</v>
      </c>
      <c r="D91" s="25" t="s">
        <v>118</v>
      </c>
      <c r="E91" s="4">
        <v>32</v>
      </c>
      <c r="F91" s="25">
        <v>32</v>
      </c>
      <c r="G91" s="4" t="s">
        <v>114</v>
      </c>
      <c r="H91" s="25" t="s">
        <v>114</v>
      </c>
      <c r="I91" s="4" t="s">
        <v>31</v>
      </c>
      <c r="J91" s="25" t="s">
        <v>31</v>
      </c>
      <c r="K91" s="4">
        <v>10</v>
      </c>
      <c r="L91" s="25">
        <v>10</v>
      </c>
      <c r="M91" s="4" t="s">
        <v>142</v>
      </c>
      <c r="N91" s="25" t="s">
        <v>142</v>
      </c>
      <c r="O91" s="4">
        <v>2.4</v>
      </c>
      <c r="P91" s="25">
        <v>2.4</v>
      </c>
      <c r="Q91" s="4" t="s">
        <v>23</v>
      </c>
      <c r="R91" s="25" t="s">
        <v>23</v>
      </c>
      <c r="S91" s="4">
        <v>0.86</v>
      </c>
      <c r="T91" s="26">
        <v>0.86</v>
      </c>
    </row>
    <row r="92" spans="1:20" x14ac:dyDescent="0.3">
      <c r="A92" s="27" t="s">
        <v>286</v>
      </c>
      <c r="B92" s="4" t="s">
        <v>287</v>
      </c>
      <c r="C92" s="4" t="s">
        <v>37</v>
      </c>
      <c r="D92" s="25" t="s">
        <v>118</v>
      </c>
      <c r="E92" s="4">
        <v>21</v>
      </c>
      <c r="F92" s="25">
        <v>21</v>
      </c>
      <c r="G92" s="4" t="s">
        <v>19</v>
      </c>
      <c r="H92" s="25" t="s">
        <v>19</v>
      </c>
      <c r="I92" s="4" t="s">
        <v>110</v>
      </c>
      <c r="J92" s="25" t="s">
        <v>110</v>
      </c>
      <c r="K92" s="4">
        <v>2</v>
      </c>
      <c r="L92" s="25">
        <v>2</v>
      </c>
      <c r="M92" s="4" t="s">
        <v>32</v>
      </c>
      <c r="N92" s="25" t="s">
        <v>32</v>
      </c>
      <c r="O92" s="4">
        <v>1.6</v>
      </c>
      <c r="P92" s="25">
        <v>1.6</v>
      </c>
      <c r="Q92" s="4" t="s">
        <v>87</v>
      </c>
      <c r="R92" s="25" t="s">
        <v>87</v>
      </c>
      <c r="S92" s="4">
        <v>0.97</v>
      </c>
      <c r="T92" s="26">
        <v>0.97</v>
      </c>
    </row>
    <row r="93" spans="1:20" x14ac:dyDescent="0.3">
      <c r="A93" s="27" t="s">
        <v>288</v>
      </c>
      <c r="B93" s="4" t="s">
        <v>289</v>
      </c>
      <c r="C93" s="4" t="s">
        <v>97</v>
      </c>
      <c r="D93" s="25" t="s">
        <v>97</v>
      </c>
      <c r="E93" s="4">
        <v>57</v>
      </c>
      <c r="F93" s="25">
        <v>57</v>
      </c>
      <c r="G93" s="4" t="s">
        <v>149</v>
      </c>
      <c r="H93" s="25" t="s">
        <v>149</v>
      </c>
      <c r="I93" s="4" t="s">
        <v>98</v>
      </c>
      <c r="J93" s="25" t="s">
        <v>98</v>
      </c>
      <c r="K93" s="4">
        <v>18</v>
      </c>
      <c r="L93" s="25">
        <v>18</v>
      </c>
      <c r="M93" s="4" t="s">
        <v>40</v>
      </c>
      <c r="N93" s="25" t="s">
        <v>40</v>
      </c>
      <c r="O93" s="4">
        <v>2.4</v>
      </c>
      <c r="P93" s="25">
        <v>2.4</v>
      </c>
      <c r="Q93" s="4" t="s">
        <v>33</v>
      </c>
      <c r="R93" s="25" t="s">
        <v>33</v>
      </c>
      <c r="S93" s="4">
        <v>0.63</v>
      </c>
      <c r="T93" s="26">
        <v>0.63</v>
      </c>
    </row>
    <row r="94" spans="1:20" x14ac:dyDescent="0.3">
      <c r="A94" s="27" t="s">
        <v>290</v>
      </c>
      <c r="B94" s="4" t="s">
        <v>291</v>
      </c>
      <c r="C94" s="4" t="s">
        <v>37</v>
      </c>
      <c r="D94" s="25" t="s">
        <v>118</v>
      </c>
      <c r="E94" s="4">
        <v>53</v>
      </c>
      <c r="F94" s="25">
        <v>53</v>
      </c>
      <c r="G94" s="4" t="s">
        <v>197</v>
      </c>
      <c r="H94" s="25" t="s">
        <v>197</v>
      </c>
      <c r="I94" s="4" t="s">
        <v>93</v>
      </c>
      <c r="J94" s="25" t="s">
        <v>93</v>
      </c>
      <c r="K94" s="4">
        <v>21</v>
      </c>
      <c r="L94" s="25">
        <v>21</v>
      </c>
      <c r="M94" s="4" t="s">
        <v>32</v>
      </c>
      <c r="N94" s="25" t="s">
        <v>32</v>
      </c>
      <c r="P94" s="25" t="s">
        <v>2120</v>
      </c>
      <c r="Q94" s="4" t="s">
        <v>94</v>
      </c>
      <c r="R94" s="25" t="s">
        <v>94</v>
      </c>
      <c r="S94" s="4">
        <v>0.97</v>
      </c>
      <c r="T94" s="26">
        <v>0.97</v>
      </c>
    </row>
    <row r="95" spans="1:20" x14ac:dyDescent="0.3">
      <c r="A95" s="27" t="s">
        <v>292</v>
      </c>
      <c r="B95" s="4" t="s">
        <v>293</v>
      </c>
      <c r="C95" s="4" t="s">
        <v>113</v>
      </c>
      <c r="D95" s="25" t="s">
        <v>118</v>
      </c>
      <c r="E95" s="4">
        <v>35</v>
      </c>
      <c r="F95" s="25">
        <v>35</v>
      </c>
      <c r="G95" s="4" t="s">
        <v>145</v>
      </c>
      <c r="H95" s="25" t="s">
        <v>145</v>
      </c>
      <c r="I95" s="4" t="s">
        <v>21</v>
      </c>
      <c r="J95" s="25" t="s">
        <v>21</v>
      </c>
      <c r="K95" s="4">
        <v>3</v>
      </c>
      <c r="L95" s="25">
        <v>3</v>
      </c>
      <c r="M95" s="4" t="s">
        <v>130</v>
      </c>
      <c r="N95" s="25" t="s">
        <v>130</v>
      </c>
      <c r="O95" s="4">
        <v>3.8</v>
      </c>
      <c r="P95" s="25">
        <v>3.8</v>
      </c>
      <c r="Q95" s="4" t="s">
        <v>87</v>
      </c>
      <c r="R95" s="25" t="s">
        <v>87</v>
      </c>
      <c r="S95" s="4">
        <v>0.81</v>
      </c>
      <c r="T95" s="26">
        <v>0.81</v>
      </c>
    </row>
    <row r="96" spans="1:20" x14ac:dyDescent="0.3">
      <c r="A96" s="27" t="s">
        <v>294</v>
      </c>
      <c r="B96" s="4" t="s">
        <v>295</v>
      </c>
      <c r="C96" s="4" t="s">
        <v>18</v>
      </c>
      <c r="D96" s="25" t="s">
        <v>97</v>
      </c>
      <c r="E96" s="4">
        <v>54</v>
      </c>
      <c r="F96" s="25">
        <v>54</v>
      </c>
      <c r="G96" s="4" t="s">
        <v>197</v>
      </c>
      <c r="H96" s="25" t="s">
        <v>197</v>
      </c>
      <c r="I96" s="4" t="s">
        <v>135</v>
      </c>
      <c r="J96" s="25" t="s">
        <v>135</v>
      </c>
      <c r="K96" s="4">
        <v>17</v>
      </c>
      <c r="L96" s="25">
        <v>17</v>
      </c>
      <c r="M96" s="4" t="s">
        <v>162</v>
      </c>
      <c r="N96" s="25" t="s">
        <v>162</v>
      </c>
      <c r="O96" s="4">
        <v>1.7</v>
      </c>
      <c r="P96" s="25">
        <v>1.7</v>
      </c>
      <c r="Q96" s="4" t="s">
        <v>23</v>
      </c>
      <c r="R96" s="25" t="s">
        <v>23</v>
      </c>
      <c r="S96" s="4">
        <v>0.69</v>
      </c>
      <c r="T96" s="26">
        <v>0.69</v>
      </c>
    </row>
    <row r="97" spans="1:20" x14ac:dyDescent="0.3">
      <c r="A97" s="27" t="s">
        <v>296</v>
      </c>
      <c r="B97" s="4" t="s">
        <v>297</v>
      </c>
      <c r="C97" s="4" t="s">
        <v>28</v>
      </c>
      <c r="D97" s="25" t="s">
        <v>97</v>
      </c>
      <c r="E97" s="4">
        <v>36</v>
      </c>
      <c r="F97" s="25">
        <v>36</v>
      </c>
      <c r="G97" s="4" t="s">
        <v>19</v>
      </c>
      <c r="H97" s="25" t="s">
        <v>19</v>
      </c>
      <c r="I97" s="4" t="s">
        <v>93</v>
      </c>
      <c r="J97" s="25" t="s">
        <v>93</v>
      </c>
      <c r="K97" s="4">
        <v>0</v>
      </c>
      <c r="L97" s="25">
        <v>0</v>
      </c>
      <c r="M97" s="4" t="s">
        <v>162</v>
      </c>
      <c r="N97" s="25" t="s">
        <v>162</v>
      </c>
      <c r="O97" s="4">
        <v>1.3</v>
      </c>
      <c r="P97" s="25">
        <v>1.3</v>
      </c>
      <c r="Q97" s="4" t="s">
        <v>94</v>
      </c>
      <c r="R97" s="25" t="s">
        <v>94</v>
      </c>
      <c r="S97" s="4">
        <v>0.64</v>
      </c>
      <c r="T97" s="26">
        <v>0.64</v>
      </c>
    </row>
    <row r="98" spans="1:20" x14ac:dyDescent="0.3">
      <c r="A98" s="27" t="s">
        <v>298</v>
      </c>
      <c r="B98" s="4" t="s">
        <v>299</v>
      </c>
      <c r="C98" s="4" t="s">
        <v>18</v>
      </c>
      <c r="D98" s="25" t="s">
        <v>97</v>
      </c>
      <c r="E98" s="4">
        <v>49</v>
      </c>
      <c r="F98" s="25">
        <v>49</v>
      </c>
      <c r="G98" s="4" t="s">
        <v>212</v>
      </c>
      <c r="H98" s="25" t="s">
        <v>212</v>
      </c>
      <c r="I98" s="4" t="s">
        <v>98</v>
      </c>
      <c r="J98" s="25" t="s">
        <v>98</v>
      </c>
      <c r="K98" s="4">
        <v>25</v>
      </c>
      <c r="L98" s="25">
        <v>25</v>
      </c>
      <c r="M98" s="4" t="s">
        <v>40</v>
      </c>
      <c r="N98" s="25" t="s">
        <v>40</v>
      </c>
      <c r="O98" s="4">
        <v>5</v>
      </c>
      <c r="P98" s="25">
        <v>5</v>
      </c>
      <c r="Q98" s="4" t="s">
        <v>41</v>
      </c>
      <c r="R98" s="25" t="s">
        <v>41</v>
      </c>
      <c r="S98" s="4">
        <v>0.77</v>
      </c>
      <c r="T98" s="26">
        <v>0.77</v>
      </c>
    </row>
    <row r="99" spans="1:20" x14ac:dyDescent="0.3">
      <c r="A99" s="27" t="s">
        <v>300</v>
      </c>
      <c r="B99" s="4" t="s">
        <v>301</v>
      </c>
      <c r="C99" s="4" t="s">
        <v>118</v>
      </c>
      <c r="D99" s="25" t="s">
        <v>118</v>
      </c>
      <c r="E99" s="4">
        <v>37</v>
      </c>
      <c r="F99" s="25">
        <v>37</v>
      </c>
      <c r="G99" s="4" t="s">
        <v>73</v>
      </c>
      <c r="H99" s="25" t="s">
        <v>73</v>
      </c>
      <c r="I99" s="4" t="s">
        <v>21</v>
      </c>
      <c r="J99" s="25" t="s">
        <v>21</v>
      </c>
      <c r="K99" s="4">
        <v>17</v>
      </c>
      <c r="L99" s="25">
        <v>17</v>
      </c>
      <c r="M99" s="4" t="s">
        <v>162</v>
      </c>
      <c r="N99" s="25" t="s">
        <v>162</v>
      </c>
      <c r="O99" s="4">
        <v>3.3</v>
      </c>
      <c r="P99" s="25">
        <v>3.3</v>
      </c>
      <c r="Q99" s="4" t="s">
        <v>23</v>
      </c>
      <c r="R99" s="25" t="s">
        <v>23</v>
      </c>
      <c r="S99" s="4">
        <v>96</v>
      </c>
      <c r="T99" s="26">
        <v>96</v>
      </c>
    </row>
    <row r="100" spans="1:20" x14ac:dyDescent="0.3">
      <c r="A100" s="27" t="s">
        <v>302</v>
      </c>
      <c r="B100" s="4" t="s">
        <v>303</v>
      </c>
      <c r="C100" s="4" t="s">
        <v>78</v>
      </c>
      <c r="D100" s="25" t="s">
        <v>118</v>
      </c>
      <c r="F100" s="25" t="s">
        <v>2119</v>
      </c>
      <c r="G100" s="4" t="s">
        <v>73</v>
      </c>
      <c r="H100" s="25" t="s">
        <v>73</v>
      </c>
      <c r="I100" s="4" t="s">
        <v>93</v>
      </c>
      <c r="J100" s="25" t="s">
        <v>93</v>
      </c>
      <c r="K100" s="4">
        <v>5</v>
      </c>
      <c r="L100" s="25">
        <v>5</v>
      </c>
      <c r="M100" s="4" t="s">
        <v>142</v>
      </c>
      <c r="N100" s="25" t="s">
        <v>142</v>
      </c>
      <c r="O100" s="4">
        <v>1.1000000000000001</v>
      </c>
      <c r="P100" s="25">
        <v>1.1000000000000001</v>
      </c>
      <c r="Q100" s="4" t="s">
        <v>181</v>
      </c>
      <c r="R100" s="25" t="s">
        <v>181</v>
      </c>
      <c r="S100" s="4">
        <v>0.74</v>
      </c>
      <c r="T100" s="26">
        <v>0.74</v>
      </c>
    </row>
    <row r="101" spans="1:20" x14ac:dyDescent="0.3">
      <c r="A101" s="27" t="s">
        <v>304</v>
      </c>
      <c r="B101" s="4" t="s">
        <v>305</v>
      </c>
      <c r="C101" s="4" t="s">
        <v>63</v>
      </c>
      <c r="D101" s="25" t="s">
        <v>118</v>
      </c>
      <c r="E101" s="4">
        <v>32</v>
      </c>
      <c r="F101" s="25">
        <v>32</v>
      </c>
      <c r="G101" s="4" t="s">
        <v>160</v>
      </c>
      <c r="H101" s="25" t="s">
        <v>160</v>
      </c>
      <c r="I101" s="4" t="s">
        <v>93</v>
      </c>
      <c r="J101" s="25" t="s">
        <v>93</v>
      </c>
      <c r="K101" s="4">
        <v>10</v>
      </c>
      <c r="L101" s="25">
        <v>10</v>
      </c>
      <c r="M101" s="4" t="s">
        <v>40</v>
      </c>
      <c r="N101" s="25" t="s">
        <v>40</v>
      </c>
      <c r="O101" s="4">
        <v>1.2</v>
      </c>
      <c r="P101" s="25">
        <v>1.2</v>
      </c>
      <c r="Q101" s="4" t="s">
        <v>59</v>
      </c>
      <c r="R101" s="25" t="s">
        <v>59</v>
      </c>
      <c r="S101" s="4">
        <v>0.89</v>
      </c>
      <c r="T101" s="26">
        <v>0.89</v>
      </c>
    </row>
    <row r="102" spans="1:20" x14ac:dyDescent="0.3">
      <c r="A102" s="27" t="s">
        <v>306</v>
      </c>
      <c r="B102" s="4" t="s">
        <v>307</v>
      </c>
      <c r="C102" s="4" t="s">
        <v>63</v>
      </c>
      <c r="D102" s="25" t="s">
        <v>118</v>
      </c>
      <c r="E102" s="4">
        <v>35</v>
      </c>
      <c r="F102" s="25">
        <v>35</v>
      </c>
      <c r="G102" s="4" t="s">
        <v>114</v>
      </c>
      <c r="H102" s="25" t="s">
        <v>114</v>
      </c>
      <c r="I102" s="4" t="s">
        <v>31</v>
      </c>
      <c r="J102" s="25" t="s">
        <v>31</v>
      </c>
      <c r="K102" s="4">
        <v>0</v>
      </c>
      <c r="L102" s="25">
        <v>0</v>
      </c>
      <c r="M102" s="4" t="s">
        <v>51</v>
      </c>
      <c r="N102" s="25" t="s">
        <v>2119</v>
      </c>
      <c r="O102" s="4">
        <v>2</v>
      </c>
      <c r="P102" s="25">
        <v>2</v>
      </c>
      <c r="Q102" s="4" t="s">
        <v>33</v>
      </c>
      <c r="R102" s="25" t="s">
        <v>33</v>
      </c>
      <c r="S102" s="4">
        <v>0.64</v>
      </c>
      <c r="T102" s="26">
        <v>0.64</v>
      </c>
    </row>
    <row r="103" spans="1:20" x14ac:dyDescent="0.3">
      <c r="A103" s="27" t="s">
        <v>308</v>
      </c>
      <c r="B103" s="4" t="s">
        <v>309</v>
      </c>
      <c r="C103" s="4" t="s">
        <v>18</v>
      </c>
      <c r="D103" s="25" t="s">
        <v>97</v>
      </c>
      <c r="E103" s="4">
        <v>51</v>
      </c>
      <c r="F103" s="25">
        <v>51</v>
      </c>
      <c r="G103" s="4" t="s">
        <v>145</v>
      </c>
      <c r="H103" s="25" t="s">
        <v>145</v>
      </c>
      <c r="I103" s="4" t="s">
        <v>39</v>
      </c>
      <c r="J103" s="25" t="s">
        <v>39</v>
      </c>
      <c r="K103" s="4">
        <v>2</v>
      </c>
      <c r="L103" s="25">
        <v>2</v>
      </c>
      <c r="M103" s="4" t="s">
        <v>58</v>
      </c>
      <c r="N103" s="25" t="s">
        <v>58</v>
      </c>
      <c r="O103" s="4">
        <v>4.5</v>
      </c>
      <c r="P103" s="25">
        <v>4.5</v>
      </c>
      <c r="Q103" s="4" t="s">
        <v>23</v>
      </c>
      <c r="R103" s="25" t="s">
        <v>23</v>
      </c>
      <c r="S103" s="4">
        <v>64</v>
      </c>
      <c r="T103" s="26">
        <v>64</v>
      </c>
    </row>
    <row r="104" spans="1:20" x14ac:dyDescent="0.3">
      <c r="A104" s="27" t="s">
        <v>310</v>
      </c>
      <c r="B104" s="4" t="s">
        <v>311</v>
      </c>
      <c r="C104" s="4" t="s">
        <v>18</v>
      </c>
      <c r="D104" s="25" t="s">
        <v>97</v>
      </c>
      <c r="E104" s="4">
        <v>50</v>
      </c>
      <c r="F104" s="25">
        <v>50</v>
      </c>
      <c r="G104" s="4" t="s">
        <v>145</v>
      </c>
      <c r="H104" s="25" t="s">
        <v>145</v>
      </c>
      <c r="I104" s="4" t="s">
        <v>110</v>
      </c>
      <c r="J104" s="25" t="s">
        <v>110</v>
      </c>
      <c r="K104" s="4">
        <v>30</v>
      </c>
      <c r="L104" s="25">
        <v>30</v>
      </c>
      <c r="M104" s="4" t="s">
        <v>22</v>
      </c>
      <c r="N104" s="25" t="s">
        <v>22</v>
      </c>
      <c r="O104" s="4">
        <v>3</v>
      </c>
      <c r="P104" s="25">
        <v>3</v>
      </c>
      <c r="Q104" s="4" t="s">
        <v>33</v>
      </c>
      <c r="R104" s="25" t="s">
        <v>33</v>
      </c>
      <c r="S104" s="4">
        <v>0.73</v>
      </c>
      <c r="T104" s="26">
        <v>0.73</v>
      </c>
    </row>
    <row r="105" spans="1:20" x14ac:dyDescent="0.3">
      <c r="A105" s="27" t="s">
        <v>312</v>
      </c>
      <c r="B105" s="4" t="s">
        <v>313</v>
      </c>
      <c r="C105" s="4" t="s">
        <v>18</v>
      </c>
      <c r="D105" s="25" t="s">
        <v>97</v>
      </c>
      <c r="E105" s="4">
        <v>21</v>
      </c>
      <c r="F105" s="25">
        <v>21</v>
      </c>
      <c r="G105" s="4" t="s">
        <v>79</v>
      </c>
      <c r="H105" s="25" t="s">
        <v>79</v>
      </c>
      <c r="I105" s="4" t="s">
        <v>21</v>
      </c>
      <c r="J105" s="25" t="s">
        <v>21</v>
      </c>
      <c r="K105" s="4">
        <v>2</v>
      </c>
      <c r="L105" s="25">
        <v>2</v>
      </c>
      <c r="M105" s="4" t="s">
        <v>81</v>
      </c>
      <c r="N105" s="25" t="s">
        <v>81</v>
      </c>
      <c r="O105" s="4">
        <v>4.9000000000000004</v>
      </c>
      <c r="P105" s="25">
        <v>4.9000000000000004</v>
      </c>
      <c r="Q105" s="4" t="s">
        <v>87</v>
      </c>
      <c r="R105" s="25" t="s">
        <v>87</v>
      </c>
      <c r="S105" s="4">
        <v>0.68</v>
      </c>
      <c r="T105" s="26">
        <v>0.68</v>
      </c>
    </row>
    <row r="106" spans="1:20" x14ac:dyDescent="0.3">
      <c r="A106" s="27" t="s">
        <v>314</v>
      </c>
      <c r="B106" s="4" t="s">
        <v>315</v>
      </c>
      <c r="C106" s="4" t="s">
        <v>78</v>
      </c>
      <c r="D106" s="25" t="s">
        <v>118</v>
      </c>
      <c r="E106" s="4">
        <v>25</v>
      </c>
      <c r="F106" s="25">
        <v>25</v>
      </c>
      <c r="G106" s="4" t="s">
        <v>73</v>
      </c>
      <c r="H106" s="25" t="s">
        <v>73</v>
      </c>
      <c r="I106" s="4" t="s">
        <v>39</v>
      </c>
      <c r="J106" s="25" t="s">
        <v>39</v>
      </c>
      <c r="K106" s="4">
        <v>3</v>
      </c>
      <c r="L106" s="25">
        <v>3</v>
      </c>
      <c r="M106" s="4" t="s">
        <v>58</v>
      </c>
      <c r="N106" s="25" t="s">
        <v>58</v>
      </c>
      <c r="P106" s="25" t="s">
        <v>2120</v>
      </c>
      <c r="Q106" s="4" t="s">
        <v>181</v>
      </c>
      <c r="R106" s="25" t="s">
        <v>181</v>
      </c>
      <c r="S106" s="4">
        <v>0.88</v>
      </c>
      <c r="T106" s="26">
        <v>0.88</v>
      </c>
    </row>
    <row r="107" spans="1:20" x14ac:dyDescent="0.3">
      <c r="A107" s="27" t="s">
        <v>316</v>
      </c>
      <c r="B107" s="4" t="s">
        <v>317</v>
      </c>
      <c r="C107" s="4" t="s">
        <v>28</v>
      </c>
      <c r="D107" s="25" t="s">
        <v>97</v>
      </c>
      <c r="E107" s="4">
        <v>57</v>
      </c>
      <c r="F107" s="25">
        <v>57</v>
      </c>
      <c r="G107" s="4" t="s">
        <v>156</v>
      </c>
      <c r="H107" s="25" t="s">
        <v>156</v>
      </c>
      <c r="I107" s="4" t="s">
        <v>110</v>
      </c>
      <c r="J107" s="25" t="s">
        <v>110</v>
      </c>
      <c r="K107" s="4">
        <v>21</v>
      </c>
      <c r="L107" s="25">
        <v>21</v>
      </c>
      <c r="M107" s="4" t="s">
        <v>47</v>
      </c>
      <c r="N107" s="25" t="s">
        <v>47</v>
      </c>
      <c r="O107" s="4">
        <v>2.5</v>
      </c>
      <c r="P107" s="25">
        <v>2.5</v>
      </c>
      <c r="Q107" s="4" t="s">
        <v>23</v>
      </c>
      <c r="R107" s="25" t="s">
        <v>23</v>
      </c>
      <c r="S107" s="4">
        <v>0.77</v>
      </c>
      <c r="T107" s="26">
        <v>0.77</v>
      </c>
    </row>
    <row r="108" spans="1:20" x14ac:dyDescent="0.3">
      <c r="A108" s="27" t="s">
        <v>318</v>
      </c>
      <c r="B108" s="4" t="s">
        <v>319</v>
      </c>
      <c r="C108" s="4" t="s">
        <v>63</v>
      </c>
      <c r="D108" s="25" t="s">
        <v>118</v>
      </c>
      <c r="E108" s="4">
        <v>58</v>
      </c>
      <c r="F108" s="25">
        <v>58</v>
      </c>
      <c r="G108" s="4" t="s">
        <v>145</v>
      </c>
      <c r="H108" s="25" t="s">
        <v>145</v>
      </c>
      <c r="I108" s="4" t="s">
        <v>21</v>
      </c>
      <c r="J108" s="25" t="s">
        <v>21</v>
      </c>
      <c r="K108" s="4">
        <v>3</v>
      </c>
      <c r="L108" s="25">
        <v>3</v>
      </c>
      <c r="M108" s="4" t="s">
        <v>51</v>
      </c>
      <c r="N108" s="25" t="s">
        <v>2119</v>
      </c>
      <c r="O108" s="4">
        <v>0</v>
      </c>
      <c r="P108" s="25">
        <v>0</v>
      </c>
      <c r="Q108" s="4" t="s">
        <v>33</v>
      </c>
      <c r="R108" s="25" t="s">
        <v>33</v>
      </c>
      <c r="T108" s="26" t="s">
        <v>2120</v>
      </c>
    </row>
    <row r="109" spans="1:20" x14ac:dyDescent="0.3">
      <c r="A109" s="27" t="s">
        <v>320</v>
      </c>
      <c r="B109" s="4" t="s">
        <v>321</v>
      </c>
      <c r="C109" s="4" t="s">
        <v>45</v>
      </c>
      <c r="D109" s="25" t="s">
        <v>97</v>
      </c>
      <c r="E109" s="4">
        <v>45</v>
      </c>
      <c r="F109" s="25">
        <v>45</v>
      </c>
      <c r="G109" s="4" t="s">
        <v>64</v>
      </c>
      <c r="H109" s="25" t="s">
        <v>64</v>
      </c>
      <c r="I109" s="4" t="s">
        <v>31</v>
      </c>
      <c r="J109" s="25" t="s">
        <v>31</v>
      </c>
      <c r="K109" s="4">
        <v>19</v>
      </c>
      <c r="L109" s="25">
        <v>19</v>
      </c>
      <c r="M109" s="4" t="s">
        <v>86</v>
      </c>
      <c r="N109" s="25" t="s">
        <v>86</v>
      </c>
      <c r="P109" s="25" t="s">
        <v>2120</v>
      </c>
      <c r="Q109" s="4" t="s">
        <v>33</v>
      </c>
      <c r="R109" s="25" t="s">
        <v>33</v>
      </c>
      <c r="S109" s="4">
        <v>0.72</v>
      </c>
      <c r="T109" s="26">
        <v>0.72</v>
      </c>
    </row>
    <row r="110" spans="1:20" x14ac:dyDescent="0.3">
      <c r="A110" s="27" t="s">
        <v>322</v>
      </c>
      <c r="B110" s="4" t="s">
        <v>323</v>
      </c>
      <c r="C110" s="4" t="s">
        <v>45</v>
      </c>
      <c r="D110" s="25" t="s">
        <v>97</v>
      </c>
      <c r="E110" s="4">
        <v>23</v>
      </c>
      <c r="F110" s="25">
        <v>23</v>
      </c>
      <c r="G110" s="4" t="s">
        <v>73</v>
      </c>
      <c r="H110" s="25" t="s">
        <v>73</v>
      </c>
      <c r="I110" s="4" t="s">
        <v>46</v>
      </c>
      <c r="J110" s="25" t="s">
        <v>46</v>
      </c>
      <c r="K110" s="4">
        <v>0</v>
      </c>
      <c r="L110" s="25">
        <v>0</v>
      </c>
      <c r="M110" s="4" t="s">
        <v>162</v>
      </c>
      <c r="N110" s="25" t="s">
        <v>162</v>
      </c>
      <c r="O110" s="4">
        <v>4.7</v>
      </c>
      <c r="P110" s="25">
        <v>4.7</v>
      </c>
      <c r="Q110" s="4" t="s">
        <v>94</v>
      </c>
      <c r="R110" s="25" t="s">
        <v>94</v>
      </c>
      <c r="S110" s="4">
        <v>0.6</v>
      </c>
      <c r="T110" s="26">
        <v>0.6</v>
      </c>
    </row>
    <row r="111" spans="1:20" x14ac:dyDescent="0.3">
      <c r="A111" s="27" t="s">
        <v>324</v>
      </c>
      <c r="B111" s="4" t="s">
        <v>325</v>
      </c>
      <c r="C111" s="4" t="s">
        <v>28</v>
      </c>
      <c r="D111" s="25" t="s">
        <v>97</v>
      </c>
      <c r="E111" s="4">
        <v>46</v>
      </c>
      <c r="F111" s="25">
        <v>46</v>
      </c>
      <c r="G111" s="4" t="s">
        <v>73</v>
      </c>
      <c r="H111" s="25" t="s">
        <v>73</v>
      </c>
      <c r="I111" s="4" t="s">
        <v>57</v>
      </c>
      <c r="J111" s="25" t="s">
        <v>57</v>
      </c>
      <c r="K111" s="4">
        <v>9</v>
      </c>
      <c r="L111" s="25">
        <v>9</v>
      </c>
      <c r="M111" s="4" t="s">
        <v>58</v>
      </c>
      <c r="N111" s="25" t="s">
        <v>58</v>
      </c>
      <c r="O111" s="4">
        <v>3.5</v>
      </c>
      <c r="P111" s="25">
        <v>3.5</v>
      </c>
      <c r="Q111" s="4" t="s">
        <v>51</v>
      </c>
      <c r="R111" s="25" t="s">
        <v>2120</v>
      </c>
      <c r="S111" s="4">
        <v>72</v>
      </c>
      <c r="T111" s="26">
        <v>72</v>
      </c>
    </row>
    <row r="112" spans="1:20" x14ac:dyDescent="0.3">
      <c r="A112" s="27" t="s">
        <v>326</v>
      </c>
      <c r="B112" s="4" t="s">
        <v>327</v>
      </c>
      <c r="C112" s="4" t="s">
        <v>78</v>
      </c>
      <c r="D112" s="25" t="s">
        <v>118</v>
      </c>
      <c r="E112" s="4">
        <v>27</v>
      </c>
      <c r="F112" s="25">
        <v>27</v>
      </c>
      <c r="G112" s="4" t="s">
        <v>91</v>
      </c>
      <c r="H112" s="25" t="s">
        <v>91</v>
      </c>
      <c r="I112" s="4" t="s">
        <v>93</v>
      </c>
      <c r="J112" s="25" t="s">
        <v>93</v>
      </c>
      <c r="K112" s="4">
        <v>5</v>
      </c>
      <c r="L112" s="25">
        <v>5</v>
      </c>
      <c r="M112" s="4" t="s">
        <v>52</v>
      </c>
      <c r="N112" s="25" t="s">
        <v>52</v>
      </c>
      <c r="P112" s="25" t="s">
        <v>2120</v>
      </c>
      <c r="Q112" s="4" t="s">
        <v>41</v>
      </c>
      <c r="R112" s="25" t="s">
        <v>41</v>
      </c>
      <c r="S112" s="4">
        <v>0.92</v>
      </c>
      <c r="T112" s="26">
        <v>0.92</v>
      </c>
    </row>
    <row r="113" spans="1:20" x14ac:dyDescent="0.3">
      <c r="A113" s="27" t="s">
        <v>328</v>
      </c>
      <c r="B113" s="4" t="s">
        <v>329</v>
      </c>
      <c r="C113" s="4" t="s">
        <v>28</v>
      </c>
      <c r="D113" s="25" t="s">
        <v>97</v>
      </c>
      <c r="E113" s="4">
        <v>32</v>
      </c>
      <c r="F113" s="25">
        <v>32</v>
      </c>
      <c r="G113" s="4" t="s">
        <v>73</v>
      </c>
      <c r="H113" s="25" t="s">
        <v>73</v>
      </c>
      <c r="I113" s="4" t="s">
        <v>135</v>
      </c>
      <c r="J113" s="25" t="s">
        <v>135</v>
      </c>
      <c r="K113" s="4">
        <v>6</v>
      </c>
      <c r="L113" s="25">
        <v>6</v>
      </c>
      <c r="M113" s="4" t="s">
        <v>119</v>
      </c>
      <c r="N113" s="25" t="s">
        <v>119</v>
      </c>
      <c r="O113" s="4">
        <v>3.4</v>
      </c>
      <c r="P113" s="25">
        <v>3.4</v>
      </c>
      <c r="Q113" s="4" t="s">
        <v>33</v>
      </c>
      <c r="R113" s="25" t="s">
        <v>33</v>
      </c>
      <c r="T113" s="26" t="s">
        <v>2120</v>
      </c>
    </row>
    <row r="114" spans="1:20" x14ac:dyDescent="0.3">
      <c r="A114" s="27" t="s">
        <v>330</v>
      </c>
      <c r="B114" s="4" t="s">
        <v>331</v>
      </c>
      <c r="C114" s="4" t="s">
        <v>18</v>
      </c>
      <c r="D114" s="25" t="s">
        <v>97</v>
      </c>
      <c r="E114" s="4">
        <v>48</v>
      </c>
      <c r="F114" s="25">
        <v>48</v>
      </c>
      <c r="G114" s="4" t="s">
        <v>91</v>
      </c>
      <c r="H114" s="25" t="s">
        <v>91</v>
      </c>
      <c r="I114" s="4" t="s">
        <v>135</v>
      </c>
      <c r="J114" s="25" t="s">
        <v>135</v>
      </c>
      <c r="K114" s="4">
        <v>6</v>
      </c>
      <c r="L114" s="25">
        <v>6</v>
      </c>
      <c r="M114" s="4" t="s">
        <v>67</v>
      </c>
      <c r="N114" s="25" t="s">
        <v>67</v>
      </c>
      <c r="O114" s="4">
        <v>2.5</v>
      </c>
      <c r="P114" s="25">
        <v>2.5</v>
      </c>
      <c r="Q114" s="4" t="s">
        <v>51</v>
      </c>
      <c r="R114" s="25" t="s">
        <v>2120</v>
      </c>
      <c r="S114" s="4">
        <v>0.92</v>
      </c>
      <c r="T114" s="26">
        <v>0.92</v>
      </c>
    </row>
    <row r="115" spans="1:20" x14ac:dyDescent="0.3">
      <c r="A115" s="27" t="s">
        <v>332</v>
      </c>
      <c r="B115" s="4" t="s">
        <v>333</v>
      </c>
      <c r="C115" s="4" t="s">
        <v>37</v>
      </c>
      <c r="D115" s="25" t="s">
        <v>118</v>
      </c>
      <c r="E115" s="4">
        <v>30</v>
      </c>
      <c r="F115" s="25">
        <v>30</v>
      </c>
      <c r="G115" s="4" t="s">
        <v>79</v>
      </c>
      <c r="H115" s="25" t="s">
        <v>79</v>
      </c>
      <c r="I115" s="4" t="s">
        <v>31</v>
      </c>
      <c r="J115" s="25" t="s">
        <v>31</v>
      </c>
      <c r="K115" s="4">
        <v>3</v>
      </c>
      <c r="L115" s="25">
        <v>3</v>
      </c>
      <c r="M115" s="4" t="s">
        <v>58</v>
      </c>
      <c r="N115" s="25" t="s">
        <v>58</v>
      </c>
      <c r="O115" s="4">
        <v>1.1000000000000001</v>
      </c>
      <c r="P115" s="25">
        <v>1.1000000000000001</v>
      </c>
      <c r="Q115" s="4" t="s">
        <v>74</v>
      </c>
      <c r="R115" s="25" t="s">
        <v>74</v>
      </c>
      <c r="T115" s="26" t="s">
        <v>2120</v>
      </c>
    </row>
    <row r="116" spans="1:20" x14ac:dyDescent="0.3">
      <c r="A116" s="27" t="s">
        <v>334</v>
      </c>
      <c r="B116" s="4" t="s">
        <v>335</v>
      </c>
      <c r="C116" s="4" t="s">
        <v>118</v>
      </c>
      <c r="D116" s="25" t="s">
        <v>118</v>
      </c>
      <c r="E116" s="4">
        <v>59</v>
      </c>
      <c r="F116" s="25">
        <v>59</v>
      </c>
      <c r="G116" s="4" t="s">
        <v>79</v>
      </c>
      <c r="H116" s="25" t="s">
        <v>79</v>
      </c>
      <c r="I116" s="4" t="s">
        <v>57</v>
      </c>
      <c r="J116" s="25" t="s">
        <v>57</v>
      </c>
      <c r="K116" s="4">
        <v>13</v>
      </c>
      <c r="L116" s="25">
        <v>13</v>
      </c>
      <c r="M116" s="4" t="s">
        <v>336</v>
      </c>
      <c r="N116" s="25" t="s">
        <v>336</v>
      </c>
      <c r="O116" s="4">
        <v>4.8</v>
      </c>
      <c r="P116" s="25">
        <v>4.8</v>
      </c>
      <c r="Q116" s="4" t="s">
        <v>51</v>
      </c>
      <c r="R116" s="25" t="s">
        <v>2120</v>
      </c>
      <c r="T116" s="26" t="s">
        <v>2120</v>
      </c>
    </row>
    <row r="117" spans="1:20" x14ac:dyDescent="0.3">
      <c r="A117" s="27" t="s">
        <v>337</v>
      </c>
      <c r="B117" s="4" t="s">
        <v>338</v>
      </c>
      <c r="C117" s="4" t="s">
        <v>50</v>
      </c>
      <c r="D117" s="25" t="s">
        <v>97</v>
      </c>
      <c r="E117" s="4">
        <v>32</v>
      </c>
      <c r="F117" s="25">
        <v>32</v>
      </c>
      <c r="G117" s="4" t="s">
        <v>201</v>
      </c>
      <c r="H117" s="25" t="s">
        <v>201</v>
      </c>
      <c r="I117" s="4" t="s">
        <v>57</v>
      </c>
      <c r="J117" s="25" t="s">
        <v>57</v>
      </c>
      <c r="K117" s="4">
        <v>5</v>
      </c>
      <c r="L117" s="25">
        <v>5</v>
      </c>
      <c r="M117" s="4" t="s">
        <v>58</v>
      </c>
      <c r="N117" s="25" t="s">
        <v>58</v>
      </c>
      <c r="P117" s="25" t="s">
        <v>2120</v>
      </c>
      <c r="Q117" s="4" t="s">
        <v>23</v>
      </c>
      <c r="R117" s="25" t="s">
        <v>23</v>
      </c>
      <c r="S117" s="4">
        <v>0.86</v>
      </c>
      <c r="T117" s="26">
        <v>0.86</v>
      </c>
    </row>
    <row r="118" spans="1:20" x14ac:dyDescent="0.3">
      <c r="A118" s="27" t="s">
        <v>339</v>
      </c>
      <c r="B118" s="4" t="s">
        <v>340</v>
      </c>
      <c r="C118" s="4" t="s">
        <v>97</v>
      </c>
      <c r="D118" s="25" t="s">
        <v>97</v>
      </c>
      <c r="E118" s="4">
        <v>57</v>
      </c>
      <c r="F118" s="25">
        <v>57</v>
      </c>
      <c r="G118" s="4" t="s">
        <v>160</v>
      </c>
      <c r="H118" s="25" t="s">
        <v>160</v>
      </c>
      <c r="I118" s="4" t="s">
        <v>93</v>
      </c>
      <c r="J118" s="25" t="s">
        <v>93</v>
      </c>
      <c r="K118" s="4">
        <v>4</v>
      </c>
      <c r="L118" s="25">
        <v>4</v>
      </c>
      <c r="M118" s="4" t="s">
        <v>70</v>
      </c>
      <c r="N118" s="25" t="s">
        <v>70</v>
      </c>
      <c r="O118" s="4">
        <v>3.4</v>
      </c>
      <c r="P118" s="25">
        <v>3.4</v>
      </c>
      <c r="Q118" s="4" t="s">
        <v>33</v>
      </c>
      <c r="R118" s="25" t="s">
        <v>33</v>
      </c>
      <c r="S118" s="4">
        <v>0.68</v>
      </c>
      <c r="T118" s="26">
        <v>0.68</v>
      </c>
    </row>
    <row r="119" spans="1:20" x14ac:dyDescent="0.3">
      <c r="A119" s="27" t="s">
        <v>341</v>
      </c>
      <c r="B119" s="4" t="s">
        <v>342</v>
      </c>
      <c r="C119" s="4" t="s">
        <v>78</v>
      </c>
      <c r="D119" s="25" t="s">
        <v>118</v>
      </c>
      <c r="E119" s="4">
        <v>27</v>
      </c>
      <c r="F119" s="25">
        <v>27</v>
      </c>
      <c r="G119" s="4" t="s">
        <v>29</v>
      </c>
      <c r="H119" s="25" t="s">
        <v>29</v>
      </c>
      <c r="I119" s="4" t="s">
        <v>135</v>
      </c>
      <c r="J119" s="25" t="s">
        <v>135</v>
      </c>
      <c r="K119" s="4">
        <v>7</v>
      </c>
      <c r="L119" s="25">
        <v>7</v>
      </c>
      <c r="M119" s="4" t="s">
        <v>336</v>
      </c>
      <c r="N119" s="25" t="s">
        <v>336</v>
      </c>
      <c r="O119" s="4">
        <v>3.2</v>
      </c>
      <c r="P119" s="25">
        <v>3.2</v>
      </c>
      <c r="Q119" s="4" t="s">
        <v>33</v>
      </c>
      <c r="R119" s="25" t="s">
        <v>33</v>
      </c>
      <c r="S119" s="4">
        <v>0.62</v>
      </c>
      <c r="T119" s="26">
        <v>0.62</v>
      </c>
    </row>
    <row r="120" spans="1:20" x14ac:dyDescent="0.3">
      <c r="A120" s="27" t="s">
        <v>343</v>
      </c>
      <c r="B120" s="4" t="s">
        <v>344</v>
      </c>
      <c r="C120" s="4" t="s">
        <v>45</v>
      </c>
      <c r="D120" s="25" t="s">
        <v>97</v>
      </c>
      <c r="E120" s="4">
        <v>33</v>
      </c>
      <c r="F120" s="25">
        <v>33</v>
      </c>
      <c r="G120" s="4" t="s">
        <v>51</v>
      </c>
      <c r="H120" s="2" t="s">
        <v>2120</v>
      </c>
      <c r="I120" s="4" t="s">
        <v>135</v>
      </c>
      <c r="J120" s="25" t="s">
        <v>135</v>
      </c>
      <c r="K120" s="4">
        <v>13</v>
      </c>
      <c r="L120" s="25">
        <v>13</v>
      </c>
      <c r="M120" s="4" t="s">
        <v>162</v>
      </c>
      <c r="N120" s="25" t="s">
        <v>162</v>
      </c>
      <c r="O120" s="4">
        <v>3.2</v>
      </c>
      <c r="P120" s="25">
        <v>3.2</v>
      </c>
      <c r="Q120" s="4" t="s">
        <v>59</v>
      </c>
      <c r="R120" s="25" t="s">
        <v>59</v>
      </c>
      <c r="T120" s="26" t="s">
        <v>2120</v>
      </c>
    </row>
    <row r="121" spans="1:20" x14ac:dyDescent="0.3">
      <c r="A121" s="27" t="s">
        <v>345</v>
      </c>
      <c r="B121" s="4" t="s">
        <v>346</v>
      </c>
      <c r="C121" s="4" t="s">
        <v>37</v>
      </c>
      <c r="D121" s="25" t="s">
        <v>118</v>
      </c>
      <c r="E121" s="4">
        <v>29</v>
      </c>
      <c r="F121" s="25">
        <v>29</v>
      </c>
      <c r="G121" s="4" t="s">
        <v>133</v>
      </c>
      <c r="H121" s="25" t="s">
        <v>133</v>
      </c>
      <c r="I121" s="4" t="s">
        <v>66</v>
      </c>
      <c r="J121" s="25" t="s">
        <v>66</v>
      </c>
      <c r="K121" s="4">
        <v>4</v>
      </c>
      <c r="L121" s="25">
        <v>4</v>
      </c>
      <c r="M121" s="4" t="s">
        <v>52</v>
      </c>
      <c r="N121" s="25" t="s">
        <v>52</v>
      </c>
      <c r="O121" s="4">
        <v>0</v>
      </c>
      <c r="P121" s="25">
        <v>0</v>
      </c>
      <c r="Q121" s="4" t="s">
        <v>94</v>
      </c>
      <c r="R121" s="25" t="s">
        <v>94</v>
      </c>
      <c r="S121" s="4">
        <v>0.82</v>
      </c>
      <c r="T121" s="26">
        <v>0.82</v>
      </c>
    </row>
    <row r="122" spans="1:20" x14ac:dyDescent="0.3">
      <c r="A122" s="27" t="s">
        <v>347</v>
      </c>
      <c r="B122" s="4" t="s">
        <v>348</v>
      </c>
      <c r="C122" s="4" t="s">
        <v>50</v>
      </c>
      <c r="D122" s="25" t="s">
        <v>97</v>
      </c>
      <c r="E122" s="4">
        <v>36</v>
      </c>
      <c r="F122" s="25">
        <v>36</v>
      </c>
      <c r="G122" s="4" t="s">
        <v>64</v>
      </c>
      <c r="H122" s="25" t="s">
        <v>64</v>
      </c>
      <c r="I122" s="4" t="s">
        <v>93</v>
      </c>
      <c r="J122" s="25" t="s">
        <v>93</v>
      </c>
      <c r="K122" s="4">
        <v>13</v>
      </c>
      <c r="L122" s="25">
        <v>13</v>
      </c>
      <c r="M122" s="4" t="s">
        <v>103</v>
      </c>
      <c r="N122" s="25" t="s">
        <v>103</v>
      </c>
      <c r="P122" s="25" t="s">
        <v>2120</v>
      </c>
      <c r="Q122" s="4" t="s">
        <v>33</v>
      </c>
      <c r="R122" s="25" t="s">
        <v>33</v>
      </c>
      <c r="T122" s="26" t="s">
        <v>2120</v>
      </c>
    </row>
    <row r="123" spans="1:20" x14ac:dyDescent="0.3">
      <c r="A123" s="27" t="s">
        <v>349</v>
      </c>
      <c r="B123" s="4" t="s">
        <v>350</v>
      </c>
      <c r="C123" s="4" t="s">
        <v>97</v>
      </c>
      <c r="D123" s="25" t="s">
        <v>97</v>
      </c>
      <c r="E123" s="4">
        <v>47</v>
      </c>
      <c r="F123" s="25">
        <v>47</v>
      </c>
      <c r="G123" s="4" t="s">
        <v>19</v>
      </c>
      <c r="H123" s="25" t="s">
        <v>19</v>
      </c>
      <c r="I123" s="4" t="s">
        <v>110</v>
      </c>
      <c r="J123" s="25" t="s">
        <v>110</v>
      </c>
      <c r="K123" s="4">
        <v>5</v>
      </c>
      <c r="L123" s="25">
        <v>5</v>
      </c>
      <c r="M123" s="4" t="s">
        <v>47</v>
      </c>
      <c r="N123" s="25" t="s">
        <v>47</v>
      </c>
      <c r="O123" s="4">
        <v>3.7</v>
      </c>
      <c r="P123" s="25">
        <v>3.7</v>
      </c>
      <c r="Q123" s="4" t="s">
        <v>59</v>
      </c>
      <c r="R123" s="25" t="s">
        <v>59</v>
      </c>
      <c r="S123" s="4">
        <v>93</v>
      </c>
      <c r="T123" s="26">
        <v>93</v>
      </c>
    </row>
    <row r="124" spans="1:20" x14ac:dyDescent="0.3">
      <c r="A124" s="27" t="s">
        <v>351</v>
      </c>
      <c r="B124" s="4" t="s">
        <v>352</v>
      </c>
      <c r="C124" s="4" t="s">
        <v>78</v>
      </c>
      <c r="D124" s="25" t="s">
        <v>118</v>
      </c>
      <c r="E124" s="4">
        <v>48</v>
      </c>
      <c r="F124" s="25">
        <v>48</v>
      </c>
      <c r="G124" s="4" t="s">
        <v>149</v>
      </c>
      <c r="H124" s="25" t="s">
        <v>149</v>
      </c>
      <c r="I124" s="4" t="s">
        <v>135</v>
      </c>
      <c r="J124" s="25" t="s">
        <v>135</v>
      </c>
      <c r="K124" s="4">
        <v>15</v>
      </c>
      <c r="L124" s="25">
        <v>15</v>
      </c>
      <c r="M124" s="4" t="s">
        <v>119</v>
      </c>
      <c r="N124" s="25" t="s">
        <v>119</v>
      </c>
      <c r="O124" s="4">
        <v>1</v>
      </c>
      <c r="P124" s="25">
        <v>1</v>
      </c>
      <c r="Q124" s="4" t="s">
        <v>94</v>
      </c>
      <c r="R124" s="25" t="s">
        <v>94</v>
      </c>
      <c r="S124" s="4">
        <v>0.64</v>
      </c>
      <c r="T124" s="26">
        <v>0.64</v>
      </c>
    </row>
    <row r="125" spans="1:20" x14ac:dyDescent="0.3">
      <c r="A125" s="27" t="s">
        <v>353</v>
      </c>
      <c r="B125" s="4" t="s">
        <v>354</v>
      </c>
      <c r="C125" s="4" t="s">
        <v>18</v>
      </c>
      <c r="D125" s="25" t="s">
        <v>97</v>
      </c>
      <c r="E125" s="4">
        <v>27</v>
      </c>
      <c r="F125" s="25">
        <v>27</v>
      </c>
      <c r="G125" s="4" t="s">
        <v>197</v>
      </c>
      <c r="H125" s="25" t="s">
        <v>197</v>
      </c>
      <c r="I125" s="4" t="s">
        <v>93</v>
      </c>
      <c r="J125" s="25" t="s">
        <v>93</v>
      </c>
      <c r="K125" s="4">
        <v>8</v>
      </c>
      <c r="L125" s="25">
        <v>8</v>
      </c>
      <c r="M125" s="4" t="s">
        <v>81</v>
      </c>
      <c r="N125" s="25" t="s">
        <v>81</v>
      </c>
      <c r="O125" s="4">
        <v>0</v>
      </c>
      <c r="P125" s="25">
        <v>0</v>
      </c>
      <c r="Q125" s="4" t="s">
        <v>51</v>
      </c>
      <c r="R125" s="25" t="s">
        <v>2120</v>
      </c>
      <c r="T125" s="26" t="s">
        <v>2120</v>
      </c>
    </row>
    <row r="126" spans="1:20" x14ac:dyDescent="0.3">
      <c r="A126" s="27" t="s">
        <v>355</v>
      </c>
      <c r="B126" s="4" t="s">
        <v>356</v>
      </c>
      <c r="C126" s="4" t="s">
        <v>37</v>
      </c>
      <c r="D126" s="25" t="s">
        <v>118</v>
      </c>
      <c r="E126" s="4">
        <v>34</v>
      </c>
      <c r="F126" s="25">
        <v>34</v>
      </c>
      <c r="G126" s="4" t="s">
        <v>29</v>
      </c>
      <c r="H126" s="25" t="s">
        <v>29</v>
      </c>
      <c r="I126" s="4" t="s">
        <v>46</v>
      </c>
      <c r="J126" s="25" t="s">
        <v>46</v>
      </c>
      <c r="K126" s="4">
        <v>10</v>
      </c>
      <c r="L126" s="25">
        <v>10</v>
      </c>
      <c r="M126" s="4" t="s">
        <v>51</v>
      </c>
      <c r="N126" s="25" t="s">
        <v>2119</v>
      </c>
      <c r="O126" s="4">
        <v>1.7</v>
      </c>
      <c r="P126" s="25">
        <v>1.7</v>
      </c>
      <c r="Q126" s="4" t="s">
        <v>41</v>
      </c>
      <c r="R126" s="25" t="s">
        <v>41</v>
      </c>
      <c r="S126" s="4">
        <v>0.96</v>
      </c>
      <c r="T126" s="26">
        <v>0.96</v>
      </c>
    </row>
    <row r="127" spans="1:20" x14ac:dyDescent="0.3">
      <c r="A127" s="27" t="s">
        <v>357</v>
      </c>
      <c r="B127" s="4" t="s">
        <v>358</v>
      </c>
      <c r="C127" s="4" t="s">
        <v>118</v>
      </c>
      <c r="D127" s="25" t="s">
        <v>118</v>
      </c>
      <c r="E127" s="4">
        <v>49</v>
      </c>
      <c r="F127" s="25">
        <v>49</v>
      </c>
      <c r="G127" s="4" t="s">
        <v>133</v>
      </c>
      <c r="H127" s="25" t="s">
        <v>133</v>
      </c>
      <c r="I127" s="4" t="s">
        <v>66</v>
      </c>
      <c r="J127" s="25" t="s">
        <v>66</v>
      </c>
      <c r="K127" s="4">
        <v>19</v>
      </c>
      <c r="L127" s="25">
        <v>19</v>
      </c>
      <c r="M127" s="4" t="s">
        <v>51</v>
      </c>
      <c r="N127" s="25" t="s">
        <v>2119</v>
      </c>
      <c r="O127" s="4">
        <v>5</v>
      </c>
      <c r="P127" s="25">
        <v>5</v>
      </c>
      <c r="Q127" s="4" t="s">
        <v>94</v>
      </c>
      <c r="R127" s="25" t="s">
        <v>94</v>
      </c>
      <c r="S127" s="4">
        <v>0.83</v>
      </c>
      <c r="T127" s="26">
        <v>0.83</v>
      </c>
    </row>
    <row r="128" spans="1:20" x14ac:dyDescent="0.3">
      <c r="A128" s="27" t="s">
        <v>359</v>
      </c>
      <c r="B128" s="4" t="s">
        <v>360</v>
      </c>
      <c r="C128" s="4" t="s">
        <v>37</v>
      </c>
      <c r="D128" s="25" t="s">
        <v>118</v>
      </c>
      <c r="E128" s="4">
        <v>30</v>
      </c>
      <c r="F128" s="25">
        <v>30</v>
      </c>
      <c r="G128" s="4" t="s">
        <v>128</v>
      </c>
      <c r="H128" s="25" t="s">
        <v>128</v>
      </c>
      <c r="I128" s="4" t="s">
        <v>31</v>
      </c>
      <c r="J128" s="25" t="s">
        <v>31</v>
      </c>
      <c r="K128" s="4">
        <v>10</v>
      </c>
      <c r="L128" s="25">
        <v>10</v>
      </c>
      <c r="M128" s="4" t="s">
        <v>251</v>
      </c>
      <c r="N128" s="25" t="s">
        <v>251</v>
      </c>
      <c r="O128" s="4">
        <v>1.7</v>
      </c>
      <c r="P128" s="25">
        <v>1.7</v>
      </c>
      <c r="Q128" s="4" t="s">
        <v>87</v>
      </c>
      <c r="R128" s="25" t="s">
        <v>87</v>
      </c>
      <c r="S128" s="4">
        <v>0.64</v>
      </c>
      <c r="T128" s="26">
        <v>0.64</v>
      </c>
    </row>
    <row r="129" spans="1:20" x14ac:dyDescent="0.3">
      <c r="A129" s="27" t="s">
        <v>361</v>
      </c>
      <c r="B129" s="4" t="s">
        <v>362</v>
      </c>
      <c r="C129" s="4" t="s">
        <v>37</v>
      </c>
      <c r="D129" s="25" t="s">
        <v>118</v>
      </c>
      <c r="E129" s="4">
        <v>31</v>
      </c>
      <c r="F129" s="25">
        <v>31</v>
      </c>
      <c r="G129" s="4" t="s">
        <v>160</v>
      </c>
      <c r="H129" s="25" t="s">
        <v>160</v>
      </c>
      <c r="I129" s="4" t="s">
        <v>39</v>
      </c>
      <c r="J129" s="25" t="s">
        <v>39</v>
      </c>
      <c r="K129" s="4">
        <v>8</v>
      </c>
      <c r="L129" s="25">
        <v>8</v>
      </c>
      <c r="M129" s="4" t="s">
        <v>86</v>
      </c>
      <c r="N129" s="25" t="s">
        <v>86</v>
      </c>
      <c r="O129" s="4">
        <v>4.4000000000000004</v>
      </c>
      <c r="P129" s="25">
        <v>4.4000000000000004</v>
      </c>
      <c r="Q129" s="4" t="s">
        <v>23</v>
      </c>
      <c r="R129" s="25" t="s">
        <v>23</v>
      </c>
      <c r="S129" s="4">
        <v>0.7</v>
      </c>
      <c r="T129" s="26">
        <v>0.7</v>
      </c>
    </row>
    <row r="130" spans="1:20" x14ac:dyDescent="0.3">
      <c r="A130" s="27" t="s">
        <v>363</v>
      </c>
      <c r="B130" s="4" t="s">
        <v>364</v>
      </c>
      <c r="C130" s="4" t="s">
        <v>63</v>
      </c>
      <c r="D130" s="25" t="s">
        <v>118</v>
      </c>
      <c r="E130" s="4">
        <v>58</v>
      </c>
      <c r="F130" s="25">
        <v>58</v>
      </c>
      <c r="G130" s="4" t="s">
        <v>197</v>
      </c>
      <c r="H130" s="25" t="s">
        <v>197</v>
      </c>
      <c r="I130" s="4" t="s">
        <v>135</v>
      </c>
      <c r="J130" s="25" t="s">
        <v>135</v>
      </c>
      <c r="K130" s="4">
        <v>9</v>
      </c>
      <c r="L130" s="25">
        <v>9</v>
      </c>
      <c r="M130" s="4" t="s">
        <v>162</v>
      </c>
      <c r="N130" s="25" t="s">
        <v>162</v>
      </c>
      <c r="O130" s="4">
        <v>0</v>
      </c>
      <c r="P130" s="25">
        <v>0</v>
      </c>
      <c r="Q130" s="4" t="s">
        <v>41</v>
      </c>
      <c r="R130" s="25" t="s">
        <v>41</v>
      </c>
      <c r="S130" s="4">
        <v>0.65</v>
      </c>
      <c r="T130" s="26">
        <v>0.65</v>
      </c>
    </row>
    <row r="131" spans="1:20" x14ac:dyDescent="0.3">
      <c r="A131" s="27" t="s">
        <v>365</v>
      </c>
      <c r="B131" s="4" t="s">
        <v>366</v>
      </c>
      <c r="C131" s="4" t="s">
        <v>118</v>
      </c>
      <c r="D131" s="25" t="s">
        <v>118</v>
      </c>
      <c r="E131" s="4">
        <v>47</v>
      </c>
      <c r="F131" s="25">
        <v>47</v>
      </c>
      <c r="G131" s="4" t="s">
        <v>156</v>
      </c>
      <c r="H131" s="25" t="s">
        <v>156</v>
      </c>
      <c r="I131" s="4" t="s">
        <v>135</v>
      </c>
      <c r="J131" s="25" t="s">
        <v>135</v>
      </c>
      <c r="K131" s="4">
        <v>13</v>
      </c>
      <c r="L131" s="25">
        <v>13</v>
      </c>
      <c r="M131" s="4" t="s">
        <v>86</v>
      </c>
      <c r="N131" s="25" t="s">
        <v>86</v>
      </c>
      <c r="O131" s="4">
        <v>3.4</v>
      </c>
      <c r="P131" s="25">
        <v>3.4</v>
      </c>
      <c r="Q131" s="4" t="s">
        <v>51</v>
      </c>
      <c r="R131" s="25" t="s">
        <v>2120</v>
      </c>
      <c r="S131" s="4">
        <v>0.67</v>
      </c>
      <c r="T131" s="26">
        <v>0.67</v>
      </c>
    </row>
    <row r="132" spans="1:20" x14ac:dyDescent="0.3">
      <c r="A132" s="27" t="s">
        <v>367</v>
      </c>
      <c r="B132" s="4" t="s">
        <v>368</v>
      </c>
      <c r="C132" s="4" t="s">
        <v>18</v>
      </c>
      <c r="D132" s="25" t="s">
        <v>97</v>
      </c>
      <c r="E132" s="4">
        <v>45</v>
      </c>
      <c r="F132" s="25">
        <v>45</v>
      </c>
      <c r="G132" s="4" t="s">
        <v>85</v>
      </c>
      <c r="H132" s="25" t="s">
        <v>85</v>
      </c>
      <c r="I132" s="4" t="s">
        <v>98</v>
      </c>
      <c r="J132" s="25" t="s">
        <v>98</v>
      </c>
      <c r="K132" s="4">
        <v>14</v>
      </c>
      <c r="L132" s="25">
        <v>14</v>
      </c>
      <c r="M132" s="4" t="s">
        <v>32</v>
      </c>
      <c r="N132" s="25" t="s">
        <v>32</v>
      </c>
      <c r="O132" s="4">
        <v>1.1000000000000001</v>
      </c>
      <c r="P132" s="25">
        <v>1.1000000000000001</v>
      </c>
      <c r="Q132" s="4" t="s">
        <v>181</v>
      </c>
      <c r="R132" s="25" t="s">
        <v>181</v>
      </c>
      <c r="S132" s="4">
        <v>93</v>
      </c>
      <c r="T132" s="26">
        <v>93</v>
      </c>
    </row>
    <row r="133" spans="1:20" x14ac:dyDescent="0.3">
      <c r="A133" s="27" t="s">
        <v>369</v>
      </c>
      <c r="B133" s="4" t="s">
        <v>370</v>
      </c>
      <c r="C133" s="4" t="s">
        <v>28</v>
      </c>
      <c r="D133" s="25" t="s">
        <v>97</v>
      </c>
      <c r="E133" s="4">
        <v>57</v>
      </c>
      <c r="F133" s="25">
        <v>57</v>
      </c>
      <c r="G133" s="4" t="s">
        <v>156</v>
      </c>
      <c r="H133" s="25" t="s">
        <v>156</v>
      </c>
      <c r="I133" s="4" t="s">
        <v>135</v>
      </c>
      <c r="J133" s="25" t="s">
        <v>135</v>
      </c>
      <c r="K133" s="4">
        <v>0</v>
      </c>
      <c r="L133" s="25">
        <v>0</v>
      </c>
      <c r="M133" s="4" t="s">
        <v>40</v>
      </c>
      <c r="N133" s="25" t="s">
        <v>40</v>
      </c>
      <c r="O133" s="4">
        <v>1.6</v>
      </c>
      <c r="P133" s="25">
        <v>1.6</v>
      </c>
      <c r="Q133" s="4" t="s">
        <v>41</v>
      </c>
      <c r="R133" s="25" t="s">
        <v>41</v>
      </c>
      <c r="S133" s="4">
        <v>0.6</v>
      </c>
      <c r="T133" s="26">
        <v>0.6</v>
      </c>
    </row>
    <row r="134" spans="1:20" x14ac:dyDescent="0.3">
      <c r="A134" s="27" t="s">
        <v>371</v>
      </c>
      <c r="B134" s="4" t="s">
        <v>372</v>
      </c>
      <c r="C134" s="4" t="s">
        <v>78</v>
      </c>
      <c r="D134" s="25" t="s">
        <v>118</v>
      </c>
      <c r="E134" s="4">
        <v>50</v>
      </c>
      <c r="F134" s="25">
        <v>50</v>
      </c>
      <c r="G134" s="4" t="s">
        <v>114</v>
      </c>
      <c r="H134" s="25" t="s">
        <v>114</v>
      </c>
      <c r="I134" s="4" t="s">
        <v>46</v>
      </c>
      <c r="J134" s="25" t="s">
        <v>46</v>
      </c>
      <c r="K134" s="4">
        <v>22</v>
      </c>
      <c r="L134" s="25">
        <v>22</v>
      </c>
      <c r="M134" s="4" t="s">
        <v>22</v>
      </c>
      <c r="N134" s="25" t="s">
        <v>22</v>
      </c>
      <c r="O134" s="4">
        <v>4.0999999999999996</v>
      </c>
      <c r="P134" s="25">
        <v>4.0999999999999996</v>
      </c>
      <c r="Q134" s="4" t="s">
        <v>41</v>
      </c>
      <c r="R134" s="25" t="s">
        <v>41</v>
      </c>
      <c r="S134" s="4">
        <v>0.62</v>
      </c>
      <c r="T134" s="26">
        <v>0.62</v>
      </c>
    </row>
    <row r="135" spans="1:20" x14ac:dyDescent="0.3">
      <c r="A135" s="27" t="s">
        <v>373</v>
      </c>
      <c r="B135" s="4" t="s">
        <v>374</v>
      </c>
      <c r="C135" s="4" t="s">
        <v>28</v>
      </c>
      <c r="D135" s="25" t="s">
        <v>97</v>
      </c>
      <c r="F135" s="25" t="s">
        <v>2119</v>
      </c>
      <c r="G135" s="4" t="s">
        <v>128</v>
      </c>
      <c r="H135" s="25" t="s">
        <v>128</v>
      </c>
      <c r="I135" s="4" t="s">
        <v>135</v>
      </c>
      <c r="J135" s="25" t="s">
        <v>135</v>
      </c>
      <c r="K135" s="4">
        <v>4</v>
      </c>
      <c r="L135" s="25">
        <v>4</v>
      </c>
      <c r="M135" s="4" t="s">
        <v>51</v>
      </c>
      <c r="N135" s="25" t="s">
        <v>2119</v>
      </c>
      <c r="O135" s="4">
        <v>2.5</v>
      </c>
      <c r="P135" s="25">
        <v>2.5</v>
      </c>
      <c r="Q135" s="4" t="s">
        <v>51</v>
      </c>
      <c r="R135" s="25" t="s">
        <v>2120</v>
      </c>
      <c r="S135" s="4">
        <v>0.7</v>
      </c>
      <c r="T135" s="26">
        <v>0.7</v>
      </c>
    </row>
    <row r="136" spans="1:20" x14ac:dyDescent="0.3">
      <c r="A136" s="27" t="s">
        <v>375</v>
      </c>
      <c r="B136" s="4" t="s">
        <v>376</v>
      </c>
      <c r="C136" s="4" t="s">
        <v>97</v>
      </c>
      <c r="D136" s="25" t="s">
        <v>97</v>
      </c>
      <c r="E136" s="4">
        <v>45</v>
      </c>
      <c r="F136" s="25">
        <v>45</v>
      </c>
      <c r="G136" s="4" t="s">
        <v>64</v>
      </c>
      <c r="H136" s="25" t="s">
        <v>64</v>
      </c>
      <c r="I136" s="4" t="s">
        <v>21</v>
      </c>
      <c r="J136" s="25" t="s">
        <v>21</v>
      </c>
      <c r="K136" s="4">
        <v>22</v>
      </c>
      <c r="L136" s="25">
        <v>22</v>
      </c>
      <c r="M136" s="4" t="s">
        <v>251</v>
      </c>
      <c r="N136" s="25" t="s">
        <v>251</v>
      </c>
      <c r="O136" s="4">
        <v>4</v>
      </c>
      <c r="P136" s="25">
        <v>4</v>
      </c>
      <c r="Q136" s="4" t="s">
        <v>94</v>
      </c>
      <c r="R136" s="25" t="s">
        <v>94</v>
      </c>
      <c r="S136" s="4">
        <v>0.75</v>
      </c>
      <c r="T136" s="26">
        <v>0.75</v>
      </c>
    </row>
    <row r="137" spans="1:20" x14ac:dyDescent="0.3">
      <c r="A137" s="27" t="s">
        <v>377</v>
      </c>
      <c r="B137" s="4" t="s">
        <v>378</v>
      </c>
      <c r="C137" s="4" t="s">
        <v>78</v>
      </c>
      <c r="D137" s="25" t="s">
        <v>118</v>
      </c>
      <c r="E137" s="4">
        <v>60</v>
      </c>
      <c r="F137" s="25">
        <v>60</v>
      </c>
      <c r="G137" s="4" t="s">
        <v>175</v>
      </c>
      <c r="H137" s="25" t="s">
        <v>175</v>
      </c>
      <c r="I137" s="4" t="s">
        <v>98</v>
      </c>
      <c r="J137" s="25" t="s">
        <v>98</v>
      </c>
      <c r="K137" s="4">
        <v>39</v>
      </c>
      <c r="L137" s="25">
        <v>39</v>
      </c>
      <c r="M137" s="4" t="s">
        <v>103</v>
      </c>
      <c r="N137" s="25" t="s">
        <v>103</v>
      </c>
      <c r="O137" s="4">
        <v>1.4</v>
      </c>
      <c r="P137" s="25">
        <v>1.4</v>
      </c>
      <c r="Q137" s="4" t="s">
        <v>181</v>
      </c>
      <c r="R137" s="25" t="s">
        <v>181</v>
      </c>
      <c r="S137" s="4">
        <v>0.7</v>
      </c>
      <c r="T137" s="26">
        <v>0.7</v>
      </c>
    </row>
    <row r="138" spans="1:20" x14ac:dyDescent="0.3">
      <c r="A138" s="27" t="s">
        <v>379</v>
      </c>
      <c r="B138" s="4" t="s">
        <v>380</v>
      </c>
      <c r="C138" s="4" t="s">
        <v>50</v>
      </c>
      <c r="D138" s="25" t="s">
        <v>97</v>
      </c>
      <c r="E138" s="4">
        <v>43</v>
      </c>
      <c r="F138" s="25">
        <v>43</v>
      </c>
      <c r="G138" s="4" t="s">
        <v>85</v>
      </c>
      <c r="H138" s="25" t="s">
        <v>85</v>
      </c>
      <c r="I138" s="4" t="s">
        <v>98</v>
      </c>
      <c r="J138" s="25" t="s">
        <v>98</v>
      </c>
      <c r="K138" s="4">
        <v>5</v>
      </c>
      <c r="L138" s="25">
        <v>5</v>
      </c>
      <c r="M138" s="4" t="s">
        <v>119</v>
      </c>
      <c r="N138" s="25" t="s">
        <v>119</v>
      </c>
      <c r="P138" s="25" t="s">
        <v>2120</v>
      </c>
      <c r="Q138" s="4" t="s">
        <v>33</v>
      </c>
      <c r="R138" s="25" t="s">
        <v>33</v>
      </c>
      <c r="S138" s="4">
        <v>0.84</v>
      </c>
      <c r="T138" s="26">
        <v>0.84</v>
      </c>
    </row>
    <row r="139" spans="1:20" x14ac:dyDescent="0.3">
      <c r="A139" s="27" t="s">
        <v>381</v>
      </c>
      <c r="B139" s="4" t="s">
        <v>382</v>
      </c>
      <c r="C139" s="4" t="s">
        <v>45</v>
      </c>
      <c r="D139" s="25" t="s">
        <v>97</v>
      </c>
      <c r="E139" s="4">
        <v>39</v>
      </c>
      <c r="F139" s="25">
        <v>39</v>
      </c>
      <c r="G139" s="4" t="s">
        <v>156</v>
      </c>
      <c r="H139" s="25" t="s">
        <v>156</v>
      </c>
      <c r="I139" s="4" t="s">
        <v>98</v>
      </c>
      <c r="J139" s="25" t="s">
        <v>98</v>
      </c>
      <c r="K139" s="4">
        <v>5</v>
      </c>
      <c r="L139" s="25">
        <v>5</v>
      </c>
      <c r="M139" s="4" t="s">
        <v>70</v>
      </c>
      <c r="N139" s="25" t="s">
        <v>70</v>
      </c>
      <c r="O139" s="4">
        <v>1.2</v>
      </c>
      <c r="P139" s="25">
        <v>1.2</v>
      </c>
      <c r="Q139" s="4" t="s">
        <v>23</v>
      </c>
      <c r="R139" s="25" t="s">
        <v>23</v>
      </c>
      <c r="S139" s="4">
        <v>83</v>
      </c>
      <c r="T139" s="26">
        <v>83</v>
      </c>
    </row>
    <row r="140" spans="1:20" x14ac:dyDescent="0.3">
      <c r="A140" s="27" t="s">
        <v>383</v>
      </c>
      <c r="B140" s="4" t="s">
        <v>384</v>
      </c>
      <c r="C140" s="4" t="s">
        <v>37</v>
      </c>
      <c r="D140" s="25" t="s">
        <v>118</v>
      </c>
      <c r="E140" s="4">
        <v>26</v>
      </c>
      <c r="F140" s="25">
        <v>26</v>
      </c>
      <c r="G140" s="4" t="s">
        <v>201</v>
      </c>
      <c r="H140" s="25" t="s">
        <v>201</v>
      </c>
      <c r="I140" s="4" t="s">
        <v>93</v>
      </c>
      <c r="J140" s="25" t="s">
        <v>93</v>
      </c>
      <c r="K140" s="4">
        <v>5</v>
      </c>
      <c r="L140" s="25">
        <v>5</v>
      </c>
      <c r="M140" s="4" t="s">
        <v>40</v>
      </c>
      <c r="N140" s="25" t="s">
        <v>40</v>
      </c>
      <c r="O140" s="4">
        <v>0</v>
      </c>
      <c r="P140" s="25">
        <v>0</v>
      </c>
      <c r="Q140" s="4" t="s">
        <v>41</v>
      </c>
      <c r="R140" s="25" t="s">
        <v>41</v>
      </c>
      <c r="T140" s="26" t="s">
        <v>2120</v>
      </c>
    </row>
    <row r="141" spans="1:20" x14ac:dyDescent="0.3">
      <c r="A141" s="27" t="s">
        <v>385</v>
      </c>
      <c r="B141" s="4" t="s">
        <v>386</v>
      </c>
      <c r="C141" s="4" t="s">
        <v>63</v>
      </c>
      <c r="D141" s="25" t="s">
        <v>118</v>
      </c>
      <c r="E141" s="4">
        <v>31</v>
      </c>
      <c r="F141" s="25">
        <v>31</v>
      </c>
      <c r="G141" s="4" t="s">
        <v>38</v>
      </c>
      <c r="H141" s="25" t="s">
        <v>38</v>
      </c>
      <c r="I141" s="4" t="s">
        <v>98</v>
      </c>
      <c r="J141" s="25" t="s">
        <v>98</v>
      </c>
      <c r="K141" s="4">
        <v>11</v>
      </c>
      <c r="L141" s="25">
        <v>11</v>
      </c>
      <c r="M141" s="4" t="s">
        <v>40</v>
      </c>
      <c r="N141" s="25" t="s">
        <v>40</v>
      </c>
      <c r="O141" s="4">
        <v>3.1</v>
      </c>
      <c r="P141" s="25">
        <v>3.1</v>
      </c>
      <c r="Q141" s="4" t="s">
        <v>59</v>
      </c>
      <c r="R141" s="25" t="s">
        <v>59</v>
      </c>
      <c r="S141" s="4">
        <v>0.88</v>
      </c>
      <c r="T141" s="26">
        <v>0.88</v>
      </c>
    </row>
    <row r="142" spans="1:20" x14ac:dyDescent="0.3">
      <c r="A142" s="27" t="s">
        <v>387</v>
      </c>
      <c r="B142" s="4" t="s">
        <v>388</v>
      </c>
      <c r="C142" s="4" t="s">
        <v>63</v>
      </c>
      <c r="D142" s="25" t="s">
        <v>118</v>
      </c>
      <c r="E142" s="4">
        <v>52</v>
      </c>
      <c r="F142" s="25">
        <v>52</v>
      </c>
      <c r="G142" s="4" t="s">
        <v>156</v>
      </c>
      <c r="H142" s="25" t="s">
        <v>156</v>
      </c>
      <c r="I142" s="4" t="s">
        <v>93</v>
      </c>
      <c r="J142" s="25" t="s">
        <v>93</v>
      </c>
      <c r="K142" s="4">
        <v>15</v>
      </c>
      <c r="L142" s="25">
        <v>15</v>
      </c>
      <c r="M142" s="4" t="s">
        <v>40</v>
      </c>
      <c r="N142" s="25" t="s">
        <v>40</v>
      </c>
      <c r="O142" s="4">
        <v>0</v>
      </c>
      <c r="P142" s="25">
        <v>0</v>
      </c>
      <c r="Q142" s="4" t="s">
        <v>87</v>
      </c>
      <c r="R142" s="25" t="s">
        <v>87</v>
      </c>
      <c r="S142" s="4">
        <v>0.81</v>
      </c>
      <c r="T142" s="26">
        <v>0.81</v>
      </c>
    </row>
    <row r="143" spans="1:20" x14ac:dyDescent="0.3">
      <c r="A143" s="27" t="s">
        <v>389</v>
      </c>
      <c r="B143" s="4" t="s">
        <v>390</v>
      </c>
      <c r="C143" s="4" t="s">
        <v>50</v>
      </c>
      <c r="D143" s="25" t="s">
        <v>97</v>
      </c>
      <c r="E143" s="4">
        <v>34</v>
      </c>
      <c r="F143" s="25">
        <v>34</v>
      </c>
      <c r="G143" s="4" t="s">
        <v>114</v>
      </c>
      <c r="H143" s="25" t="s">
        <v>114</v>
      </c>
      <c r="I143" s="4" t="s">
        <v>66</v>
      </c>
      <c r="J143" s="25" t="s">
        <v>66</v>
      </c>
      <c r="K143" s="4">
        <v>5</v>
      </c>
      <c r="L143" s="25">
        <v>5</v>
      </c>
      <c r="M143" s="4" t="s">
        <v>336</v>
      </c>
      <c r="N143" s="25" t="s">
        <v>336</v>
      </c>
      <c r="O143" s="4">
        <v>2.2000000000000002</v>
      </c>
      <c r="P143" s="25">
        <v>2.2000000000000002</v>
      </c>
      <c r="Q143" s="4" t="s">
        <v>94</v>
      </c>
      <c r="R143" s="25" t="s">
        <v>94</v>
      </c>
      <c r="S143" s="4">
        <v>0.8</v>
      </c>
      <c r="T143" s="26">
        <v>0.8</v>
      </c>
    </row>
    <row r="144" spans="1:20" x14ac:dyDescent="0.3">
      <c r="A144" s="27" t="s">
        <v>391</v>
      </c>
      <c r="B144" s="4" t="s">
        <v>392</v>
      </c>
      <c r="C144" s="4" t="s">
        <v>37</v>
      </c>
      <c r="D144" s="25" t="s">
        <v>118</v>
      </c>
      <c r="E144" s="4">
        <v>45</v>
      </c>
      <c r="F144" s="25">
        <v>45</v>
      </c>
      <c r="G144" s="4" t="s">
        <v>85</v>
      </c>
      <c r="H144" s="25" t="s">
        <v>85</v>
      </c>
      <c r="I144" s="4" t="s">
        <v>46</v>
      </c>
      <c r="J144" s="25" t="s">
        <v>46</v>
      </c>
      <c r="K144" s="4">
        <v>7</v>
      </c>
      <c r="L144" s="25">
        <v>7</v>
      </c>
      <c r="M144" s="4" t="s">
        <v>103</v>
      </c>
      <c r="N144" s="25" t="s">
        <v>103</v>
      </c>
      <c r="O144" s="4">
        <v>3</v>
      </c>
      <c r="P144" s="25">
        <v>3</v>
      </c>
      <c r="Q144" s="4" t="s">
        <v>33</v>
      </c>
      <c r="R144" s="25" t="s">
        <v>33</v>
      </c>
      <c r="S144" s="4">
        <v>0.67</v>
      </c>
      <c r="T144" s="26">
        <v>0.67</v>
      </c>
    </row>
    <row r="145" spans="1:20" x14ac:dyDescent="0.3">
      <c r="A145" s="27" t="s">
        <v>393</v>
      </c>
      <c r="B145" s="4" t="s">
        <v>394</v>
      </c>
      <c r="C145" s="4" t="s">
        <v>63</v>
      </c>
      <c r="D145" s="25" t="s">
        <v>118</v>
      </c>
      <c r="E145" s="4">
        <v>46</v>
      </c>
      <c r="F145" s="25">
        <v>46</v>
      </c>
      <c r="G145" s="4" t="s">
        <v>85</v>
      </c>
      <c r="H145" s="25" t="s">
        <v>85</v>
      </c>
      <c r="I145" s="4" t="s">
        <v>98</v>
      </c>
      <c r="J145" s="25" t="s">
        <v>98</v>
      </c>
      <c r="K145" s="4">
        <v>9</v>
      </c>
      <c r="L145" s="25">
        <v>9</v>
      </c>
      <c r="M145" s="4" t="s">
        <v>142</v>
      </c>
      <c r="N145" s="25" t="s">
        <v>142</v>
      </c>
      <c r="O145" s="4">
        <v>0</v>
      </c>
      <c r="P145" s="25">
        <v>0</v>
      </c>
      <c r="Q145" s="4" t="s">
        <v>41</v>
      </c>
      <c r="R145" s="25" t="s">
        <v>41</v>
      </c>
      <c r="S145" s="4">
        <v>0.82</v>
      </c>
      <c r="T145" s="26">
        <v>0.82</v>
      </c>
    </row>
    <row r="146" spans="1:20" x14ac:dyDescent="0.3">
      <c r="A146" s="27" t="s">
        <v>395</v>
      </c>
      <c r="B146" s="4" t="s">
        <v>396</v>
      </c>
      <c r="C146" s="4" t="s">
        <v>63</v>
      </c>
      <c r="D146" s="25" t="s">
        <v>118</v>
      </c>
      <c r="E146" s="4">
        <v>56</v>
      </c>
      <c r="F146" s="25">
        <v>56</v>
      </c>
      <c r="G146" s="4" t="s">
        <v>156</v>
      </c>
      <c r="H146" s="25" t="s">
        <v>156</v>
      </c>
      <c r="I146" s="4" t="s">
        <v>93</v>
      </c>
      <c r="J146" s="25" t="s">
        <v>93</v>
      </c>
      <c r="K146" s="4">
        <v>21</v>
      </c>
      <c r="L146" s="25">
        <v>21</v>
      </c>
      <c r="M146" s="4" t="s">
        <v>32</v>
      </c>
      <c r="N146" s="25" t="s">
        <v>32</v>
      </c>
      <c r="O146" s="4">
        <v>0</v>
      </c>
      <c r="P146" s="25">
        <v>0</v>
      </c>
      <c r="Q146" s="4" t="s">
        <v>74</v>
      </c>
      <c r="R146" s="25" t="s">
        <v>74</v>
      </c>
      <c r="S146" s="4">
        <v>78</v>
      </c>
      <c r="T146" s="26">
        <v>78</v>
      </c>
    </row>
    <row r="147" spans="1:20" x14ac:dyDescent="0.3">
      <c r="A147" s="27" t="s">
        <v>397</v>
      </c>
      <c r="B147" s="4" t="s">
        <v>398</v>
      </c>
      <c r="C147" s="4" t="s">
        <v>28</v>
      </c>
      <c r="D147" s="25" t="s">
        <v>97</v>
      </c>
      <c r="E147" s="4">
        <v>59</v>
      </c>
      <c r="F147" s="25">
        <v>59</v>
      </c>
      <c r="G147" s="4" t="s">
        <v>38</v>
      </c>
      <c r="H147" s="25" t="s">
        <v>38</v>
      </c>
      <c r="I147" s="4" t="s">
        <v>57</v>
      </c>
      <c r="J147" s="25" t="s">
        <v>57</v>
      </c>
      <c r="K147" s="4">
        <v>7</v>
      </c>
      <c r="L147" s="25">
        <v>7</v>
      </c>
      <c r="M147" s="4" t="s">
        <v>47</v>
      </c>
      <c r="N147" s="25" t="s">
        <v>47</v>
      </c>
      <c r="O147" s="4">
        <v>1.4</v>
      </c>
      <c r="P147" s="25">
        <v>1.4</v>
      </c>
      <c r="Q147" s="4" t="s">
        <v>59</v>
      </c>
      <c r="R147" s="25" t="s">
        <v>59</v>
      </c>
      <c r="S147" s="4">
        <v>0.81</v>
      </c>
      <c r="T147" s="26">
        <v>0.81</v>
      </c>
    </row>
    <row r="148" spans="1:20" x14ac:dyDescent="0.3">
      <c r="A148" s="27" t="s">
        <v>399</v>
      </c>
      <c r="B148" s="4" t="s">
        <v>400</v>
      </c>
      <c r="C148" s="4" t="s">
        <v>28</v>
      </c>
      <c r="D148" s="25" t="s">
        <v>97</v>
      </c>
      <c r="E148" s="4">
        <v>54</v>
      </c>
      <c r="F148" s="25">
        <v>54</v>
      </c>
      <c r="G148" s="4" t="s">
        <v>160</v>
      </c>
      <c r="H148" s="25" t="s">
        <v>160</v>
      </c>
      <c r="I148" s="4" t="s">
        <v>21</v>
      </c>
      <c r="J148" s="25" t="s">
        <v>21</v>
      </c>
      <c r="K148" s="4">
        <v>4</v>
      </c>
      <c r="L148" s="25">
        <v>4</v>
      </c>
      <c r="M148" s="4" t="s">
        <v>51</v>
      </c>
      <c r="N148" s="25" t="s">
        <v>2119</v>
      </c>
      <c r="O148" s="4">
        <v>1.4</v>
      </c>
      <c r="P148" s="25">
        <v>1.4</v>
      </c>
      <c r="Q148" s="4" t="s">
        <v>74</v>
      </c>
      <c r="R148" s="25" t="s">
        <v>74</v>
      </c>
      <c r="S148" s="4">
        <v>0.74</v>
      </c>
      <c r="T148" s="26">
        <v>0.74</v>
      </c>
    </row>
    <row r="149" spans="1:20" x14ac:dyDescent="0.3">
      <c r="A149" s="27" t="s">
        <v>401</v>
      </c>
      <c r="B149" s="4" t="s">
        <v>402</v>
      </c>
      <c r="C149" s="4" t="s">
        <v>113</v>
      </c>
      <c r="D149" s="25" t="s">
        <v>118</v>
      </c>
      <c r="E149" s="4">
        <v>36</v>
      </c>
      <c r="F149" s="25">
        <v>36</v>
      </c>
      <c r="G149" s="4" t="s">
        <v>38</v>
      </c>
      <c r="H149" s="25" t="s">
        <v>38</v>
      </c>
      <c r="I149" s="4" t="s">
        <v>93</v>
      </c>
      <c r="J149" s="25" t="s">
        <v>93</v>
      </c>
      <c r="K149" s="4">
        <v>7</v>
      </c>
      <c r="L149" s="25">
        <v>7</v>
      </c>
      <c r="M149" s="4" t="s">
        <v>52</v>
      </c>
      <c r="N149" s="25" t="s">
        <v>52</v>
      </c>
      <c r="O149" s="4">
        <v>0</v>
      </c>
      <c r="P149" s="25">
        <v>0</v>
      </c>
      <c r="Q149" s="4" t="s">
        <v>41</v>
      </c>
      <c r="R149" s="25" t="s">
        <v>41</v>
      </c>
      <c r="S149" s="4">
        <v>0.88</v>
      </c>
      <c r="T149" s="26">
        <v>0.88</v>
      </c>
    </row>
    <row r="150" spans="1:20" x14ac:dyDescent="0.3">
      <c r="A150" s="27" t="s">
        <v>403</v>
      </c>
      <c r="B150" s="4" t="s">
        <v>404</v>
      </c>
      <c r="C150" s="4" t="s">
        <v>37</v>
      </c>
      <c r="D150" s="25" t="s">
        <v>118</v>
      </c>
      <c r="E150" s="4">
        <v>25</v>
      </c>
      <c r="F150" s="25">
        <v>25</v>
      </c>
      <c r="G150" s="4" t="s">
        <v>201</v>
      </c>
      <c r="H150" s="25" t="s">
        <v>201</v>
      </c>
      <c r="I150" s="4" t="s">
        <v>66</v>
      </c>
      <c r="J150" s="25" t="s">
        <v>66</v>
      </c>
      <c r="K150" s="4">
        <v>0</v>
      </c>
      <c r="L150" s="25">
        <v>0</v>
      </c>
      <c r="M150" s="4" t="s">
        <v>86</v>
      </c>
      <c r="N150" s="25" t="s">
        <v>86</v>
      </c>
      <c r="O150" s="4">
        <v>0</v>
      </c>
      <c r="P150" s="25">
        <v>0</v>
      </c>
      <c r="Q150" s="4" t="s">
        <v>23</v>
      </c>
      <c r="R150" s="25" t="s">
        <v>23</v>
      </c>
      <c r="S150" s="4">
        <v>0.9</v>
      </c>
      <c r="T150" s="26">
        <v>0.9</v>
      </c>
    </row>
    <row r="151" spans="1:20" x14ac:dyDescent="0.3">
      <c r="A151" s="27" t="s">
        <v>405</v>
      </c>
      <c r="B151" s="4" t="s">
        <v>406</v>
      </c>
      <c r="C151" s="4" t="s">
        <v>28</v>
      </c>
      <c r="D151" s="25" t="s">
        <v>97</v>
      </c>
      <c r="E151" s="4">
        <v>37</v>
      </c>
      <c r="F151" s="25">
        <v>37</v>
      </c>
      <c r="G151" s="4" t="s">
        <v>145</v>
      </c>
      <c r="H151" s="25" t="s">
        <v>145</v>
      </c>
      <c r="I151" s="4" t="s">
        <v>66</v>
      </c>
      <c r="J151" s="25" t="s">
        <v>66</v>
      </c>
      <c r="K151" s="4">
        <v>15</v>
      </c>
      <c r="L151" s="25">
        <v>15</v>
      </c>
      <c r="M151" s="4" t="s">
        <v>47</v>
      </c>
      <c r="N151" s="25" t="s">
        <v>47</v>
      </c>
      <c r="O151" s="4">
        <v>2.9</v>
      </c>
      <c r="P151" s="25">
        <v>2.9</v>
      </c>
      <c r="Q151" s="4" t="s">
        <v>59</v>
      </c>
      <c r="R151" s="25" t="s">
        <v>59</v>
      </c>
      <c r="T151" s="26" t="s">
        <v>2120</v>
      </c>
    </row>
    <row r="152" spans="1:20" x14ac:dyDescent="0.3">
      <c r="A152" s="27" t="s">
        <v>407</v>
      </c>
      <c r="B152" s="4" t="s">
        <v>408</v>
      </c>
      <c r="C152" s="4" t="s">
        <v>113</v>
      </c>
      <c r="D152" s="25" t="s">
        <v>118</v>
      </c>
      <c r="F152" s="25" t="s">
        <v>2119</v>
      </c>
      <c r="G152" s="4" t="s">
        <v>79</v>
      </c>
      <c r="H152" s="25" t="s">
        <v>79</v>
      </c>
      <c r="I152" s="4" t="s">
        <v>66</v>
      </c>
      <c r="J152" s="25" t="s">
        <v>66</v>
      </c>
      <c r="K152" s="4">
        <v>10</v>
      </c>
      <c r="L152" s="25">
        <v>10</v>
      </c>
      <c r="M152" s="4" t="s">
        <v>70</v>
      </c>
      <c r="N152" s="25" t="s">
        <v>70</v>
      </c>
      <c r="O152" s="4">
        <v>0</v>
      </c>
      <c r="P152" s="25">
        <v>0</v>
      </c>
      <c r="Q152" s="4" t="s">
        <v>51</v>
      </c>
      <c r="R152" s="25" t="s">
        <v>2120</v>
      </c>
      <c r="T152" s="26" t="s">
        <v>2120</v>
      </c>
    </row>
    <row r="153" spans="1:20" x14ac:dyDescent="0.3">
      <c r="A153" s="27" t="s">
        <v>409</v>
      </c>
      <c r="B153" s="4" t="s">
        <v>410</v>
      </c>
      <c r="C153" s="4" t="s">
        <v>63</v>
      </c>
      <c r="D153" s="25" t="s">
        <v>118</v>
      </c>
      <c r="E153" s="4">
        <v>29</v>
      </c>
      <c r="F153" s="25">
        <v>29</v>
      </c>
      <c r="G153" s="4" t="s">
        <v>212</v>
      </c>
      <c r="H153" s="25" t="s">
        <v>212</v>
      </c>
      <c r="I153" s="4" t="s">
        <v>66</v>
      </c>
      <c r="J153" s="25" t="s">
        <v>66</v>
      </c>
      <c r="K153" s="4">
        <v>11</v>
      </c>
      <c r="L153" s="25">
        <v>11</v>
      </c>
      <c r="M153" s="4" t="s">
        <v>162</v>
      </c>
      <c r="N153" s="25" t="s">
        <v>162</v>
      </c>
      <c r="O153" s="4">
        <v>2.7</v>
      </c>
      <c r="P153" s="25">
        <v>2.7</v>
      </c>
      <c r="Q153" s="4" t="s">
        <v>181</v>
      </c>
      <c r="R153" s="25" t="s">
        <v>181</v>
      </c>
      <c r="S153" s="4">
        <v>0.93</v>
      </c>
      <c r="T153" s="26">
        <v>0.93</v>
      </c>
    </row>
    <row r="154" spans="1:20" x14ac:dyDescent="0.3">
      <c r="A154" s="27" t="s">
        <v>411</v>
      </c>
      <c r="B154" s="4" t="s">
        <v>412</v>
      </c>
      <c r="C154" s="4" t="s">
        <v>50</v>
      </c>
      <c r="D154" s="25" t="s">
        <v>97</v>
      </c>
      <c r="E154" s="4">
        <v>55</v>
      </c>
      <c r="F154" s="25">
        <v>55</v>
      </c>
      <c r="G154" s="4" t="s">
        <v>91</v>
      </c>
      <c r="H154" s="25" t="s">
        <v>91</v>
      </c>
      <c r="I154" s="4" t="s">
        <v>31</v>
      </c>
      <c r="J154" s="25" t="s">
        <v>31</v>
      </c>
      <c r="K154" s="4">
        <v>12</v>
      </c>
      <c r="L154" s="25">
        <v>12</v>
      </c>
      <c r="M154" s="4" t="s">
        <v>22</v>
      </c>
      <c r="N154" s="25" t="s">
        <v>22</v>
      </c>
      <c r="O154" s="4">
        <v>1.8</v>
      </c>
      <c r="P154" s="25">
        <v>1.8</v>
      </c>
      <c r="Q154" s="4" t="s">
        <v>33</v>
      </c>
      <c r="R154" s="25" t="s">
        <v>33</v>
      </c>
      <c r="T154" s="26" t="s">
        <v>2120</v>
      </c>
    </row>
    <row r="155" spans="1:20" x14ac:dyDescent="0.3">
      <c r="A155" s="27" t="s">
        <v>413</v>
      </c>
      <c r="B155" s="4" t="s">
        <v>414</v>
      </c>
      <c r="C155" s="4" t="s">
        <v>97</v>
      </c>
      <c r="D155" s="25" t="s">
        <v>97</v>
      </c>
      <c r="E155" s="4">
        <v>38</v>
      </c>
      <c r="F155" s="25">
        <v>38</v>
      </c>
      <c r="G155" s="4" t="s">
        <v>106</v>
      </c>
      <c r="H155" s="25" t="s">
        <v>106</v>
      </c>
      <c r="I155" s="4" t="s">
        <v>110</v>
      </c>
      <c r="J155" s="25" t="s">
        <v>110</v>
      </c>
      <c r="K155" s="4">
        <v>20</v>
      </c>
      <c r="L155" s="25">
        <v>20</v>
      </c>
      <c r="M155" s="4" t="s">
        <v>192</v>
      </c>
      <c r="N155" s="25" t="s">
        <v>192</v>
      </c>
      <c r="O155" s="4">
        <v>1.1000000000000001</v>
      </c>
      <c r="P155" s="25">
        <v>1.1000000000000001</v>
      </c>
      <c r="Q155" s="4" t="s">
        <v>181</v>
      </c>
      <c r="R155" s="25" t="s">
        <v>181</v>
      </c>
      <c r="S155" s="4">
        <v>0.71</v>
      </c>
      <c r="T155" s="26">
        <v>0.71</v>
      </c>
    </row>
    <row r="156" spans="1:20" x14ac:dyDescent="0.3">
      <c r="A156" s="27" t="s">
        <v>415</v>
      </c>
      <c r="B156" s="4" t="s">
        <v>416</v>
      </c>
      <c r="C156" s="4" t="s">
        <v>118</v>
      </c>
      <c r="D156" s="25" t="s">
        <v>118</v>
      </c>
      <c r="E156" s="4">
        <v>47</v>
      </c>
      <c r="F156" s="25">
        <v>47</v>
      </c>
      <c r="G156" s="4" t="s">
        <v>133</v>
      </c>
      <c r="H156" s="25" t="s">
        <v>133</v>
      </c>
      <c r="I156" s="4" t="s">
        <v>110</v>
      </c>
      <c r="J156" s="25" t="s">
        <v>110</v>
      </c>
      <c r="K156" s="4">
        <v>29</v>
      </c>
      <c r="L156" s="25">
        <v>29</v>
      </c>
      <c r="M156" s="4" t="s">
        <v>47</v>
      </c>
      <c r="N156" s="25" t="s">
        <v>47</v>
      </c>
      <c r="O156" s="4">
        <v>4.3</v>
      </c>
      <c r="P156" s="25">
        <v>4.3</v>
      </c>
      <c r="Q156" s="4" t="s">
        <v>33</v>
      </c>
      <c r="R156" s="25" t="s">
        <v>33</v>
      </c>
      <c r="S156" s="4">
        <v>0.95</v>
      </c>
      <c r="T156" s="26">
        <v>0.95</v>
      </c>
    </row>
    <row r="157" spans="1:20" x14ac:dyDescent="0.3">
      <c r="A157" s="27" t="s">
        <v>417</v>
      </c>
      <c r="B157" s="4" t="s">
        <v>418</v>
      </c>
      <c r="C157" s="4" t="s">
        <v>113</v>
      </c>
      <c r="D157" s="25" t="s">
        <v>118</v>
      </c>
      <c r="E157" s="4">
        <v>60</v>
      </c>
      <c r="F157" s="25">
        <v>60</v>
      </c>
      <c r="G157" s="4" t="s">
        <v>128</v>
      </c>
      <c r="H157" s="25" t="s">
        <v>128</v>
      </c>
      <c r="I157" s="4" t="s">
        <v>46</v>
      </c>
      <c r="J157" s="25" t="s">
        <v>46</v>
      </c>
      <c r="K157" s="4">
        <v>15</v>
      </c>
      <c r="L157" s="25">
        <v>15</v>
      </c>
      <c r="M157" s="4" t="s">
        <v>22</v>
      </c>
      <c r="N157" s="25" t="s">
        <v>22</v>
      </c>
      <c r="O157" s="4">
        <v>1.5</v>
      </c>
      <c r="P157" s="25">
        <v>1.5</v>
      </c>
      <c r="Q157" s="4" t="s">
        <v>23</v>
      </c>
      <c r="R157" s="25" t="s">
        <v>23</v>
      </c>
      <c r="S157" s="4">
        <v>80</v>
      </c>
      <c r="T157" s="26">
        <v>80</v>
      </c>
    </row>
    <row r="158" spans="1:20" x14ac:dyDescent="0.3">
      <c r="A158" s="27" t="s">
        <v>419</v>
      </c>
      <c r="B158" s="4" t="s">
        <v>420</v>
      </c>
      <c r="C158" s="4" t="s">
        <v>28</v>
      </c>
      <c r="D158" s="25" t="s">
        <v>97</v>
      </c>
      <c r="E158" s="4">
        <v>43</v>
      </c>
      <c r="F158" s="25">
        <v>43</v>
      </c>
      <c r="G158" s="4" t="s">
        <v>19</v>
      </c>
      <c r="H158" s="25" t="s">
        <v>19</v>
      </c>
      <c r="I158" s="4" t="s">
        <v>66</v>
      </c>
      <c r="J158" s="25" t="s">
        <v>66</v>
      </c>
      <c r="K158" s="4">
        <v>9</v>
      </c>
      <c r="L158" s="25">
        <v>9</v>
      </c>
      <c r="M158" s="4" t="s">
        <v>142</v>
      </c>
      <c r="N158" s="25" t="s">
        <v>142</v>
      </c>
      <c r="O158" s="4">
        <v>2.2000000000000002</v>
      </c>
      <c r="P158" s="25">
        <v>2.2000000000000002</v>
      </c>
      <c r="Q158" s="4" t="s">
        <v>41</v>
      </c>
      <c r="R158" s="25" t="s">
        <v>41</v>
      </c>
      <c r="T158" s="26" t="s">
        <v>2120</v>
      </c>
    </row>
    <row r="159" spans="1:20" x14ac:dyDescent="0.3">
      <c r="A159" s="27" t="s">
        <v>421</v>
      </c>
      <c r="B159" s="4" t="s">
        <v>422</v>
      </c>
      <c r="C159" s="4" t="s">
        <v>118</v>
      </c>
      <c r="D159" s="25" t="s">
        <v>118</v>
      </c>
      <c r="E159" s="4">
        <v>56</v>
      </c>
      <c r="F159" s="25">
        <v>56</v>
      </c>
      <c r="G159" s="4" t="s">
        <v>175</v>
      </c>
      <c r="H159" s="25" t="s">
        <v>175</v>
      </c>
      <c r="I159" s="4" t="s">
        <v>66</v>
      </c>
      <c r="J159" s="25" t="s">
        <v>66</v>
      </c>
      <c r="L159" s="25" t="s">
        <v>2120</v>
      </c>
      <c r="M159" s="4" t="s">
        <v>22</v>
      </c>
      <c r="N159" s="25" t="s">
        <v>22</v>
      </c>
      <c r="O159" s="4">
        <v>3.2</v>
      </c>
      <c r="P159" s="25">
        <v>3.2</v>
      </c>
      <c r="Q159" s="4" t="s">
        <v>23</v>
      </c>
      <c r="R159" s="25" t="s">
        <v>23</v>
      </c>
      <c r="S159" s="4">
        <v>0.62</v>
      </c>
      <c r="T159" s="26">
        <v>0.62</v>
      </c>
    </row>
    <row r="160" spans="1:20" x14ac:dyDescent="0.3">
      <c r="A160" s="27" t="s">
        <v>423</v>
      </c>
      <c r="B160" s="4" t="s">
        <v>424</v>
      </c>
      <c r="C160" s="4" t="s">
        <v>37</v>
      </c>
      <c r="D160" s="25" t="s">
        <v>118</v>
      </c>
      <c r="E160" s="4">
        <v>42</v>
      </c>
      <c r="F160" s="25">
        <v>42</v>
      </c>
      <c r="G160" s="4" t="s">
        <v>145</v>
      </c>
      <c r="H160" s="25" t="s">
        <v>145</v>
      </c>
      <c r="I160" s="4" t="s">
        <v>110</v>
      </c>
      <c r="J160" s="25" t="s">
        <v>110</v>
      </c>
      <c r="K160" s="4">
        <v>2</v>
      </c>
      <c r="L160" s="25">
        <v>2</v>
      </c>
      <c r="M160" s="4" t="s">
        <v>81</v>
      </c>
      <c r="N160" s="25" t="s">
        <v>81</v>
      </c>
      <c r="O160" s="4">
        <v>1.9</v>
      </c>
      <c r="P160" s="25">
        <v>1.9</v>
      </c>
      <c r="Q160" s="4" t="s">
        <v>59</v>
      </c>
      <c r="R160" s="25" t="s">
        <v>59</v>
      </c>
      <c r="S160" s="4">
        <v>0.95</v>
      </c>
      <c r="T160" s="26">
        <v>0.95</v>
      </c>
    </row>
    <row r="161" spans="1:20" x14ac:dyDescent="0.3">
      <c r="A161" s="27" t="s">
        <v>425</v>
      </c>
      <c r="B161" s="4" t="s">
        <v>426</v>
      </c>
      <c r="C161" s="4" t="s">
        <v>97</v>
      </c>
      <c r="D161" s="25" t="s">
        <v>97</v>
      </c>
      <c r="E161" s="4">
        <v>20</v>
      </c>
      <c r="F161" s="25">
        <v>20</v>
      </c>
      <c r="G161" s="4" t="s">
        <v>212</v>
      </c>
      <c r="H161" s="25" t="s">
        <v>212</v>
      </c>
      <c r="I161" s="4" t="s">
        <v>39</v>
      </c>
      <c r="J161" s="25" t="s">
        <v>39</v>
      </c>
      <c r="K161" s="4">
        <v>0</v>
      </c>
      <c r="L161" s="25">
        <v>0</v>
      </c>
      <c r="M161" s="4" t="s">
        <v>86</v>
      </c>
      <c r="N161" s="25" t="s">
        <v>86</v>
      </c>
      <c r="O161" s="4">
        <v>2.5</v>
      </c>
      <c r="P161" s="25">
        <v>2.5</v>
      </c>
      <c r="Q161" s="4" t="s">
        <v>23</v>
      </c>
      <c r="R161" s="25" t="s">
        <v>23</v>
      </c>
      <c r="S161" s="4">
        <v>0.79</v>
      </c>
      <c r="T161" s="26">
        <v>0.79</v>
      </c>
    </row>
    <row r="162" spans="1:20" x14ac:dyDescent="0.3">
      <c r="A162" s="27" t="s">
        <v>427</v>
      </c>
      <c r="B162" s="4" t="s">
        <v>428</v>
      </c>
      <c r="C162" s="4" t="s">
        <v>50</v>
      </c>
      <c r="D162" s="25" t="s">
        <v>97</v>
      </c>
      <c r="E162" s="4">
        <v>47</v>
      </c>
      <c r="F162" s="25">
        <v>47</v>
      </c>
      <c r="G162" s="4" t="s">
        <v>64</v>
      </c>
      <c r="H162" s="25" t="s">
        <v>64</v>
      </c>
      <c r="I162" s="4" t="s">
        <v>93</v>
      </c>
      <c r="J162" s="25" t="s">
        <v>93</v>
      </c>
      <c r="K162" s="4">
        <v>12</v>
      </c>
      <c r="L162" s="25">
        <v>12</v>
      </c>
      <c r="M162" s="4" t="s">
        <v>86</v>
      </c>
      <c r="N162" s="25" t="s">
        <v>86</v>
      </c>
      <c r="O162" s="4">
        <v>4.5</v>
      </c>
      <c r="P162" s="25">
        <v>4.5</v>
      </c>
      <c r="Q162" s="4" t="s">
        <v>181</v>
      </c>
      <c r="R162" s="25" t="s">
        <v>181</v>
      </c>
      <c r="S162" s="4">
        <v>0.62</v>
      </c>
      <c r="T162" s="26">
        <v>0.62</v>
      </c>
    </row>
    <row r="163" spans="1:20" x14ac:dyDescent="0.3">
      <c r="A163" s="27" t="s">
        <v>429</v>
      </c>
      <c r="B163" s="4" t="s">
        <v>430</v>
      </c>
      <c r="C163" s="4" t="s">
        <v>63</v>
      </c>
      <c r="D163" s="25" t="s">
        <v>118</v>
      </c>
      <c r="F163" s="25" t="s">
        <v>2119</v>
      </c>
      <c r="G163" s="4" t="s">
        <v>91</v>
      </c>
      <c r="H163" s="25" t="s">
        <v>91</v>
      </c>
      <c r="I163" s="4" t="s">
        <v>66</v>
      </c>
      <c r="J163" s="25" t="s">
        <v>66</v>
      </c>
      <c r="K163" s="4">
        <v>12</v>
      </c>
      <c r="L163" s="25">
        <v>12</v>
      </c>
      <c r="M163" s="4" t="s">
        <v>58</v>
      </c>
      <c r="N163" s="25" t="s">
        <v>58</v>
      </c>
      <c r="O163" s="4">
        <v>4.0999999999999996</v>
      </c>
      <c r="P163" s="25">
        <v>4.0999999999999996</v>
      </c>
      <c r="Q163" s="4" t="s">
        <v>181</v>
      </c>
      <c r="R163" s="25" t="s">
        <v>181</v>
      </c>
      <c r="S163" s="4">
        <v>0.68</v>
      </c>
      <c r="T163" s="26">
        <v>0.68</v>
      </c>
    </row>
    <row r="164" spans="1:20" x14ac:dyDescent="0.3">
      <c r="A164" s="27" t="s">
        <v>431</v>
      </c>
      <c r="B164" s="4" t="s">
        <v>432</v>
      </c>
      <c r="C164" s="4" t="s">
        <v>113</v>
      </c>
      <c r="D164" s="25" t="s">
        <v>118</v>
      </c>
      <c r="E164" s="4">
        <v>56</v>
      </c>
      <c r="F164" s="25">
        <v>56</v>
      </c>
      <c r="G164" s="4" t="s">
        <v>64</v>
      </c>
      <c r="H164" s="25" t="s">
        <v>64</v>
      </c>
      <c r="I164" s="4" t="s">
        <v>110</v>
      </c>
      <c r="J164" s="25" t="s">
        <v>110</v>
      </c>
      <c r="K164" s="4">
        <v>15</v>
      </c>
      <c r="L164" s="25">
        <v>15</v>
      </c>
      <c r="M164" s="4" t="s">
        <v>67</v>
      </c>
      <c r="N164" s="25" t="s">
        <v>67</v>
      </c>
      <c r="O164" s="4">
        <v>0</v>
      </c>
      <c r="P164" s="25">
        <v>0</v>
      </c>
      <c r="Q164" s="4" t="s">
        <v>181</v>
      </c>
      <c r="R164" s="25" t="s">
        <v>181</v>
      </c>
      <c r="T164" s="26" t="s">
        <v>2120</v>
      </c>
    </row>
    <row r="165" spans="1:20" x14ac:dyDescent="0.3">
      <c r="A165" s="27" t="s">
        <v>433</v>
      </c>
      <c r="B165" s="4" t="s">
        <v>434</v>
      </c>
      <c r="C165" s="4" t="s">
        <v>118</v>
      </c>
      <c r="D165" s="25" t="s">
        <v>118</v>
      </c>
      <c r="E165" s="4">
        <v>59</v>
      </c>
      <c r="F165" s="25">
        <v>59</v>
      </c>
      <c r="G165" s="4" t="s">
        <v>85</v>
      </c>
      <c r="H165" s="25" t="s">
        <v>85</v>
      </c>
      <c r="I165" s="4" t="s">
        <v>110</v>
      </c>
      <c r="J165" s="25" t="s">
        <v>110</v>
      </c>
      <c r="K165" s="4">
        <v>29</v>
      </c>
      <c r="L165" s="25">
        <v>29</v>
      </c>
      <c r="M165" s="4" t="s">
        <v>67</v>
      </c>
      <c r="N165" s="25" t="s">
        <v>67</v>
      </c>
      <c r="P165" s="25" t="s">
        <v>2120</v>
      </c>
      <c r="Q165" s="4" t="s">
        <v>23</v>
      </c>
      <c r="R165" s="25" t="s">
        <v>23</v>
      </c>
      <c r="S165" s="4">
        <v>0.8</v>
      </c>
      <c r="T165" s="26">
        <v>0.8</v>
      </c>
    </row>
    <row r="166" spans="1:20" x14ac:dyDescent="0.3">
      <c r="A166" s="27" t="s">
        <v>435</v>
      </c>
      <c r="B166" s="4" t="s">
        <v>436</v>
      </c>
      <c r="C166" s="4" t="s">
        <v>78</v>
      </c>
      <c r="D166" s="25" t="s">
        <v>118</v>
      </c>
      <c r="E166" s="4">
        <v>56</v>
      </c>
      <c r="F166" s="25">
        <v>56</v>
      </c>
      <c r="G166" s="4" t="s">
        <v>106</v>
      </c>
      <c r="H166" s="25" t="s">
        <v>106</v>
      </c>
      <c r="I166" s="4" t="s">
        <v>98</v>
      </c>
      <c r="J166" s="25" t="s">
        <v>98</v>
      </c>
      <c r="K166" s="4">
        <v>15</v>
      </c>
      <c r="L166" s="25">
        <v>15</v>
      </c>
      <c r="M166" s="4" t="s">
        <v>86</v>
      </c>
      <c r="N166" s="25" t="s">
        <v>86</v>
      </c>
      <c r="O166" s="4">
        <v>3.7</v>
      </c>
      <c r="P166" s="25">
        <v>3.7</v>
      </c>
      <c r="Q166" s="4" t="s">
        <v>51</v>
      </c>
      <c r="R166" s="25" t="s">
        <v>2120</v>
      </c>
      <c r="S166" s="4">
        <v>0.92</v>
      </c>
      <c r="T166" s="26">
        <v>0.92</v>
      </c>
    </row>
    <row r="167" spans="1:20" x14ac:dyDescent="0.3">
      <c r="A167" s="27" t="s">
        <v>437</v>
      </c>
      <c r="B167" s="4" t="s">
        <v>438</v>
      </c>
      <c r="C167" s="4" t="s">
        <v>50</v>
      </c>
      <c r="D167" s="25" t="s">
        <v>97</v>
      </c>
      <c r="E167" s="4">
        <v>31</v>
      </c>
      <c r="F167" s="25">
        <v>31</v>
      </c>
      <c r="G167" s="4" t="s">
        <v>175</v>
      </c>
      <c r="H167" s="25" t="s">
        <v>175</v>
      </c>
      <c r="I167" s="4" t="s">
        <v>46</v>
      </c>
      <c r="J167" s="25" t="s">
        <v>46</v>
      </c>
      <c r="L167" s="25" t="s">
        <v>2120</v>
      </c>
      <c r="M167" s="4" t="s">
        <v>67</v>
      </c>
      <c r="N167" s="25" t="s">
        <v>67</v>
      </c>
      <c r="O167" s="4">
        <v>1.3</v>
      </c>
      <c r="P167" s="25">
        <v>1.3</v>
      </c>
      <c r="Q167" s="4" t="s">
        <v>33</v>
      </c>
      <c r="R167" s="25" t="s">
        <v>33</v>
      </c>
      <c r="S167" s="4">
        <v>0.65</v>
      </c>
      <c r="T167" s="26">
        <v>0.65</v>
      </c>
    </row>
    <row r="168" spans="1:20" x14ac:dyDescent="0.3">
      <c r="A168" s="27" t="s">
        <v>439</v>
      </c>
      <c r="B168" s="4" t="s">
        <v>440</v>
      </c>
      <c r="C168" s="4" t="s">
        <v>63</v>
      </c>
      <c r="D168" s="25" t="s">
        <v>118</v>
      </c>
      <c r="E168" s="4">
        <v>60</v>
      </c>
      <c r="F168" s="25">
        <v>60</v>
      </c>
      <c r="G168" s="4" t="s">
        <v>133</v>
      </c>
      <c r="H168" s="25" t="s">
        <v>133</v>
      </c>
      <c r="I168" s="4" t="s">
        <v>31</v>
      </c>
      <c r="J168" s="25" t="s">
        <v>31</v>
      </c>
      <c r="K168" s="4">
        <v>33</v>
      </c>
      <c r="L168" s="25">
        <v>33</v>
      </c>
      <c r="M168" s="4" t="s">
        <v>86</v>
      </c>
      <c r="N168" s="25" t="s">
        <v>86</v>
      </c>
      <c r="O168" s="4">
        <v>3.6</v>
      </c>
      <c r="P168" s="25">
        <v>3.6</v>
      </c>
      <c r="Q168" s="4" t="s">
        <v>33</v>
      </c>
      <c r="R168" s="25" t="s">
        <v>33</v>
      </c>
      <c r="S168" s="4">
        <v>0.87</v>
      </c>
      <c r="T168" s="26">
        <v>0.87</v>
      </c>
    </row>
    <row r="169" spans="1:20" x14ac:dyDescent="0.3">
      <c r="A169" s="27" t="s">
        <v>441</v>
      </c>
      <c r="B169" s="4" t="s">
        <v>442</v>
      </c>
      <c r="C169" s="4" t="s">
        <v>28</v>
      </c>
      <c r="D169" s="25" t="s">
        <v>97</v>
      </c>
      <c r="E169" s="4">
        <v>31</v>
      </c>
      <c r="F169" s="25">
        <v>31</v>
      </c>
      <c r="G169" s="4" t="s">
        <v>149</v>
      </c>
      <c r="H169" s="25" t="s">
        <v>149</v>
      </c>
      <c r="I169" s="4" t="s">
        <v>46</v>
      </c>
      <c r="J169" s="25" t="s">
        <v>46</v>
      </c>
      <c r="K169" s="4">
        <v>10</v>
      </c>
      <c r="L169" s="25">
        <v>10</v>
      </c>
      <c r="M169" s="4" t="s">
        <v>103</v>
      </c>
      <c r="N169" s="25" t="s">
        <v>103</v>
      </c>
      <c r="O169" s="4">
        <v>0</v>
      </c>
      <c r="P169" s="25">
        <v>0</v>
      </c>
      <c r="Q169" s="4" t="s">
        <v>181</v>
      </c>
      <c r="R169" s="25" t="s">
        <v>181</v>
      </c>
      <c r="S169" s="4">
        <v>0.7</v>
      </c>
      <c r="T169" s="26">
        <v>0.7</v>
      </c>
    </row>
    <row r="170" spans="1:20" x14ac:dyDescent="0.3">
      <c r="A170" s="27" t="s">
        <v>443</v>
      </c>
      <c r="B170" s="4" t="s">
        <v>444</v>
      </c>
      <c r="C170" s="4" t="s">
        <v>78</v>
      </c>
      <c r="D170" s="25" t="s">
        <v>118</v>
      </c>
      <c r="E170" s="4">
        <v>60</v>
      </c>
      <c r="F170" s="25">
        <v>60</v>
      </c>
      <c r="G170" s="4" t="s">
        <v>91</v>
      </c>
      <c r="H170" s="25" t="s">
        <v>91</v>
      </c>
      <c r="I170" s="4" t="s">
        <v>98</v>
      </c>
      <c r="J170" s="25" t="s">
        <v>98</v>
      </c>
      <c r="K170" s="4">
        <v>20</v>
      </c>
      <c r="L170" s="25">
        <v>20</v>
      </c>
      <c r="M170" s="4" t="s">
        <v>86</v>
      </c>
      <c r="N170" s="25" t="s">
        <v>86</v>
      </c>
      <c r="O170" s="4">
        <v>1.4</v>
      </c>
      <c r="P170" s="25">
        <v>1.4</v>
      </c>
      <c r="Q170" s="4" t="s">
        <v>181</v>
      </c>
      <c r="R170" s="25" t="s">
        <v>181</v>
      </c>
      <c r="S170" s="4">
        <v>87</v>
      </c>
      <c r="T170" s="26">
        <v>87</v>
      </c>
    </row>
    <row r="171" spans="1:20" x14ac:dyDescent="0.3">
      <c r="A171" s="27" t="s">
        <v>445</v>
      </c>
      <c r="B171" s="4" t="s">
        <v>446</v>
      </c>
      <c r="C171" s="4" t="s">
        <v>78</v>
      </c>
      <c r="D171" s="25" t="s">
        <v>118</v>
      </c>
      <c r="E171" s="4">
        <v>46</v>
      </c>
      <c r="F171" s="25">
        <v>46</v>
      </c>
      <c r="G171" s="4" t="s">
        <v>156</v>
      </c>
      <c r="H171" s="25" t="s">
        <v>156</v>
      </c>
      <c r="I171" s="4" t="s">
        <v>110</v>
      </c>
      <c r="J171" s="25" t="s">
        <v>110</v>
      </c>
      <c r="K171" s="4">
        <v>23</v>
      </c>
      <c r="L171" s="25">
        <v>23</v>
      </c>
      <c r="M171" s="4" t="s">
        <v>162</v>
      </c>
      <c r="N171" s="25" t="s">
        <v>162</v>
      </c>
      <c r="O171" s="4">
        <v>2.9</v>
      </c>
      <c r="P171" s="25">
        <v>2.9</v>
      </c>
      <c r="Q171" s="4" t="s">
        <v>41</v>
      </c>
      <c r="R171" s="25" t="s">
        <v>41</v>
      </c>
      <c r="S171" s="4">
        <v>0.72</v>
      </c>
      <c r="T171" s="26">
        <v>0.72</v>
      </c>
    </row>
    <row r="172" spans="1:20" x14ac:dyDescent="0.3">
      <c r="A172" s="27" t="s">
        <v>447</v>
      </c>
      <c r="B172" s="4" t="s">
        <v>448</v>
      </c>
      <c r="C172" s="4" t="s">
        <v>45</v>
      </c>
      <c r="D172" s="25" t="s">
        <v>97</v>
      </c>
      <c r="F172" s="25" t="s">
        <v>2119</v>
      </c>
      <c r="G172" s="4" t="s">
        <v>55</v>
      </c>
      <c r="H172" s="25" t="s">
        <v>55</v>
      </c>
      <c r="I172" s="4" t="s">
        <v>21</v>
      </c>
      <c r="J172" s="25" t="s">
        <v>21</v>
      </c>
      <c r="L172" s="25" t="s">
        <v>2120</v>
      </c>
      <c r="M172" s="4" t="s">
        <v>86</v>
      </c>
      <c r="N172" s="25" t="s">
        <v>86</v>
      </c>
      <c r="O172" s="4">
        <v>2.8</v>
      </c>
      <c r="P172" s="25">
        <v>2.8</v>
      </c>
      <c r="Q172" s="4" t="s">
        <v>41</v>
      </c>
      <c r="R172" s="25" t="s">
        <v>41</v>
      </c>
      <c r="S172" s="4">
        <v>0.8</v>
      </c>
      <c r="T172" s="26">
        <v>0.8</v>
      </c>
    </row>
    <row r="173" spans="1:20" x14ac:dyDescent="0.3">
      <c r="A173" s="27" t="s">
        <v>449</v>
      </c>
      <c r="B173" s="4" t="s">
        <v>450</v>
      </c>
      <c r="C173" s="4" t="s">
        <v>118</v>
      </c>
      <c r="D173" s="25" t="s">
        <v>118</v>
      </c>
      <c r="E173" s="4">
        <v>34</v>
      </c>
      <c r="F173" s="25">
        <v>34</v>
      </c>
      <c r="G173" s="4" t="s">
        <v>106</v>
      </c>
      <c r="H173" s="25" t="s">
        <v>106</v>
      </c>
      <c r="I173" s="4" t="s">
        <v>93</v>
      </c>
      <c r="J173" s="25" t="s">
        <v>93</v>
      </c>
      <c r="K173" s="4">
        <v>0</v>
      </c>
      <c r="L173" s="25">
        <v>0</v>
      </c>
      <c r="M173" s="4" t="s">
        <v>162</v>
      </c>
      <c r="N173" s="25" t="s">
        <v>162</v>
      </c>
      <c r="O173" s="4">
        <v>1.7</v>
      </c>
      <c r="P173" s="25">
        <v>1.7</v>
      </c>
      <c r="Q173" s="4" t="s">
        <v>23</v>
      </c>
      <c r="R173" s="25" t="s">
        <v>23</v>
      </c>
      <c r="S173" s="4">
        <v>0.66</v>
      </c>
      <c r="T173" s="26">
        <v>0.66</v>
      </c>
    </row>
    <row r="174" spans="1:20" x14ac:dyDescent="0.3">
      <c r="A174" s="27" t="s">
        <v>451</v>
      </c>
      <c r="B174" s="4" t="s">
        <v>452</v>
      </c>
      <c r="C174" s="4" t="s">
        <v>18</v>
      </c>
      <c r="D174" s="25" t="s">
        <v>97</v>
      </c>
      <c r="E174" s="4">
        <v>42</v>
      </c>
      <c r="F174" s="25">
        <v>42</v>
      </c>
      <c r="G174" s="4" t="s">
        <v>55</v>
      </c>
      <c r="H174" s="25" t="s">
        <v>55</v>
      </c>
      <c r="I174" s="4" t="s">
        <v>39</v>
      </c>
      <c r="J174" s="25" t="s">
        <v>39</v>
      </c>
      <c r="K174" s="4">
        <v>7</v>
      </c>
      <c r="L174" s="25">
        <v>7</v>
      </c>
      <c r="M174" s="4" t="s">
        <v>70</v>
      </c>
      <c r="N174" s="25" t="s">
        <v>70</v>
      </c>
      <c r="O174" s="4">
        <v>0</v>
      </c>
      <c r="P174" s="25">
        <v>0</v>
      </c>
      <c r="Q174" s="4" t="s">
        <v>33</v>
      </c>
      <c r="R174" s="25" t="s">
        <v>33</v>
      </c>
      <c r="T174" s="26" t="s">
        <v>2120</v>
      </c>
    </row>
    <row r="175" spans="1:20" x14ac:dyDescent="0.3">
      <c r="A175" s="27" t="s">
        <v>453</v>
      </c>
      <c r="B175" s="4" t="s">
        <v>454</v>
      </c>
      <c r="C175" s="4" t="s">
        <v>113</v>
      </c>
      <c r="D175" s="25" t="s">
        <v>118</v>
      </c>
      <c r="E175" s="4">
        <v>31</v>
      </c>
      <c r="F175" s="25">
        <v>31</v>
      </c>
      <c r="G175" s="4" t="s">
        <v>85</v>
      </c>
      <c r="H175" s="25" t="s">
        <v>85</v>
      </c>
      <c r="I175" s="4" t="s">
        <v>66</v>
      </c>
      <c r="J175" s="25" t="s">
        <v>66</v>
      </c>
      <c r="K175" s="4">
        <v>4</v>
      </c>
      <c r="L175" s="25">
        <v>4</v>
      </c>
      <c r="M175" s="4" t="s">
        <v>67</v>
      </c>
      <c r="N175" s="25" t="s">
        <v>67</v>
      </c>
      <c r="O175" s="4">
        <v>1.1000000000000001</v>
      </c>
      <c r="P175" s="25">
        <v>1.1000000000000001</v>
      </c>
      <c r="Q175" s="4" t="s">
        <v>74</v>
      </c>
      <c r="R175" s="25" t="s">
        <v>74</v>
      </c>
      <c r="S175" s="4">
        <v>0.64</v>
      </c>
      <c r="T175" s="26">
        <v>0.64</v>
      </c>
    </row>
    <row r="176" spans="1:20" x14ac:dyDescent="0.3">
      <c r="A176" s="27" t="s">
        <v>455</v>
      </c>
      <c r="B176" s="4" t="s">
        <v>456</v>
      </c>
      <c r="C176" s="4" t="s">
        <v>37</v>
      </c>
      <c r="D176" s="25" t="s">
        <v>118</v>
      </c>
      <c r="E176" s="4">
        <v>29</v>
      </c>
      <c r="F176" s="25">
        <v>29</v>
      </c>
      <c r="G176" s="4" t="s">
        <v>128</v>
      </c>
      <c r="H176" s="25" t="s">
        <v>128</v>
      </c>
      <c r="I176" s="4" t="s">
        <v>93</v>
      </c>
      <c r="J176" s="25" t="s">
        <v>93</v>
      </c>
      <c r="K176" s="4">
        <v>9</v>
      </c>
      <c r="L176" s="25">
        <v>9</v>
      </c>
      <c r="M176" s="4" t="s">
        <v>162</v>
      </c>
      <c r="N176" s="25" t="s">
        <v>162</v>
      </c>
      <c r="P176" s="25" t="s">
        <v>2120</v>
      </c>
      <c r="Q176" s="4" t="s">
        <v>51</v>
      </c>
      <c r="R176" s="25" t="s">
        <v>2120</v>
      </c>
      <c r="S176" s="4">
        <v>0.68</v>
      </c>
      <c r="T176" s="26">
        <v>0.68</v>
      </c>
    </row>
    <row r="177" spans="1:20" x14ac:dyDescent="0.3">
      <c r="A177" s="27" t="s">
        <v>457</v>
      </c>
      <c r="B177" s="4" t="s">
        <v>458</v>
      </c>
      <c r="C177" s="4" t="s">
        <v>50</v>
      </c>
      <c r="D177" s="25" t="s">
        <v>97</v>
      </c>
      <c r="E177" s="4">
        <v>57</v>
      </c>
      <c r="F177" s="25">
        <v>57</v>
      </c>
      <c r="G177" s="4" t="s">
        <v>29</v>
      </c>
      <c r="H177" s="25" t="s">
        <v>29</v>
      </c>
      <c r="I177" s="4" t="s">
        <v>39</v>
      </c>
      <c r="J177" s="25" t="s">
        <v>39</v>
      </c>
      <c r="K177" s="4">
        <v>17</v>
      </c>
      <c r="L177" s="25">
        <v>17</v>
      </c>
      <c r="M177" s="4" t="s">
        <v>162</v>
      </c>
      <c r="N177" s="25" t="s">
        <v>162</v>
      </c>
      <c r="O177" s="4">
        <v>3.6</v>
      </c>
      <c r="P177" s="25">
        <v>3.6</v>
      </c>
      <c r="Q177" s="4" t="s">
        <v>23</v>
      </c>
      <c r="R177" s="25" t="s">
        <v>23</v>
      </c>
      <c r="S177" s="4">
        <v>0.63</v>
      </c>
      <c r="T177" s="26">
        <v>0.63</v>
      </c>
    </row>
    <row r="178" spans="1:20" x14ac:dyDescent="0.3">
      <c r="A178" s="27" t="s">
        <v>459</v>
      </c>
      <c r="B178" s="4" t="s">
        <v>460</v>
      </c>
      <c r="C178" s="4" t="s">
        <v>78</v>
      </c>
      <c r="D178" s="25" t="s">
        <v>118</v>
      </c>
      <c r="E178" s="4">
        <v>47</v>
      </c>
      <c r="F178" s="25">
        <v>47</v>
      </c>
      <c r="G178" s="4" t="s">
        <v>114</v>
      </c>
      <c r="H178" s="25" t="s">
        <v>114</v>
      </c>
      <c r="I178" s="4" t="s">
        <v>110</v>
      </c>
      <c r="J178" s="25" t="s">
        <v>110</v>
      </c>
      <c r="K178" s="4">
        <v>8</v>
      </c>
      <c r="L178" s="25">
        <v>8</v>
      </c>
      <c r="M178" s="4" t="s">
        <v>162</v>
      </c>
      <c r="N178" s="25" t="s">
        <v>162</v>
      </c>
      <c r="O178" s="4">
        <v>4.5</v>
      </c>
      <c r="P178" s="25">
        <v>4.5</v>
      </c>
      <c r="Q178" s="4" t="s">
        <v>33</v>
      </c>
      <c r="R178" s="25" t="s">
        <v>33</v>
      </c>
      <c r="S178" s="4">
        <v>0.72</v>
      </c>
      <c r="T178" s="26">
        <v>0.72</v>
      </c>
    </row>
    <row r="179" spans="1:20" x14ac:dyDescent="0.3">
      <c r="A179" s="27" t="s">
        <v>461</v>
      </c>
      <c r="B179" s="4" t="s">
        <v>462</v>
      </c>
      <c r="C179" s="4" t="s">
        <v>78</v>
      </c>
      <c r="D179" s="25" t="s">
        <v>118</v>
      </c>
      <c r="E179" s="4">
        <v>47</v>
      </c>
      <c r="F179" s="25">
        <v>47</v>
      </c>
      <c r="G179" s="4" t="s">
        <v>175</v>
      </c>
      <c r="H179" s="25" t="s">
        <v>175</v>
      </c>
      <c r="I179" s="4" t="s">
        <v>57</v>
      </c>
      <c r="J179" s="25" t="s">
        <v>57</v>
      </c>
      <c r="K179" s="4">
        <v>14</v>
      </c>
      <c r="L179" s="25">
        <v>14</v>
      </c>
      <c r="M179" s="4" t="s">
        <v>58</v>
      </c>
      <c r="N179" s="25" t="s">
        <v>58</v>
      </c>
      <c r="O179" s="4">
        <v>0</v>
      </c>
      <c r="P179" s="25">
        <v>0</v>
      </c>
      <c r="Q179" s="4" t="s">
        <v>74</v>
      </c>
      <c r="R179" s="25" t="s">
        <v>74</v>
      </c>
      <c r="S179" s="4">
        <v>0.86</v>
      </c>
      <c r="T179" s="26">
        <v>0.86</v>
      </c>
    </row>
    <row r="180" spans="1:20" x14ac:dyDescent="0.3">
      <c r="A180" s="27" t="s">
        <v>463</v>
      </c>
      <c r="B180" s="4" t="s">
        <v>464</v>
      </c>
      <c r="C180" s="4" t="s">
        <v>28</v>
      </c>
      <c r="D180" s="25" t="s">
        <v>97</v>
      </c>
      <c r="E180" s="4">
        <v>45</v>
      </c>
      <c r="F180" s="25">
        <v>45</v>
      </c>
      <c r="G180" s="4" t="s">
        <v>156</v>
      </c>
      <c r="H180" s="25" t="s">
        <v>156</v>
      </c>
      <c r="I180" s="4" t="s">
        <v>39</v>
      </c>
      <c r="J180" s="25" t="s">
        <v>39</v>
      </c>
      <c r="K180" s="4">
        <v>21</v>
      </c>
      <c r="L180" s="25">
        <v>21</v>
      </c>
      <c r="M180" s="4" t="s">
        <v>130</v>
      </c>
      <c r="N180" s="25" t="s">
        <v>130</v>
      </c>
      <c r="O180" s="4">
        <v>1.5</v>
      </c>
      <c r="P180" s="25">
        <v>1.5</v>
      </c>
      <c r="Q180" s="4" t="s">
        <v>33</v>
      </c>
      <c r="R180" s="25" t="s">
        <v>33</v>
      </c>
      <c r="S180" s="4">
        <v>0.73</v>
      </c>
      <c r="T180" s="26">
        <v>0.73</v>
      </c>
    </row>
    <row r="181" spans="1:20" x14ac:dyDescent="0.3">
      <c r="A181" s="27" t="s">
        <v>465</v>
      </c>
      <c r="B181" s="4" t="s">
        <v>466</v>
      </c>
      <c r="C181" s="4" t="s">
        <v>63</v>
      </c>
      <c r="D181" s="25" t="s">
        <v>118</v>
      </c>
      <c r="E181" s="4">
        <v>24</v>
      </c>
      <c r="F181" s="25">
        <v>24</v>
      </c>
      <c r="G181" s="4" t="s">
        <v>79</v>
      </c>
      <c r="H181" s="25" t="s">
        <v>79</v>
      </c>
      <c r="I181" s="4" t="s">
        <v>135</v>
      </c>
      <c r="J181" s="25" t="s">
        <v>135</v>
      </c>
      <c r="K181" s="4">
        <v>1</v>
      </c>
      <c r="L181" s="25">
        <v>1</v>
      </c>
      <c r="M181" s="4" t="s">
        <v>58</v>
      </c>
      <c r="N181" s="25" t="s">
        <v>58</v>
      </c>
      <c r="O181" s="4">
        <v>3.7</v>
      </c>
      <c r="P181" s="25">
        <v>3.7</v>
      </c>
      <c r="Q181" s="4" t="s">
        <v>181</v>
      </c>
      <c r="R181" s="25" t="s">
        <v>181</v>
      </c>
      <c r="S181" s="4">
        <v>0.95</v>
      </c>
      <c r="T181" s="26">
        <v>0.95</v>
      </c>
    </row>
    <row r="182" spans="1:20" x14ac:dyDescent="0.3">
      <c r="A182" s="27" t="s">
        <v>467</v>
      </c>
      <c r="B182" s="4" t="s">
        <v>468</v>
      </c>
      <c r="C182" s="4" t="s">
        <v>28</v>
      </c>
      <c r="D182" s="25" t="s">
        <v>97</v>
      </c>
      <c r="E182" s="4">
        <v>31</v>
      </c>
      <c r="F182" s="25">
        <v>31</v>
      </c>
      <c r="G182" s="4" t="s">
        <v>91</v>
      </c>
      <c r="H182" s="25" t="s">
        <v>91</v>
      </c>
      <c r="I182" s="4" t="s">
        <v>31</v>
      </c>
      <c r="J182" s="25" t="s">
        <v>31</v>
      </c>
      <c r="K182" s="4">
        <v>12</v>
      </c>
      <c r="L182" s="25">
        <v>12</v>
      </c>
      <c r="M182" s="4" t="s">
        <v>162</v>
      </c>
      <c r="N182" s="25" t="s">
        <v>162</v>
      </c>
      <c r="O182" s="4">
        <v>2.2999999999999998</v>
      </c>
      <c r="P182" s="25">
        <v>2.2999999999999998</v>
      </c>
      <c r="Q182" s="4" t="s">
        <v>59</v>
      </c>
      <c r="R182" s="25" t="s">
        <v>59</v>
      </c>
      <c r="S182" s="4">
        <v>0.9</v>
      </c>
      <c r="T182" s="26">
        <v>0.9</v>
      </c>
    </row>
    <row r="183" spans="1:20" x14ac:dyDescent="0.3">
      <c r="A183" s="27" t="s">
        <v>469</v>
      </c>
      <c r="B183" s="4" t="s">
        <v>470</v>
      </c>
      <c r="C183" s="4" t="s">
        <v>45</v>
      </c>
      <c r="D183" s="25" t="s">
        <v>97</v>
      </c>
      <c r="E183" s="4">
        <v>20</v>
      </c>
      <c r="F183" s="25">
        <v>20</v>
      </c>
      <c r="G183" s="4" t="s">
        <v>201</v>
      </c>
      <c r="H183" s="25" t="s">
        <v>201</v>
      </c>
      <c r="I183" s="4" t="s">
        <v>39</v>
      </c>
      <c r="J183" s="25" t="s">
        <v>39</v>
      </c>
      <c r="K183" s="4">
        <v>2</v>
      </c>
      <c r="L183" s="25">
        <v>2</v>
      </c>
      <c r="M183" s="4" t="s">
        <v>142</v>
      </c>
      <c r="N183" s="25" t="s">
        <v>142</v>
      </c>
      <c r="O183" s="4">
        <v>2.8</v>
      </c>
      <c r="P183" s="25">
        <v>2.8</v>
      </c>
      <c r="Q183" s="4" t="s">
        <v>23</v>
      </c>
      <c r="R183" s="25" t="s">
        <v>23</v>
      </c>
      <c r="S183" s="4">
        <v>0.78</v>
      </c>
      <c r="T183" s="26">
        <v>0.78</v>
      </c>
    </row>
    <row r="184" spans="1:20" x14ac:dyDescent="0.3">
      <c r="A184" s="27" t="s">
        <v>471</v>
      </c>
      <c r="B184" s="4" t="s">
        <v>472</v>
      </c>
      <c r="C184" s="4" t="s">
        <v>78</v>
      </c>
      <c r="D184" s="25" t="s">
        <v>118</v>
      </c>
      <c r="E184" s="4">
        <v>38</v>
      </c>
      <c r="F184" s="25">
        <v>38</v>
      </c>
      <c r="G184" s="4" t="s">
        <v>106</v>
      </c>
      <c r="H184" s="25" t="s">
        <v>106</v>
      </c>
      <c r="I184" s="4" t="s">
        <v>46</v>
      </c>
      <c r="J184" s="25" t="s">
        <v>46</v>
      </c>
      <c r="K184" s="4">
        <v>3</v>
      </c>
      <c r="L184" s="25">
        <v>3</v>
      </c>
      <c r="M184" s="4" t="s">
        <v>52</v>
      </c>
      <c r="N184" s="25" t="s">
        <v>52</v>
      </c>
      <c r="O184" s="4">
        <v>3.5</v>
      </c>
      <c r="P184" s="25">
        <v>3.5</v>
      </c>
      <c r="Q184" s="4" t="s">
        <v>181</v>
      </c>
      <c r="R184" s="25" t="s">
        <v>181</v>
      </c>
      <c r="S184" s="4">
        <v>0.97</v>
      </c>
      <c r="T184" s="26">
        <v>0.97</v>
      </c>
    </row>
    <row r="185" spans="1:20" x14ac:dyDescent="0.3">
      <c r="A185" s="27" t="s">
        <v>473</v>
      </c>
      <c r="B185" s="4" t="s">
        <v>474</v>
      </c>
      <c r="C185" s="4" t="s">
        <v>50</v>
      </c>
      <c r="D185" s="25" t="s">
        <v>97</v>
      </c>
      <c r="E185" s="4">
        <v>33</v>
      </c>
      <c r="F185" s="25">
        <v>33</v>
      </c>
      <c r="G185" s="4" t="s">
        <v>38</v>
      </c>
      <c r="H185" s="25" t="s">
        <v>38</v>
      </c>
      <c r="I185" s="4" t="s">
        <v>93</v>
      </c>
      <c r="J185" s="25" t="s">
        <v>93</v>
      </c>
      <c r="K185" s="4">
        <v>11</v>
      </c>
      <c r="L185" s="25">
        <v>11</v>
      </c>
      <c r="M185" s="4" t="s">
        <v>51</v>
      </c>
      <c r="N185" s="25" t="s">
        <v>2119</v>
      </c>
      <c r="O185" s="4">
        <v>0</v>
      </c>
      <c r="P185" s="25">
        <v>0</v>
      </c>
      <c r="Q185" s="4" t="s">
        <v>87</v>
      </c>
      <c r="R185" s="25" t="s">
        <v>87</v>
      </c>
      <c r="S185" s="4">
        <v>0.65</v>
      </c>
      <c r="T185" s="26">
        <v>0.65</v>
      </c>
    </row>
    <row r="186" spans="1:20" x14ac:dyDescent="0.3">
      <c r="A186" s="27" t="s">
        <v>475</v>
      </c>
      <c r="B186" s="4" t="s">
        <v>476</v>
      </c>
      <c r="C186" s="4" t="s">
        <v>45</v>
      </c>
      <c r="D186" s="25" t="s">
        <v>97</v>
      </c>
      <c r="E186" s="4">
        <v>31</v>
      </c>
      <c r="F186" s="25">
        <v>31</v>
      </c>
      <c r="G186" s="4" t="s">
        <v>29</v>
      </c>
      <c r="H186" s="25" t="s">
        <v>29</v>
      </c>
      <c r="I186" s="4" t="s">
        <v>46</v>
      </c>
      <c r="J186" s="25" t="s">
        <v>46</v>
      </c>
      <c r="K186" s="4">
        <v>4</v>
      </c>
      <c r="L186" s="25">
        <v>4</v>
      </c>
      <c r="M186" s="4" t="s">
        <v>86</v>
      </c>
      <c r="N186" s="25" t="s">
        <v>86</v>
      </c>
      <c r="O186" s="4">
        <v>3.2</v>
      </c>
      <c r="P186" s="25">
        <v>3.2</v>
      </c>
      <c r="Q186" s="4" t="s">
        <v>33</v>
      </c>
      <c r="R186" s="25" t="s">
        <v>33</v>
      </c>
      <c r="S186" s="4">
        <v>0.78</v>
      </c>
      <c r="T186" s="26">
        <v>0.78</v>
      </c>
    </row>
    <row r="187" spans="1:20" x14ac:dyDescent="0.3">
      <c r="A187" s="27" t="s">
        <v>477</v>
      </c>
      <c r="B187" s="4" t="s">
        <v>478</v>
      </c>
      <c r="C187" s="4" t="s">
        <v>63</v>
      </c>
      <c r="D187" s="25" t="s">
        <v>118</v>
      </c>
      <c r="E187" s="4">
        <v>41</v>
      </c>
      <c r="F187" s="25">
        <v>41</v>
      </c>
      <c r="G187" s="4" t="s">
        <v>212</v>
      </c>
      <c r="H187" s="25" t="s">
        <v>212</v>
      </c>
      <c r="I187" s="4" t="s">
        <v>135</v>
      </c>
      <c r="J187" s="25" t="s">
        <v>135</v>
      </c>
      <c r="K187" s="4">
        <v>21</v>
      </c>
      <c r="L187" s="25">
        <v>21</v>
      </c>
      <c r="M187" s="4" t="s">
        <v>40</v>
      </c>
      <c r="N187" s="25" t="s">
        <v>40</v>
      </c>
      <c r="O187" s="4">
        <v>3.3</v>
      </c>
      <c r="P187" s="25">
        <v>3.3</v>
      </c>
      <c r="Q187" s="4" t="s">
        <v>94</v>
      </c>
      <c r="R187" s="25" t="s">
        <v>94</v>
      </c>
      <c r="S187" s="4">
        <v>0.65</v>
      </c>
      <c r="T187" s="26">
        <v>0.65</v>
      </c>
    </row>
    <row r="188" spans="1:20" x14ac:dyDescent="0.3">
      <c r="A188" s="27" t="s">
        <v>479</v>
      </c>
      <c r="B188" s="4" t="s">
        <v>480</v>
      </c>
      <c r="C188" s="4" t="s">
        <v>78</v>
      </c>
      <c r="D188" s="25" t="s">
        <v>118</v>
      </c>
      <c r="E188" s="4">
        <v>54</v>
      </c>
      <c r="F188" s="25">
        <v>54</v>
      </c>
      <c r="G188" s="4" t="s">
        <v>79</v>
      </c>
      <c r="H188" s="25" t="s">
        <v>79</v>
      </c>
      <c r="I188" s="4" t="s">
        <v>46</v>
      </c>
      <c r="J188" s="25" t="s">
        <v>46</v>
      </c>
      <c r="K188" s="4">
        <v>0</v>
      </c>
      <c r="L188" s="25">
        <v>0</v>
      </c>
      <c r="M188" s="4" t="s">
        <v>142</v>
      </c>
      <c r="N188" s="25" t="s">
        <v>142</v>
      </c>
      <c r="O188" s="4">
        <v>4.9000000000000004</v>
      </c>
      <c r="P188" s="25">
        <v>4.9000000000000004</v>
      </c>
      <c r="Q188" s="4" t="s">
        <v>51</v>
      </c>
      <c r="R188" s="25" t="s">
        <v>2120</v>
      </c>
      <c r="T188" s="26" t="s">
        <v>2120</v>
      </c>
    </row>
    <row r="189" spans="1:20" x14ac:dyDescent="0.3">
      <c r="A189" s="27" t="s">
        <v>481</v>
      </c>
      <c r="B189" s="4" t="s">
        <v>482</v>
      </c>
      <c r="C189" s="4" t="s">
        <v>37</v>
      </c>
      <c r="D189" s="25" t="s">
        <v>118</v>
      </c>
      <c r="E189" s="4">
        <v>50</v>
      </c>
      <c r="F189" s="25">
        <v>50</v>
      </c>
      <c r="G189" s="4" t="s">
        <v>201</v>
      </c>
      <c r="H189" s="25" t="s">
        <v>201</v>
      </c>
      <c r="I189" s="4" t="s">
        <v>66</v>
      </c>
      <c r="J189" s="25" t="s">
        <v>66</v>
      </c>
      <c r="K189" s="4">
        <v>6</v>
      </c>
      <c r="L189" s="25">
        <v>6</v>
      </c>
      <c r="M189" s="4" t="s">
        <v>52</v>
      </c>
      <c r="N189" s="25" t="s">
        <v>52</v>
      </c>
      <c r="O189" s="4">
        <v>2.2000000000000002</v>
      </c>
      <c r="P189" s="25">
        <v>2.2000000000000002</v>
      </c>
      <c r="Q189" s="4" t="s">
        <v>33</v>
      </c>
      <c r="R189" s="25" t="s">
        <v>33</v>
      </c>
      <c r="S189" s="4">
        <v>0.95</v>
      </c>
      <c r="T189" s="26">
        <v>0.95</v>
      </c>
    </row>
    <row r="190" spans="1:20" x14ac:dyDescent="0.3">
      <c r="A190" s="27" t="s">
        <v>483</v>
      </c>
      <c r="B190" s="4" t="s">
        <v>484</v>
      </c>
      <c r="C190" s="4" t="s">
        <v>78</v>
      </c>
      <c r="D190" s="25" t="s">
        <v>118</v>
      </c>
      <c r="E190" s="4">
        <v>48</v>
      </c>
      <c r="F190" s="25">
        <v>48</v>
      </c>
      <c r="G190" s="4" t="s">
        <v>128</v>
      </c>
      <c r="H190" s="25" t="s">
        <v>128</v>
      </c>
      <c r="I190" s="4" t="s">
        <v>135</v>
      </c>
      <c r="J190" s="25" t="s">
        <v>135</v>
      </c>
      <c r="K190" s="4">
        <v>18</v>
      </c>
      <c r="L190" s="25">
        <v>18</v>
      </c>
      <c r="M190" s="4" t="s">
        <v>70</v>
      </c>
      <c r="N190" s="25" t="s">
        <v>70</v>
      </c>
      <c r="P190" s="25" t="s">
        <v>2120</v>
      </c>
      <c r="Q190" s="4" t="s">
        <v>33</v>
      </c>
      <c r="R190" s="25" t="s">
        <v>33</v>
      </c>
      <c r="S190" s="4">
        <v>0.88</v>
      </c>
      <c r="T190" s="26">
        <v>0.88</v>
      </c>
    </row>
    <row r="191" spans="1:20" x14ac:dyDescent="0.3">
      <c r="A191" s="27" t="s">
        <v>485</v>
      </c>
      <c r="B191" s="4" t="s">
        <v>486</v>
      </c>
      <c r="C191" s="4" t="s">
        <v>18</v>
      </c>
      <c r="D191" s="25" t="s">
        <v>97</v>
      </c>
      <c r="E191" s="4">
        <v>49</v>
      </c>
      <c r="F191" s="25">
        <v>49</v>
      </c>
      <c r="G191" s="4" t="s">
        <v>201</v>
      </c>
      <c r="H191" s="25" t="s">
        <v>201</v>
      </c>
      <c r="I191" s="4" t="s">
        <v>39</v>
      </c>
      <c r="J191" s="25" t="s">
        <v>39</v>
      </c>
      <c r="L191" s="25" t="s">
        <v>2120</v>
      </c>
      <c r="M191" s="4" t="s">
        <v>51</v>
      </c>
      <c r="N191" s="25" t="s">
        <v>2119</v>
      </c>
      <c r="O191" s="4">
        <v>1.8</v>
      </c>
      <c r="P191" s="25">
        <v>1.8</v>
      </c>
      <c r="Q191" s="4" t="s">
        <v>23</v>
      </c>
      <c r="R191" s="25" t="s">
        <v>23</v>
      </c>
      <c r="T191" s="26" t="s">
        <v>2120</v>
      </c>
    </row>
    <row r="192" spans="1:20" x14ac:dyDescent="0.3">
      <c r="A192" s="27" t="s">
        <v>487</v>
      </c>
      <c r="B192" s="4" t="s">
        <v>488</v>
      </c>
      <c r="C192" s="4" t="s">
        <v>118</v>
      </c>
      <c r="D192" s="25" t="s">
        <v>118</v>
      </c>
      <c r="E192" s="4">
        <v>21</v>
      </c>
      <c r="F192" s="25">
        <v>21</v>
      </c>
      <c r="G192" s="4" t="s">
        <v>133</v>
      </c>
      <c r="H192" s="25" t="s">
        <v>133</v>
      </c>
      <c r="I192" s="4" t="s">
        <v>39</v>
      </c>
      <c r="J192" s="25" t="s">
        <v>39</v>
      </c>
      <c r="K192" s="4">
        <v>1</v>
      </c>
      <c r="L192" s="25">
        <v>1</v>
      </c>
      <c r="M192" s="4" t="s">
        <v>103</v>
      </c>
      <c r="N192" s="25" t="s">
        <v>103</v>
      </c>
      <c r="O192" s="4">
        <v>4.5999999999999996</v>
      </c>
      <c r="P192" s="25">
        <v>4.5999999999999996</v>
      </c>
      <c r="Q192" s="4" t="s">
        <v>23</v>
      </c>
      <c r="R192" s="25" t="s">
        <v>23</v>
      </c>
      <c r="S192" s="4">
        <v>0.92</v>
      </c>
      <c r="T192" s="26">
        <v>0.92</v>
      </c>
    </row>
    <row r="193" spans="1:20" x14ac:dyDescent="0.3">
      <c r="A193" s="27" t="s">
        <v>489</v>
      </c>
      <c r="B193" s="4" t="s">
        <v>490</v>
      </c>
      <c r="C193" s="4" t="s">
        <v>113</v>
      </c>
      <c r="D193" s="25" t="s">
        <v>118</v>
      </c>
      <c r="E193" s="4">
        <v>58</v>
      </c>
      <c r="F193" s="25">
        <v>58</v>
      </c>
      <c r="G193" s="4" t="s">
        <v>29</v>
      </c>
      <c r="H193" s="25" t="s">
        <v>29</v>
      </c>
      <c r="I193" s="4" t="s">
        <v>39</v>
      </c>
      <c r="J193" s="25" t="s">
        <v>39</v>
      </c>
      <c r="K193" s="4">
        <v>20</v>
      </c>
      <c r="L193" s="25">
        <v>20</v>
      </c>
      <c r="M193" s="4" t="s">
        <v>103</v>
      </c>
      <c r="N193" s="25" t="s">
        <v>103</v>
      </c>
      <c r="O193" s="4">
        <v>2.8</v>
      </c>
      <c r="P193" s="25">
        <v>2.8</v>
      </c>
      <c r="Q193" s="4" t="s">
        <v>181</v>
      </c>
      <c r="R193" s="25" t="s">
        <v>181</v>
      </c>
      <c r="S193" s="4">
        <v>0.75</v>
      </c>
      <c r="T193" s="26">
        <v>0.75</v>
      </c>
    </row>
    <row r="194" spans="1:20" x14ac:dyDescent="0.3">
      <c r="A194" s="27" t="s">
        <v>491</v>
      </c>
      <c r="B194" s="4" t="s">
        <v>285</v>
      </c>
      <c r="C194" s="4" t="s">
        <v>78</v>
      </c>
      <c r="D194" s="25" t="s">
        <v>118</v>
      </c>
      <c r="E194" s="4">
        <v>41</v>
      </c>
      <c r="F194" s="25">
        <v>41</v>
      </c>
      <c r="G194" s="4" t="s">
        <v>19</v>
      </c>
      <c r="H194" s="25" t="s">
        <v>19</v>
      </c>
      <c r="I194" s="4" t="s">
        <v>110</v>
      </c>
      <c r="J194" s="25" t="s">
        <v>110</v>
      </c>
      <c r="L194" s="25" t="s">
        <v>2120</v>
      </c>
      <c r="M194" s="4" t="s">
        <v>58</v>
      </c>
      <c r="N194" s="25" t="s">
        <v>58</v>
      </c>
      <c r="O194" s="4">
        <v>1.4</v>
      </c>
      <c r="P194" s="25">
        <v>1.4</v>
      </c>
      <c r="Q194" s="4" t="s">
        <v>59</v>
      </c>
      <c r="R194" s="25" t="s">
        <v>59</v>
      </c>
      <c r="S194" s="4">
        <v>0.74</v>
      </c>
      <c r="T194" s="26">
        <v>0.74</v>
      </c>
    </row>
    <row r="195" spans="1:20" x14ac:dyDescent="0.3">
      <c r="A195" s="27" t="s">
        <v>492</v>
      </c>
      <c r="B195" s="4" t="s">
        <v>493</v>
      </c>
      <c r="C195" s="4" t="s">
        <v>45</v>
      </c>
      <c r="D195" s="25" t="s">
        <v>97</v>
      </c>
      <c r="E195" s="4">
        <v>58</v>
      </c>
      <c r="F195" s="25">
        <v>58</v>
      </c>
      <c r="G195" s="4" t="s">
        <v>145</v>
      </c>
      <c r="H195" s="25" t="s">
        <v>145</v>
      </c>
      <c r="I195" s="4" t="s">
        <v>21</v>
      </c>
      <c r="J195" s="25" t="s">
        <v>21</v>
      </c>
      <c r="K195" s="4">
        <v>25</v>
      </c>
      <c r="L195" s="25">
        <v>25</v>
      </c>
      <c r="M195" s="4" t="s">
        <v>58</v>
      </c>
      <c r="N195" s="25" t="s">
        <v>58</v>
      </c>
      <c r="O195" s="4">
        <v>4.2</v>
      </c>
      <c r="P195" s="25">
        <v>4.2</v>
      </c>
      <c r="Q195" s="4" t="s">
        <v>94</v>
      </c>
      <c r="R195" s="25" t="s">
        <v>94</v>
      </c>
      <c r="S195" s="4">
        <v>0.71</v>
      </c>
      <c r="T195" s="26">
        <v>0.71</v>
      </c>
    </row>
    <row r="196" spans="1:20" x14ac:dyDescent="0.3">
      <c r="A196" s="27" t="s">
        <v>494</v>
      </c>
      <c r="B196" s="4" t="s">
        <v>495</v>
      </c>
      <c r="C196" s="4" t="s">
        <v>50</v>
      </c>
      <c r="D196" s="25" t="s">
        <v>97</v>
      </c>
      <c r="E196" s="4">
        <v>50</v>
      </c>
      <c r="F196" s="25">
        <v>50</v>
      </c>
      <c r="G196" s="4" t="s">
        <v>175</v>
      </c>
      <c r="H196" s="25" t="s">
        <v>175</v>
      </c>
      <c r="I196" s="4" t="s">
        <v>39</v>
      </c>
      <c r="J196" s="25" t="s">
        <v>39</v>
      </c>
      <c r="K196" s="4">
        <v>20</v>
      </c>
      <c r="L196" s="25">
        <v>20</v>
      </c>
      <c r="M196" s="4" t="s">
        <v>70</v>
      </c>
      <c r="N196" s="25" t="s">
        <v>70</v>
      </c>
      <c r="O196" s="4">
        <v>3.6</v>
      </c>
      <c r="P196" s="25">
        <v>3.6</v>
      </c>
      <c r="Q196" s="4" t="s">
        <v>33</v>
      </c>
      <c r="R196" s="25" t="s">
        <v>33</v>
      </c>
      <c r="S196" s="4">
        <v>0.89</v>
      </c>
      <c r="T196" s="26">
        <v>0.89</v>
      </c>
    </row>
    <row r="197" spans="1:20" x14ac:dyDescent="0.3">
      <c r="A197" s="27" t="s">
        <v>496</v>
      </c>
      <c r="B197" s="4" t="s">
        <v>497</v>
      </c>
      <c r="C197" s="4" t="s">
        <v>63</v>
      </c>
      <c r="D197" s="25" t="s">
        <v>118</v>
      </c>
      <c r="E197" s="4">
        <v>52</v>
      </c>
      <c r="F197" s="25">
        <v>52</v>
      </c>
      <c r="G197" s="4" t="s">
        <v>64</v>
      </c>
      <c r="H197" s="25" t="s">
        <v>64</v>
      </c>
      <c r="I197" s="4" t="s">
        <v>46</v>
      </c>
      <c r="J197" s="25" t="s">
        <v>46</v>
      </c>
      <c r="K197" s="4">
        <v>33</v>
      </c>
      <c r="L197" s="25">
        <v>33</v>
      </c>
      <c r="M197" s="4" t="s">
        <v>251</v>
      </c>
      <c r="N197" s="25" t="s">
        <v>251</v>
      </c>
      <c r="O197" s="4">
        <v>1.6</v>
      </c>
      <c r="P197" s="25">
        <v>1.6</v>
      </c>
      <c r="Q197" s="4" t="s">
        <v>51</v>
      </c>
      <c r="R197" s="25" t="s">
        <v>2120</v>
      </c>
      <c r="S197" s="4">
        <v>0.66</v>
      </c>
      <c r="T197" s="26">
        <v>0.66</v>
      </c>
    </row>
    <row r="198" spans="1:20" x14ac:dyDescent="0.3">
      <c r="A198" s="27" t="s">
        <v>498</v>
      </c>
      <c r="B198" s="4" t="s">
        <v>499</v>
      </c>
      <c r="C198" s="4" t="s">
        <v>63</v>
      </c>
      <c r="D198" s="25" t="s">
        <v>118</v>
      </c>
      <c r="E198" s="4">
        <v>34</v>
      </c>
      <c r="F198" s="25">
        <v>34</v>
      </c>
      <c r="G198" s="4" t="s">
        <v>55</v>
      </c>
      <c r="H198" s="25" t="s">
        <v>55</v>
      </c>
      <c r="I198" s="4" t="s">
        <v>66</v>
      </c>
      <c r="J198" s="25" t="s">
        <v>66</v>
      </c>
      <c r="K198" s="4">
        <v>6</v>
      </c>
      <c r="L198" s="25">
        <v>6</v>
      </c>
      <c r="M198" s="4" t="s">
        <v>251</v>
      </c>
      <c r="N198" s="25" t="s">
        <v>251</v>
      </c>
      <c r="O198" s="4">
        <v>2</v>
      </c>
      <c r="P198" s="25">
        <v>2</v>
      </c>
      <c r="Q198" s="4" t="s">
        <v>181</v>
      </c>
      <c r="R198" s="25" t="s">
        <v>181</v>
      </c>
      <c r="T198" s="26" t="s">
        <v>2120</v>
      </c>
    </row>
    <row r="199" spans="1:20" x14ac:dyDescent="0.3">
      <c r="A199" s="27" t="s">
        <v>500</v>
      </c>
      <c r="B199" s="4" t="s">
        <v>501</v>
      </c>
      <c r="C199" s="4" t="s">
        <v>118</v>
      </c>
      <c r="D199" s="25" t="s">
        <v>118</v>
      </c>
      <c r="E199" s="4">
        <v>32</v>
      </c>
      <c r="F199" s="25">
        <v>32</v>
      </c>
      <c r="G199" s="4" t="s">
        <v>156</v>
      </c>
      <c r="H199" s="25" t="s">
        <v>156</v>
      </c>
      <c r="I199" s="4" t="s">
        <v>135</v>
      </c>
      <c r="J199" s="25" t="s">
        <v>135</v>
      </c>
      <c r="K199" s="4">
        <v>11</v>
      </c>
      <c r="L199" s="25">
        <v>11</v>
      </c>
      <c r="M199" s="4" t="s">
        <v>86</v>
      </c>
      <c r="N199" s="25" t="s">
        <v>86</v>
      </c>
      <c r="O199" s="4">
        <v>4.3</v>
      </c>
      <c r="P199" s="25">
        <v>4.3</v>
      </c>
      <c r="Q199" s="4" t="s">
        <v>74</v>
      </c>
      <c r="R199" s="25" t="s">
        <v>74</v>
      </c>
      <c r="S199" s="4">
        <v>0.86</v>
      </c>
      <c r="T199" s="26">
        <v>0.86</v>
      </c>
    </row>
    <row r="200" spans="1:20" x14ac:dyDescent="0.3">
      <c r="A200" s="27" t="s">
        <v>502</v>
      </c>
      <c r="B200" s="4" t="s">
        <v>503</v>
      </c>
      <c r="C200" s="4" t="s">
        <v>45</v>
      </c>
      <c r="D200" s="25" t="s">
        <v>97</v>
      </c>
      <c r="E200" s="4">
        <v>50</v>
      </c>
      <c r="F200" s="25">
        <v>50</v>
      </c>
      <c r="G200" s="4" t="s">
        <v>114</v>
      </c>
      <c r="H200" s="25" t="s">
        <v>114</v>
      </c>
      <c r="I200" s="4" t="s">
        <v>39</v>
      </c>
      <c r="J200" s="25" t="s">
        <v>39</v>
      </c>
      <c r="K200" s="4">
        <v>28</v>
      </c>
      <c r="L200" s="25">
        <v>28</v>
      </c>
      <c r="M200" s="4" t="s">
        <v>251</v>
      </c>
      <c r="N200" s="25" t="s">
        <v>251</v>
      </c>
      <c r="O200" s="4">
        <v>4.9000000000000004</v>
      </c>
      <c r="P200" s="25">
        <v>4.9000000000000004</v>
      </c>
      <c r="Q200" s="4" t="s">
        <v>94</v>
      </c>
      <c r="R200" s="25" t="s">
        <v>94</v>
      </c>
      <c r="S200" s="4">
        <v>0.86</v>
      </c>
      <c r="T200" s="26">
        <v>0.86</v>
      </c>
    </row>
    <row r="201" spans="1:20" x14ac:dyDescent="0.3">
      <c r="A201" s="27" t="s">
        <v>504</v>
      </c>
      <c r="B201" s="4" t="s">
        <v>505</v>
      </c>
      <c r="C201" s="4" t="s">
        <v>50</v>
      </c>
      <c r="D201" s="25" t="s">
        <v>97</v>
      </c>
      <c r="E201" s="4">
        <v>39</v>
      </c>
      <c r="F201" s="25">
        <v>39</v>
      </c>
      <c r="G201" s="4" t="s">
        <v>91</v>
      </c>
      <c r="H201" s="25" t="s">
        <v>91</v>
      </c>
      <c r="I201" s="4" t="s">
        <v>66</v>
      </c>
      <c r="J201" s="25" t="s">
        <v>66</v>
      </c>
      <c r="K201" s="4">
        <v>11</v>
      </c>
      <c r="L201" s="25">
        <v>11</v>
      </c>
      <c r="M201" s="4" t="s">
        <v>22</v>
      </c>
      <c r="N201" s="25" t="s">
        <v>22</v>
      </c>
      <c r="O201" s="4">
        <v>3.5</v>
      </c>
      <c r="P201" s="25">
        <v>3.5</v>
      </c>
      <c r="Q201" s="4" t="s">
        <v>94</v>
      </c>
      <c r="R201" s="25" t="s">
        <v>94</v>
      </c>
      <c r="S201" s="4">
        <v>0.82</v>
      </c>
      <c r="T201" s="26">
        <v>0.82</v>
      </c>
    </row>
    <row r="202" spans="1:20" x14ac:dyDescent="0.3">
      <c r="A202" s="27" t="s">
        <v>506</v>
      </c>
      <c r="B202" s="4" t="s">
        <v>507</v>
      </c>
      <c r="C202" s="4" t="s">
        <v>18</v>
      </c>
      <c r="D202" s="25" t="s">
        <v>97</v>
      </c>
      <c r="E202" s="4">
        <v>25</v>
      </c>
      <c r="F202" s="25">
        <v>25</v>
      </c>
      <c r="G202" s="4" t="s">
        <v>212</v>
      </c>
      <c r="H202" s="25" t="s">
        <v>212</v>
      </c>
      <c r="I202" s="4" t="s">
        <v>57</v>
      </c>
      <c r="J202" s="25" t="s">
        <v>57</v>
      </c>
      <c r="K202" s="4">
        <v>2</v>
      </c>
      <c r="L202" s="25">
        <v>2</v>
      </c>
      <c r="M202" s="4" t="s">
        <v>22</v>
      </c>
      <c r="N202" s="25" t="s">
        <v>22</v>
      </c>
      <c r="O202" s="4">
        <v>2.5</v>
      </c>
      <c r="P202" s="25">
        <v>2.5</v>
      </c>
      <c r="Q202" s="4" t="s">
        <v>181</v>
      </c>
      <c r="R202" s="25" t="s">
        <v>181</v>
      </c>
      <c r="S202" s="4">
        <v>87</v>
      </c>
      <c r="T202" s="26">
        <v>87</v>
      </c>
    </row>
    <row r="203" spans="1:20" x14ac:dyDescent="0.3">
      <c r="A203" s="27" t="s">
        <v>508</v>
      </c>
      <c r="B203" s="4" t="s">
        <v>509</v>
      </c>
      <c r="C203" s="4" t="s">
        <v>28</v>
      </c>
      <c r="D203" s="25" t="s">
        <v>97</v>
      </c>
      <c r="E203" s="4">
        <v>55</v>
      </c>
      <c r="F203" s="25">
        <v>55</v>
      </c>
      <c r="G203" s="4" t="s">
        <v>197</v>
      </c>
      <c r="H203" s="25" t="s">
        <v>197</v>
      </c>
      <c r="I203" s="4" t="s">
        <v>135</v>
      </c>
      <c r="J203" s="25" t="s">
        <v>135</v>
      </c>
      <c r="K203" s="4">
        <v>7</v>
      </c>
      <c r="L203" s="25">
        <v>7</v>
      </c>
      <c r="M203" s="4" t="s">
        <v>22</v>
      </c>
      <c r="N203" s="25" t="s">
        <v>22</v>
      </c>
      <c r="O203" s="4">
        <v>1.7</v>
      </c>
      <c r="P203" s="25">
        <v>1.7</v>
      </c>
      <c r="Q203" s="4" t="s">
        <v>33</v>
      </c>
      <c r="R203" s="25" t="s">
        <v>33</v>
      </c>
      <c r="S203" s="4">
        <v>0.8</v>
      </c>
      <c r="T203" s="26">
        <v>0.8</v>
      </c>
    </row>
    <row r="204" spans="1:20" x14ac:dyDescent="0.3">
      <c r="A204" s="27" t="s">
        <v>510</v>
      </c>
      <c r="B204" s="4" t="s">
        <v>511</v>
      </c>
      <c r="C204" s="4" t="s">
        <v>63</v>
      </c>
      <c r="D204" s="25" t="s">
        <v>118</v>
      </c>
      <c r="E204" s="4">
        <v>42</v>
      </c>
      <c r="F204" s="25">
        <v>42</v>
      </c>
      <c r="G204" s="4" t="s">
        <v>19</v>
      </c>
      <c r="H204" s="25" t="s">
        <v>19</v>
      </c>
      <c r="I204" s="4" t="s">
        <v>110</v>
      </c>
      <c r="J204" s="25" t="s">
        <v>110</v>
      </c>
      <c r="K204" s="4">
        <v>10</v>
      </c>
      <c r="L204" s="25">
        <v>10</v>
      </c>
      <c r="M204" s="4" t="s">
        <v>32</v>
      </c>
      <c r="N204" s="25" t="s">
        <v>32</v>
      </c>
      <c r="O204" s="4">
        <v>4.5999999999999996</v>
      </c>
      <c r="P204" s="25">
        <v>4.5999999999999996</v>
      </c>
      <c r="Q204" s="4" t="s">
        <v>94</v>
      </c>
      <c r="R204" s="25" t="s">
        <v>94</v>
      </c>
      <c r="S204" s="4">
        <v>0.71</v>
      </c>
      <c r="T204" s="26">
        <v>0.71</v>
      </c>
    </row>
    <row r="205" spans="1:20" x14ac:dyDescent="0.3">
      <c r="A205" s="27" t="s">
        <v>512</v>
      </c>
      <c r="B205" s="4" t="s">
        <v>513</v>
      </c>
      <c r="C205" s="4" t="s">
        <v>37</v>
      </c>
      <c r="D205" s="25" t="s">
        <v>118</v>
      </c>
      <c r="E205" s="4">
        <v>43</v>
      </c>
      <c r="F205" s="25">
        <v>43</v>
      </c>
      <c r="G205" s="4" t="s">
        <v>145</v>
      </c>
      <c r="H205" s="25" t="s">
        <v>145</v>
      </c>
      <c r="I205" s="4" t="s">
        <v>31</v>
      </c>
      <c r="J205" s="25" t="s">
        <v>31</v>
      </c>
      <c r="K205" s="4">
        <v>6</v>
      </c>
      <c r="L205" s="25">
        <v>6</v>
      </c>
      <c r="M205" s="4" t="s">
        <v>40</v>
      </c>
      <c r="N205" s="25" t="s">
        <v>40</v>
      </c>
      <c r="P205" s="25" t="s">
        <v>2120</v>
      </c>
      <c r="Q205" s="4" t="s">
        <v>41</v>
      </c>
      <c r="R205" s="25" t="s">
        <v>41</v>
      </c>
      <c r="S205" s="4">
        <v>0.77</v>
      </c>
      <c r="T205" s="26">
        <v>0.77</v>
      </c>
    </row>
    <row r="206" spans="1:20" x14ac:dyDescent="0.3">
      <c r="A206" s="27" t="s">
        <v>514</v>
      </c>
      <c r="B206" s="4" t="s">
        <v>515</v>
      </c>
      <c r="C206" s="4" t="s">
        <v>63</v>
      </c>
      <c r="D206" s="25" t="s">
        <v>118</v>
      </c>
      <c r="E206" s="4">
        <v>54</v>
      </c>
      <c r="F206" s="25">
        <v>54</v>
      </c>
      <c r="G206" s="4" t="s">
        <v>19</v>
      </c>
      <c r="H206" s="25" t="s">
        <v>19</v>
      </c>
      <c r="I206" s="4" t="s">
        <v>110</v>
      </c>
      <c r="J206" s="25" t="s">
        <v>110</v>
      </c>
      <c r="K206" s="4">
        <v>29</v>
      </c>
      <c r="L206" s="25">
        <v>29</v>
      </c>
      <c r="M206" s="4" t="s">
        <v>58</v>
      </c>
      <c r="N206" s="25" t="s">
        <v>58</v>
      </c>
      <c r="O206" s="4">
        <v>1.7</v>
      </c>
      <c r="P206" s="25">
        <v>1.7</v>
      </c>
      <c r="Q206" s="4" t="s">
        <v>23</v>
      </c>
      <c r="R206" s="25" t="s">
        <v>23</v>
      </c>
      <c r="S206" s="4">
        <v>68</v>
      </c>
      <c r="T206" s="26">
        <v>68</v>
      </c>
    </row>
    <row r="207" spans="1:20" x14ac:dyDescent="0.3">
      <c r="A207" s="27" t="s">
        <v>516</v>
      </c>
      <c r="B207" s="4" t="s">
        <v>517</v>
      </c>
      <c r="C207" s="4" t="s">
        <v>28</v>
      </c>
      <c r="D207" s="25" t="s">
        <v>97</v>
      </c>
      <c r="E207" s="4">
        <v>21</v>
      </c>
      <c r="F207" s="25">
        <v>21</v>
      </c>
      <c r="G207" s="4" t="s">
        <v>160</v>
      </c>
      <c r="H207" s="25" t="s">
        <v>160</v>
      </c>
      <c r="I207" s="4" t="s">
        <v>39</v>
      </c>
      <c r="J207" s="25" t="s">
        <v>39</v>
      </c>
      <c r="K207" s="4">
        <v>0</v>
      </c>
      <c r="L207" s="25">
        <v>0</v>
      </c>
      <c r="M207" s="4" t="s">
        <v>162</v>
      </c>
      <c r="N207" s="25" t="s">
        <v>162</v>
      </c>
      <c r="O207" s="4">
        <v>1.8</v>
      </c>
      <c r="P207" s="25">
        <v>1.8</v>
      </c>
      <c r="Q207" s="4" t="s">
        <v>41</v>
      </c>
      <c r="R207" s="25" t="s">
        <v>41</v>
      </c>
      <c r="S207" s="4">
        <v>0.91</v>
      </c>
      <c r="T207" s="26">
        <v>0.91</v>
      </c>
    </row>
    <row r="208" spans="1:20" x14ac:dyDescent="0.3">
      <c r="A208" s="27" t="s">
        <v>518</v>
      </c>
      <c r="B208" s="4" t="s">
        <v>519</v>
      </c>
      <c r="C208" s="4" t="s">
        <v>63</v>
      </c>
      <c r="D208" s="25" t="s">
        <v>118</v>
      </c>
      <c r="E208" s="4">
        <v>46</v>
      </c>
      <c r="F208" s="25">
        <v>46</v>
      </c>
      <c r="G208" s="4" t="s">
        <v>149</v>
      </c>
      <c r="H208" s="25" t="s">
        <v>149</v>
      </c>
      <c r="I208" s="4" t="s">
        <v>93</v>
      </c>
      <c r="J208" s="25" t="s">
        <v>93</v>
      </c>
      <c r="K208" s="4">
        <v>5</v>
      </c>
      <c r="L208" s="25">
        <v>5</v>
      </c>
      <c r="M208" s="4" t="s">
        <v>162</v>
      </c>
      <c r="N208" s="25" t="s">
        <v>162</v>
      </c>
      <c r="O208" s="4">
        <v>2.2000000000000002</v>
      </c>
      <c r="P208" s="25">
        <v>2.2000000000000002</v>
      </c>
      <c r="Q208" s="4" t="s">
        <v>59</v>
      </c>
      <c r="R208" s="25" t="s">
        <v>59</v>
      </c>
      <c r="S208" s="4">
        <v>0.75</v>
      </c>
      <c r="T208" s="26">
        <v>0.75</v>
      </c>
    </row>
    <row r="209" spans="1:20" x14ac:dyDescent="0.3">
      <c r="A209" s="27" t="s">
        <v>520</v>
      </c>
      <c r="B209" s="4" t="s">
        <v>521</v>
      </c>
      <c r="C209" s="4" t="s">
        <v>18</v>
      </c>
      <c r="D209" s="25" t="s">
        <v>97</v>
      </c>
      <c r="E209" s="4">
        <v>30</v>
      </c>
      <c r="F209" s="25">
        <v>30</v>
      </c>
      <c r="G209" s="4" t="s">
        <v>212</v>
      </c>
      <c r="H209" s="25" t="s">
        <v>212</v>
      </c>
      <c r="I209" s="4" t="s">
        <v>21</v>
      </c>
      <c r="J209" s="25" t="s">
        <v>21</v>
      </c>
      <c r="K209" s="4">
        <v>11</v>
      </c>
      <c r="L209" s="25">
        <v>11</v>
      </c>
      <c r="M209" s="4" t="s">
        <v>86</v>
      </c>
      <c r="N209" s="25" t="s">
        <v>86</v>
      </c>
      <c r="O209" s="4">
        <v>1</v>
      </c>
      <c r="P209" s="25">
        <v>1</v>
      </c>
      <c r="Q209" s="4" t="s">
        <v>41</v>
      </c>
      <c r="R209" s="25" t="s">
        <v>41</v>
      </c>
      <c r="S209" s="4">
        <v>0.9</v>
      </c>
      <c r="T209" s="26">
        <v>0.9</v>
      </c>
    </row>
    <row r="210" spans="1:20" x14ac:dyDescent="0.3">
      <c r="A210" s="27" t="s">
        <v>522</v>
      </c>
      <c r="B210" s="4" t="s">
        <v>523</v>
      </c>
      <c r="C210" s="4" t="s">
        <v>37</v>
      </c>
      <c r="D210" s="25" t="s">
        <v>118</v>
      </c>
      <c r="E210" s="4">
        <v>36</v>
      </c>
      <c r="F210" s="25">
        <v>36</v>
      </c>
      <c r="G210" s="4" t="s">
        <v>197</v>
      </c>
      <c r="H210" s="25" t="s">
        <v>197</v>
      </c>
      <c r="I210" s="4" t="s">
        <v>135</v>
      </c>
      <c r="J210" s="25" t="s">
        <v>135</v>
      </c>
      <c r="K210" s="4">
        <v>11</v>
      </c>
      <c r="L210" s="25">
        <v>11</v>
      </c>
      <c r="M210" s="4" t="s">
        <v>192</v>
      </c>
      <c r="N210" s="25" t="s">
        <v>192</v>
      </c>
      <c r="O210" s="4">
        <v>3.2</v>
      </c>
      <c r="P210" s="25">
        <v>3.2</v>
      </c>
      <c r="Q210" s="4" t="s">
        <v>23</v>
      </c>
      <c r="R210" s="25" t="s">
        <v>23</v>
      </c>
      <c r="S210" s="4">
        <v>93</v>
      </c>
      <c r="T210" s="26">
        <v>93</v>
      </c>
    </row>
    <row r="211" spans="1:20" x14ac:dyDescent="0.3">
      <c r="A211" s="27" t="s">
        <v>524</v>
      </c>
      <c r="B211" s="4" t="s">
        <v>525</v>
      </c>
      <c r="C211" s="4" t="s">
        <v>97</v>
      </c>
      <c r="D211" s="25" t="s">
        <v>97</v>
      </c>
      <c r="E211" s="4">
        <v>47</v>
      </c>
      <c r="F211" s="25">
        <v>47</v>
      </c>
      <c r="G211" s="4" t="s">
        <v>38</v>
      </c>
      <c r="H211" s="25" t="s">
        <v>38</v>
      </c>
      <c r="I211" s="4" t="s">
        <v>66</v>
      </c>
      <c r="J211" s="25" t="s">
        <v>66</v>
      </c>
      <c r="K211" s="4">
        <v>15</v>
      </c>
      <c r="L211" s="25">
        <v>15</v>
      </c>
      <c r="M211" s="4" t="s">
        <v>86</v>
      </c>
      <c r="N211" s="25" t="s">
        <v>86</v>
      </c>
      <c r="O211" s="4">
        <v>2.1</v>
      </c>
      <c r="P211" s="25">
        <v>2.1</v>
      </c>
      <c r="Q211" s="4" t="s">
        <v>87</v>
      </c>
      <c r="R211" s="25" t="s">
        <v>87</v>
      </c>
      <c r="S211" s="4">
        <v>0.94</v>
      </c>
      <c r="T211" s="26">
        <v>0.94</v>
      </c>
    </row>
    <row r="212" spans="1:20" x14ac:dyDescent="0.3">
      <c r="A212" s="27" t="s">
        <v>526</v>
      </c>
      <c r="B212" s="4" t="s">
        <v>527</v>
      </c>
      <c r="C212" s="4" t="s">
        <v>45</v>
      </c>
      <c r="D212" s="25" t="s">
        <v>97</v>
      </c>
      <c r="E212" s="4">
        <v>43</v>
      </c>
      <c r="F212" s="25">
        <v>43</v>
      </c>
      <c r="G212" s="4" t="s">
        <v>149</v>
      </c>
      <c r="H212" s="25" t="s">
        <v>149</v>
      </c>
      <c r="I212" s="4" t="s">
        <v>31</v>
      </c>
      <c r="J212" s="25" t="s">
        <v>31</v>
      </c>
      <c r="K212" s="4">
        <v>1</v>
      </c>
      <c r="L212" s="25">
        <v>1</v>
      </c>
      <c r="M212" s="4" t="s">
        <v>119</v>
      </c>
      <c r="N212" s="25" t="s">
        <v>119</v>
      </c>
      <c r="O212" s="4">
        <v>4.5999999999999996</v>
      </c>
      <c r="P212" s="25">
        <v>4.5999999999999996</v>
      </c>
      <c r="Q212" s="4" t="s">
        <v>74</v>
      </c>
      <c r="R212" s="25" t="s">
        <v>74</v>
      </c>
      <c r="S212" s="4">
        <v>64</v>
      </c>
      <c r="T212" s="26">
        <v>64</v>
      </c>
    </row>
    <row r="213" spans="1:20" x14ac:dyDescent="0.3">
      <c r="A213" s="27" t="s">
        <v>528</v>
      </c>
      <c r="B213" s="4" t="s">
        <v>529</v>
      </c>
      <c r="C213" s="4" t="s">
        <v>63</v>
      </c>
      <c r="D213" s="25" t="s">
        <v>118</v>
      </c>
      <c r="E213" s="4">
        <v>57</v>
      </c>
      <c r="F213" s="25">
        <v>57</v>
      </c>
      <c r="G213" s="4" t="s">
        <v>133</v>
      </c>
      <c r="H213" s="25" t="s">
        <v>133</v>
      </c>
      <c r="I213" s="4" t="s">
        <v>98</v>
      </c>
      <c r="J213" s="25" t="s">
        <v>98</v>
      </c>
      <c r="K213" s="4">
        <v>8</v>
      </c>
      <c r="L213" s="25">
        <v>8</v>
      </c>
      <c r="M213" s="4" t="s">
        <v>142</v>
      </c>
      <c r="N213" s="25" t="s">
        <v>142</v>
      </c>
      <c r="O213" s="4">
        <v>0</v>
      </c>
      <c r="P213" s="25">
        <v>0</v>
      </c>
      <c r="Q213" s="4" t="s">
        <v>87</v>
      </c>
      <c r="R213" s="25" t="s">
        <v>87</v>
      </c>
      <c r="S213" s="4">
        <v>0.84</v>
      </c>
      <c r="T213" s="26">
        <v>0.84</v>
      </c>
    </row>
    <row r="214" spans="1:20" x14ac:dyDescent="0.3">
      <c r="A214" s="27" t="s">
        <v>530</v>
      </c>
      <c r="B214" s="4" t="s">
        <v>531</v>
      </c>
      <c r="C214" s="4" t="s">
        <v>37</v>
      </c>
      <c r="D214" s="25" t="s">
        <v>118</v>
      </c>
      <c r="E214" s="4">
        <v>52</v>
      </c>
      <c r="F214" s="25">
        <v>52</v>
      </c>
      <c r="G214" s="4" t="s">
        <v>19</v>
      </c>
      <c r="H214" s="25" t="s">
        <v>19</v>
      </c>
      <c r="I214" s="4" t="s">
        <v>135</v>
      </c>
      <c r="J214" s="25" t="s">
        <v>135</v>
      </c>
      <c r="K214" s="4">
        <v>30</v>
      </c>
      <c r="L214" s="25">
        <v>30</v>
      </c>
      <c r="M214" s="4" t="s">
        <v>142</v>
      </c>
      <c r="N214" s="25" t="s">
        <v>142</v>
      </c>
      <c r="O214" s="4">
        <v>2.8</v>
      </c>
      <c r="P214" s="25">
        <v>2.8</v>
      </c>
      <c r="Q214" s="4" t="s">
        <v>181</v>
      </c>
      <c r="R214" s="25" t="s">
        <v>181</v>
      </c>
      <c r="S214" s="4">
        <v>0.87</v>
      </c>
      <c r="T214" s="26">
        <v>0.87</v>
      </c>
    </row>
    <row r="215" spans="1:20" x14ac:dyDescent="0.3">
      <c r="A215" s="27" t="s">
        <v>532</v>
      </c>
      <c r="B215" s="4" t="s">
        <v>533</v>
      </c>
      <c r="C215" s="4" t="s">
        <v>78</v>
      </c>
      <c r="D215" s="25" t="s">
        <v>118</v>
      </c>
      <c r="F215" s="25" t="s">
        <v>2119</v>
      </c>
      <c r="G215" s="4" t="s">
        <v>38</v>
      </c>
      <c r="H215" s="25" t="s">
        <v>38</v>
      </c>
      <c r="I215" s="4" t="s">
        <v>21</v>
      </c>
      <c r="J215" s="25" t="s">
        <v>21</v>
      </c>
      <c r="K215" s="4">
        <v>8</v>
      </c>
      <c r="L215" s="25">
        <v>8</v>
      </c>
      <c r="M215" s="4" t="s">
        <v>47</v>
      </c>
      <c r="N215" s="25" t="s">
        <v>47</v>
      </c>
      <c r="O215" s="4">
        <v>0</v>
      </c>
      <c r="P215" s="25">
        <v>0</v>
      </c>
      <c r="Q215" s="4" t="s">
        <v>41</v>
      </c>
      <c r="R215" s="25" t="s">
        <v>41</v>
      </c>
      <c r="S215" s="4">
        <v>0.64</v>
      </c>
      <c r="T215" s="26">
        <v>0.64</v>
      </c>
    </row>
    <row r="216" spans="1:20" x14ac:dyDescent="0.3">
      <c r="A216" s="27" t="s">
        <v>534</v>
      </c>
      <c r="B216" s="4" t="s">
        <v>535</v>
      </c>
      <c r="C216" s="4" t="s">
        <v>50</v>
      </c>
      <c r="D216" s="25" t="s">
        <v>97</v>
      </c>
      <c r="E216" s="4">
        <v>22</v>
      </c>
      <c r="F216" s="25">
        <v>22</v>
      </c>
      <c r="G216" s="4" t="s">
        <v>64</v>
      </c>
      <c r="H216" s="25" t="s">
        <v>64</v>
      </c>
      <c r="I216" s="4" t="s">
        <v>135</v>
      </c>
      <c r="J216" s="25" t="s">
        <v>135</v>
      </c>
      <c r="K216" s="4">
        <v>0</v>
      </c>
      <c r="L216" s="25">
        <v>0</v>
      </c>
      <c r="M216" s="4" t="s">
        <v>22</v>
      </c>
      <c r="N216" s="25" t="s">
        <v>22</v>
      </c>
      <c r="O216" s="4">
        <v>2.7</v>
      </c>
      <c r="P216" s="25">
        <v>2.7</v>
      </c>
      <c r="Q216" s="4" t="s">
        <v>74</v>
      </c>
      <c r="R216" s="25" t="s">
        <v>74</v>
      </c>
      <c r="S216" s="4">
        <v>0.64</v>
      </c>
      <c r="T216" s="26">
        <v>0.64</v>
      </c>
    </row>
    <row r="217" spans="1:20" x14ac:dyDescent="0.3">
      <c r="A217" s="27" t="s">
        <v>536</v>
      </c>
      <c r="B217" s="4" t="s">
        <v>537</v>
      </c>
      <c r="C217" s="4" t="s">
        <v>63</v>
      </c>
      <c r="D217" s="25" t="s">
        <v>118</v>
      </c>
      <c r="F217" s="25" t="s">
        <v>2119</v>
      </c>
      <c r="G217" s="4" t="s">
        <v>114</v>
      </c>
      <c r="H217" s="25" t="s">
        <v>114</v>
      </c>
      <c r="I217" s="4" t="s">
        <v>135</v>
      </c>
      <c r="J217" s="25" t="s">
        <v>135</v>
      </c>
      <c r="K217" s="4">
        <v>12</v>
      </c>
      <c r="L217" s="25">
        <v>12</v>
      </c>
      <c r="M217" s="4" t="s">
        <v>142</v>
      </c>
      <c r="N217" s="25" t="s">
        <v>142</v>
      </c>
      <c r="O217" s="4">
        <v>0</v>
      </c>
      <c r="P217" s="25">
        <v>0</v>
      </c>
      <c r="Q217" s="4" t="s">
        <v>74</v>
      </c>
      <c r="R217" s="25" t="s">
        <v>74</v>
      </c>
      <c r="S217" s="4">
        <v>0.8</v>
      </c>
      <c r="T217" s="26">
        <v>0.8</v>
      </c>
    </row>
    <row r="218" spans="1:20" x14ac:dyDescent="0.3">
      <c r="A218" s="27" t="s">
        <v>538</v>
      </c>
      <c r="B218" s="4" t="s">
        <v>539</v>
      </c>
      <c r="C218" s="4" t="s">
        <v>45</v>
      </c>
      <c r="D218" s="25" t="s">
        <v>97</v>
      </c>
      <c r="E218" s="4">
        <v>58</v>
      </c>
      <c r="F218" s="25">
        <v>58</v>
      </c>
      <c r="G218" s="4" t="s">
        <v>212</v>
      </c>
      <c r="H218" s="25" t="s">
        <v>212</v>
      </c>
      <c r="I218" s="4" t="s">
        <v>31</v>
      </c>
      <c r="J218" s="25" t="s">
        <v>31</v>
      </c>
      <c r="K218" s="4">
        <v>4</v>
      </c>
      <c r="L218" s="25">
        <v>4</v>
      </c>
      <c r="M218" s="4" t="s">
        <v>81</v>
      </c>
      <c r="N218" s="25" t="s">
        <v>81</v>
      </c>
      <c r="O218" s="4">
        <v>3.1</v>
      </c>
      <c r="P218" s="25">
        <v>3.1</v>
      </c>
      <c r="Q218" s="4" t="s">
        <v>23</v>
      </c>
      <c r="R218" s="25" t="s">
        <v>23</v>
      </c>
      <c r="S218" s="4">
        <v>0.9</v>
      </c>
      <c r="T218" s="26">
        <v>0.9</v>
      </c>
    </row>
    <row r="219" spans="1:20" x14ac:dyDescent="0.3">
      <c r="A219" s="27" t="s">
        <v>540</v>
      </c>
      <c r="B219" s="4" t="s">
        <v>541</v>
      </c>
      <c r="C219" s="4" t="s">
        <v>113</v>
      </c>
      <c r="D219" s="25" t="s">
        <v>118</v>
      </c>
      <c r="E219" s="4">
        <v>39</v>
      </c>
      <c r="F219" s="25">
        <v>39</v>
      </c>
      <c r="G219" s="4" t="s">
        <v>133</v>
      </c>
      <c r="H219" s="25" t="s">
        <v>133</v>
      </c>
      <c r="I219" s="4" t="s">
        <v>46</v>
      </c>
      <c r="J219" s="25" t="s">
        <v>46</v>
      </c>
      <c r="K219" s="4">
        <v>14</v>
      </c>
      <c r="L219" s="25">
        <v>14</v>
      </c>
      <c r="M219" s="4" t="s">
        <v>32</v>
      </c>
      <c r="N219" s="25" t="s">
        <v>32</v>
      </c>
      <c r="O219" s="4">
        <v>0</v>
      </c>
      <c r="P219" s="25">
        <v>0</v>
      </c>
      <c r="Q219" s="4" t="s">
        <v>94</v>
      </c>
      <c r="R219" s="25" t="s">
        <v>94</v>
      </c>
      <c r="S219" s="4">
        <v>0.92</v>
      </c>
      <c r="T219" s="26">
        <v>0.92</v>
      </c>
    </row>
    <row r="220" spans="1:20" x14ac:dyDescent="0.3">
      <c r="A220" s="27" t="s">
        <v>542</v>
      </c>
      <c r="B220" s="4" t="s">
        <v>543</v>
      </c>
      <c r="C220" s="4" t="s">
        <v>113</v>
      </c>
      <c r="D220" s="25" t="s">
        <v>118</v>
      </c>
      <c r="E220" s="4">
        <v>32</v>
      </c>
      <c r="F220" s="25">
        <v>32</v>
      </c>
      <c r="G220" s="4" t="s">
        <v>64</v>
      </c>
      <c r="H220" s="25" t="s">
        <v>64</v>
      </c>
      <c r="I220" s="4" t="s">
        <v>39</v>
      </c>
      <c r="J220" s="25" t="s">
        <v>39</v>
      </c>
      <c r="K220" s="4">
        <v>14</v>
      </c>
      <c r="L220" s="25">
        <v>14</v>
      </c>
      <c r="M220" s="4" t="s">
        <v>51</v>
      </c>
      <c r="N220" s="25" t="s">
        <v>2119</v>
      </c>
      <c r="P220" s="25" t="s">
        <v>2120</v>
      </c>
      <c r="Q220" s="4" t="s">
        <v>23</v>
      </c>
      <c r="R220" s="25" t="s">
        <v>23</v>
      </c>
      <c r="S220" s="4">
        <v>0.96</v>
      </c>
      <c r="T220" s="26">
        <v>0.96</v>
      </c>
    </row>
    <row r="221" spans="1:20" x14ac:dyDescent="0.3">
      <c r="A221" s="27" t="s">
        <v>544</v>
      </c>
      <c r="B221" s="4" t="s">
        <v>545</v>
      </c>
      <c r="C221" s="4" t="s">
        <v>63</v>
      </c>
      <c r="D221" s="25" t="s">
        <v>118</v>
      </c>
      <c r="E221" s="4">
        <v>37</v>
      </c>
      <c r="F221" s="25">
        <v>37</v>
      </c>
      <c r="G221" s="4" t="s">
        <v>149</v>
      </c>
      <c r="H221" s="25" t="s">
        <v>149</v>
      </c>
      <c r="I221" s="4" t="s">
        <v>93</v>
      </c>
      <c r="J221" s="25" t="s">
        <v>93</v>
      </c>
      <c r="K221" s="4">
        <v>2</v>
      </c>
      <c r="L221" s="25">
        <v>2</v>
      </c>
      <c r="M221" s="4" t="s">
        <v>58</v>
      </c>
      <c r="N221" s="25" t="s">
        <v>58</v>
      </c>
      <c r="O221" s="4">
        <v>2.2999999999999998</v>
      </c>
      <c r="P221" s="25">
        <v>2.2999999999999998</v>
      </c>
      <c r="Q221" s="4" t="s">
        <v>87</v>
      </c>
      <c r="R221" s="25" t="s">
        <v>87</v>
      </c>
      <c r="T221" s="26" t="s">
        <v>2120</v>
      </c>
    </row>
    <row r="222" spans="1:20" x14ac:dyDescent="0.3">
      <c r="A222" s="27" t="s">
        <v>546</v>
      </c>
      <c r="B222" s="4" t="s">
        <v>547</v>
      </c>
      <c r="C222" s="4" t="s">
        <v>28</v>
      </c>
      <c r="D222" s="25" t="s">
        <v>97</v>
      </c>
      <c r="E222" s="4">
        <v>21</v>
      </c>
      <c r="F222" s="25">
        <v>21</v>
      </c>
      <c r="G222" s="4" t="s">
        <v>197</v>
      </c>
      <c r="H222" s="25" t="s">
        <v>197</v>
      </c>
      <c r="I222" s="4" t="s">
        <v>98</v>
      </c>
      <c r="J222" s="25" t="s">
        <v>98</v>
      </c>
      <c r="K222" s="4">
        <v>2</v>
      </c>
      <c r="L222" s="25">
        <v>2</v>
      </c>
      <c r="M222" s="4" t="s">
        <v>22</v>
      </c>
      <c r="N222" s="25" t="s">
        <v>22</v>
      </c>
      <c r="O222" s="4">
        <v>2.4</v>
      </c>
      <c r="P222" s="25">
        <v>2.4</v>
      </c>
      <c r="Q222" s="4" t="s">
        <v>94</v>
      </c>
      <c r="R222" s="25" t="s">
        <v>94</v>
      </c>
      <c r="T222" s="26" t="s">
        <v>2120</v>
      </c>
    </row>
    <row r="223" spans="1:20" x14ac:dyDescent="0.3">
      <c r="A223" s="27" t="s">
        <v>548</v>
      </c>
      <c r="B223" s="4" t="s">
        <v>549</v>
      </c>
      <c r="C223" s="4" t="s">
        <v>78</v>
      </c>
      <c r="D223" s="25" t="s">
        <v>118</v>
      </c>
      <c r="E223" s="4">
        <v>41</v>
      </c>
      <c r="F223" s="25">
        <v>41</v>
      </c>
      <c r="G223" s="4" t="s">
        <v>133</v>
      </c>
      <c r="H223" s="25" t="s">
        <v>133</v>
      </c>
      <c r="I223" s="4" t="s">
        <v>135</v>
      </c>
      <c r="J223" s="25" t="s">
        <v>135</v>
      </c>
      <c r="K223" s="4">
        <v>4</v>
      </c>
      <c r="L223" s="25">
        <v>4</v>
      </c>
      <c r="M223" s="4" t="s">
        <v>103</v>
      </c>
      <c r="N223" s="25" t="s">
        <v>103</v>
      </c>
      <c r="O223" s="4">
        <v>2.6</v>
      </c>
      <c r="P223" s="25">
        <v>2.6</v>
      </c>
      <c r="Q223" s="4" t="s">
        <v>51</v>
      </c>
      <c r="R223" s="25" t="s">
        <v>2120</v>
      </c>
      <c r="S223" s="4">
        <v>0.85</v>
      </c>
      <c r="T223" s="26">
        <v>0.85</v>
      </c>
    </row>
    <row r="224" spans="1:20" x14ac:dyDescent="0.3">
      <c r="A224" s="27" t="s">
        <v>550</v>
      </c>
      <c r="B224" s="4" t="s">
        <v>551</v>
      </c>
      <c r="C224" s="4" t="s">
        <v>18</v>
      </c>
      <c r="D224" s="25" t="s">
        <v>97</v>
      </c>
      <c r="E224" s="4">
        <v>21</v>
      </c>
      <c r="F224" s="25">
        <v>21</v>
      </c>
      <c r="G224" s="4" t="s">
        <v>149</v>
      </c>
      <c r="H224" s="25" t="s">
        <v>149</v>
      </c>
      <c r="I224" s="4" t="s">
        <v>57</v>
      </c>
      <c r="J224" s="25" t="s">
        <v>57</v>
      </c>
      <c r="K224" s="4">
        <v>0</v>
      </c>
      <c r="L224" s="25">
        <v>0</v>
      </c>
      <c r="M224" s="4" t="s">
        <v>70</v>
      </c>
      <c r="N224" s="25" t="s">
        <v>70</v>
      </c>
      <c r="O224" s="4">
        <v>1.1000000000000001</v>
      </c>
      <c r="P224" s="25">
        <v>1.1000000000000001</v>
      </c>
      <c r="Q224" s="4" t="s">
        <v>23</v>
      </c>
      <c r="R224" s="25" t="s">
        <v>23</v>
      </c>
      <c r="S224" s="4">
        <v>0.79</v>
      </c>
      <c r="T224" s="26">
        <v>0.79</v>
      </c>
    </row>
    <row r="225" spans="1:20" x14ac:dyDescent="0.3">
      <c r="A225" s="27" t="s">
        <v>552</v>
      </c>
      <c r="B225" s="4" t="s">
        <v>553</v>
      </c>
      <c r="C225" s="4" t="s">
        <v>45</v>
      </c>
      <c r="D225" s="25" t="s">
        <v>97</v>
      </c>
      <c r="E225" s="4">
        <v>58</v>
      </c>
      <c r="F225" s="25">
        <v>58</v>
      </c>
      <c r="G225" s="4" t="s">
        <v>197</v>
      </c>
      <c r="H225" s="25" t="s">
        <v>197</v>
      </c>
      <c r="I225" s="4" t="s">
        <v>135</v>
      </c>
      <c r="J225" s="25" t="s">
        <v>135</v>
      </c>
      <c r="K225" s="4">
        <v>9</v>
      </c>
      <c r="L225" s="25">
        <v>9</v>
      </c>
      <c r="M225" s="4" t="s">
        <v>52</v>
      </c>
      <c r="N225" s="25" t="s">
        <v>52</v>
      </c>
      <c r="O225" s="4">
        <v>0</v>
      </c>
      <c r="P225" s="25">
        <v>0</v>
      </c>
      <c r="Q225" s="4" t="s">
        <v>33</v>
      </c>
      <c r="R225" s="25" t="s">
        <v>33</v>
      </c>
      <c r="S225" s="4">
        <v>0.65</v>
      </c>
      <c r="T225" s="26">
        <v>0.65</v>
      </c>
    </row>
    <row r="226" spans="1:20" x14ac:dyDescent="0.3">
      <c r="A226" s="27" t="s">
        <v>554</v>
      </c>
      <c r="B226" s="4" t="s">
        <v>555</v>
      </c>
      <c r="C226" s="4" t="s">
        <v>118</v>
      </c>
      <c r="D226" s="25" t="s">
        <v>118</v>
      </c>
      <c r="E226" s="4">
        <v>60</v>
      </c>
      <c r="F226" s="25">
        <v>60</v>
      </c>
      <c r="G226" s="4" t="s">
        <v>149</v>
      </c>
      <c r="H226" s="25" t="s">
        <v>149</v>
      </c>
      <c r="I226" s="4" t="s">
        <v>135</v>
      </c>
      <c r="J226" s="25" t="s">
        <v>135</v>
      </c>
      <c r="K226" s="4">
        <v>3</v>
      </c>
      <c r="L226" s="25">
        <v>3</v>
      </c>
      <c r="M226" s="4" t="s">
        <v>86</v>
      </c>
      <c r="N226" s="25" t="s">
        <v>86</v>
      </c>
      <c r="O226" s="4">
        <v>4.7</v>
      </c>
      <c r="P226" s="25">
        <v>4.7</v>
      </c>
      <c r="Q226" s="4" t="s">
        <v>59</v>
      </c>
      <c r="R226" s="25" t="s">
        <v>59</v>
      </c>
      <c r="S226" s="4">
        <v>0.63</v>
      </c>
      <c r="T226" s="26">
        <v>0.63</v>
      </c>
    </row>
    <row r="227" spans="1:20" x14ac:dyDescent="0.3">
      <c r="A227" s="27" t="s">
        <v>556</v>
      </c>
      <c r="B227" s="4" t="s">
        <v>557</v>
      </c>
      <c r="C227" s="4" t="s">
        <v>113</v>
      </c>
      <c r="D227" s="25" t="s">
        <v>118</v>
      </c>
      <c r="E227" s="4">
        <v>27</v>
      </c>
      <c r="F227" s="25">
        <v>27</v>
      </c>
      <c r="G227" s="4" t="s">
        <v>175</v>
      </c>
      <c r="H227" s="25" t="s">
        <v>175</v>
      </c>
      <c r="I227" s="4" t="s">
        <v>46</v>
      </c>
      <c r="J227" s="25" t="s">
        <v>46</v>
      </c>
      <c r="K227" s="4">
        <v>2</v>
      </c>
      <c r="L227" s="25">
        <v>2</v>
      </c>
      <c r="M227" s="4" t="s">
        <v>47</v>
      </c>
      <c r="N227" s="25" t="s">
        <v>47</v>
      </c>
      <c r="O227" s="4">
        <v>1.2</v>
      </c>
      <c r="P227" s="25">
        <v>1.2</v>
      </c>
      <c r="Q227" s="4" t="s">
        <v>59</v>
      </c>
      <c r="R227" s="25" t="s">
        <v>59</v>
      </c>
      <c r="T227" s="26" t="s">
        <v>2120</v>
      </c>
    </row>
    <row r="228" spans="1:20" x14ac:dyDescent="0.3">
      <c r="A228" s="27" t="s">
        <v>558</v>
      </c>
      <c r="B228" s="4" t="s">
        <v>559</v>
      </c>
      <c r="C228" s="4" t="s">
        <v>18</v>
      </c>
      <c r="D228" s="25" t="s">
        <v>97</v>
      </c>
      <c r="E228" s="4">
        <v>29</v>
      </c>
      <c r="F228" s="25">
        <v>29</v>
      </c>
      <c r="G228" s="4" t="s">
        <v>38</v>
      </c>
      <c r="H228" s="25" t="s">
        <v>38</v>
      </c>
      <c r="I228" s="4" t="s">
        <v>135</v>
      </c>
      <c r="J228" s="25" t="s">
        <v>135</v>
      </c>
      <c r="K228" s="4">
        <v>10</v>
      </c>
      <c r="L228" s="25">
        <v>10</v>
      </c>
      <c r="M228" s="4" t="s">
        <v>70</v>
      </c>
      <c r="N228" s="25" t="s">
        <v>70</v>
      </c>
      <c r="O228" s="4">
        <v>1.2</v>
      </c>
      <c r="P228" s="25">
        <v>1.2</v>
      </c>
      <c r="Q228" s="4" t="s">
        <v>59</v>
      </c>
      <c r="R228" s="25" t="s">
        <v>59</v>
      </c>
      <c r="S228" s="4">
        <v>0.78</v>
      </c>
      <c r="T228" s="26">
        <v>0.78</v>
      </c>
    </row>
    <row r="229" spans="1:20" x14ac:dyDescent="0.3">
      <c r="A229" s="27" t="s">
        <v>560</v>
      </c>
      <c r="B229" s="4" t="s">
        <v>561</v>
      </c>
      <c r="C229" s="4" t="s">
        <v>97</v>
      </c>
      <c r="D229" s="25" t="s">
        <v>97</v>
      </c>
      <c r="E229" s="4">
        <v>54</v>
      </c>
      <c r="F229" s="25">
        <v>54</v>
      </c>
      <c r="G229" s="4" t="s">
        <v>149</v>
      </c>
      <c r="H229" s="25" t="s">
        <v>149</v>
      </c>
      <c r="I229" s="4" t="s">
        <v>39</v>
      </c>
      <c r="J229" s="25" t="s">
        <v>39</v>
      </c>
      <c r="K229" s="4">
        <v>33</v>
      </c>
      <c r="L229" s="25">
        <v>33</v>
      </c>
      <c r="M229" s="4" t="s">
        <v>192</v>
      </c>
      <c r="N229" s="25" t="s">
        <v>192</v>
      </c>
      <c r="O229" s="4">
        <v>0</v>
      </c>
      <c r="P229" s="25">
        <v>0</v>
      </c>
      <c r="Q229" s="4" t="s">
        <v>33</v>
      </c>
      <c r="R229" s="25" t="s">
        <v>33</v>
      </c>
      <c r="S229" s="4">
        <v>0.62</v>
      </c>
      <c r="T229" s="26">
        <v>0.62</v>
      </c>
    </row>
    <row r="230" spans="1:20" x14ac:dyDescent="0.3">
      <c r="A230" s="27" t="s">
        <v>562</v>
      </c>
      <c r="B230" s="4" t="s">
        <v>563</v>
      </c>
      <c r="C230" s="4" t="s">
        <v>113</v>
      </c>
      <c r="D230" s="25" t="s">
        <v>118</v>
      </c>
      <c r="E230" s="4">
        <v>52</v>
      </c>
      <c r="F230" s="25">
        <v>52</v>
      </c>
      <c r="G230" s="4" t="s">
        <v>201</v>
      </c>
      <c r="H230" s="25" t="s">
        <v>201</v>
      </c>
      <c r="I230" s="4" t="s">
        <v>135</v>
      </c>
      <c r="J230" s="25" t="s">
        <v>135</v>
      </c>
      <c r="K230" s="4">
        <v>12</v>
      </c>
      <c r="L230" s="25">
        <v>12</v>
      </c>
      <c r="M230" s="4" t="s">
        <v>86</v>
      </c>
      <c r="N230" s="25" t="s">
        <v>86</v>
      </c>
      <c r="O230" s="4">
        <v>1.2</v>
      </c>
      <c r="P230" s="25">
        <v>1.2</v>
      </c>
      <c r="Q230" s="4" t="s">
        <v>23</v>
      </c>
      <c r="R230" s="25" t="s">
        <v>23</v>
      </c>
      <c r="S230" s="4">
        <v>0.76</v>
      </c>
      <c r="T230" s="26">
        <v>0.76</v>
      </c>
    </row>
    <row r="231" spans="1:20" x14ac:dyDescent="0.3">
      <c r="A231" s="27" t="s">
        <v>564</v>
      </c>
      <c r="B231" s="4" t="s">
        <v>565</v>
      </c>
      <c r="C231" s="4" t="s">
        <v>28</v>
      </c>
      <c r="D231" s="25" t="s">
        <v>97</v>
      </c>
      <c r="E231" s="4">
        <v>55</v>
      </c>
      <c r="F231" s="25">
        <v>55</v>
      </c>
      <c r="G231" s="4" t="s">
        <v>64</v>
      </c>
      <c r="H231" s="25" t="s">
        <v>64</v>
      </c>
      <c r="I231" s="4" t="s">
        <v>21</v>
      </c>
      <c r="J231" s="25" t="s">
        <v>21</v>
      </c>
      <c r="K231" s="4">
        <v>18</v>
      </c>
      <c r="L231" s="25">
        <v>18</v>
      </c>
      <c r="M231" s="4" t="s">
        <v>22</v>
      </c>
      <c r="N231" s="25" t="s">
        <v>22</v>
      </c>
      <c r="O231" s="4">
        <v>2.9</v>
      </c>
      <c r="P231" s="25">
        <v>2.9</v>
      </c>
      <c r="Q231" s="4" t="s">
        <v>23</v>
      </c>
      <c r="R231" s="25" t="s">
        <v>23</v>
      </c>
      <c r="S231" s="4">
        <v>97</v>
      </c>
      <c r="T231" s="26">
        <v>97</v>
      </c>
    </row>
    <row r="232" spans="1:20" x14ac:dyDescent="0.3">
      <c r="A232" s="27" t="s">
        <v>566</v>
      </c>
      <c r="B232" s="4" t="s">
        <v>567</v>
      </c>
      <c r="C232" s="4" t="s">
        <v>37</v>
      </c>
      <c r="D232" s="25" t="s">
        <v>118</v>
      </c>
      <c r="E232" s="4">
        <v>37</v>
      </c>
      <c r="F232" s="25">
        <v>37</v>
      </c>
      <c r="G232" s="4" t="s">
        <v>128</v>
      </c>
      <c r="H232" s="25" t="s">
        <v>128</v>
      </c>
      <c r="I232" s="4" t="s">
        <v>21</v>
      </c>
      <c r="J232" s="25" t="s">
        <v>21</v>
      </c>
      <c r="K232" s="4">
        <v>4</v>
      </c>
      <c r="L232" s="25">
        <v>4</v>
      </c>
      <c r="M232" s="4" t="s">
        <v>51</v>
      </c>
      <c r="N232" s="25" t="s">
        <v>2119</v>
      </c>
      <c r="P232" s="25" t="s">
        <v>2120</v>
      </c>
      <c r="Q232" s="4" t="s">
        <v>41</v>
      </c>
      <c r="R232" s="25" t="s">
        <v>41</v>
      </c>
      <c r="T232" s="26" t="s">
        <v>2120</v>
      </c>
    </row>
    <row r="233" spans="1:20" x14ac:dyDescent="0.3">
      <c r="A233" s="27" t="s">
        <v>568</v>
      </c>
      <c r="B233" s="4" t="s">
        <v>569</v>
      </c>
      <c r="C233" s="4" t="s">
        <v>18</v>
      </c>
      <c r="D233" s="25" t="s">
        <v>97</v>
      </c>
      <c r="E233" s="4">
        <v>34</v>
      </c>
      <c r="F233" s="25">
        <v>34</v>
      </c>
      <c r="G233" s="4" t="s">
        <v>160</v>
      </c>
      <c r="H233" s="25" t="s">
        <v>160</v>
      </c>
      <c r="I233" s="4" t="s">
        <v>66</v>
      </c>
      <c r="J233" s="25" t="s">
        <v>66</v>
      </c>
      <c r="K233" s="4">
        <v>11</v>
      </c>
      <c r="L233" s="25">
        <v>11</v>
      </c>
      <c r="M233" s="4" t="s">
        <v>81</v>
      </c>
      <c r="N233" s="25" t="s">
        <v>81</v>
      </c>
      <c r="O233" s="4">
        <v>3.9</v>
      </c>
      <c r="P233" s="25">
        <v>3.9</v>
      </c>
      <c r="Q233" s="4" t="s">
        <v>33</v>
      </c>
      <c r="R233" s="25" t="s">
        <v>33</v>
      </c>
      <c r="S233" s="4">
        <v>0.82</v>
      </c>
      <c r="T233" s="26">
        <v>0.82</v>
      </c>
    </row>
    <row r="234" spans="1:20" x14ac:dyDescent="0.3">
      <c r="A234" s="27" t="s">
        <v>570</v>
      </c>
      <c r="B234" s="4" t="s">
        <v>571</v>
      </c>
      <c r="C234" s="4" t="s">
        <v>63</v>
      </c>
      <c r="D234" s="25" t="s">
        <v>118</v>
      </c>
      <c r="E234" s="4">
        <v>20</v>
      </c>
      <c r="F234" s="25">
        <v>20</v>
      </c>
      <c r="G234" s="4" t="s">
        <v>156</v>
      </c>
      <c r="H234" s="25" t="s">
        <v>156</v>
      </c>
      <c r="I234" s="4" t="s">
        <v>66</v>
      </c>
      <c r="J234" s="25" t="s">
        <v>66</v>
      </c>
      <c r="K234" s="4">
        <v>1</v>
      </c>
      <c r="L234" s="25">
        <v>1</v>
      </c>
      <c r="M234" s="4" t="s">
        <v>40</v>
      </c>
      <c r="N234" s="25" t="s">
        <v>40</v>
      </c>
      <c r="O234" s="4">
        <v>3.1</v>
      </c>
      <c r="P234" s="25">
        <v>3.1</v>
      </c>
      <c r="Q234" s="4" t="s">
        <v>51</v>
      </c>
      <c r="R234" s="25" t="s">
        <v>2120</v>
      </c>
      <c r="S234" s="4">
        <v>0.71</v>
      </c>
      <c r="T234" s="26">
        <v>0.71</v>
      </c>
    </row>
    <row r="235" spans="1:20" x14ac:dyDescent="0.3">
      <c r="A235" s="27" t="s">
        <v>572</v>
      </c>
      <c r="B235" s="4" t="s">
        <v>573</v>
      </c>
      <c r="C235" s="4" t="s">
        <v>63</v>
      </c>
      <c r="D235" s="25" t="s">
        <v>118</v>
      </c>
      <c r="E235" s="4">
        <v>22</v>
      </c>
      <c r="F235" s="25">
        <v>22</v>
      </c>
      <c r="G235" s="4" t="s">
        <v>201</v>
      </c>
      <c r="H235" s="25" t="s">
        <v>201</v>
      </c>
      <c r="I235" s="4" t="s">
        <v>93</v>
      </c>
      <c r="J235" s="25" t="s">
        <v>93</v>
      </c>
      <c r="K235" s="4">
        <v>2</v>
      </c>
      <c r="L235" s="25">
        <v>2</v>
      </c>
      <c r="M235" s="4" t="s">
        <v>51</v>
      </c>
      <c r="N235" s="25" t="s">
        <v>2119</v>
      </c>
      <c r="O235" s="4">
        <v>0</v>
      </c>
      <c r="P235" s="25">
        <v>0</v>
      </c>
      <c r="Q235" s="4" t="s">
        <v>33</v>
      </c>
      <c r="R235" s="25" t="s">
        <v>33</v>
      </c>
      <c r="T235" s="26" t="s">
        <v>2120</v>
      </c>
    </row>
    <row r="236" spans="1:20" x14ac:dyDescent="0.3">
      <c r="A236" s="27" t="s">
        <v>574</v>
      </c>
      <c r="B236" s="4" t="s">
        <v>575</v>
      </c>
      <c r="C236" s="4" t="s">
        <v>18</v>
      </c>
      <c r="D236" s="25" t="s">
        <v>97</v>
      </c>
      <c r="E236" s="4">
        <v>23</v>
      </c>
      <c r="F236" s="25">
        <v>23</v>
      </c>
      <c r="G236" s="4" t="s">
        <v>133</v>
      </c>
      <c r="H236" s="25" t="s">
        <v>133</v>
      </c>
      <c r="I236" s="4" t="s">
        <v>39</v>
      </c>
      <c r="J236" s="25" t="s">
        <v>39</v>
      </c>
      <c r="K236" s="4">
        <v>2</v>
      </c>
      <c r="L236" s="25">
        <v>2</v>
      </c>
      <c r="M236" s="4" t="s">
        <v>40</v>
      </c>
      <c r="N236" s="25" t="s">
        <v>40</v>
      </c>
      <c r="O236" s="4">
        <v>3.2</v>
      </c>
      <c r="P236" s="25">
        <v>3.2</v>
      </c>
      <c r="Q236" s="4" t="s">
        <v>74</v>
      </c>
      <c r="R236" s="25" t="s">
        <v>74</v>
      </c>
      <c r="T236" s="26" t="s">
        <v>2120</v>
      </c>
    </row>
    <row r="237" spans="1:20" x14ac:dyDescent="0.3">
      <c r="A237" s="27" t="s">
        <v>576</v>
      </c>
      <c r="B237" s="4" t="s">
        <v>577</v>
      </c>
      <c r="C237" s="4" t="s">
        <v>45</v>
      </c>
      <c r="D237" s="25" t="s">
        <v>97</v>
      </c>
      <c r="E237" s="4">
        <v>53</v>
      </c>
      <c r="F237" s="25">
        <v>53</v>
      </c>
      <c r="G237" s="4" t="s">
        <v>133</v>
      </c>
      <c r="H237" s="25" t="s">
        <v>133</v>
      </c>
      <c r="I237" s="4" t="s">
        <v>21</v>
      </c>
      <c r="J237" s="25" t="s">
        <v>21</v>
      </c>
      <c r="K237" s="4">
        <v>34</v>
      </c>
      <c r="L237" s="25">
        <v>34</v>
      </c>
      <c r="M237" s="4" t="s">
        <v>52</v>
      </c>
      <c r="N237" s="25" t="s">
        <v>52</v>
      </c>
      <c r="P237" s="25" t="s">
        <v>2120</v>
      </c>
      <c r="Q237" s="4" t="s">
        <v>94</v>
      </c>
      <c r="R237" s="25" t="s">
        <v>94</v>
      </c>
      <c r="T237" s="26" t="s">
        <v>2120</v>
      </c>
    </row>
    <row r="238" spans="1:20" x14ac:dyDescent="0.3">
      <c r="A238" s="27" t="s">
        <v>578</v>
      </c>
      <c r="B238" s="4" t="s">
        <v>579</v>
      </c>
      <c r="C238" s="4" t="s">
        <v>45</v>
      </c>
      <c r="D238" s="25" t="s">
        <v>97</v>
      </c>
      <c r="E238" s="4">
        <v>56</v>
      </c>
      <c r="F238" s="25">
        <v>56</v>
      </c>
      <c r="G238" s="4" t="s">
        <v>133</v>
      </c>
      <c r="H238" s="25" t="s">
        <v>133</v>
      </c>
      <c r="I238" s="4" t="s">
        <v>39</v>
      </c>
      <c r="J238" s="25" t="s">
        <v>39</v>
      </c>
      <c r="K238" s="4">
        <v>27</v>
      </c>
      <c r="L238" s="25">
        <v>27</v>
      </c>
      <c r="M238" s="4" t="s">
        <v>22</v>
      </c>
      <c r="N238" s="25" t="s">
        <v>22</v>
      </c>
      <c r="O238" s="4">
        <v>4.7</v>
      </c>
      <c r="P238" s="25">
        <v>4.7</v>
      </c>
      <c r="Q238" s="4" t="s">
        <v>74</v>
      </c>
      <c r="R238" s="25" t="s">
        <v>74</v>
      </c>
      <c r="S238" s="4">
        <v>0.69</v>
      </c>
      <c r="T238" s="26">
        <v>0.69</v>
      </c>
    </row>
    <row r="239" spans="1:20" x14ac:dyDescent="0.3">
      <c r="A239" s="27" t="s">
        <v>580</v>
      </c>
      <c r="B239" s="4" t="s">
        <v>581</v>
      </c>
      <c r="C239" s="4" t="s">
        <v>113</v>
      </c>
      <c r="D239" s="25" t="s">
        <v>118</v>
      </c>
      <c r="E239" s="4">
        <v>27</v>
      </c>
      <c r="F239" s="25">
        <v>27</v>
      </c>
      <c r="G239" s="4" t="s">
        <v>149</v>
      </c>
      <c r="H239" s="25" t="s">
        <v>149</v>
      </c>
      <c r="I239" s="4" t="s">
        <v>57</v>
      </c>
      <c r="J239" s="25" t="s">
        <v>57</v>
      </c>
      <c r="K239" s="4">
        <v>4</v>
      </c>
      <c r="L239" s="25">
        <v>4</v>
      </c>
      <c r="M239" s="4" t="s">
        <v>103</v>
      </c>
      <c r="N239" s="25" t="s">
        <v>103</v>
      </c>
      <c r="O239" s="4">
        <v>5</v>
      </c>
      <c r="P239" s="25">
        <v>5</v>
      </c>
      <c r="Q239" s="4" t="s">
        <v>23</v>
      </c>
      <c r="R239" s="25" t="s">
        <v>23</v>
      </c>
      <c r="S239" s="4">
        <v>0.88</v>
      </c>
      <c r="T239" s="26">
        <v>0.88</v>
      </c>
    </row>
    <row r="240" spans="1:20" x14ac:dyDescent="0.3">
      <c r="A240" s="27" t="s">
        <v>582</v>
      </c>
      <c r="B240" s="4" t="s">
        <v>583</v>
      </c>
      <c r="C240" s="4" t="s">
        <v>118</v>
      </c>
      <c r="D240" s="25" t="s">
        <v>118</v>
      </c>
      <c r="E240" s="4">
        <v>34</v>
      </c>
      <c r="F240" s="25">
        <v>34</v>
      </c>
      <c r="G240" s="4" t="s">
        <v>19</v>
      </c>
      <c r="H240" s="25" t="s">
        <v>19</v>
      </c>
      <c r="I240" s="4" t="s">
        <v>31</v>
      </c>
      <c r="J240" s="25" t="s">
        <v>31</v>
      </c>
      <c r="K240" s="4">
        <v>11</v>
      </c>
      <c r="L240" s="25">
        <v>11</v>
      </c>
      <c r="M240" s="4" t="s">
        <v>70</v>
      </c>
      <c r="N240" s="25" t="s">
        <v>70</v>
      </c>
      <c r="P240" s="25" t="s">
        <v>2120</v>
      </c>
      <c r="Q240" s="4" t="s">
        <v>59</v>
      </c>
      <c r="R240" s="25" t="s">
        <v>59</v>
      </c>
      <c r="S240" s="4">
        <v>0.67</v>
      </c>
      <c r="T240" s="26">
        <v>0.67</v>
      </c>
    </row>
    <row r="241" spans="1:20" x14ac:dyDescent="0.3">
      <c r="A241" s="27" t="s">
        <v>584</v>
      </c>
      <c r="B241" s="4" t="s">
        <v>585</v>
      </c>
      <c r="C241" s="4" t="s">
        <v>113</v>
      </c>
      <c r="D241" s="25" t="s">
        <v>118</v>
      </c>
      <c r="E241" s="4">
        <v>29</v>
      </c>
      <c r="F241" s="25">
        <v>29</v>
      </c>
      <c r="G241" s="4" t="s">
        <v>73</v>
      </c>
      <c r="H241" s="25" t="s">
        <v>73</v>
      </c>
      <c r="I241" s="4" t="s">
        <v>46</v>
      </c>
      <c r="J241" s="25" t="s">
        <v>46</v>
      </c>
      <c r="K241" s="4">
        <v>4</v>
      </c>
      <c r="L241" s="25">
        <v>4</v>
      </c>
      <c r="M241" s="4" t="s">
        <v>119</v>
      </c>
      <c r="N241" s="25" t="s">
        <v>119</v>
      </c>
      <c r="O241" s="4">
        <v>4</v>
      </c>
      <c r="P241" s="25">
        <v>4</v>
      </c>
      <c r="Q241" s="4" t="s">
        <v>23</v>
      </c>
      <c r="R241" s="25" t="s">
        <v>23</v>
      </c>
      <c r="T241" s="26" t="s">
        <v>2120</v>
      </c>
    </row>
    <row r="242" spans="1:20" x14ac:dyDescent="0.3">
      <c r="A242" s="27" t="s">
        <v>586</v>
      </c>
      <c r="B242" s="4" t="s">
        <v>587</v>
      </c>
      <c r="C242" s="4" t="s">
        <v>113</v>
      </c>
      <c r="D242" s="25" t="s">
        <v>118</v>
      </c>
      <c r="E242" s="4">
        <v>34</v>
      </c>
      <c r="F242" s="25">
        <v>34</v>
      </c>
      <c r="G242" s="4" t="s">
        <v>114</v>
      </c>
      <c r="H242" s="25" t="s">
        <v>114</v>
      </c>
      <c r="I242" s="4" t="s">
        <v>57</v>
      </c>
      <c r="J242" s="25" t="s">
        <v>57</v>
      </c>
      <c r="K242" s="4">
        <v>11</v>
      </c>
      <c r="L242" s="25">
        <v>11</v>
      </c>
      <c r="M242" s="4" t="s">
        <v>51</v>
      </c>
      <c r="N242" s="25" t="s">
        <v>2119</v>
      </c>
      <c r="O242" s="4">
        <v>1.2</v>
      </c>
      <c r="P242" s="25">
        <v>1.2</v>
      </c>
      <c r="Q242" s="4" t="s">
        <v>33</v>
      </c>
      <c r="R242" s="25" t="s">
        <v>33</v>
      </c>
      <c r="T242" s="26" t="s">
        <v>2120</v>
      </c>
    </row>
    <row r="243" spans="1:20" x14ac:dyDescent="0.3">
      <c r="A243" s="27" t="s">
        <v>588</v>
      </c>
      <c r="B243" s="4" t="s">
        <v>589</v>
      </c>
      <c r="C243" s="4" t="s">
        <v>50</v>
      </c>
      <c r="D243" s="25" t="s">
        <v>97</v>
      </c>
      <c r="E243" s="4">
        <v>32</v>
      </c>
      <c r="F243" s="25">
        <v>32</v>
      </c>
      <c r="G243" s="4" t="s">
        <v>201</v>
      </c>
      <c r="H243" s="25" t="s">
        <v>201</v>
      </c>
      <c r="I243" s="4" t="s">
        <v>57</v>
      </c>
      <c r="J243" s="25" t="s">
        <v>57</v>
      </c>
      <c r="K243" s="4">
        <v>1</v>
      </c>
      <c r="L243" s="25">
        <v>1</v>
      </c>
      <c r="M243" s="4" t="s">
        <v>22</v>
      </c>
      <c r="N243" s="25" t="s">
        <v>22</v>
      </c>
      <c r="O243" s="4">
        <v>4.7</v>
      </c>
      <c r="P243" s="25">
        <v>4.7</v>
      </c>
      <c r="Q243" s="4" t="s">
        <v>23</v>
      </c>
      <c r="R243" s="25" t="s">
        <v>23</v>
      </c>
      <c r="S243" s="4">
        <v>0.67</v>
      </c>
      <c r="T243" s="26">
        <v>0.67</v>
      </c>
    </row>
    <row r="244" spans="1:20" x14ac:dyDescent="0.3">
      <c r="A244" s="27" t="s">
        <v>590</v>
      </c>
      <c r="B244" s="4" t="s">
        <v>591</v>
      </c>
      <c r="C244" s="4" t="s">
        <v>18</v>
      </c>
      <c r="D244" s="25" t="s">
        <v>97</v>
      </c>
      <c r="E244" s="4">
        <v>21</v>
      </c>
      <c r="F244" s="25">
        <v>21</v>
      </c>
      <c r="G244" s="4" t="s">
        <v>175</v>
      </c>
      <c r="H244" s="25" t="s">
        <v>175</v>
      </c>
      <c r="I244" s="4" t="s">
        <v>135</v>
      </c>
      <c r="J244" s="25" t="s">
        <v>135</v>
      </c>
      <c r="K244" s="4">
        <v>2</v>
      </c>
      <c r="L244" s="25">
        <v>2</v>
      </c>
      <c r="M244" s="4" t="s">
        <v>162</v>
      </c>
      <c r="N244" s="25" t="s">
        <v>162</v>
      </c>
      <c r="O244" s="4">
        <v>2.4</v>
      </c>
      <c r="P244" s="25">
        <v>2.4</v>
      </c>
      <c r="Q244" s="4" t="s">
        <v>51</v>
      </c>
      <c r="R244" s="25" t="s">
        <v>2120</v>
      </c>
      <c r="S244" s="4">
        <v>0.86</v>
      </c>
      <c r="T244" s="26">
        <v>0.86</v>
      </c>
    </row>
    <row r="245" spans="1:20" x14ac:dyDescent="0.3">
      <c r="A245" s="27" t="s">
        <v>592</v>
      </c>
      <c r="B245" s="4" t="s">
        <v>593</v>
      </c>
      <c r="C245" s="4" t="s">
        <v>78</v>
      </c>
      <c r="D245" s="25" t="s">
        <v>118</v>
      </c>
      <c r="E245" s="4">
        <v>20</v>
      </c>
      <c r="F245" s="25">
        <v>20</v>
      </c>
      <c r="G245" s="4" t="s">
        <v>201</v>
      </c>
      <c r="H245" s="25" t="s">
        <v>201</v>
      </c>
      <c r="I245" s="4" t="s">
        <v>39</v>
      </c>
      <c r="J245" s="25" t="s">
        <v>39</v>
      </c>
      <c r="K245" s="4">
        <v>2</v>
      </c>
      <c r="L245" s="25">
        <v>2</v>
      </c>
      <c r="M245" s="4" t="s">
        <v>51</v>
      </c>
      <c r="N245" s="25" t="s">
        <v>2119</v>
      </c>
      <c r="O245" s="4">
        <v>1.1000000000000001</v>
      </c>
      <c r="P245" s="25">
        <v>1.1000000000000001</v>
      </c>
      <c r="Q245" s="4" t="s">
        <v>59</v>
      </c>
      <c r="R245" s="25" t="s">
        <v>59</v>
      </c>
      <c r="S245" s="4">
        <v>0.69</v>
      </c>
      <c r="T245" s="26">
        <v>0.69</v>
      </c>
    </row>
    <row r="246" spans="1:20" x14ac:dyDescent="0.3">
      <c r="A246" s="27" t="s">
        <v>594</v>
      </c>
      <c r="B246" s="4" t="s">
        <v>595</v>
      </c>
      <c r="C246" s="4" t="s">
        <v>28</v>
      </c>
      <c r="D246" s="25" t="s">
        <v>97</v>
      </c>
      <c r="E246" s="4">
        <v>35</v>
      </c>
      <c r="F246" s="25">
        <v>35</v>
      </c>
      <c r="G246" s="4" t="s">
        <v>73</v>
      </c>
      <c r="H246" s="25" t="s">
        <v>73</v>
      </c>
      <c r="I246" s="4" t="s">
        <v>31</v>
      </c>
      <c r="J246" s="25" t="s">
        <v>31</v>
      </c>
      <c r="K246" s="4">
        <v>10</v>
      </c>
      <c r="L246" s="25">
        <v>10</v>
      </c>
      <c r="M246" s="4" t="s">
        <v>40</v>
      </c>
      <c r="N246" s="25" t="s">
        <v>40</v>
      </c>
      <c r="O246" s="4">
        <v>1.4</v>
      </c>
      <c r="P246" s="25">
        <v>1.4</v>
      </c>
      <c r="Q246" s="4" t="s">
        <v>74</v>
      </c>
      <c r="R246" s="25" t="s">
        <v>74</v>
      </c>
      <c r="S246" s="4">
        <v>0.85</v>
      </c>
      <c r="T246" s="26">
        <v>0.85</v>
      </c>
    </row>
    <row r="247" spans="1:20" x14ac:dyDescent="0.3">
      <c r="A247" s="27" t="s">
        <v>596</v>
      </c>
      <c r="B247" s="4" t="s">
        <v>597</v>
      </c>
      <c r="C247" s="4" t="s">
        <v>18</v>
      </c>
      <c r="D247" s="25" t="s">
        <v>97</v>
      </c>
      <c r="E247" s="4">
        <v>47</v>
      </c>
      <c r="F247" s="25">
        <v>47</v>
      </c>
      <c r="G247" s="4" t="s">
        <v>73</v>
      </c>
      <c r="H247" s="25" t="s">
        <v>73</v>
      </c>
      <c r="I247" s="4" t="s">
        <v>93</v>
      </c>
      <c r="J247" s="25" t="s">
        <v>93</v>
      </c>
      <c r="K247" s="4">
        <v>18</v>
      </c>
      <c r="L247" s="25">
        <v>18</v>
      </c>
      <c r="M247" s="4" t="s">
        <v>86</v>
      </c>
      <c r="N247" s="25" t="s">
        <v>86</v>
      </c>
      <c r="O247" s="4">
        <v>3.4</v>
      </c>
      <c r="P247" s="25">
        <v>3.4</v>
      </c>
      <c r="Q247" s="4" t="s">
        <v>23</v>
      </c>
      <c r="R247" s="25" t="s">
        <v>23</v>
      </c>
      <c r="S247" s="4">
        <v>60</v>
      </c>
      <c r="T247" s="26">
        <v>60</v>
      </c>
    </row>
    <row r="248" spans="1:20" x14ac:dyDescent="0.3">
      <c r="A248" s="27" t="s">
        <v>598</v>
      </c>
      <c r="B248" s="4" t="s">
        <v>599</v>
      </c>
      <c r="C248" s="4" t="s">
        <v>18</v>
      </c>
      <c r="D248" s="25" t="s">
        <v>97</v>
      </c>
      <c r="E248" s="4">
        <v>41</v>
      </c>
      <c r="F248" s="25">
        <v>41</v>
      </c>
      <c r="G248" s="4" t="s">
        <v>79</v>
      </c>
      <c r="H248" s="25" t="s">
        <v>79</v>
      </c>
      <c r="I248" s="4" t="s">
        <v>21</v>
      </c>
      <c r="J248" s="25" t="s">
        <v>21</v>
      </c>
      <c r="K248" s="4">
        <v>4</v>
      </c>
      <c r="L248" s="25">
        <v>4</v>
      </c>
      <c r="M248" s="4" t="s">
        <v>86</v>
      </c>
      <c r="N248" s="25" t="s">
        <v>86</v>
      </c>
      <c r="O248" s="4">
        <v>2.7</v>
      </c>
      <c r="P248" s="25">
        <v>2.7</v>
      </c>
      <c r="Q248" s="4" t="s">
        <v>33</v>
      </c>
      <c r="R248" s="25" t="s">
        <v>33</v>
      </c>
      <c r="S248" s="4">
        <v>70</v>
      </c>
      <c r="T248" s="26">
        <v>70</v>
      </c>
    </row>
    <row r="249" spans="1:20" x14ac:dyDescent="0.3">
      <c r="A249" s="27" t="s">
        <v>600</v>
      </c>
      <c r="B249" s="4" t="s">
        <v>601</v>
      </c>
      <c r="C249" s="4" t="s">
        <v>37</v>
      </c>
      <c r="D249" s="25" t="s">
        <v>118</v>
      </c>
      <c r="E249" s="4">
        <v>58</v>
      </c>
      <c r="F249" s="25">
        <v>58</v>
      </c>
      <c r="G249" s="4" t="s">
        <v>91</v>
      </c>
      <c r="H249" s="25" t="s">
        <v>91</v>
      </c>
      <c r="I249" s="4" t="s">
        <v>46</v>
      </c>
      <c r="J249" s="25" t="s">
        <v>46</v>
      </c>
      <c r="K249" s="4">
        <v>23</v>
      </c>
      <c r="L249" s="25">
        <v>23</v>
      </c>
      <c r="M249" s="4" t="s">
        <v>51</v>
      </c>
      <c r="N249" s="25" t="s">
        <v>2119</v>
      </c>
      <c r="O249" s="4">
        <v>4.9000000000000004</v>
      </c>
      <c r="P249" s="25">
        <v>4.9000000000000004</v>
      </c>
      <c r="Q249" s="4" t="s">
        <v>59</v>
      </c>
      <c r="R249" s="25" t="s">
        <v>59</v>
      </c>
      <c r="T249" s="26" t="s">
        <v>2120</v>
      </c>
    </row>
    <row r="250" spans="1:20" x14ac:dyDescent="0.3">
      <c r="A250" s="27" t="s">
        <v>602</v>
      </c>
      <c r="B250" s="4" t="s">
        <v>603</v>
      </c>
      <c r="C250" s="4" t="s">
        <v>63</v>
      </c>
      <c r="D250" s="25" t="s">
        <v>118</v>
      </c>
      <c r="E250" s="4">
        <v>34</v>
      </c>
      <c r="F250" s="25">
        <v>34</v>
      </c>
      <c r="G250" s="4" t="s">
        <v>197</v>
      </c>
      <c r="H250" s="25" t="s">
        <v>197</v>
      </c>
      <c r="I250" s="4" t="s">
        <v>66</v>
      </c>
      <c r="J250" s="25" t="s">
        <v>66</v>
      </c>
      <c r="K250" s="4">
        <v>6</v>
      </c>
      <c r="L250" s="25">
        <v>6</v>
      </c>
      <c r="M250" s="4" t="s">
        <v>103</v>
      </c>
      <c r="N250" s="25" t="s">
        <v>103</v>
      </c>
      <c r="O250" s="4">
        <v>1.9</v>
      </c>
      <c r="P250" s="25">
        <v>1.9</v>
      </c>
      <c r="Q250" s="4" t="s">
        <v>33</v>
      </c>
      <c r="R250" s="25" t="s">
        <v>33</v>
      </c>
      <c r="S250" s="4">
        <v>0.81</v>
      </c>
      <c r="T250" s="26">
        <v>0.81</v>
      </c>
    </row>
    <row r="251" spans="1:20" x14ac:dyDescent="0.3">
      <c r="A251" s="27" t="s">
        <v>604</v>
      </c>
      <c r="B251" s="4" t="s">
        <v>605</v>
      </c>
      <c r="C251" s="4" t="s">
        <v>18</v>
      </c>
      <c r="D251" s="25" t="s">
        <v>97</v>
      </c>
      <c r="E251" s="4">
        <v>50</v>
      </c>
      <c r="F251" s="25">
        <v>50</v>
      </c>
      <c r="G251" s="4" t="s">
        <v>114</v>
      </c>
      <c r="H251" s="25" t="s">
        <v>114</v>
      </c>
      <c r="I251" s="4" t="s">
        <v>31</v>
      </c>
      <c r="J251" s="25" t="s">
        <v>31</v>
      </c>
      <c r="K251" s="4">
        <v>5</v>
      </c>
      <c r="L251" s="25">
        <v>5</v>
      </c>
      <c r="M251" s="4" t="s">
        <v>22</v>
      </c>
      <c r="N251" s="25" t="s">
        <v>22</v>
      </c>
      <c r="P251" s="25" t="s">
        <v>2120</v>
      </c>
      <c r="Q251" s="4" t="s">
        <v>33</v>
      </c>
      <c r="R251" s="25" t="s">
        <v>33</v>
      </c>
      <c r="T251" s="26" t="s">
        <v>2120</v>
      </c>
    </row>
    <row r="252" spans="1:20" x14ac:dyDescent="0.3">
      <c r="A252" s="27" t="s">
        <v>606</v>
      </c>
      <c r="B252" s="4" t="s">
        <v>607</v>
      </c>
      <c r="C252" s="4" t="s">
        <v>18</v>
      </c>
      <c r="D252" s="25" t="s">
        <v>97</v>
      </c>
      <c r="E252" s="4">
        <v>42</v>
      </c>
      <c r="F252" s="25">
        <v>42</v>
      </c>
      <c r="G252" s="4" t="s">
        <v>201</v>
      </c>
      <c r="H252" s="25" t="s">
        <v>201</v>
      </c>
      <c r="I252" s="4" t="s">
        <v>110</v>
      </c>
      <c r="J252" s="25" t="s">
        <v>110</v>
      </c>
      <c r="K252" s="4">
        <v>19</v>
      </c>
      <c r="L252" s="25">
        <v>19</v>
      </c>
      <c r="M252" s="4" t="s">
        <v>67</v>
      </c>
      <c r="N252" s="25" t="s">
        <v>67</v>
      </c>
      <c r="O252" s="4">
        <v>4.5999999999999996</v>
      </c>
      <c r="P252" s="25">
        <v>4.5999999999999996</v>
      </c>
      <c r="Q252" s="4" t="s">
        <v>23</v>
      </c>
      <c r="R252" s="25" t="s">
        <v>23</v>
      </c>
      <c r="S252" s="4">
        <v>0.78</v>
      </c>
      <c r="T252" s="26">
        <v>0.78</v>
      </c>
    </row>
    <row r="253" spans="1:20" x14ac:dyDescent="0.3">
      <c r="A253" s="27" t="s">
        <v>608</v>
      </c>
      <c r="B253" s="4" t="s">
        <v>609</v>
      </c>
      <c r="C253" s="4" t="s">
        <v>113</v>
      </c>
      <c r="D253" s="25" t="s">
        <v>118</v>
      </c>
      <c r="E253" s="4">
        <v>43</v>
      </c>
      <c r="F253" s="25">
        <v>43</v>
      </c>
      <c r="G253" s="4" t="s">
        <v>38</v>
      </c>
      <c r="H253" s="25" t="s">
        <v>38</v>
      </c>
      <c r="I253" s="4" t="s">
        <v>93</v>
      </c>
      <c r="J253" s="25" t="s">
        <v>93</v>
      </c>
      <c r="K253" s="4">
        <v>6</v>
      </c>
      <c r="L253" s="25">
        <v>6</v>
      </c>
      <c r="M253" s="4" t="s">
        <v>40</v>
      </c>
      <c r="N253" s="25" t="s">
        <v>40</v>
      </c>
      <c r="O253" s="4">
        <v>0</v>
      </c>
      <c r="P253" s="25">
        <v>0</v>
      </c>
      <c r="Q253" s="4" t="s">
        <v>23</v>
      </c>
      <c r="R253" s="25" t="s">
        <v>23</v>
      </c>
      <c r="S253" s="4">
        <v>81</v>
      </c>
      <c r="T253" s="26">
        <v>81</v>
      </c>
    </row>
    <row r="254" spans="1:20" x14ac:dyDescent="0.3">
      <c r="A254" s="27" t="s">
        <v>610</v>
      </c>
      <c r="B254" s="4" t="s">
        <v>611</v>
      </c>
      <c r="C254" s="4" t="s">
        <v>118</v>
      </c>
      <c r="D254" s="25" t="s">
        <v>118</v>
      </c>
      <c r="E254" s="4">
        <v>34</v>
      </c>
      <c r="F254" s="25">
        <v>34</v>
      </c>
      <c r="G254" s="4" t="s">
        <v>38</v>
      </c>
      <c r="H254" s="25" t="s">
        <v>38</v>
      </c>
      <c r="I254" s="4" t="s">
        <v>66</v>
      </c>
      <c r="J254" s="25" t="s">
        <v>66</v>
      </c>
      <c r="K254" s="4">
        <v>8</v>
      </c>
      <c r="L254" s="25">
        <v>8</v>
      </c>
      <c r="M254" s="4" t="s">
        <v>103</v>
      </c>
      <c r="N254" s="25" t="s">
        <v>103</v>
      </c>
      <c r="O254" s="4">
        <v>1.8</v>
      </c>
      <c r="P254" s="25">
        <v>1.8</v>
      </c>
      <c r="Q254" s="4" t="s">
        <v>33</v>
      </c>
      <c r="R254" s="25" t="s">
        <v>33</v>
      </c>
      <c r="S254" s="4">
        <v>0.71</v>
      </c>
      <c r="T254" s="26">
        <v>0.71</v>
      </c>
    </row>
    <row r="255" spans="1:20" x14ac:dyDescent="0.3">
      <c r="A255" s="27" t="s">
        <v>612</v>
      </c>
      <c r="B255" s="4" t="s">
        <v>613</v>
      </c>
      <c r="C255" s="4" t="s">
        <v>118</v>
      </c>
      <c r="D255" s="25" t="s">
        <v>118</v>
      </c>
      <c r="E255" s="4">
        <v>24</v>
      </c>
      <c r="F255" s="25">
        <v>24</v>
      </c>
      <c r="G255" s="4" t="s">
        <v>212</v>
      </c>
      <c r="H255" s="25" t="s">
        <v>212</v>
      </c>
      <c r="I255" s="4" t="s">
        <v>31</v>
      </c>
      <c r="J255" s="25" t="s">
        <v>31</v>
      </c>
      <c r="K255" s="4">
        <v>3</v>
      </c>
      <c r="L255" s="25">
        <v>3</v>
      </c>
      <c r="M255" s="4" t="s">
        <v>103</v>
      </c>
      <c r="N255" s="25" t="s">
        <v>103</v>
      </c>
      <c r="O255" s="4">
        <v>2</v>
      </c>
      <c r="P255" s="25">
        <v>2</v>
      </c>
      <c r="Q255" s="4" t="s">
        <v>59</v>
      </c>
      <c r="R255" s="25" t="s">
        <v>59</v>
      </c>
      <c r="T255" s="26" t="s">
        <v>2120</v>
      </c>
    </row>
    <row r="256" spans="1:20" x14ac:dyDescent="0.3">
      <c r="A256" s="27" t="s">
        <v>614</v>
      </c>
      <c r="B256" s="4" t="s">
        <v>615</v>
      </c>
      <c r="C256" s="4" t="s">
        <v>63</v>
      </c>
      <c r="D256" s="25" t="s">
        <v>118</v>
      </c>
      <c r="E256" s="4">
        <v>48</v>
      </c>
      <c r="F256" s="25">
        <v>48</v>
      </c>
      <c r="G256" s="4" t="s">
        <v>175</v>
      </c>
      <c r="H256" s="25" t="s">
        <v>175</v>
      </c>
      <c r="I256" s="4" t="s">
        <v>93</v>
      </c>
      <c r="J256" s="25" t="s">
        <v>93</v>
      </c>
      <c r="K256" s="4">
        <v>8</v>
      </c>
      <c r="L256" s="25">
        <v>8</v>
      </c>
      <c r="M256" s="4" t="s">
        <v>52</v>
      </c>
      <c r="N256" s="25" t="s">
        <v>52</v>
      </c>
      <c r="O256" s="4">
        <v>5</v>
      </c>
      <c r="P256" s="25">
        <v>5</v>
      </c>
      <c r="Q256" s="4" t="s">
        <v>33</v>
      </c>
      <c r="R256" s="25" t="s">
        <v>33</v>
      </c>
      <c r="S256" s="4">
        <v>0.99</v>
      </c>
      <c r="T256" s="26">
        <v>0.99</v>
      </c>
    </row>
    <row r="257" spans="1:20" x14ac:dyDescent="0.3">
      <c r="A257" s="27" t="s">
        <v>616</v>
      </c>
      <c r="B257" s="4" t="s">
        <v>617</v>
      </c>
      <c r="C257" s="4" t="s">
        <v>45</v>
      </c>
      <c r="D257" s="25" t="s">
        <v>97</v>
      </c>
      <c r="E257" s="4">
        <v>39</v>
      </c>
      <c r="F257" s="25">
        <v>39</v>
      </c>
      <c r="G257" s="4" t="s">
        <v>133</v>
      </c>
      <c r="H257" s="25" t="s">
        <v>133</v>
      </c>
      <c r="I257" s="4" t="s">
        <v>66</v>
      </c>
      <c r="J257" s="25" t="s">
        <v>66</v>
      </c>
      <c r="K257" s="4">
        <v>12</v>
      </c>
      <c r="L257" s="25">
        <v>12</v>
      </c>
      <c r="M257" s="4" t="s">
        <v>142</v>
      </c>
      <c r="N257" s="25" t="s">
        <v>142</v>
      </c>
      <c r="O257" s="4">
        <v>3.2</v>
      </c>
      <c r="P257" s="25">
        <v>3.2</v>
      </c>
      <c r="Q257" s="4" t="s">
        <v>74</v>
      </c>
      <c r="R257" s="25" t="s">
        <v>74</v>
      </c>
      <c r="S257" s="4">
        <v>0.66</v>
      </c>
      <c r="T257" s="26">
        <v>0.66</v>
      </c>
    </row>
    <row r="258" spans="1:20" x14ac:dyDescent="0.3">
      <c r="A258" s="27" t="s">
        <v>618</v>
      </c>
      <c r="B258" s="4" t="s">
        <v>619</v>
      </c>
      <c r="C258" s="4" t="s">
        <v>45</v>
      </c>
      <c r="D258" s="25" t="s">
        <v>97</v>
      </c>
      <c r="E258" s="4">
        <v>57</v>
      </c>
      <c r="F258" s="25">
        <v>57</v>
      </c>
      <c r="G258" s="4" t="s">
        <v>29</v>
      </c>
      <c r="H258" s="25" t="s">
        <v>29</v>
      </c>
      <c r="I258" s="4" t="s">
        <v>21</v>
      </c>
      <c r="J258" s="25" t="s">
        <v>21</v>
      </c>
      <c r="K258" s="4">
        <v>30</v>
      </c>
      <c r="L258" s="25">
        <v>30</v>
      </c>
      <c r="M258" s="4" t="s">
        <v>58</v>
      </c>
      <c r="N258" s="25" t="s">
        <v>58</v>
      </c>
      <c r="O258" s="4">
        <v>2.4</v>
      </c>
      <c r="P258" s="25">
        <v>2.4</v>
      </c>
      <c r="Q258" s="4" t="s">
        <v>51</v>
      </c>
      <c r="R258" s="25" t="s">
        <v>2120</v>
      </c>
      <c r="S258" s="4">
        <v>0.8</v>
      </c>
      <c r="T258" s="26">
        <v>0.8</v>
      </c>
    </row>
    <row r="259" spans="1:20" x14ac:dyDescent="0.3">
      <c r="A259" s="27" t="s">
        <v>620</v>
      </c>
      <c r="B259" s="4" t="s">
        <v>621</v>
      </c>
      <c r="C259" s="4" t="s">
        <v>28</v>
      </c>
      <c r="D259" s="25" t="s">
        <v>97</v>
      </c>
      <c r="E259" s="4">
        <v>44</v>
      </c>
      <c r="F259" s="25">
        <v>44</v>
      </c>
      <c r="G259" s="4" t="s">
        <v>149</v>
      </c>
      <c r="H259" s="25" t="s">
        <v>149</v>
      </c>
      <c r="I259" s="4" t="s">
        <v>46</v>
      </c>
      <c r="J259" s="25" t="s">
        <v>46</v>
      </c>
      <c r="K259" s="4">
        <v>21</v>
      </c>
      <c r="L259" s="25">
        <v>21</v>
      </c>
      <c r="M259" s="4" t="s">
        <v>22</v>
      </c>
      <c r="N259" s="25" t="s">
        <v>22</v>
      </c>
      <c r="O259" s="4">
        <v>2.9</v>
      </c>
      <c r="P259" s="25">
        <v>2.9</v>
      </c>
      <c r="Q259" s="4" t="s">
        <v>23</v>
      </c>
      <c r="R259" s="25" t="s">
        <v>23</v>
      </c>
      <c r="S259" s="4">
        <v>0.83</v>
      </c>
      <c r="T259" s="26">
        <v>0.83</v>
      </c>
    </row>
    <row r="260" spans="1:20" x14ac:dyDescent="0.3">
      <c r="A260" s="27" t="s">
        <v>622</v>
      </c>
      <c r="B260" s="4" t="s">
        <v>623</v>
      </c>
      <c r="C260" s="4" t="s">
        <v>37</v>
      </c>
      <c r="D260" s="25" t="s">
        <v>118</v>
      </c>
      <c r="E260" s="4">
        <v>37</v>
      </c>
      <c r="F260" s="25">
        <v>37</v>
      </c>
      <c r="G260" s="4" t="s">
        <v>128</v>
      </c>
      <c r="H260" s="25" t="s">
        <v>128</v>
      </c>
      <c r="I260" s="4" t="s">
        <v>93</v>
      </c>
      <c r="J260" s="25" t="s">
        <v>93</v>
      </c>
      <c r="K260" s="4">
        <v>17</v>
      </c>
      <c r="L260" s="25">
        <v>17</v>
      </c>
      <c r="M260" s="4" t="s">
        <v>336</v>
      </c>
      <c r="N260" s="25" t="s">
        <v>336</v>
      </c>
      <c r="O260" s="4">
        <v>0</v>
      </c>
      <c r="P260" s="25">
        <v>0</v>
      </c>
      <c r="Q260" s="4" t="s">
        <v>87</v>
      </c>
      <c r="R260" s="25" t="s">
        <v>87</v>
      </c>
      <c r="S260" s="4">
        <v>87</v>
      </c>
      <c r="T260" s="26">
        <v>87</v>
      </c>
    </row>
    <row r="261" spans="1:20" x14ac:dyDescent="0.3">
      <c r="A261" s="27" t="s">
        <v>624</v>
      </c>
      <c r="B261" s="4" t="s">
        <v>625</v>
      </c>
      <c r="C261" s="4" t="s">
        <v>118</v>
      </c>
      <c r="D261" s="25" t="s">
        <v>118</v>
      </c>
      <c r="E261" s="4">
        <v>50</v>
      </c>
      <c r="F261" s="25">
        <v>50</v>
      </c>
      <c r="G261" s="4" t="s">
        <v>79</v>
      </c>
      <c r="H261" s="25" t="s">
        <v>79</v>
      </c>
      <c r="I261" s="4" t="s">
        <v>66</v>
      </c>
      <c r="J261" s="25" t="s">
        <v>66</v>
      </c>
      <c r="K261" s="4">
        <v>9</v>
      </c>
      <c r="L261" s="25">
        <v>9</v>
      </c>
      <c r="M261" s="4" t="s">
        <v>52</v>
      </c>
      <c r="N261" s="25" t="s">
        <v>52</v>
      </c>
      <c r="O261" s="4">
        <v>3</v>
      </c>
      <c r="P261" s="25">
        <v>3</v>
      </c>
      <c r="Q261" s="4" t="s">
        <v>23</v>
      </c>
      <c r="R261" s="25" t="s">
        <v>23</v>
      </c>
      <c r="S261" s="4">
        <v>76</v>
      </c>
      <c r="T261" s="26">
        <v>76</v>
      </c>
    </row>
    <row r="262" spans="1:20" x14ac:dyDescent="0.3">
      <c r="A262" s="27" t="s">
        <v>626</v>
      </c>
      <c r="B262" s="4" t="s">
        <v>627</v>
      </c>
      <c r="C262" s="4" t="s">
        <v>118</v>
      </c>
      <c r="D262" s="25" t="s">
        <v>118</v>
      </c>
      <c r="E262" s="4">
        <v>50</v>
      </c>
      <c r="F262" s="25">
        <v>50</v>
      </c>
      <c r="G262" s="4" t="s">
        <v>212</v>
      </c>
      <c r="H262" s="25" t="s">
        <v>212</v>
      </c>
      <c r="I262" s="4" t="s">
        <v>93</v>
      </c>
      <c r="J262" s="25" t="s">
        <v>93</v>
      </c>
      <c r="K262" s="4">
        <v>2</v>
      </c>
      <c r="L262" s="25">
        <v>2</v>
      </c>
      <c r="M262" s="4" t="s">
        <v>40</v>
      </c>
      <c r="N262" s="25" t="s">
        <v>40</v>
      </c>
      <c r="O262" s="4">
        <v>1.6</v>
      </c>
      <c r="P262" s="25">
        <v>1.6</v>
      </c>
      <c r="Q262" s="4" t="s">
        <v>181</v>
      </c>
      <c r="R262" s="25" t="s">
        <v>181</v>
      </c>
      <c r="S262" s="4">
        <v>0.89</v>
      </c>
      <c r="T262" s="26">
        <v>0.89</v>
      </c>
    </row>
    <row r="263" spans="1:20" x14ac:dyDescent="0.3">
      <c r="A263" s="27" t="s">
        <v>628</v>
      </c>
      <c r="B263" s="4" t="s">
        <v>629</v>
      </c>
      <c r="C263" s="4" t="s">
        <v>97</v>
      </c>
      <c r="D263" s="25" t="s">
        <v>97</v>
      </c>
      <c r="E263" s="4">
        <v>28</v>
      </c>
      <c r="F263" s="25">
        <v>28</v>
      </c>
      <c r="G263" s="4" t="s">
        <v>156</v>
      </c>
      <c r="H263" s="25" t="s">
        <v>156</v>
      </c>
      <c r="I263" s="4" t="s">
        <v>39</v>
      </c>
      <c r="J263" s="25" t="s">
        <v>39</v>
      </c>
      <c r="K263" s="4">
        <v>1</v>
      </c>
      <c r="L263" s="25">
        <v>1</v>
      </c>
      <c r="M263" s="4" t="s">
        <v>162</v>
      </c>
      <c r="N263" s="25" t="s">
        <v>162</v>
      </c>
      <c r="O263" s="4">
        <v>3.6</v>
      </c>
      <c r="P263" s="25">
        <v>3.6</v>
      </c>
      <c r="Q263" s="4" t="s">
        <v>87</v>
      </c>
      <c r="R263" s="25" t="s">
        <v>87</v>
      </c>
      <c r="S263" s="4">
        <v>0.94</v>
      </c>
      <c r="T263" s="26">
        <v>0.94</v>
      </c>
    </row>
    <row r="264" spans="1:20" x14ac:dyDescent="0.3">
      <c r="A264" s="27" t="s">
        <v>630</v>
      </c>
      <c r="B264" s="4" t="s">
        <v>631</v>
      </c>
      <c r="C264" s="4" t="s">
        <v>118</v>
      </c>
      <c r="D264" s="25" t="s">
        <v>118</v>
      </c>
      <c r="E264" s="4">
        <v>48</v>
      </c>
      <c r="F264" s="25">
        <v>48</v>
      </c>
      <c r="G264" s="4" t="s">
        <v>19</v>
      </c>
      <c r="H264" s="25" t="s">
        <v>19</v>
      </c>
      <c r="I264" s="4" t="s">
        <v>46</v>
      </c>
      <c r="J264" s="25" t="s">
        <v>46</v>
      </c>
      <c r="K264" s="4">
        <v>23</v>
      </c>
      <c r="L264" s="25">
        <v>23</v>
      </c>
      <c r="M264" s="4" t="s">
        <v>51</v>
      </c>
      <c r="N264" s="25" t="s">
        <v>2119</v>
      </c>
      <c r="O264" s="4">
        <v>2.1</v>
      </c>
      <c r="P264" s="25">
        <v>2.1</v>
      </c>
      <c r="Q264" s="4" t="s">
        <v>23</v>
      </c>
      <c r="R264" s="25" t="s">
        <v>23</v>
      </c>
      <c r="S264" s="4">
        <v>0.68</v>
      </c>
      <c r="T264" s="26">
        <v>0.68</v>
      </c>
    </row>
    <row r="265" spans="1:20" x14ac:dyDescent="0.3">
      <c r="A265" s="27" t="s">
        <v>632</v>
      </c>
      <c r="B265" s="4" t="s">
        <v>633</v>
      </c>
      <c r="C265" s="4" t="s">
        <v>118</v>
      </c>
      <c r="D265" s="25" t="s">
        <v>118</v>
      </c>
      <c r="E265" s="4">
        <v>42</v>
      </c>
      <c r="F265" s="25">
        <v>42</v>
      </c>
      <c r="G265" s="4" t="s">
        <v>38</v>
      </c>
      <c r="H265" s="25" t="s">
        <v>38</v>
      </c>
      <c r="I265" s="4" t="s">
        <v>110</v>
      </c>
      <c r="J265" s="25" t="s">
        <v>110</v>
      </c>
      <c r="K265" s="4">
        <v>8</v>
      </c>
      <c r="L265" s="25">
        <v>8</v>
      </c>
      <c r="M265" s="4" t="s">
        <v>52</v>
      </c>
      <c r="N265" s="25" t="s">
        <v>52</v>
      </c>
      <c r="O265" s="4">
        <v>3.6</v>
      </c>
      <c r="P265" s="25">
        <v>3.6</v>
      </c>
      <c r="Q265" s="4" t="s">
        <v>33</v>
      </c>
      <c r="R265" s="25" t="s">
        <v>33</v>
      </c>
      <c r="S265" s="4">
        <v>0.96</v>
      </c>
      <c r="T265" s="26">
        <v>0.96</v>
      </c>
    </row>
    <row r="266" spans="1:20" x14ac:dyDescent="0.3">
      <c r="A266" s="27" t="s">
        <v>634</v>
      </c>
      <c r="B266" s="4" t="s">
        <v>635</v>
      </c>
      <c r="C266" s="4" t="s">
        <v>97</v>
      </c>
      <c r="D266" s="25" t="s">
        <v>97</v>
      </c>
      <c r="E266" s="4">
        <v>37</v>
      </c>
      <c r="F266" s="25">
        <v>37</v>
      </c>
      <c r="G266" s="4" t="s">
        <v>149</v>
      </c>
      <c r="H266" s="25" t="s">
        <v>149</v>
      </c>
      <c r="I266" s="4" t="s">
        <v>66</v>
      </c>
      <c r="J266" s="25" t="s">
        <v>66</v>
      </c>
      <c r="K266" s="4">
        <v>6</v>
      </c>
      <c r="L266" s="25">
        <v>6</v>
      </c>
      <c r="M266" s="4" t="s">
        <v>142</v>
      </c>
      <c r="N266" s="25" t="s">
        <v>142</v>
      </c>
      <c r="O266" s="4">
        <v>2.7</v>
      </c>
      <c r="P266" s="25">
        <v>2.7</v>
      </c>
      <c r="Q266" s="4" t="s">
        <v>74</v>
      </c>
      <c r="R266" s="25" t="s">
        <v>74</v>
      </c>
      <c r="S266" s="4">
        <v>0.91</v>
      </c>
      <c r="T266" s="26">
        <v>0.91</v>
      </c>
    </row>
    <row r="267" spans="1:20" x14ac:dyDescent="0.3">
      <c r="A267" s="27" t="s">
        <v>636</v>
      </c>
      <c r="B267" s="4" t="s">
        <v>637</v>
      </c>
      <c r="C267" s="4" t="s">
        <v>118</v>
      </c>
      <c r="D267" s="25" t="s">
        <v>118</v>
      </c>
      <c r="E267" s="4">
        <v>21</v>
      </c>
      <c r="F267" s="25">
        <v>21</v>
      </c>
      <c r="G267" s="4" t="s">
        <v>114</v>
      </c>
      <c r="H267" s="25" t="s">
        <v>114</v>
      </c>
      <c r="I267" s="4" t="s">
        <v>21</v>
      </c>
      <c r="J267" s="25" t="s">
        <v>21</v>
      </c>
      <c r="K267" s="4">
        <v>1</v>
      </c>
      <c r="L267" s="25">
        <v>1</v>
      </c>
      <c r="M267" s="4" t="s">
        <v>22</v>
      </c>
      <c r="N267" s="25" t="s">
        <v>22</v>
      </c>
      <c r="O267" s="4">
        <v>2.1</v>
      </c>
      <c r="P267" s="25">
        <v>2.1</v>
      </c>
      <c r="Q267" s="4" t="s">
        <v>33</v>
      </c>
      <c r="R267" s="25" t="s">
        <v>33</v>
      </c>
      <c r="S267" s="4">
        <v>0.92</v>
      </c>
      <c r="T267" s="26">
        <v>0.92</v>
      </c>
    </row>
    <row r="268" spans="1:20" x14ac:dyDescent="0.3">
      <c r="A268" s="27" t="s">
        <v>638</v>
      </c>
      <c r="B268" s="4" t="s">
        <v>639</v>
      </c>
      <c r="C268" s="4" t="s">
        <v>78</v>
      </c>
      <c r="D268" s="25" t="s">
        <v>118</v>
      </c>
      <c r="E268" s="4">
        <v>50</v>
      </c>
      <c r="F268" s="25">
        <v>50</v>
      </c>
      <c r="G268" s="4" t="s">
        <v>133</v>
      </c>
      <c r="H268" s="25" t="s">
        <v>133</v>
      </c>
      <c r="I268" s="4" t="s">
        <v>46</v>
      </c>
      <c r="J268" s="25" t="s">
        <v>46</v>
      </c>
      <c r="K268" s="4">
        <v>19</v>
      </c>
      <c r="L268" s="25">
        <v>19</v>
      </c>
      <c r="M268" s="4" t="s">
        <v>47</v>
      </c>
      <c r="N268" s="25" t="s">
        <v>47</v>
      </c>
      <c r="O268" s="4">
        <v>4.9000000000000004</v>
      </c>
      <c r="P268" s="25">
        <v>4.9000000000000004</v>
      </c>
      <c r="Q268" s="4" t="s">
        <v>51</v>
      </c>
      <c r="R268" s="25" t="s">
        <v>2120</v>
      </c>
      <c r="S268" s="4">
        <v>0.82</v>
      </c>
      <c r="T268" s="26">
        <v>0.82</v>
      </c>
    </row>
    <row r="269" spans="1:20" x14ac:dyDescent="0.3">
      <c r="A269" s="27" t="s">
        <v>640</v>
      </c>
      <c r="B269" s="4" t="s">
        <v>641</v>
      </c>
      <c r="C269" s="4" t="s">
        <v>45</v>
      </c>
      <c r="D269" s="25" t="s">
        <v>97</v>
      </c>
      <c r="E269" s="4">
        <v>22</v>
      </c>
      <c r="F269" s="25">
        <v>22</v>
      </c>
      <c r="G269" s="4" t="s">
        <v>91</v>
      </c>
      <c r="H269" s="25" t="s">
        <v>91</v>
      </c>
      <c r="I269" s="4" t="s">
        <v>57</v>
      </c>
      <c r="J269" s="25" t="s">
        <v>57</v>
      </c>
      <c r="K269" s="4">
        <v>2</v>
      </c>
      <c r="L269" s="25">
        <v>2</v>
      </c>
      <c r="M269" s="4" t="s">
        <v>52</v>
      </c>
      <c r="N269" s="25" t="s">
        <v>52</v>
      </c>
      <c r="O269" s="4">
        <v>2.1</v>
      </c>
      <c r="P269" s="25">
        <v>2.1</v>
      </c>
      <c r="Q269" s="4" t="s">
        <v>51</v>
      </c>
      <c r="R269" s="25" t="s">
        <v>2120</v>
      </c>
      <c r="T269" s="26" t="s">
        <v>2120</v>
      </c>
    </row>
    <row r="270" spans="1:20" x14ac:dyDescent="0.3">
      <c r="A270" s="27" t="s">
        <v>642</v>
      </c>
      <c r="B270" s="4" t="s">
        <v>643</v>
      </c>
      <c r="C270" s="4" t="s">
        <v>97</v>
      </c>
      <c r="D270" s="25" t="s">
        <v>97</v>
      </c>
      <c r="E270" s="4">
        <v>39</v>
      </c>
      <c r="F270" s="25">
        <v>39</v>
      </c>
      <c r="G270" s="4" t="s">
        <v>106</v>
      </c>
      <c r="H270" s="25" t="s">
        <v>106</v>
      </c>
      <c r="I270" s="4" t="s">
        <v>46</v>
      </c>
      <c r="J270" s="25" t="s">
        <v>46</v>
      </c>
      <c r="K270" s="4">
        <v>21</v>
      </c>
      <c r="L270" s="25">
        <v>21</v>
      </c>
      <c r="M270" s="4" t="s">
        <v>22</v>
      </c>
      <c r="N270" s="25" t="s">
        <v>22</v>
      </c>
      <c r="O270" s="4">
        <v>0</v>
      </c>
      <c r="P270" s="25">
        <v>0</v>
      </c>
      <c r="Q270" s="4" t="s">
        <v>181</v>
      </c>
      <c r="R270" s="25" t="s">
        <v>181</v>
      </c>
      <c r="S270" s="4">
        <v>0.91</v>
      </c>
      <c r="T270" s="26">
        <v>0.91</v>
      </c>
    </row>
    <row r="271" spans="1:20" x14ac:dyDescent="0.3">
      <c r="A271" s="27" t="s">
        <v>644</v>
      </c>
      <c r="B271" s="4" t="s">
        <v>645</v>
      </c>
      <c r="C271" s="4" t="s">
        <v>97</v>
      </c>
      <c r="D271" s="25" t="s">
        <v>97</v>
      </c>
      <c r="E271" s="4">
        <v>25</v>
      </c>
      <c r="F271" s="25">
        <v>25</v>
      </c>
      <c r="G271" s="4" t="s">
        <v>106</v>
      </c>
      <c r="H271" s="25" t="s">
        <v>106</v>
      </c>
      <c r="I271" s="4" t="s">
        <v>135</v>
      </c>
      <c r="J271" s="25" t="s">
        <v>135</v>
      </c>
      <c r="K271" s="4">
        <v>3</v>
      </c>
      <c r="L271" s="25">
        <v>3</v>
      </c>
      <c r="M271" s="4" t="s">
        <v>81</v>
      </c>
      <c r="N271" s="25" t="s">
        <v>81</v>
      </c>
      <c r="O271" s="4">
        <v>2.8</v>
      </c>
      <c r="P271" s="25">
        <v>2.8</v>
      </c>
      <c r="Q271" s="4" t="s">
        <v>87</v>
      </c>
      <c r="R271" s="25" t="s">
        <v>87</v>
      </c>
      <c r="S271" s="4">
        <v>86</v>
      </c>
      <c r="T271" s="26">
        <v>86</v>
      </c>
    </row>
    <row r="272" spans="1:20" x14ac:dyDescent="0.3">
      <c r="A272" s="27" t="s">
        <v>646</v>
      </c>
      <c r="B272" s="4" t="s">
        <v>647</v>
      </c>
      <c r="C272" s="4" t="s">
        <v>28</v>
      </c>
      <c r="D272" s="25" t="s">
        <v>97</v>
      </c>
      <c r="E272" s="4">
        <v>47</v>
      </c>
      <c r="F272" s="25">
        <v>47</v>
      </c>
      <c r="G272" s="4" t="s">
        <v>175</v>
      </c>
      <c r="H272" s="25" t="s">
        <v>175</v>
      </c>
      <c r="I272" s="4" t="s">
        <v>31</v>
      </c>
      <c r="J272" s="25" t="s">
        <v>31</v>
      </c>
      <c r="K272" s="4">
        <v>14</v>
      </c>
      <c r="L272" s="25">
        <v>14</v>
      </c>
      <c r="M272" s="4" t="s">
        <v>51</v>
      </c>
      <c r="N272" s="25" t="s">
        <v>2119</v>
      </c>
      <c r="P272" s="25" t="s">
        <v>2120</v>
      </c>
      <c r="Q272" s="4" t="s">
        <v>59</v>
      </c>
      <c r="R272" s="25" t="s">
        <v>59</v>
      </c>
      <c r="S272" s="4">
        <v>0.69</v>
      </c>
      <c r="T272" s="26">
        <v>0.69</v>
      </c>
    </row>
    <row r="273" spans="1:20" x14ac:dyDescent="0.3">
      <c r="A273" s="27" t="s">
        <v>648</v>
      </c>
      <c r="B273" s="4" t="s">
        <v>649</v>
      </c>
      <c r="C273" s="4" t="s">
        <v>18</v>
      </c>
      <c r="D273" s="25" t="s">
        <v>97</v>
      </c>
      <c r="E273" s="4">
        <v>35</v>
      </c>
      <c r="F273" s="25">
        <v>35</v>
      </c>
      <c r="G273" s="4" t="s">
        <v>175</v>
      </c>
      <c r="H273" s="25" t="s">
        <v>175</v>
      </c>
      <c r="I273" s="4" t="s">
        <v>93</v>
      </c>
      <c r="J273" s="25" t="s">
        <v>93</v>
      </c>
      <c r="K273" s="4">
        <v>10</v>
      </c>
      <c r="L273" s="25">
        <v>10</v>
      </c>
      <c r="M273" s="4" t="s">
        <v>32</v>
      </c>
      <c r="N273" s="25" t="s">
        <v>32</v>
      </c>
      <c r="O273" s="4">
        <v>4.7</v>
      </c>
      <c r="P273" s="25">
        <v>4.7</v>
      </c>
      <c r="Q273" s="4" t="s">
        <v>74</v>
      </c>
      <c r="R273" s="25" t="s">
        <v>74</v>
      </c>
      <c r="S273" s="4">
        <v>0.84</v>
      </c>
      <c r="T273" s="26">
        <v>0.84</v>
      </c>
    </row>
    <row r="274" spans="1:20" x14ac:dyDescent="0.3">
      <c r="A274" s="27" t="s">
        <v>650</v>
      </c>
      <c r="B274" s="4" t="s">
        <v>651</v>
      </c>
      <c r="C274" s="4" t="s">
        <v>18</v>
      </c>
      <c r="D274" s="25" t="s">
        <v>97</v>
      </c>
      <c r="F274" s="25" t="s">
        <v>2119</v>
      </c>
      <c r="G274" s="4" t="s">
        <v>85</v>
      </c>
      <c r="H274" s="25" t="s">
        <v>85</v>
      </c>
      <c r="I274" s="4" t="s">
        <v>98</v>
      </c>
      <c r="J274" s="25" t="s">
        <v>98</v>
      </c>
      <c r="K274" s="4">
        <v>5</v>
      </c>
      <c r="L274" s="25">
        <v>5</v>
      </c>
      <c r="M274" s="4" t="s">
        <v>22</v>
      </c>
      <c r="N274" s="25" t="s">
        <v>22</v>
      </c>
      <c r="O274" s="4">
        <v>1.3</v>
      </c>
      <c r="P274" s="25">
        <v>1.3</v>
      </c>
      <c r="Q274" s="4" t="s">
        <v>23</v>
      </c>
      <c r="R274" s="25" t="s">
        <v>23</v>
      </c>
      <c r="S274" s="4">
        <v>0.6</v>
      </c>
      <c r="T274" s="26">
        <v>0.6</v>
      </c>
    </row>
    <row r="275" spans="1:20" x14ac:dyDescent="0.3">
      <c r="A275" s="27" t="s">
        <v>652</v>
      </c>
      <c r="B275" s="4" t="s">
        <v>653</v>
      </c>
      <c r="C275" s="4" t="s">
        <v>37</v>
      </c>
      <c r="D275" s="25" t="s">
        <v>118</v>
      </c>
      <c r="E275" s="4">
        <v>35</v>
      </c>
      <c r="F275" s="25">
        <v>35</v>
      </c>
      <c r="G275" s="4" t="s">
        <v>55</v>
      </c>
      <c r="H275" s="25" t="s">
        <v>55</v>
      </c>
      <c r="I275" s="4" t="s">
        <v>21</v>
      </c>
      <c r="J275" s="25" t="s">
        <v>21</v>
      </c>
      <c r="K275" s="4">
        <v>6</v>
      </c>
      <c r="L275" s="25">
        <v>6</v>
      </c>
      <c r="M275" s="4" t="s">
        <v>67</v>
      </c>
      <c r="N275" s="25" t="s">
        <v>67</v>
      </c>
      <c r="O275" s="4">
        <v>1.6</v>
      </c>
      <c r="P275" s="25">
        <v>1.6</v>
      </c>
      <c r="Q275" s="4" t="s">
        <v>33</v>
      </c>
      <c r="R275" s="25" t="s">
        <v>33</v>
      </c>
      <c r="S275" s="4">
        <v>0.97</v>
      </c>
      <c r="T275" s="26">
        <v>0.97</v>
      </c>
    </row>
    <row r="276" spans="1:20" x14ac:dyDescent="0.3">
      <c r="A276" s="27" t="s">
        <v>654</v>
      </c>
      <c r="B276" s="4" t="s">
        <v>655</v>
      </c>
      <c r="C276" s="4" t="s">
        <v>118</v>
      </c>
      <c r="D276" s="25" t="s">
        <v>118</v>
      </c>
      <c r="E276" s="4">
        <v>59</v>
      </c>
      <c r="F276" s="25">
        <v>59</v>
      </c>
      <c r="G276" s="4" t="s">
        <v>156</v>
      </c>
      <c r="H276" s="25" t="s">
        <v>156</v>
      </c>
      <c r="I276" s="4" t="s">
        <v>46</v>
      </c>
      <c r="J276" s="25" t="s">
        <v>46</v>
      </c>
      <c r="K276" s="4">
        <v>21</v>
      </c>
      <c r="L276" s="25">
        <v>21</v>
      </c>
      <c r="M276" s="4" t="s">
        <v>22</v>
      </c>
      <c r="N276" s="25" t="s">
        <v>22</v>
      </c>
      <c r="O276" s="4">
        <v>0</v>
      </c>
      <c r="P276" s="25">
        <v>0</v>
      </c>
      <c r="Q276" s="4" t="s">
        <v>51</v>
      </c>
      <c r="R276" s="25" t="s">
        <v>2120</v>
      </c>
      <c r="S276" s="4">
        <v>0.7</v>
      </c>
      <c r="T276" s="26">
        <v>0.7</v>
      </c>
    </row>
    <row r="277" spans="1:20" x14ac:dyDescent="0.3">
      <c r="A277" s="27" t="s">
        <v>656</v>
      </c>
      <c r="B277" s="4" t="s">
        <v>657</v>
      </c>
      <c r="C277" s="4" t="s">
        <v>28</v>
      </c>
      <c r="D277" s="25" t="s">
        <v>97</v>
      </c>
      <c r="E277" s="4">
        <v>26</v>
      </c>
      <c r="F277" s="25">
        <v>26</v>
      </c>
      <c r="G277" s="4" t="s">
        <v>197</v>
      </c>
      <c r="H277" s="25" t="s">
        <v>197</v>
      </c>
      <c r="I277" s="4" t="s">
        <v>93</v>
      </c>
      <c r="J277" s="25" t="s">
        <v>93</v>
      </c>
      <c r="K277" s="4">
        <v>4</v>
      </c>
      <c r="L277" s="25">
        <v>4</v>
      </c>
      <c r="M277" s="4" t="s">
        <v>32</v>
      </c>
      <c r="N277" s="25" t="s">
        <v>32</v>
      </c>
      <c r="O277" s="4">
        <v>3.6</v>
      </c>
      <c r="P277" s="25">
        <v>3.6</v>
      </c>
      <c r="Q277" s="4" t="s">
        <v>181</v>
      </c>
      <c r="R277" s="25" t="s">
        <v>181</v>
      </c>
      <c r="S277" s="4">
        <v>0.81</v>
      </c>
      <c r="T277" s="26">
        <v>0.81</v>
      </c>
    </row>
    <row r="278" spans="1:20" x14ac:dyDescent="0.3">
      <c r="A278" s="27" t="s">
        <v>658</v>
      </c>
      <c r="B278" s="4" t="s">
        <v>659</v>
      </c>
      <c r="C278" s="4" t="s">
        <v>78</v>
      </c>
      <c r="D278" s="25" t="s">
        <v>118</v>
      </c>
      <c r="E278" s="4">
        <v>44</v>
      </c>
      <c r="F278" s="25">
        <v>44</v>
      </c>
      <c r="G278" s="4" t="s">
        <v>145</v>
      </c>
      <c r="H278" s="25" t="s">
        <v>145</v>
      </c>
      <c r="I278" s="4" t="s">
        <v>135</v>
      </c>
      <c r="J278" s="25" t="s">
        <v>135</v>
      </c>
      <c r="K278" s="4">
        <v>18</v>
      </c>
      <c r="L278" s="25">
        <v>18</v>
      </c>
      <c r="M278" s="4" t="s">
        <v>162</v>
      </c>
      <c r="N278" s="25" t="s">
        <v>162</v>
      </c>
      <c r="O278" s="4">
        <v>4.7</v>
      </c>
      <c r="P278" s="25">
        <v>4.7</v>
      </c>
      <c r="Q278" s="4" t="s">
        <v>33</v>
      </c>
      <c r="R278" s="25" t="s">
        <v>33</v>
      </c>
      <c r="S278" s="4">
        <v>0.88</v>
      </c>
      <c r="T278" s="26">
        <v>0.88</v>
      </c>
    </row>
    <row r="279" spans="1:20" x14ac:dyDescent="0.3">
      <c r="A279" s="27" t="s">
        <v>660</v>
      </c>
      <c r="B279" s="4" t="s">
        <v>661</v>
      </c>
      <c r="C279" s="4" t="s">
        <v>97</v>
      </c>
      <c r="D279" s="25" t="s">
        <v>97</v>
      </c>
      <c r="E279" s="4">
        <v>31</v>
      </c>
      <c r="F279" s="25">
        <v>31</v>
      </c>
      <c r="G279" s="4" t="s">
        <v>175</v>
      </c>
      <c r="H279" s="25" t="s">
        <v>175</v>
      </c>
      <c r="I279" s="4" t="s">
        <v>93</v>
      </c>
      <c r="J279" s="25" t="s">
        <v>93</v>
      </c>
      <c r="K279" s="4">
        <v>12</v>
      </c>
      <c r="L279" s="25">
        <v>12</v>
      </c>
      <c r="M279" s="4" t="s">
        <v>47</v>
      </c>
      <c r="N279" s="25" t="s">
        <v>47</v>
      </c>
      <c r="P279" s="25" t="s">
        <v>2120</v>
      </c>
      <c r="Q279" s="4" t="s">
        <v>33</v>
      </c>
      <c r="R279" s="25" t="s">
        <v>33</v>
      </c>
      <c r="S279" s="4">
        <v>1</v>
      </c>
      <c r="T279" s="26">
        <v>1</v>
      </c>
    </row>
    <row r="280" spans="1:20" x14ac:dyDescent="0.3">
      <c r="A280" s="27" t="s">
        <v>662</v>
      </c>
      <c r="B280" s="4" t="s">
        <v>663</v>
      </c>
      <c r="C280" s="4" t="s">
        <v>37</v>
      </c>
      <c r="D280" s="25" t="s">
        <v>118</v>
      </c>
      <c r="E280" s="4">
        <v>60</v>
      </c>
      <c r="F280" s="25">
        <v>60</v>
      </c>
      <c r="G280" s="4" t="s">
        <v>79</v>
      </c>
      <c r="H280" s="25" t="s">
        <v>79</v>
      </c>
      <c r="I280" s="4" t="s">
        <v>66</v>
      </c>
      <c r="J280" s="25" t="s">
        <v>66</v>
      </c>
      <c r="K280" s="4">
        <v>6</v>
      </c>
      <c r="L280" s="25">
        <v>6</v>
      </c>
      <c r="M280" s="4" t="s">
        <v>51</v>
      </c>
      <c r="N280" s="25" t="s">
        <v>2119</v>
      </c>
      <c r="O280" s="4">
        <v>3.2</v>
      </c>
      <c r="P280" s="25">
        <v>3.2</v>
      </c>
      <c r="Q280" s="4" t="s">
        <v>23</v>
      </c>
      <c r="R280" s="25" t="s">
        <v>23</v>
      </c>
      <c r="S280" s="4">
        <v>95</v>
      </c>
      <c r="T280" s="26">
        <v>95</v>
      </c>
    </row>
    <row r="281" spans="1:20" x14ac:dyDescent="0.3">
      <c r="A281" s="27" t="s">
        <v>664</v>
      </c>
      <c r="B281" s="4" t="s">
        <v>665</v>
      </c>
      <c r="C281" s="4" t="s">
        <v>50</v>
      </c>
      <c r="D281" s="25" t="s">
        <v>97</v>
      </c>
      <c r="E281" s="4">
        <v>23</v>
      </c>
      <c r="F281" s="25">
        <v>23</v>
      </c>
      <c r="G281" s="4" t="s">
        <v>85</v>
      </c>
      <c r="H281" s="25" t="s">
        <v>85</v>
      </c>
      <c r="I281" s="4" t="s">
        <v>21</v>
      </c>
      <c r="J281" s="25" t="s">
        <v>21</v>
      </c>
      <c r="K281" s="4">
        <v>4</v>
      </c>
      <c r="L281" s="25">
        <v>4</v>
      </c>
      <c r="M281" s="4" t="s">
        <v>336</v>
      </c>
      <c r="N281" s="25" t="s">
        <v>336</v>
      </c>
      <c r="P281" s="25" t="s">
        <v>2120</v>
      </c>
      <c r="Q281" s="4" t="s">
        <v>23</v>
      </c>
      <c r="R281" s="25" t="s">
        <v>23</v>
      </c>
      <c r="S281" s="4">
        <v>0.71</v>
      </c>
      <c r="T281" s="26">
        <v>0.71</v>
      </c>
    </row>
    <row r="282" spans="1:20" x14ac:dyDescent="0.3">
      <c r="A282" s="27" t="s">
        <v>666</v>
      </c>
      <c r="B282" s="4" t="s">
        <v>667</v>
      </c>
      <c r="C282" s="4" t="s">
        <v>113</v>
      </c>
      <c r="D282" s="25" t="s">
        <v>118</v>
      </c>
      <c r="E282" s="4">
        <v>42</v>
      </c>
      <c r="F282" s="25">
        <v>42</v>
      </c>
      <c r="G282" s="4" t="s">
        <v>64</v>
      </c>
      <c r="H282" s="25" t="s">
        <v>64</v>
      </c>
      <c r="I282" s="4" t="s">
        <v>93</v>
      </c>
      <c r="J282" s="25" t="s">
        <v>93</v>
      </c>
      <c r="K282" s="4">
        <v>13</v>
      </c>
      <c r="L282" s="25">
        <v>13</v>
      </c>
      <c r="M282" s="4" t="s">
        <v>142</v>
      </c>
      <c r="N282" s="25" t="s">
        <v>142</v>
      </c>
      <c r="O282" s="4">
        <v>4.7</v>
      </c>
      <c r="P282" s="25">
        <v>4.7</v>
      </c>
      <c r="Q282" s="4" t="s">
        <v>41</v>
      </c>
      <c r="R282" s="25" t="s">
        <v>41</v>
      </c>
      <c r="S282" s="4">
        <v>0.85</v>
      </c>
      <c r="T282" s="26">
        <v>0.85</v>
      </c>
    </row>
    <row r="283" spans="1:20" x14ac:dyDescent="0.3">
      <c r="A283" s="27" t="s">
        <v>668</v>
      </c>
      <c r="B283" s="4" t="s">
        <v>669</v>
      </c>
      <c r="C283" s="4" t="s">
        <v>18</v>
      </c>
      <c r="D283" s="25" t="s">
        <v>97</v>
      </c>
      <c r="E283" s="4">
        <v>48</v>
      </c>
      <c r="F283" s="25">
        <v>48</v>
      </c>
      <c r="G283" s="4" t="s">
        <v>114</v>
      </c>
      <c r="H283" s="25" t="s">
        <v>114</v>
      </c>
      <c r="I283" s="4" t="s">
        <v>31</v>
      </c>
      <c r="J283" s="25" t="s">
        <v>31</v>
      </c>
      <c r="K283" s="4">
        <v>6</v>
      </c>
      <c r="L283" s="25">
        <v>6</v>
      </c>
      <c r="M283" s="4" t="s">
        <v>52</v>
      </c>
      <c r="N283" s="25" t="s">
        <v>52</v>
      </c>
      <c r="P283" s="25" t="s">
        <v>2120</v>
      </c>
      <c r="Q283" s="4" t="s">
        <v>41</v>
      </c>
      <c r="R283" s="25" t="s">
        <v>41</v>
      </c>
      <c r="S283" s="4">
        <v>0.96</v>
      </c>
      <c r="T283" s="26">
        <v>0.96</v>
      </c>
    </row>
    <row r="284" spans="1:20" x14ac:dyDescent="0.3">
      <c r="A284" s="27" t="s">
        <v>670</v>
      </c>
      <c r="B284" s="4" t="s">
        <v>671</v>
      </c>
      <c r="C284" s="4" t="s">
        <v>63</v>
      </c>
      <c r="D284" s="25" t="s">
        <v>118</v>
      </c>
      <c r="E284" s="4">
        <v>42</v>
      </c>
      <c r="F284" s="25">
        <v>42</v>
      </c>
      <c r="G284" s="4" t="s">
        <v>55</v>
      </c>
      <c r="H284" s="25" t="s">
        <v>55</v>
      </c>
      <c r="I284" s="4" t="s">
        <v>39</v>
      </c>
      <c r="J284" s="25" t="s">
        <v>39</v>
      </c>
      <c r="K284" s="4">
        <v>10</v>
      </c>
      <c r="L284" s="25">
        <v>10</v>
      </c>
      <c r="M284" s="4" t="s">
        <v>336</v>
      </c>
      <c r="N284" s="25" t="s">
        <v>336</v>
      </c>
      <c r="O284" s="4">
        <v>2.4</v>
      </c>
      <c r="P284" s="25">
        <v>2.4</v>
      </c>
      <c r="Q284" s="4" t="s">
        <v>94</v>
      </c>
      <c r="R284" s="25" t="s">
        <v>94</v>
      </c>
      <c r="S284" s="4">
        <v>0.92</v>
      </c>
      <c r="T284" s="26">
        <v>0.92</v>
      </c>
    </row>
    <row r="285" spans="1:20" x14ac:dyDescent="0.3">
      <c r="A285" s="27" t="s">
        <v>672</v>
      </c>
      <c r="B285" s="4" t="s">
        <v>673</v>
      </c>
      <c r="C285" s="4" t="s">
        <v>113</v>
      </c>
      <c r="D285" s="25" t="s">
        <v>118</v>
      </c>
      <c r="E285" s="4">
        <v>52</v>
      </c>
      <c r="F285" s="25">
        <v>52</v>
      </c>
      <c r="G285" s="4" t="s">
        <v>133</v>
      </c>
      <c r="H285" s="25" t="s">
        <v>133</v>
      </c>
      <c r="I285" s="4" t="s">
        <v>98</v>
      </c>
      <c r="J285" s="25" t="s">
        <v>98</v>
      </c>
      <c r="K285" s="4">
        <v>20</v>
      </c>
      <c r="L285" s="25">
        <v>20</v>
      </c>
      <c r="M285" s="4" t="s">
        <v>40</v>
      </c>
      <c r="N285" s="25" t="s">
        <v>40</v>
      </c>
      <c r="P285" s="25" t="s">
        <v>2120</v>
      </c>
      <c r="Q285" s="4" t="s">
        <v>59</v>
      </c>
      <c r="R285" s="25" t="s">
        <v>59</v>
      </c>
      <c r="S285" s="4">
        <v>0.79</v>
      </c>
      <c r="T285" s="26">
        <v>0.79</v>
      </c>
    </row>
    <row r="286" spans="1:20" x14ac:dyDescent="0.3">
      <c r="A286" s="27" t="s">
        <v>674</v>
      </c>
      <c r="B286" s="4" t="s">
        <v>675</v>
      </c>
      <c r="C286" s="4" t="s">
        <v>50</v>
      </c>
      <c r="D286" s="25" t="s">
        <v>97</v>
      </c>
      <c r="E286" s="4">
        <v>55</v>
      </c>
      <c r="F286" s="25">
        <v>55</v>
      </c>
      <c r="G286" s="4" t="s">
        <v>106</v>
      </c>
      <c r="H286" s="25" t="s">
        <v>106</v>
      </c>
      <c r="I286" s="4" t="s">
        <v>46</v>
      </c>
      <c r="J286" s="25" t="s">
        <v>46</v>
      </c>
      <c r="K286" s="4">
        <v>20</v>
      </c>
      <c r="L286" s="25">
        <v>20</v>
      </c>
      <c r="M286" s="4" t="s">
        <v>103</v>
      </c>
      <c r="N286" s="25" t="s">
        <v>103</v>
      </c>
      <c r="O286" s="4">
        <v>2.9</v>
      </c>
      <c r="P286" s="25">
        <v>2.9</v>
      </c>
      <c r="Q286" s="4" t="s">
        <v>59</v>
      </c>
      <c r="R286" s="25" t="s">
        <v>59</v>
      </c>
      <c r="T286" s="26" t="s">
        <v>2120</v>
      </c>
    </row>
    <row r="287" spans="1:20" x14ac:dyDescent="0.3">
      <c r="A287" s="27" t="s">
        <v>676</v>
      </c>
      <c r="B287" s="4" t="s">
        <v>677</v>
      </c>
      <c r="C287" s="4" t="s">
        <v>18</v>
      </c>
      <c r="D287" s="25" t="s">
        <v>97</v>
      </c>
      <c r="E287" s="4">
        <v>58</v>
      </c>
      <c r="F287" s="25">
        <v>58</v>
      </c>
      <c r="G287" s="4" t="s">
        <v>175</v>
      </c>
      <c r="H287" s="25" t="s">
        <v>175</v>
      </c>
      <c r="I287" s="4" t="s">
        <v>98</v>
      </c>
      <c r="J287" s="25" t="s">
        <v>98</v>
      </c>
      <c r="K287" s="4">
        <v>11</v>
      </c>
      <c r="L287" s="25">
        <v>11</v>
      </c>
      <c r="M287" s="4" t="s">
        <v>40</v>
      </c>
      <c r="N287" s="25" t="s">
        <v>40</v>
      </c>
      <c r="O287" s="4">
        <v>0</v>
      </c>
      <c r="P287" s="25">
        <v>0</v>
      </c>
      <c r="Q287" s="4" t="s">
        <v>23</v>
      </c>
      <c r="R287" s="25" t="s">
        <v>23</v>
      </c>
      <c r="T287" s="26" t="s">
        <v>2120</v>
      </c>
    </row>
    <row r="288" spans="1:20" x14ac:dyDescent="0.3">
      <c r="A288" s="27" t="s">
        <v>678</v>
      </c>
      <c r="B288" s="4" t="s">
        <v>679</v>
      </c>
      <c r="C288" s="4" t="s">
        <v>28</v>
      </c>
      <c r="D288" s="25" t="s">
        <v>97</v>
      </c>
      <c r="E288" s="4">
        <v>46</v>
      </c>
      <c r="F288" s="25">
        <v>46</v>
      </c>
      <c r="G288" s="4" t="s">
        <v>133</v>
      </c>
      <c r="H288" s="25" t="s">
        <v>133</v>
      </c>
      <c r="I288" s="4" t="s">
        <v>135</v>
      </c>
      <c r="J288" s="25" t="s">
        <v>135</v>
      </c>
      <c r="K288" s="4">
        <v>12</v>
      </c>
      <c r="L288" s="25">
        <v>12</v>
      </c>
      <c r="M288" s="4" t="s">
        <v>162</v>
      </c>
      <c r="N288" s="25" t="s">
        <v>162</v>
      </c>
      <c r="O288" s="4">
        <v>0</v>
      </c>
      <c r="P288" s="25">
        <v>0</v>
      </c>
      <c r="Q288" s="4" t="s">
        <v>59</v>
      </c>
      <c r="R288" s="25" t="s">
        <v>59</v>
      </c>
      <c r="S288" s="4">
        <v>0.89</v>
      </c>
      <c r="T288" s="26">
        <v>0.89</v>
      </c>
    </row>
    <row r="289" spans="1:20" x14ac:dyDescent="0.3">
      <c r="A289" s="27" t="s">
        <v>680</v>
      </c>
      <c r="B289" s="4" t="s">
        <v>681</v>
      </c>
      <c r="C289" s="4" t="s">
        <v>28</v>
      </c>
      <c r="D289" s="25" t="s">
        <v>97</v>
      </c>
      <c r="E289" s="4">
        <v>45</v>
      </c>
      <c r="F289" s="25">
        <v>45</v>
      </c>
      <c r="G289" s="4" t="s">
        <v>212</v>
      </c>
      <c r="H289" s="25" t="s">
        <v>212</v>
      </c>
      <c r="I289" s="4" t="s">
        <v>135</v>
      </c>
      <c r="J289" s="25" t="s">
        <v>135</v>
      </c>
      <c r="K289" s="4">
        <v>1</v>
      </c>
      <c r="L289" s="25">
        <v>1</v>
      </c>
      <c r="M289" s="4" t="s">
        <v>22</v>
      </c>
      <c r="N289" s="25" t="s">
        <v>22</v>
      </c>
      <c r="O289" s="4">
        <v>1.5</v>
      </c>
      <c r="P289" s="25">
        <v>1.5</v>
      </c>
      <c r="Q289" s="4" t="s">
        <v>33</v>
      </c>
      <c r="R289" s="25" t="s">
        <v>33</v>
      </c>
      <c r="S289" s="4">
        <v>1</v>
      </c>
      <c r="T289" s="26">
        <v>1</v>
      </c>
    </row>
    <row r="290" spans="1:20" x14ac:dyDescent="0.3">
      <c r="A290" s="27" t="s">
        <v>682</v>
      </c>
      <c r="B290" s="4" t="s">
        <v>683</v>
      </c>
      <c r="C290" s="4" t="s">
        <v>28</v>
      </c>
      <c r="D290" s="25" t="s">
        <v>97</v>
      </c>
      <c r="E290" s="4">
        <v>56</v>
      </c>
      <c r="F290" s="25">
        <v>56</v>
      </c>
      <c r="G290" s="4" t="s">
        <v>114</v>
      </c>
      <c r="H290" s="25" t="s">
        <v>114</v>
      </c>
      <c r="I290" s="4" t="s">
        <v>135</v>
      </c>
      <c r="J290" s="25" t="s">
        <v>135</v>
      </c>
      <c r="K290" s="4">
        <v>2</v>
      </c>
      <c r="L290" s="25">
        <v>2</v>
      </c>
      <c r="M290" s="4" t="s">
        <v>52</v>
      </c>
      <c r="N290" s="25" t="s">
        <v>52</v>
      </c>
      <c r="O290" s="4">
        <v>1.9</v>
      </c>
      <c r="P290" s="25">
        <v>1.9</v>
      </c>
      <c r="Q290" s="4" t="s">
        <v>33</v>
      </c>
      <c r="R290" s="25" t="s">
        <v>33</v>
      </c>
      <c r="S290" s="4">
        <v>0.81</v>
      </c>
      <c r="T290" s="26">
        <v>0.81</v>
      </c>
    </row>
    <row r="291" spans="1:20" x14ac:dyDescent="0.3">
      <c r="A291" s="27" t="s">
        <v>684</v>
      </c>
      <c r="B291" s="4" t="s">
        <v>685</v>
      </c>
      <c r="C291" s="4" t="s">
        <v>37</v>
      </c>
      <c r="D291" s="25" t="s">
        <v>118</v>
      </c>
      <c r="E291" s="4">
        <v>44</v>
      </c>
      <c r="F291" s="25">
        <v>44</v>
      </c>
      <c r="G291" s="4" t="s">
        <v>85</v>
      </c>
      <c r="H291" s="25" t="s">
        <v>85</v>
      </c>
      <c r="I291" s="4" t="s">
        <v>21</v>
      </c>
      <c r="J291" s="25" t="s">
        <v>21</v>
      </c>
      <c r="K291" s="4">
        <v>13</v>
      </c>
      <c r="L291" s="25">
        <v>13</v>
      </c>
      <c r="M291" s="4" t="s">
        <v>22</v>
      </c>
      <c r="N291" s="25" t="s">
        <v>22</v>
      </c>
      <c r="O291" s="4">
        <v>3.1</v>
      </c>
      <c r="P291" s="25">
        <v>3.1</v>
      </c>
      <c r="Q291" s="4" t="s">
        <v>94</v>
      </c>
      <c r="R291" s="25" t="s">
        <v>94</v>
      </c>
      <c r="S291" s="4">
        <v>95</v>
      </c>
      <c r="T291" s="26">
        <v>95</v>
      </c>
    </row>
    <row r="292" spans="1:20" x14ac:dyDescent="0.3">
      <c r="A292" s="27" t="s">
        <v>686</v>
      </c>
      <c r="B292" s="4" t="s">
        <v>687</v>
      </c>
      <c r="C292" s="4" t="s">
        <v>118</v>
      </c>
      <c r="D292" s="25" t="s">
        <v>118</v>
      </c>
      <c r="E292" s="4">
        <v>46</v>
      </c>
      <c r="F292" s="25">
        <v>46</v>
      </c>
      <c r="G292" s="4" t="s">
        <v>64</v>
      </c>
      <c r="H292" s="25" t="s">
        <v>64</v>
      </c>
      <c r="I292" s="4" t="s">
        <v>93</v>
      </c>
      <c r="J292" s="25" t="s">
        <v>93</v>
      </c>
      <c r="K292" s="4">
        <v>0</v>
      </c>
      <c r="L292" s="25">
        <v>0</v>
      </c>
      <c r="M292" s="4" t="s">
        <v>51</v>
      </c>
      <c r="N292" s="25" t="s">
        <v>2119</v>
      </c>
      <c r="O292" s="4">
        <v>1.8</v>
      </c>
      <c r="P292" s="25">
        <v>1.8</v>
      </c>
      <c r="Q292" s="4" t="s">
        <v>41</v>
      </c>
      <c r="R292" s="25" t="s">
        <v>41</v>
      </c>
      <c r="S292" s="4">
        <v>0.88</v>
      </c>
      <c r="T292" s="26">
        <v>0.88</v>
      </c>
    </row>
    <row r="293" spans="1:20" x14ac:dyDescent="0.3">
      <c r="A293" s="27" t="s">
        <v>688</v>
      </c>
      <c r="B293" s="4" t="s">
        <v>689</v>
      </c>
      <c r="C293" s="4" t="s">
        <v>97</v>
      </c>
      <c r="D293" s="25" t="s">
        <v>97</v>
      </c>
      <c r="E293" s="4">
        <v>27</v>
      </c>
      <c r="F293" s="25">
        <v>27</v>
      </c>
      <c r="G293" s="4" t="s">
        <v>106</v>
      </c>
      <c r="H293" s="25" t="s">
        <v>106</v>
      </c>
      <c r="I293" s="4" t="s">
        <v>46</v>
      </c>
      <c r="J293" s="25" t="s">
        <v>46</v>
      </c>
      <c r="K293" s="4">
        <v>7</v>
      </c>
      <c r="L293" s="25">
        <v>7</v>
      </c>
      <c r="M293" s="4" t="s">
        <v>52</v>
      </c>
      <c r="N293" s="25" t="s">
        <v>52</v>
      </c>
      <c r="O293" s="4">
        <v>2.4</v>
      </c>
      <c r="P293" s="25">
        <v>2.4</v>
      </c>
      <c r="Q293" s="4" t="s">
        <v>87</v>
      </c>
      <c r="R293" s="25" t="s">
        <v>87</v>
      </c>
      <c r="S293" s="4">
        <v>0.66</v>
      </c>
      <c r="T293" s="26">
        <v>0.66</v>
      </c>
    </row>
    <row r="294" spans="1:20" x14ac:dyDescent="0.3">
      <c r="A294" s="27" t="s">
        <v>690</v>
      </c>
      <c r="B294" s="4" t="s">
        <v>691</v>
      </c>
      <c r="C294" s="4" t="s">
        <v>28</v>
      </c>
      <c r="D294" s="25" t="s">
        <v>97</v>
      </c>
      <c r="E294" s="4">
        <v>49</v>
      </c>
      <c r="F294" s="25">
        <v>49</v>
      </c>
      <c r="G294" s="4" t="s">
        <v>114</v>
      </c>
      <c r="H294" s="25" t="s">
        <v>114</v>
      </c>
      <c r="I294" s="4" t="s">
        <v>21</v>
      </c>
      <c r="J294" s="25" t="s">
        <v>21</v>
      </c>
      <c r="K294" s="4">
        <v>13</v>
      </c>
      <c r="L294" s="25">
        <v>13</v>
      </c>
      <c r="M294" s="4" t="s">
        <v>22</v>
      </c>
      <c r="N294" s="25" t="s">
        <v>22</v>
      </c>
      <c r="O294" s="4">
        <v>4.2</v>
      </c>
      <c r="P294" s="25">
        <v>4.2</v>
      </c>
      <c r="Q294" s="4" t="s">
        <v>33</v>
      </c>
      <c r="R294" s="25" t="s">
        <v>33</v>
      </c>
      <c r="S294" s="4">
        <v>0.84</v>
      </c>
      <c r="T294" s="26">
        <v>0.84</v>
      </c>
    </row>
    <row r="295" spans="1:20" x14ac:dyDescent="0.3">
      <c r="A295" s="27" t="s">
        <v>692</v>
      </c>
      <c r="B295" s="4" t="s">
        <v>693</v>
      </c>
      <c r="C295" s="4" t="s">
        <v>118</v>
      </c>
      <c r="D295" s="25" t="s">
        <v>118</v>
      </c>
      <c r="E295" s="4">
        <v>53</v>
      </c>
      <c r="F295" s="25">
        <v>53</v>
      </c>
      <c r="G295" s="4" t="s">
        <v>201</v>
      </c>
      <c r="H295" s="25" t="s">
        <v>201</v>
      </c>
      <c r="I295" s="4" t="s">
        <v>46</v>
      </c>
      <c r="J295" s="25" t="s">
        <v>46</v>
      </c>
      <c r="K295" s="4">
        <v>21</v>
      </c>
      <c r="L295" s="25">
        <v>21</v>
      </c>
      <c r="M295" s="4" t="s">
        <v>81</v>
      </c>
      <c r="N295" s="25" t="s">
        <v>81</v>
      </c>
      <c r="O295" s="4">
        <v>1.4</v>
      </c>
      <c r="P295" s="25">
        <v>1.4</v>
      </c>
      <c r="Q295" s="4" t="s">
        <v>41</v>
      </c>
      <c r="R295" s="25" t="s">
        <v>41</v>
      </c>
      <c r="T295" s="26" t="s">
        <v>2120</v>
      </c>
    </row>
    <row r="296" spans="1:20" x14ac:dyDescent="0.3">
      <c r="A296" s="27" t="s">
        <v>694</v>
      </c>
      <c r="B296" s="4" t="s">
        <v>695</v>
      </c>
      <c r="C296" s="4" t="s">
        <v>118</v>
      </c>
      <c r="D296" s="25" t="s">
        <v>118</v>
      </c>
      <c r="E296" s="4">
        <v>56</v>
      </c>
      <c r="F296" s="25">
        <v>56</v>
      </c>
      <c r="G296" s="4" t="s">
        <v>29</v>
      </c>
      <c r="H296" s="25" t="s">
        <v>29</v>
      </c>
      <c r="I296" s="4" t="s">
        <v>46</v>
      </c>
      <c r="J296" s="25" t="s">
        <v>46</v>
      </c>
      <c r="K296" s="4">
        <v>19</v>
      </c>
      <c r="L296" s="25">
        <v>19</v>
      </c>
      <c r="M296" s="4" t="s">
        <v>86</v>
      </c>
      <c r="N296" s="25" t="s">
        <v>86</v>
      </c>
      <c r="O296" s="4">
        <v>1.2</v>
      </c>
      <c r="P296" s="25">
        <v>1.2</v>
      </c>
      <c r="Q296" s="4" t="s">
        <v>94</v>
      </c>
      <c r="R296" s="25" t="s">
        <v>94</v>
      </c>
      <c r="S296" s="4">
        <v>0.82</v>
      </c>
      <c r="T296" s="26">
        <v>0.82</v>
      </c>
    </row>
    <row r="297" spans="1:20" x14ac:dyDescent="0.3">
      <c r="A297" s="27" t="s">
        <v>696</v>
      </c>
      <c r="B297" s="4" t="s">
        <v>697</v>
      </c>
      <c r="C297" s="4" t="s">
        <v>28</v>
      </c>
      <c r="D297" s="25" t="s">
        <v>97</v>
      </c>
      <c r="E297" s="4">
        <v>56</v>
      </c>
      <c r="F297" s="25">
        <v>56</v>
      </c>
      <c r="G297" s="4" t="s">
        <v>85</v>
      </c>
      <c r="H297" s="25" t="s">
        <v>85</v>
      </c>
      <c r="I297" s="4" t="s">
        <v>110</v>
      </c>
      <c r="J297" s="25" t="s">
        <v>110</v>
      </c>
      <c r="K297" s="4">
        <v>34</v>
      </c>
      <c r="L297" s="25">
        <v>34</v>
      </c>
      <c r="M297" s="4" t="s">
        <v>51</v>
      </c>
      <c r="N297" s="25" t="s">
        <v>2119</v>
      </c>
      <c r="O297" s="4">
        <v>2.1</v>
      </c>
      <c r="P297" s="25">
        <v>2.1</v>
      </c>
      <c r="Q297" s="4" t="s">
        <v>87</v>
      </c>
      <c r="R297" s="25" t="s">
        <v>87</v>
      </c>
      <c r="S297" s="4">
        <v>0.84</v>
      </c>
      <c r="T297" s="26">
        <v>0.84</v>
      </c>
    </row>
    <row r="298" spans="1:20" x14ac:dyDescent="0.3">
      <c r="A298" s="27" t="s">
        <v>698</v>
      </c>
      <c r="B298" s="4" t="s">
        <v>699</v>
      </c>
      <c r="C298" s="4" t="s">
        <v>78</v>
      </c>
      <c r="D298" s="25" t="s">
        <v>118</v>
      </c>
      <c r="E298" s="4">
        <v>38</v>
      </c>
      <c r="F298" s="25">
        <v>38</v>
      </c>
      <c r="G298" s="4" t="s">
        <v>175</v>
      </c>
      <c r="H298" s="25" t="s">
        <v>175</v>
      </c>
      <c r="I298" s="4" t="s">
        <v>66</v>
      </c>
      <c r="J298" s="25" t="s">
        <v>66</v>
      </c>
      <c r="K298" s="4">
        <v>3</v>
      </c>
      <c r="L298" s="25">
        <v>3</v>
      </c>
      <c r="M298" s="4" t="s">
        <v>22</v>
      </c>
      <c r="N298" s="25" t="s">
        <v>22</v>
      </c>
      <c r="O298" s="4">
        <v>1.4</v>
      </c>
      <c r="P298" s="25">
        <v>1.4</v>
      </c>
      <c r="Q298" s="4" t="s">
        <v>59</v>
      </c>
      <c r="R298" s="25" t="s">
        <v>59</v>
      </c>
      <c r="S298" s="4">
        <v>0.73</v>
      </c>
      <c r="T298" s="26">
        <v>0.73</v>
      </c>
    </row>
    <row r="299" spans="1:20" x14ac:dyDescent="0.3">
      <c r="A299" s="27" t="s">
        <v>700</v>
      </c>
      <c r="B299" s="4" t="s">
        <v>701</v>
      </c>
      <c r="C299" s="4" t="s">
        <v>113</v>
      </c>
      <c r="D299" s="25" t="s">
        <v>118</v>
      </c>
      <c r="E299" s="4">
        <v>20</v>
      </c>
      <c r="F299" s="25">
        <v>20</v>
      </c>
      <c r="G299" s="4" t="s">
        <v>133</v>
      </c>
      <c r="H299" s="25" t="s">
        <v>133</v>
      </c>
      <c r="I299" s="4" t="s">
        <v>31</v>
      </c>
      <c r="J299" s="25" t="s">
        <v>31</v>
      </c>
      <c r="K299" s="4">
        <v>0</v>
      </c>
      <c r="L299" s="25">
        <v>0</v>
      </c>
      <c r="M299" s="4" t="s">
        <v>52</v>
      </c>
      <c r="N299" s="25" t="s">
        <v>52</v>
      </c>
      <c r="O299" s="4">
        <v>3.8</v>
      </c>
      <c r="P299" s="25">
        <v>3.8</v>
      </c>
      <c r="Q299" s="4" t="s">
        <v>51</v>
      </c>
      <c r="R299" s="25" t="s">
        <v>2120</v>
      </c>
      <c r="S299" s="4">
        <v>0.93</v>
      </c>
      <c r="T299" s="26">
        <v>0.93</v>
      </c>
    </row>
    <row r="300" spans="1:20" x14ac:dyDescent="0.3">
      <c r="A300" s="27" t="s">
        <v>702</v>
      </c>
      <c r="B300" s="4" t="s">
        <v>703</v>
      </c>
      <c r="C300" s="4" t="s">
        <v>50</v>
      </c>
      <c r="D300" s="25" t="s">
        <v>97</v>
      </c>
      <c r="E300" s="4">
        <v>38</v>
      </c>
      <c r="F300" s="25">
        <v>38</v>
      </c>
      <c r="G300" s="4" t="s">
        <v>149</v>
      </c>
      <c r="H300" s="25" t="s">
        <v>149</v>
      </c>
      <c r="I300" s="4" t="s">
        <v>135</v>
      </c>
      <c r="J300" s="25" t="s">
        <v>135</v>
      </c>
      <c r="K300" s="4">
        <v>20</v>
      </c>
      <c r="L300" s="25">
        <v>20</v>
      </c>
      <c r="M300" s="4" t="s">
        <v>40</v>
      </c>
      <c r="N300" s="25" t="s">
        <v>40</v>
      </c>
      <c r="O300" s="4">
        <v>0</v>
      </c>
      <c r="P300" s="25">
        <v>0</v>
      </c>
      <c r="Q300" s="4" t="s">
        <v>51</v>
      </c>
      <c r="R300" s="25" t="s">
        <v>2120</v>
      </c>
      <c r="S300" s="4">
        <v>0.64</v>
      </c>
      <c r="T300" s="26">
        <v>0.64</v>
      </c>
    </row>
    <row r="301" spans="1:20" x14ac:dyDescent="0.3">
      <c r="A301" s="27" t="s">
        <v>704</v>
      </c>
      <c r="B301" s="4" t="s">
        <v>705</v>
      </c>
      <c r="C301" s="4" t="s">
        <v>18</v>
      </c>
      <c r="D301" s="25" t="s">
        <v>97</v>
      </c>
      <c r="F301" s="25" t="s">
        <v>2119</v>
      </c>
      <c r="G301" s="4" t="s">
        <v>55</v>
      </c>
      <c r="H301" s="25" t="s">
        <v>55</v>
      </c>
      <c r="I301" s="4" t="s">
        <v>31</v>
      </c>
      <c r="J301" s="25" t="s">
        <v>31</v>
      </c>
      <c r="K301" s="4">
        <v>6</v>
      </c>
      <c r="L301" s="25">
        <v>6</v>
      </c>
      <c r="M301" s="4" t="s">
        <v>86</v>
      </c>
      <c r="N301" s="25" t="s">
        <v>86</v>
      </c>
      <c r="O301" s="4">
        <v>3.5</v>
      </c>
      <c r="P301" s="25">
        <v>3.5</v>
      </c>
      <c r="Q301" s="4" t="s">
        <v>23</v>
      </c>
      <c r="R301" s="25" t="s">
        <v>23</v>
      </c>
      <c r="S301" s="4">
        <v>0.76</v>
      </c>
      <c r="T301" s="26">
        <v>0.76</v>
      </c>
    </row>
    <row r="302" spans="1:20" x14ac:dyDescent="0.3">
      <c r="A302" s="27" t="s">
        <v>706</v>
      </c>
      <c r="B302" s="4" t="s">
        <v>707</v>
      </c>
      <c r="C302" s="4" t="s">
        <v>78</v>
      </c>
      <c r="D302" s="25" t="s">
        <v>118</v>
      </c>
      <c r="E302" s="4">
        <v>46</v>
      </c>
      <c r="F302" s="25">
        <v>46</v>
      </c>
      <c r="G302" s="4" t="s">
        <v>114</v>
      </c>
      <c r="H302" s="25" t="s">
        <v>114</v>
      </c>
      <c r="I302" s="4" t="s">
        <v>135</v>
      </c>
      <c r="J302" s="25" t="s">
        <v>135</v>
      </c>
      <c r="K302" s="4">
        <v>13</v>
      </c>
      <c r="L302" s="25">
        <v>13</v>
      </c>
      <c r="M302" s="4" t="s">
        <v>251</v>
      </c>
      <c r="N302" s="25" t="s">
        <v>251</v>
      </c>
      <c r="O302" s="4">
        <v>0</v>
      </c>
      <c r="P302" s="25">
        <v>0</v>
      </c>
      <c r="Q302" s="4" t="s">
        <v>94</v>
      </c>
      <c r="R302" s="25" t="s">
        <v>94</v>
      </c>
      <c r="S302" s="4">
        <v>0.97</v>
      </c>
      <c r="T302" s="26">
        <v>0.97</v>
      </c>
    </row>
    <row r="303" spans="1:20" x14ac:dyDescent="0.3">
      <c r="A303" s="27" t="s">
        <v>708</v>
      </c>
      <c r="B303" s="4" t="s">
        <v>709</v>
      </c>
      <c r="C303" s="4" t="s">
        <v>118</v>
      </c>
      <c r="D303" s="25" t="s">
        <v>118</v>
      </c>
      <c r="E303" s="4">
        <v>36</v>
      </c>
      <c r="F303" s="25">
        <v>36</v>
      </c>
      <c r="G303" s="4" t="s">
        <v>175</v>
      </c>
      <c r="H303" s="25" t="s">
        <v>175</v>
      </c>
      <c r="I303" s="4" t="s">
        <v>66</v>
      </c>
      <c r="J303" s="25" t="s">
        <v>66</v>
      </c>
      <c r="K303" s="4">
        <v>9</v>
      </c>
      <c r="L303" s="25">
        <v>9</v>
      </c>
      <c r="M303" s="4" t="s">
        <v>103</v>
      </c>
      <c r="N303" s="25" t="s">
        <v>103</v>
      </c>
      <c r="O303" s="4">
        <v>2.2000000000000002</v>
      </c>
      <c r="P303" s="25">
        <v>2.2000000000000002</v>
      </c>
      <c r="Q303" s="4" t="s">
        <v>23</v>
      </c>
      <c r="R303" s="25" t="s">
        <v>23</v>
      </c>
      <c r="S303" s="4">
        <v>0.95</v>
      </c>
      <c r="T303" s="26">
        <v>0.95</v>
      </c>
    </row>
    <row r="304" spans="1:20" x14ac:dyDescent="0.3">
      <c r="A304" s="27" t="s">
        <v>710</v>
      </c>
      <c r="B304" s="4" t="s">
        <v>711</v>
      </c>
      <c r="C304" s="4" t="s">
        <v>118</v>
      </c>
      <c r="D304" s="25" t="s">
        <v>118</v>
      </c>
      <c r="E304" s="4">
        <v>33</v>
      </c>
      <c r="F304" s="25">
        <v>33</v>
      </c>
      <c r="G304" s="4" t="s">
        <v>145</v>
      </c>
      <c r="H304" s="25" t="s">
        <v>145</v>
      </c>
      <c r="I304" s="4" t="s">
        <v>46</v>
      </c>
      <c r="J304" s="25" t="s">
        <v>46</v>
      </c>
      <c r="K304" s="4">
        <v>2</v>
      </c>
      <c r="L304" s="25">
        <v>2</v>
      </c>
      <c r="M304" s="4" t="s">
        <v>103</v>
      </c>
      <c r="N304" s="25" t="s">
        <v>103</v>
      </c>
      <c r="O304" s="4">
        <v>2.5</v>
      </c>
      <c r="P304" s="25">
        <v>2.5</v>
      </c>
      <c r="Q304" s="4" t="s">
        <v>59</v>
      </c>
      <c r="R304" s="25" t="s">
        <v>59</v>
      </c>
      <c r="S304" s="4">
        <v>0.65</v>
      </c>
      <c r="T304" s="26">
        <v>0.65</v>
      </c>
    </row>
    <row r="305" spans="1:20" x14ac:dyDescent="0.3">
      <c r="A305" s="27" t="s">
        <v>712</v>
      </c>
      <c r="B305" s="4" t="s">
        <v>713</v>
      </c>
      <c r="C305" s="4" t="s">
        <v>45</v>
      </c>
      <c r="D305" s="25" t="s">
        <v>97</v>
      </c>
      <c r="E305" s="4">
        <v>37</v>
      </c>
      <c r="F305" s="25">
        <v>37</v>
      </c>
      <c r="G305" s="4" t="s">
        <v>149</v>
      </c>
      <c r="H305" s="25" t="s">
        <v>149</v>
      </c>
      <c r="I305" s="4" t="s">
        <v>39</v>
      </c>
      <c r="J305" s="25" t="s">
        <v>39</v>
      </c>
      <c r="K305" s="4">
        <v>0</v>
      </c>
      <c r="L305" s="25">
        <v>0</v>
      </c>
      <c r="M305" s="4" t="s">
        <v>119</v>
      </c>
      <c r="N305" s="25" t="s">
        <v>119</v>
      </c>
      <c r="O305" s="4">
        <v>4.7</v>
      </c>
      <c r="P305" s="25">
        <v>4.7</v>
      </c>
      <c r="Q305" s="4" t="s">
        <v>23</v>
      </c>
      <c r="R305" s="25" t="s">
        <v>23</v>
      </c>
      <c r="S305" s="4">
        <v>0.77</v>
      </c>
      <c r="T305" s="26">
        <v>0.77</v>
      </c>
    </row>
    <row r="306" spans="1:20" x14ac:dyDescent="0.3">
      <c r="A306" s="27" t="s">
        <v>714</v>
      </c>
      <c r="B306" s="4" t="s">
        <v>715</v>
      </c>
      <c r="C306" s="4" t="s">
        <v>118</v>
      </c>
      <c r="D306" s="25" t="s">
        <v>118</v>
      </c>
      <c r="E306" s="4">
        <v>20</v>
      </c>
      <c r="F306" s="25">
        <v>20</v>
      </c>
      <c r="G306" s="4" t="s">
        <v>160</v>
      </c>
      <c r="H306" s="25" t="s">
        <v>160</v>
      </c>
      <c r="I306" s="4" t="s">
        <v>66</v>
      </c>
      <c r="J306" s="25" t="s">
        <v>66</v>
      </c>
      <c r="K306" s="4">
        <v>0</v>
      </c>
      <c r="L306" s="25">
        <v>0</v>
      </c>
      <c r="M306" s="4" t="s">
        <v>162</v>
      </c>
      <c r="N306" s="25" t="s">
        <v>162</v>
      </c>
      <c r="O306" s="4">
        <v>3.9</v>
      </c>
      <c r="P306" s="25">
        <v>3.9</v>
      </c>
      <c r="Q306" s="4" t="s">
        <v>59</v>
      </c>
      <c r="R306" s="25" t="s">
        <v>59</v>
      </c>
      <c r="T306" s="26" t="s">
        <v>2120</v>
      </c>
    </row>
    <row r="307" spans="1:20" x14ac:dyDescent="0.3">
      <c r="A307" s="27" t="s">
        <v>716</v>
      </c>
      <c r="B307" s="4" t="s">
        <v>717</v>
      </c>
      <c r="C307" s="4" t="s">
        <v>28</v>
      </c>
      <c r="D307" s="25" t="s">
        <v>97</v>
      </c>
      <c r="E307" s="4">
        <v>48</v>
      </c>
      <c r="F307" s="25">
        <v>48</v>
      </c>
      <c r="G307" s="4" t="s">
        <v>197</v>
      </c>
      <c r="H307" s="25" t="s">
        <v>197</v>
      </c>
      <c r="I307" s="4" t="s">
        <v>66</v>
      </c>
      <c r="J307" s="25" t="s">
        <v>66</v>
      </c>
      <c r="K307" s="4">
        <v>2</v>
      </c>
      <c r="L307" s="25">
        <v>2</v>
      </c>
      <c r="M307" s="4" t="s">
        <v>103</v>
      </c>
      <c r="N307" s="25" t="s">
        <v>103</v>
      </c>
      <c r="O307" s="4">
        <v>1.6</v>
      </c>
      <c r="P307" s="25">
        <v>1.6</v>
      </c>
      <c r="Q307" s="4" t="s">
        <v>41</v>
      </c>
      <c r="R307" s="25" t="s">
        <v>41</v>
      </c>
      <c r="S307" s="4">
        <v>0.67</v>
      </c>
      <c r="T307" s="26">
        <v>0.67</v>
      </c>
    </row>
    <row r="308" spans="1:20" x14ac:dyDescent="0.3">
      <c r="A308" s="27" t="s">
        <v>718</v>
      </c>
      <c r="B308" s="4" t="s">
        <v>719</v>
      </c>
      <c r="C308" s="4" t="s">
        <v>37</v>
      </c>
      <c r="D308" s="25" t="s">
        <v>118</v>
      </c>
      <c r="E308" s="4">
        <v>27</v>
      </c>
      <c r="F308" s="25">
        <v>27</v>
      </c>
      <c r="G308" s="4" t="s">
        <v>156</v>
      </c>
      <c r="H308" s="25" t="s">
        <v>156</v>
      </c>
      <c r="I308" s="4" t="s">
        <v>98</v>
      </c>
      <c r="J308" s="25" t="s">
        <v>98</v>
      </c>
      <c r="K308" s="4">
        <v>2</v>
      </c>
      <c r="L308" s="25">
        <v>2</v>
      </c>
      <c r="M308" s="4" t="s">
        <v>81</v>
      </c>
      <c r="N308" s="25" t="s">
        <v>81</v>
      </c>
      <c r="P308" s="25" t="s">
        <v>2120</v>
      </c>
      <c r="Q308" s="4" t="s">
        <v>23</v>
      </c>
      <c r="R308" s="25" t="s">
        <v>23</v>
      </c>
      <c r="S308" s="4">
        <v>0.84</v>
      </c>
      <c r="T308" s="26">
        <v>0.84</v>
      </c>
    </row>
    <row r="309" spans="1:20" x14ac:dyDescent="0.3">
      <c r="A309" s="27" t="s">
        <v>720</v>
      </c>
      <c r="B309" s="4" t="s">
        <v>721</v>
      </c>
      <c r="C309" s="4" t="s">
        <v>113</v>
      </c>
      <c r="D309" s="25" t="s">
        <v>118</v>
      </c>
      <c r="E309" s="4">
        <v>34</v>
      </c>
      <c r="F309" s="25">
        <v>34</v>
      </c>
      <c r="G309" s="4" t="s">
        <v>133</v>
      </c>
      <c r="H309" s="25" t="s">
        <v>133</v>
      </c>
      <c r="I309" s="4" t="s">
        <v>31</v>
      </c>
      <c r="J309" s="25" t="s">
        <v>31</v>
      </c>
      <c r="K309" s="4">
        <v>1</v>
      </c>
      <c r="L309" s="25">
        <v>1</v>
      </c>
      <c r="M309" s="4" t="s">
        <v>52</v>
      </c>
      <c r="N309" s="25" t="s">
        <v>52</v>
      </c>
      <c r="O309" s="4">
        <v>3.6</v>
      </c>
      <c r="P309" s="25">
        <v>3.6</v>
      </c>
      <c r="Q309" s="4" t="s">
        <v>33</v>
      </c>
      <c r="R309" s="25" t="s">
        <v>33</v>
      </c>
      <c r="S309" s="4">
        <v>0.87</v>
      </c>
      <c r="T309" s="26">
        <v>0.87</v>
      </c>
    </row>
    <row r="310" spans="1:20" x14ac:dyDescent="0.3">
      <c r="A310" s="27" t="s">
        <v>722</v>
      </c>
      <c r="B310" s="4" t="s">
        <v>723</v>
      </c>
      <c r="C310" s="4" t="s">
        <v>118</v>
      </c>
      <c r="D310" s="25" t="s">
        <v>118</v>
      </c>
      <c r="E310" s="4">
        <v>55</v>
      </c>
      <c r="F310" s="25">
        <v>55</v>
      </c>
      <c r="G310" s="4" t="s">
        <v>128</v>
      </c>
      <c r="H310" s="25" t="s">
        <v>128</v>
      </c>
      <c r="I310" s="4" t="s">
        <v>135</v>
      </c>
      <c r="J310" s="25" t="s">
        <v>135</v>
      </c>
      <c r="K310" s="4">
        <v>14</v>
      </c>
      <c r="L310" s="25">
        <v>14</v>
      </c>
      <c r="M310" s="4" t="s">
        <v>130</v>
      </c>
      <c r="N310" s="25" t="s">
        <v>130</v>
      </c>
      <c r="O310" s="4">
        <v>1.2</v>
      </c>
      <c r="P310" s="25">
        <v>1.2</v>
      </c>
      <c r="Q310" s="4" t="s">
        <v>87</v>
      </c>
      <c r="R310" s="25" t="s">
        <v>87</v>
      </c>
      <c r="S310" s="4">
        <v>0.91</v>
      </c>
      <c r="T310" s="26">
        <v>0.91</v>
      </c>
    </row>
    <row r="311" spans="1:20" x14ac:dyDescent="0.3">
      <c r="A311" s="27" t="s">
        <v>724</v>
      </c>
      <c r="B311" s="4" t="s">
        <v>725</v>
      </c>
      <c r="C311" s="4" t="s">
        <v>45</v>
      </c>
      <c r="D311" s="25" t="s">
        <v>97</v>
      </c>
      <c r="E311" s="4">
        <v>44</v>
      </c>
      <c r="F311" s="25">
        <v>44</v>
      </c>
      <c r="G311" s="4" t="s">
        <v>175</v>
      </c>
      <c r="H311" s="25" t="s">
        <v>175</v>
      </c>
      <c r="I311" s="4" t="s">
        <v>135</v>
      </c>
      <c r="J311" s="25" t="s">
        <v>135</v>
      </c>
      <c r="K311" s="4">
        <v>14</v>
      </c>
      <c r="L311" s="25">
        <v>14</v>
      </c>
      <c r="M311" s="4" t="s">
        <v>67</v>
      </c>
      <c r="N311" s="25" t="s">
        <v>67</v>
      </c>
      <c r="O311" s="4">
        <v>3</v>
      </c>
      <c r="P311" s="25">
        <v>3</v>
      </c>
      <c r="Q311" s="4" t="s">
        <v>23</v>
      </c>
      <c r="R311" s="25" t="s">
        <v>23</v>
      </c>
      <c r="S311" s="4">
        <v>0.78</v>
      </c>
      <c r="T311" s="26">
        <v>0.78</v>
      </c>
    </row>
    <row r="312" spans="1:20" x14ac:dyDescent="0.3">
      <c r="A312" s="27" t="s">
        <v>726</v>
      </c>
      <c r="B312" s="4" t="s">
        <v>727</v>
      </c>
      <c r="C312" s="4" t="s">
        <v>37</v>
      </c>
      <c r="D312" s="25" t="s">
        <v>118</v>
      </c>
      <c r="E312" s="4">
        <v>31</v>
      </c>
      <c r="F312" s="25">
        <v>31</v>
      </c>
      <c r="G312" s="4" t="s">
        <v>55</v>
      </c>
      <c r="H312" s="25" t="s">
        <v>55</v>
      </c>
      <c r="I312" s="4" t="s">
        <v>93</v>
      </c>
      <c r="J312" s="25" t="s">
        <v>93</v>
      </c>
      <c r="K312" s="4">
        <v>2</v>
      </c>
      <c r="L312" s="25">
        <v>2</v>
      </c>
      <c r="M312" s="4" t="s">
        <v>40</v>
      </c>
      <c r="N312" s="25" t="s">
        <v>40</v>
      </c>
      <c r="O312" s="4">
        <v>3.9</v>
      </c>
      <c r="P312" s="25">
        <v>3.9</v>
      </c>
      <c r="Q312" s="4" t="s">
        <v>23</v>
      </c>
      <c r="R312" s="25" t="s">
        <v>23</v>
      </c>
      <c r="T312" s="26" t="s">
        <v>2120</v>
      </c>
    </row>
    <row r="313" spans="1:20" x14ac:dyDescent="0.3">
      <c r="A313" s="27" t="s">
        <v>728</v>
      </c>
      <c r="B313" s="4" t="s">
        <v>729</v>
      </c>
      <c r="C313" s="4" t="s">
        <v>63</v>
      </c>
      <c r="D313" s="25" t="s">
        <v>118</v>
      </c>
      <c r="E313" s="4">
        <v>34</v>
      </c>
      <c r="F313" s="25">
        <v>34</v>
      </c>
      <c r="G313" s="4" t="s">
        <v>29</v>
      </c>
      <c r="H313" s="25" t="s">
        <v>29</v>
      </c>
      <c r="I313" s="4" t="s">
        <v>110</v>
      </c>
      <c r="J313" s="25" t="s">
        <v>110</v>
      </c>
      <c r="K313" s="4">
        <v>1</v>
      </c>
      <c r="L313" s="25">
        <v>1</v>
      </c>
      <c r="M313" s="4" t="s">
        <v>86</v>
      </c>
      <c r="N313" s="25" t="s">
        <v>86</v>
      </c>
      <c r="O313" s="4">
        <v>1.7</v>
      </c>
      <c r="P313" s="25">
        <v>1.7</v>
      </c>
      <c r="Q313" s="4" t="s">
        <v>51</v>
      </c>
      <c r="R313" s="25" t="s">
        <v>2120</v>
      </c>
      <c r="S313" s="4">
        <v>74</v>
      </c>
      <c r="T313" s="26">
        <v>74</v>
      </c>
    </row>
    <row r="314" spans="1:20" x14ac:dyDescent="0.3">
      <c r="A314" s="27" t="s">
        <v>730</v>
      </c>
      <c r="B314" s="4" t="s">
        <v>731</v>
      </c>
      <c r="C314" s="4" t="s">
        <v>45</v>
      </c>
      <c r="D314" s="25" t="s">
        <v>97</v>
      </c>
      <c r="E314" s="4">
        <v>47</v>
      </c>
      <c r="F314" s="25">
        <v>47</v>
      </c>
      <c r="G314" s="4" t="s">
        <v>128</v>
      </c>
      <c r="H314" s="25" t="s">
        <v>128</v>
      </c>
      <c r="I314" s="4" t="s">
        <v>110</v>
      </c>
      <c r="J314" s="25" t="s">
        <v>110</v>
      </c>
      <c r="K314" s="4">
        <v>13</v>
      </c>
      <c r="L314" s="25">
        <v>13</v>
      </c>
      <c r="M314" s="4" t="s">
        <v>162</v>
      </c>
      <c r="N314" s="25" t="s">
        <v>162</v>
      </c>
      <c r="O314" s="4">
        <v>4.5</v>
      </c>
      <c r="P314" s="25">
        <v>4.5</v>
      </c>
      <c r="Q314" s="4" t="s">
        <v>51</v>
      </c>
      <c r="R314" s="25" t="s">
        <v>2120</v>
      </c>
      <c r="S314" s="4">
        <v>0.91</v>
      </c>
      <c r="T314" s="26">
        <v>0.91</v>
      </c>
    </row>
    <row r="315" spans="1:20" x14ac:dyDescent="0.3">
      <c r="A315" s="27" t="s">
        <v>732</v>
      </c>
      <c r="B315" s="4" t="s">
        <v>733</v>
      </c>
      <c r="C315" s="4" t="s">
        <v>63</v>
      </c>
      <c r="D315" s="25" t="s">
        <v>118</v>
      </c>
      <c r="E315" s="4">
        <v>50</v>
      </c>
      <c r="F315" s="25">
        <v>50</v>
      </c>
      <c r="G315" s="4" t="s">
        <v>73</v>
      </c>
      <c r="H315" s="25" t="s">
        <v>73</v>
      </c>
      <c r="I315" s="4" t="s">
        <v>39</v>
      </c>
      <c r="J315" s="25" t="s">
        <v>39</v>
      </c>
      <c r="K315" s="4">
        <v>23</v>
      </c>
      <c r="L315" s="25">
        <v>23</v>
      </c>
      <c r="M315" s="4" t="s">
        <v>47</v>
      </c>
      <c r="N315" s="25" t="s">
        <v>47</v>
      </c>
      <c r="O315" s="4">
        <v>3.6</v>
      </c>
      <c r="P315" s="25">
        <v>3.6</v>
      </c>
      <c r="Q315" s="4" t="s">
        <v>74</v>
      </c>
      <c r="R315" s="25" t="s">
        <v>74</v>
      </c>
      <c r="S315" s="4">
        <v>0.71</v>
      </c>
      <c r="T315" s="26">
        <v>0.71</v>
      </c>
    </row>
    <row r="316" spans="1:20" x14ac:dyDescent="0.3">
      <c r="A316" s="27" t="s">
        <v>734</v>
      </c>
      <c r="B316" s="4" t="s">
        <v>735</v>
      </c>
      <c r="C316" s="4" t="s">
        <v>113</v>
      </c>
      <c r="D316" s="25" t="s">
        <v>118</v>
      </c>
      <c r="E316" s="4">
        <v>39</v>
      </c>
      <c r="F316" s="25">
        <v>39</v>
      </c>
      <c r="G316" s="4" t="s">
        <v>38</v>
      </c>
      <c r="H316" s="25" t="s">
        <v>38</v>
      </c>
      <c r="I316" s="4" t="s">
        <v>98</v>
      </c>
      <c r="J316" s="25" t="s">
        <v>98</v>
      </c>
      <c r="L316" s="25" t="s">
        <v>2120</v>
      </c>
      <c r="M316" s="4" t="s">
        <v>67</v>
      </c>
      <c r="N316" s="25" t="s">
        <v>67</v>
      </c>
      <c r="O316" s="4">
        <v>3.6</v>
      </c>
      <c r="P316" s="25">
        <v>3.6</v>
      </c>
      <c r="Q316" s="4" t="s">
        <v>94</v>
      </c>
      <c r="R316" s="25" t="s">
        <v>94</v>
      </c>
      <c r="S316" s="4">
        <v>0.87</v>
      </c>
      <c r="T316" s="26">
        <v>0.87</v>
      </c>
    </row>
    <row r="317" spans="1:20" x14ac:dyDescent="0.3">
      <c r="A317" s="27" t="s">
        <v>736</v>
      </c>
      <c r="B317" s="4" t="s">
        <v>737</v>
      </c>
      <c r="C317" s="4" t="s">
        <v>28</v>
      </c>
      <c r="D317" s="25" t="s">
        <v>97</v>
      </c>
      <c r="E317" s="4">
        <v>26</v>
      </c>
      <c r="F317" s="25">
        <v>26</v>
      </c>
      <c r="G317" s="4" t="s">
        <v>91</v>
      </c>
      <c r="H317" s="25" t="s">
        <v>91</v>
      </c>
      <c r="I317" s="4" t="s">
        <v>21</v>
      </c>
      <c r="J317" s="25" t="s">
        <v>21</v>
      </c>
      <c r="K317" s="4">
        <v>3</v>
      </c>
      <c r="L317" s="25">
        <v>3</v>
      </c>
      <c r="M317" s="4" t="s">
        <v>32</v>
      </c>
      <c r="N317" s="25" t="s">
        <v>32</v>
      </c>
      <c r="O317" s="4">
        <v>2.8</v>
      </c>
      <c r="P317" s="25">
        <v>2.8</v>
      </c>
      <c r="Q317" s="4" t="s">
        <v>33</v>
      </c>
      <c r="R317" s="25" t="s">
        <v>33</v>
      </c>
      <c r="S317" s="4">
        <v>0.61</v>
      </c>
      <c r="T317" s="26">
        <v>0.61</v>
      </c>
    </row>
    <row r="318" spans="1:20" x14ac:dyDescent="0.3">
      <c r="A318" s="27" t="s">
        <v>738</v>
      </c>
      <c r="B318" s="4" t="s">
        <v>739</v>
      </c>
      <c r="C318" s="4" t="s">
        <v>113</v>
      </c>
      <c r="D318" s="25" t="s">
        <v>118</v>
      </c>
      <c r="F318" s="25" t="s">
        <v>2119</v>
      </c>
      <c r="G318" s="4" t="s">
        <v>55</v>
      </c>
      <c r="H318" s="25" t="s">
        <v>55</v>
      </c>
      <c r="I318" s="4" t="s">
        <v>110</v>
      </c>
      <c r="J318" s="25" t="s">
        <v>110</v>
      </c>
      <c r="K318" s="4">
        <v>0</v>
      </c>
      <c r="L318" s="25">
        <v>0</v>
      </c>
      <c r="M318" s="4" t="s">
        <v>251</v>
      </c>
      <c r="N318" s="25" t="s">
        <v>251</v>
      </c>
      <c r="O318" s="4">
        <v>5</v>
      </c>
      <c r="P318" s="25">
        <v>5</v>
      </c>
      <c r="Q318" s="4" t="s">
        <v>41</v>
      </c>
      <c r="R318" s="25" t="s">
        <v>41</v>
      </c>
      <c r="T318" s="26" t="s">
        <v>2120</v>
      </c>
    </row>
    <row r="319" spans="1:20" x14ac:dyDescent="0.3">
      <c r="A319" s="27" t="s">
        <v>740</v>
      </c>
      <c r="B319" s="4" t="s">
        <v>741</v>
      </c>
      <c r="C319" s="4" t="s">
        <v>37</v>
      </c>
      <c r="D319" s="25" t="s">
        <v>118</v>
      </c>
      <c r="E319" s="4">
        <v>32</v>
      </c>
      <c r="F319" s="25">
        <v>32</v>
      </c>
      <c r="G319" s="4" t="s">
        <v>38</v>
      </c>
      <c r="H319" s="25" t="s">
        <v>38</v>
      </c>
      <c r="I319" s="4" t="s">
        <v>39</v>
      </c>
      <c r="J319" s="25" t="s">
        <v>39</v>
      </c>
      <c r="K319" s="4">
        <v>0</v>
      </c>
      <c r="L319" s="25">
        <v>0</v>
      </c>
      <c r="M319" s="4" t="s">
        <v>22</v>
      </c>
      <c r="N319" s="25" t="s">
        <v>22</v>
      </c>
      <c r="O319" s="4">
        <v>1.4</v>
      </c>
      <c r="P319" s="25">
        <v>1.4</v>
      </c>
      <c r="Q319" s="4" t="s">
        <v>33</v>
      </c>
      <c r="R319" s="25" t="s">
        <v>33</v>
      </c>
      <c r="S319" s="4">
        <v>0.81</v>
      </c>
      <c r="T319" s="26">
        <v>0.81</v>
      </c>
    </row>
    <row r="320" spans="1:20" x14ac:dyDescent="0.3">
      <c r="A320" s="27" t="s">
        <v>742</v>
      </c>
      <c r="B320" s="4" t="s">
        <v>743</v>
      </c>
      <c r="C320" s="4" t="s">
        <v>97</v>
      </c>
      <c r="D320" s="25" t="s">
        <v>97</v>
      </c>
      <c r="E320" s="4">
        <v>55</v>
      </c>
      <c r="F320" s="25">
        <v>55</v>
      </c>
      <c r="G320" s="4" t="s">
        <v>145</v>
      </c>
      <c r="H320" s="25" t="s">
        <v>145</v>
      </c>
      <c r="I320" s="4" t="s">
        <v>66</v>
      </c>
      <c r="J320" s="25" t="s">
        <v>66</v>
      </c>
      <c r="K320" s="4">
        <v>17</v>
      </c>
      <c r="L320" s="25">
        <v>17</v>
      </c>
      <c r="M320" s="4" t="s">
        <v>52</v>
      </c>
      <c r="N320" s="25" t="s">
        <v>52</v>
      </c>
      <c r="P320" s="25" t="s">
        <v>2120</v>
      </c>
      <c r="Q320" s="4" t="s">
        <v>51</v>
      </c>
      <c r="R320" s="25" t="s">
        <v>2120</v>
      </c>
      <c r="T320" s="26" t="s">
        <v>2120</v>
      </c>
    </row>
    <row r="321" spans="1:20" x14ac:dyDescent="0.3">
      <c r="A321" s="27" t="s">
        <v>744</v>
      </c>
      <c r="B321" s="4" t="s">
        <v>745</v>
      </c>
      <c r="C321" s="4" t="s">
        <v>113</v>
      </c>
      <c r="D321" s="25" t="s">
        <v>118</v>
      </c>
      <c r="E321" s="4">
        <v>32</v>
      </c>
      <c r="F321" s="25">
        <v>32</v>
      </c>
      <c r="G321" s="4" t="s">
        <v>91</v>
      </c>
      <c r="H321" s="25" t="s">
        <v>91</v>
      </c>
      <c r="I321" s="4" t="s">
        <v>135</v>
      </c>
      <c r="J321" s="25" t="s">
        <v>135</v>
      </c>
      <c r="K321" s="4">
        <v>9</v>
      </c>
      <c r="L321" s="25">
        <v>9</v>
      </c>
      <c r="M321" s="4" t="s">
        <v>70</v>
      </c>
      <c r="N321" s="25" t="s">
        <v>70</v>
      </c>
      <c r="O321" s="4">
        <v>4.5999999999999996</v>
      </c>
      <c r="P321" s="25">
        <v>4.5999999999999996</v>
      </c>
      <c r="Q321" s="4" t="s">
        <v>33</v>
      </c>
      <c r="R321" s="25" t="s">
        <v>33</v>
      </c>
      <c r="S321" s="4">
        <v>0.84</v>
      </c>
      <c r="T321" s="26">
        <v>0.84</v>
      </c>
    </row>
    <row r="322" spans="1:20" x14ac:dyDescent="0.3">
      <c r="A322" s="27" t="s">
        <v>746</v>
      </c>
      <c r="B322" s="4" t="s">
        <v>747</v>
      </c>
      <c r="C322" s="4" t="s">
        <v>63</v>
      </c>
      <c r="D322" s="25" t="s">
        <v>118</v>
      </c>
      <c r="E322" s="4">
        <v>30</v>
      </c>
      <c r="F322" s="25">
        <v>30</v>
      </c>
      <c r="G322" s="4" t="s">
        <v>133</v>
      </c>
      <c r="H322" s="25" t="s">
        <v>133</v>
      </c>
      <c r="I322" s="4" t="s">
        <v>21</v>
      </c>
      <c r="J322" s="25" t="s">
        <v>21</v>
      </c>
      <c r="K322" s="4">
        <v>4</v>
      </c>
      <c r="L322" s="25">
        <v>4</v>
      </c>
      <c r="M322" s="4" t="s">
        <v>142</v>
      </c>
      <c r="N322" s="25" t="s">
        <v>142</v>
      </c>
      <c r="O322" s="4">
        <v>3.3</v>
      </c>
      <c r="P322" s="25">
        <v>3.3</v>
      </c>
      <c r="Q322" s="4" t="s">
        <v>181</v>
      </c>
      <c r="R322" s="25" t="s">
        <v>181</v>
      </c>
      <c r="T322" s="26" t="s">
        <v>2120</v>
      </c>
    </row>
    <row r="323" spans="1:20" x14ac:dyDescent="0.3">
      <c r="A323" s="27" t="s">
        <v>748</v>
      </c>
      <c r="B323" s="4" t="s">
        <v>749</v>
      </c>
      <c r="C323" s="4" t="s">
        <v>50</v>
      </c>
      <c r="D323" s="25" t="s">
        <v>97</v>
      </c>
      <c r="E323" s="4">
        <v>37</v>
      </c>
      <c r="F323" s="25">
        <v>37</v>
      </c>
      <c r="G323" s="4" t="s">
        <v>149</v>
      </c>
      <c r="H323" s="25" t="s">
        <v>149</v>
      </c>
      <c r="I323" s="4" t="s">
        <v>98</v>
      </c>
      <c r="J323" s="25" t="s">
        <v>98</v>
      </c>
      <c r="K323" s="4">
        <v>0</v>
      </c>
      <c r="L323" s="25">
        <v>0</v>
      </c>
      <c r="M323" s="4" t="s">
        <v>47</v>
      </c>
      <c r="N323" s="25" t="s">
        <v>47</v>
      </c>
      <c r="O323" s="4">
        <v>3.7</v>
      </c>
      <c r="P323" s="25">
        <v>3.7</v>
      </c>
      <c r="Q323" s="4" t="s">
        <v>33</v>
      </c>
      <c r="R323" s="25" t="s">
        <v>33</v>
      </c>
      <c r="T323" s="26" t="s">
        <v>2120</v>
      </c>
    </row>
    <row r="324" spans="1:20" x14ac:dyDescent="0.3">
      <c r="A324" s="27" t="s">
        <v>750</v>
      </c>
      <c r="B324" s="4" t="s">
        <v>751</v>
      </c>
      <c r="C324" s="4" t="s">
        <v>113</v>
      </c>
      <c r="D324" s="25" t="s">
        <v>118</v>
      </c>
      <c r="E324" s="4">
        <v>52</v>
      </c>
      <c r="F324" s="25">
        <v>52</v>
      </c>
      <c r="G324" s="4" t="s">
        <v>128</v>
      </c>
      <c r="H324" s="25" t="s">
        <v>128</v>
      </c>
      <c r="I324" s="4" t="s">
        <v>39</v>
      </c>
      <c r="J324" s="25" t="s">
        <v>39</v>
      </c>
      <c r="K324" s="4">
        <v>33</v>
      </c>
      <c r="L324" s="25">
        <v>33</v>
      </c>
      <c r="M324" s="4" t="s">
        <v>51</v>
      </c>
      <c r="N324" s="25" t="s">
        <v>2119</v>
      </c>
      <c r="O324" s="4">
        <v>0</v>
      </c>
      <c r="P324" s="25">
        <v>0</v>
      </c>
      <c r="Q324" s="4" t="s">
        <v>33</v>
      </c>
      <c r="R324" s="25" t="s">
        <v>33</v>
      </c>
      <c r="S324" s="4">
        <v>0.6</v>
      </c>
      <c r="T324" s="26">
        <v>0.6</v>
      </c>
    </row>
    <row r="325" spans="1:20" x14ac:dyDescent="0.3">
      <c r="A325" s="27" t="s">
        <v>752</v>
      </c>
      <c r="B325" s="4" t="s">
        <v>753</v>
      </c>
      <c r="C325" s="4" t="s">
        <v>118</v>
      </c>
      <c r="D325" s="25" t="s">
        <v>118</v>
      </c>
      <c r="E325" s="4">
        <v>48</v>
      </c>
      <c r="F325" s="25">
        <v>48</v>
      </c>
      <c r="G325" s="4" t="s">
        <v>114</v>
      </c>
      <c r="H325" s="25" t="s">
        <v>114</v>
      </c>
      <c r="I325" s="4" t="s">
        <v>98</v>
      </c>
      <c r="J325" s="25" t="s">
        <v>98</v>
      </c>
      <c r="K325" s="4">
        <v>18</v>
      </c>
      <c r="L325" s="25">
        <v>18</v>
      </c>
      <c r="M325" s="4" t="s">
        <v>40</v>
      </c>
      <c r="N325" s="25" t="s">
        <v>40</v>
      </c>
      <c r="O325" s="4">
        <v>0</v>
      </c>
      <c r="P325" s="25">
        <v>0</v>
      </c>
      <c r="Q325" s="4" t="s">
        <v>94</v>
      </c>
      <c r="R325" s="25" t="s">
        <v>94</v>
      </c>
      <c r="S325" s="4">
        <v>0.64</v>
      </c>
      <c r="T325" s="26">
        <v>0.64</v>
      </c>
    </row>
    <row r="326" spans="1:20" x14ac:dyDescent="0.3">
      <c r="A326" s="27" t="s">
        <v>754</v>
      </c>
      <c r="B326" s="4" t="s">
        <v>755</v>
      </c>
      <c r="C326" s="4" t="s">
        <v>28</v>
      </c>
      <c r="D326" s="25" t="s">
        <v>97</v>
      </c>
      <c r="E326" s="4">
        <v>28</v>
      </c>
      <c r="F326" s="25">
        <v>28</v>
      </c>
      <c r="G326" s="4" t="s">
        <v>106</v>
      </c>
      <c r="H326" s="25" t="s">
        <v>106</v>
      </c>
      <c r="I326" s="4" t="s">
        <v>31</v>
      </c>
      <c r="J326" s="25" t="s">
        <v>31</v>
      </c>
      <c r="K326" s="4">
        <v>9</v>
      </c>
      <c r="L326" s="25">
        <v>9</v>
      </c>
      <c r="M326" s="4" t="s">
        <v>86</v>
      </c>
      <c r="N326" s="25" t="s">
        <v>86</v>
      </c>
      <c r="P326" s="25" t="s">
        <v>2120</v>
      </c>
      <c r="Q326" s="4" t="s">
        <v>33</v>
      </c>
      <c r="R326" s="25" t="s">
        <v>33</v>
      </c>
      <c r="S326" s="4">
        <v>0.64</v>
      </c>
      <c r="T326" s="26">
        <v>0.64</v>
      </c>
    </row>
    <row r="327" spans="1:20" x14ac:dyDescent="0.3">
      <c r="A327" s="27" t="s">
        <v>756</v>
      </c>
      <c r="B327" s="4" t="s">
        <v>757</v>
      </c>
      <c r="C327" s="4" t="s">
        <v>28</v>
      </c>
      <c r="D327" s="25" t="s">
        <v>97</v>
      </c>
      <c r="E327" s="4">
        <v>58</v>
      </c>
      <c r="F327" s="25">
        <v>58</v>
      </c>
      <c r="G327" s="4" t="s">
        <v>212</v>
      </c>
      <c r="H327" s="25" t="s">
        <v>212</v>
      </c>
      <c r="I327" s="4" t="s">
        <v>66</v>
      </c>
      <c r="J327" s="25" t="s">
        <v>66</v>
      </c>
      <c r="K327" s="4">
        <v>40</v>
      </c>
      <c r="L327" s="25">
        <v>40</v>
      </c>
      <c r="M327" s="4" t="s">
        <v>103</v>
      </c>
      <c r="N327" s="25" t="s">
        <v>103</v>
      </c>
      <c r="O327" s="4">
        <v>3.4</v>
      </c>
      <c r="P327" s="25">
        <v>3.4</v>
      </c>
      <c r="Q327" s="4" t="s">
        <v>33</v>
      </c>
      <c r="R327" s="25" t="s">
        <v>33</v>
      </c>
      <c r="S327" s="4">
        <v>1</v>
      </c>
      <c r="T327" s="26">
        <v>1</v>
      </c>
    </row>
    <row r="328" spans="1:20" x14ac:dyDescent="0.3">
      <c r="A328" s="27" t="s">
        <v>758</v>
      </c>
      <c r="B328" s="4" t="s">
        <v>759</v>
      </c>
      <c r="C328" s="4" t="s">
        <v>37</v>
      </c>
      <c r="D328" s="25" t="s">
        <v>118</v>
      </c>
      <c r="E328" s="4">
        <v>30</v>
      </c>
      <c r="F328" s="25">
        <v>30</v>
      </c>
      <c r="G328" s="4" t="s">
        <v>91</v>
      </c>
      <c r="H328" s="25" t="s">
        <v>91</v>
      </c>
      <c r="I328" s="4" t="s">
        <v>46</v>
      </c>
      <c r="J328" s="25" t="s">
        <v>46</v>
      </c>
      <c r="K328" s="4">
        <v>1</v>
      </c>
      <c r="L328" s="25">
        <v>1</v>
      </c>
      <c r="M328" s="4" t="s">
        <v>86</v>
      </c>
      <c r="N328" s="25" t="s">
        <v>86</v>
      </c>
      <c r="O328" s="4">
        <v>1.6</v>
      </c>
      <c r="P328" s="25">
        <v>1.6</v>
      </c>
      <c r="Q328" s="4" t="s">
        <v>74</v>
      </c>
      <c r="R328" s="25" t="s">
        <v>74</v>
      </c>
      <c r="S328" s="4">
        <v>100</v>
      </c>
      <c r="T328" s="26">
        <v>100</v>
      </c>
    </row>
    <row r="329" spans="1:20" x14ac:dyDescent="0.3">
      <c r="A329" s="27" t="s">
        <v>760</v>
      </c>
      <c r="B329" s="4" t="s">
        <v>761</v>
      </c>
      <c r="C329" s="4" t="s">
        <v>97</v>
      </c>
      <c r="D329" s="25" t="s">
        <v>97</v>
      </c>
      <c r="E329" s="4">
        <v>47</v>
      </c>
      <c r="F329" s="25">
        <v>47</v>
      </c>
      <c r="G329" s="4" t="s">
        <v>197</v>
      </c>
      <c r="H329" s="25" t="s">
        <v>197</v>
      </c>
      <c r="I329" s="4" t="s">
        <v>31</v>
      </c>
      <c r="J329" s="25" t="s">
        <v>31</v>
      </c>
      <c r="K329" s="4">
        <v>5</v>
      </c>
      <c r="L329" s="25">
        <v>5</v>
      </c>
      <c r="M329" s="4" t="s">
        <v>162</v>
      </c>
      <c r="N329" s="25" t="s">
        <v>162</v>
      </c>
      <c r="O329" s="4">
        <v>1.9</v>
      </c>
      <c r="P329" s="25">
        <v>1.9</v>
      </c>
      <c r="Q329" s="4" t="s">
        <v>23</v>
      </c>
      <c r="R329" s="25" t="s">
        <v>23</v>
      </c>
      <c r="T329" s="26" t="s">
        <v>2120</v>
      </c>
    </row>
    <row r="330" spans="1:20" x14ac:dyDescent="0.3">
      <c r="A330" s="27" t="s">
        <v>762</v>
      </c>
      <c r="B330" s="4" t="s">
        <v>763</v>
      </c>
      <c r="C330" s="4" t="s">
        <v>37</v>
      </c>
      <c r="D330" s="25" t="s">
        <v>118</v>
      </c>
      <c r="E330" s="4">
        <v>44</v>
      </c>
      <c r="F330" s="25">
        <v>44</v>
      </c>
      <c r="G330" s="4" t="s">
        <v>91</v>
      </c>
      <c r="H330" s="25" t="s">
        <v>91</v>
      </c>
      <c r="I330" s="4" t="s">
        <v>57</v>
      </c>
      <c r="J330" s="25" t="s">
        <v>57</v>
      </c>
      <c r="K330" s="4">
        <v>4</v>
      </c>
      <c r="L330" s="25">
        <v>4</v>
      </c>
      <c r="M330" s="4" t="s">
        <v>81</v>
      </c>
      <c r="N330" s="25" t="s">
        <v>81</v>
      </c>
      <c r="O330" s="4">
        <v>0</v>
      </c>
      <c r="P330" s="25">
        <v>0</v>
      </c>
      <c r="Q330" s="4" t="s">
        <v>74</v>
      </c>
      <c r="R330" s="25" t="s">
        <v>74</v>
      </c>
      <c r="S330" s="4">
        <v>0.83</v>
      </c>
      <c r="T330" s="26">
        <v>0.83</v>
      </c>
    </row>
    <row r="331" spans="1:20" x14ac:dyDescent="0.3">
      <c r="A331" s="27" t="s">
        <v>764</v>
      </c>
      <c r="B331" s="4" t="s">
        <v>765</v>
      </c>
      <c r="C331" s="4" t="s">
        <v>113</v>
      </c>
      <c r="D331" s="25" t="s">
        <v>118</v>
      </c>
      <c r="E331" s="4">
        <v>56</v>
      </c>
      <c r="F331" s="25">
        <v>56</v>
      </c>
      <c r="G331" s="4" t="s">
        <v>19</v>
      </c>
      <c r="H331" s="25" t="s">
        <v>19</v>
      </c>
      <c r="I331" s="4" t="s">
        <v>135</v>
      </c>
      <c r="J331" s="25" t="s">
        <v>135</v>
      </c>
      <c r="K331" s="4">
        <v>13</v>
      </c>
      <c r="L331" s="25">
        <v>13</v>
      </c>
      <c r="M331" s="4" t="s">
        <v>70</v>
      </c>
      <c r="N331" s="25" t="s">
        <v>70</v>
      </c>
      <c r="P331" s="25" t="s">
        <v>2120</v>
      </c>
      <c r="Q331" s="4" t="s">
        <v>33</v>
      </c>
      <c r="R331" s="25" t="s">
        <v>33</v>
      </c>
      <c r="S331" s="4">
        <v>0.87</v>
      </c>
      <c r="T331" s="26">
        <v>0.87</v>
      </c>
    </row>
    <row r="332" spans="1:20" x14ac:dyDescent="0.3">
      <c r="A332" s="27" t="s">
        <v>766</v>
      </c>
      <c r="B332" s="4" t="s">
        <v>767</v>
      </c>
      <c r="C332" s="4" t="s">
        <v>97</v>
      </c>
      <c r="D332" s="25" t="s">
        <v>97</v>
      </c>
      <c r="E332" s="4">
        <v>53</v>
      </c>
      <c r="F332" s="25">
        <v>53</v>
      </c>
      <c r="G332" s="4" t="s">
        <v>73</v>
      </c>
      <c r="H332" s="25" t="s">
        <v>73</v>
      </c>
      <c r="I332" s="4" t="s">
        <v>31</v>
      </c>
      <c r="J332" s="25" t="s">
        <v>31</v>
      </c>
      <c r="K332" s="4">
        <v>33</v>
      </c>
      <c r="L332" s="25">
        <v>33</v>
      </c>
      <c r="M332" s="4" t="s">
        <v>251</v>
      </c>
      <c r="N332" s="25" t="s">
        <v>251</v>
      </c>
      <c r="P332" s="25" t="s">
        <v>2120</v>
      </c>
      <c r="Q332" s="4" t="s">
        <v>181</v>
      </c>
      <c r="R332" s="25" t="s">
        <v>181</v>
      </c>
      <c r="S332" s="4">
        <v>0.75</v>
      </c>
      <c r="T332" s="26">
        <v>0.75</v>
      </c>
    </row>
    <row r="333" spans="1:20" x14ac:dyDescent="0.3">
      <c r="A333" s="27" t="s">
        <v>768</v>
      </c>
      <c r="B333" s="4" t="s">
        <v>769</v>
      </c>
      <c r="C333" s="4" t="s">
        <v>78</v>
      </c>
      <c r="D333" s="25" t="s">
        <v>118</v>
      </c>
      <c r="E333" s="4">
        <v>59</v>
      </c>
      <c r="F333" s="25">
        <v>59</v>
      </c>
      <c r="G333" s="4" t="s">
        <v>85</v>
      </c>
      <c r="H333" s="25" t="s">
        <v>85</v>
      </c>
      <c r="I333" s="4" t="s">
        <v>31</v>
      </c>
      <c r="J333" s="25" t="s">
        <v>31</v>
      </c>
      <c r="K333" s="4">
        <v>22</v>
      </c>
      <c r="L333" s="25">
        <v>22</v>
      </c>
      <c r="M333" s="4" t="s">
        <v>86</v>
      </c>
      <c r="N333" s="25" t="s">
        <v>86</v>
      </c>
      <c r="O333" s="4">
        <v>1.1000000000000001</v>
      </c>
      <c r="P333" s="25">
        <v>1.1000000000000001</v>
      </c>
      <c r="Q333" s="4" t="s">
        <v>87</v>
      </c>
      <c r="R333" s="25" t="s">
        <v>87</v>
      </c>
      <c r="S333" s="4">
        <v>0.61</v>
      </c>
      <c r="T333" s="26">
        <v>0.61</v>
      </c>
    </row>
    <row r="334" spans="1:20" x14ac:dyDescent="0.3">
      <c r="A334" s="27" t="s">
        <v>770</v>
      </c>
      <c r="B334" s="4" t="s">
        <v>771</v>
      </c>
      <c r="C334" s="4" t="s">
        <v>113</v>
      </c>
      <c r="D334" s="25" t="s">
        <v>118</v>
      </c>
      <c r="E334" s="4">
        <v>60</v>
      </c>
      <c r="F334" s="25">
        <v>60</v>
      </c>
      <c r="G334" s="4" t="s">
        <v>73</v>
      </c>
      <c r="H334" s="25" t="s">
        <v>73</v>
      </c>
      <c r="I334" s="4" t="s">
        <v>110</v>
      </c>
      <c r="J334" s="25" t="s">
        <v>110</v>
      </c>
      <c r="K334" s="4">
        <v>34</v>
      </c>
      <c r="L334" s="25">
        <v>34</v>
      </c>
      <c r="M334" s="4" t="s">
        <v>51</v>
      </c>
      <c r="N334" s="25" t="s">
        <v>2119</v>
      </c>
      <c r="O334" s="4">
        <v>2.5</v>
      </c>
      <c r="P334" s="25">
        <v>2.5</v>
      </c>
      <c r="Q334" s="4" t="s">
        <v>59</v>
      </c>
      <c r="R334" s="25" t="s">
        <v>59</v>
      </c>
      <c r="S334" s="4">
        <v>0.93</v>
      </c>
      <c r="T334" s="26">
        <v>0.93</v>
      </c>
    </row>
    <row r="335" spans="1:20" x14ac:dyDescent="0.3">
      <c r="A335" s="27" t="s">
        <v>772</v>
      </c>
      <c r="B335" s="4" t="s">
        <v>773</v>
      </c>
      <c r="C335" s="4" t="s">
        <v>28</v>
      </c>
      <c r="D335" s="25" t="s">
        <v>97</v>
      </c>
      <c r="E335" s="4">
        <v>33</v>
      </c>
      <c r="F335" s="25">
        <v>33</v>
      </c>
      <c r="G335" s="4" t="s">
        <v>38</v>
      </c>
      <c r="H335" s="25" t="s">
        <v>38</v>
      </c>
      <c r="I335" s="4" t="s">
        <v>31</v>
      </c>
      <c r="J335" s="25" t="s">
        <v>31</v>
      </c>
      <c r="K335" s="4">
        <v>8</v>
      </c>
      <c r="L335" s="25">
        <v>8</v>
      </c>
      <c r="M335" s="4" t="s">
        <v>130</v>
      </c>
      <c r="N335" s="25" t="s">
        <v>130</v>
      </c>
      <c r="O335" s="4">
        <v>3.6</v>
      </c>
      <c r="P335" s="25">
        <v>3.6</v>
      </c>
      <c r="Q335" s="4" t="s">
        <v>33</v>
      </c>
      <c r="R335" s="25" t="s">
        <v>33</v>
      </c>
      <c r="T335" s="26" t="s">
        <v>2120</v>
      </c>
    </row>
    <row r="336" spans="1:20" x14ac:dyDescent="0.3">
      <c r="A336" s="27" t="s">
        <v>774</v>
      </c>
      <c r="B336" s="4" t="s">
        <v>775</v>
      </c>
      <c r="C336" s="4" t="s">
        <v>97</v>
      </c>
      <c r="D336" s="25" t="s">
        <v>97</v>
      </c>
      <c r="E336" s="4">
        <v>21</v>
      </c>
      <c r="F336" s="25">
        <v>21</v>
      </c>
      <c r="G336" s="4" t="s">
        <v>91</v>
      </c>
      <c r="H336" s="25" t="s">
        <v>91</v>
      </c>
      <c r="I336" s="4" t="s">
        <v>46</v>
      </c>
      <c r="J336" s="25" t="s">
        <v>46</v>
      </c>
      <c r="K336" s="4">
        <v>1</v>
      </c>
      <c r="L336" s="25">
        <v>1</v>
      </c>
      <c r="M336" s="4" t="s">
        <v>336</v>
      </c>
      <c r="N336" s="25" t="s">
        <v>336</v>
      </c>
      <c r="P336" s="25" t="s">
        <v>2120</v>
      </c>
      <c r="Q336" s="4" t="s">
        <v>59</v>
      </c>
      <c r="R336" s="25" t="s">
        <v>59</v>
      </c>
      <c r="S336" s="4">
        <v>0.99</v>
      </c>
      <c r="T336" s="26">
        <v>0.99</v>
      </c>
    </row>
    <row r="337" spans="1:20" x14ac:dyDescent="0.3">
      <c r="A337" s="27" t="s">
        <v>776</v>
      </c>
      <c r="B337" s="4" t="s">
        <v>777</v>
      </c>
      <c r="C337" s="4" t="s">
        <v>37</v>
      </c>
      <c r="D337" s="25" t="s">
        <v>118</v>
      </c>
      <c r="E337" s="4">
        <v>54</v>
      </c>
      <c r="F337" s="25">
        <v>54</v>
      </c>
      <c r="G337" s="4" t="s">
        <v>85</v>
      </c>
      <c r="H337" s="25" t="s">
        <v>85</v>
      </c>
      <c r="I337" s="4" t="s">
        <v>93</v>
      </c>
      <c r="J337" s="25" t="s">
        <v>93</v>
      </c>
      <c r="K337" s="4">
        <v>20</v>
      </c>
      <c r="L337" s="25">
        <v>20</v>
      </c>
      <c r="M337" s="4" t="s">
        <v>40</v>
      </c>
      <c r="N337" s="25" t="s">
        <v>40</v>
      </c>
      <c r="O337" s="4">
        <v>4.4000000000000004</v>
      </c>
      <c r="P337" s="25">
        <v>4.4000000000000004</v>
      </c>
      <c r="Q337" s="4" t="s">
        <v>23</v>
      </c>
      <c r="R337" s="25" t="s">
        <v>23</v>
      </c>
      <c r="S337" s="4">
        <v>73</v>
      </c>
      <c r="T337" s="26">
        <v>73</v>
      </c>
    </row>
    <row r="338" spans="1:20" x14ac:dyDescent="0.3">
      <c r="A338" s="27" t="s">
        <v>778</v>
      </c>
      <c r="B338" s="4" t="s">
        <v>779</v>
      </c>
      <c r="C338" s="4" t="s">
        <v>97</v>
      </c>
      <c r="D338" s="25" t="s">
        <v>97</v>
      </c>
      <c r="E338" s="4">
        <v>33</v>
      </c>
      <c r="F338" s="25">
        <v>33</v>
      </c>
      <c r="G338" s="4" t="s">
        <v>73</v>
      </c>
      <c r="H338" s="25" t="s">
        <v>73</v>
      </c>
      <c r="I338" s="4" t="s">
        <v>39</v>
      </c>
      <c r="J338" s="25" t="s">
        <v>39</v>
      </c>
      <c r="K338" s="4">
        <v>11</v>
      </c>
      <c r="L338" s="25">
        <v>11</v>
      </c>
      <c r="M338" s="4" t="s">
        <v>103</v>
      </c>
      <c r="N338" s="25" t="s">
        <v>103</v>
      </c>
      <c r="O338" s="4">
        <v>2.1</v>
      </c>
      <c r="P338" s="25">
        <v>2.1</v>
      </c>
      <c r="Q338" s="4" t="s">
        <v>23</v>
      </c>
      <c r="R338" s="25" t="s">
        <v>23</v>
      </c>
      <c r="S338" s="4">
        <v>0.96</v>
      </c>
      <c r="T338" s="26">
        <v>0.96</v>
      </c>
    </row>
    <row r="339" spans="1:20" x14ac:dyDescent="0.3">
      <c r="A339" s="27" t="s">
        <v>780</v>
      </c>
      <c r="B339" s="4" t="s">
        <v>781</v>
      </c>
      <c r="C339" s="4" t="s">
        <v>97</v>
      </c>
      <c r="D339" s="25" t="s">
        <v>97</v>
      </c>
      <c r="E339" s="4">
        <v>57</v>
      </c>
      <c r="F339" s="25">
        <v>57</v>
      </c>
      <c r="G339" s="4" t="s">
        <v>79</v>
      </c>
      <c r="H339" s="25" t="s">
        <v>79</v>
      </c>
      <c r="I339" s="4" t="s">
        <v>66</v>
      </c>
      <c r="J339" s="25" t="s">
        <v>66</v>
      </c>
      <c r="K339" s="4">
        <v>2</v>
      </c>
      <c r="L339" s="25">
        <v>2</v>
      </c>
      <c r="M339" s="4" t="s">
        <v>86</v>
      </c>
      <c r="N339" s="25" t="s">
        <v>86</v>
      </c>
      <c r="O339" s="4">
        <v>0</v>
      </c>
      <c r="P339" s="25">
        <v>0</v>
      </c>
      <c r="Q339" s="4" t="s">
        <v>59</v>
      </c>
      <c r="R339" s="25" t="s">
        <v>59</v>
      </c>
      <c r="S339" s="4">
        <v>0.6</v>
      </c>
      <c r="T339" s="26">
        <v>0.6</v>
      </c>
    </row>
    <row r="340" spans="1:20" x14ac:dyDescent="0.3">
      <c r="A340" s="27" t="s">
        <v>782</v>
      </c>
      <c r="B340" s="4" t="s">
        <v>783</v>
      </c>
      <c r="C340" s="4" t="s">
        <v>113</v>
      </c>
      <c r="D340" s="25" t="s">
        <v>118</v>
      </c>
      <c r="E340" s="4">
        <v>36</v>
      </c>
      <c r="F340" s="25">
        <v>36</v>
      </c>
      <c r="G340" s="4" t="s">
        <v>133</v>
      </c>
      <c r="H340" s="25" t="s">
        <v>133</v>
      </c>
      <c r="I340" s="4" t="s">
        <v>39</v>
      </c>
      <c r="J340" s="25" t="s">
        <v>39</v>
      </c>
      <c r="K340" s="4">
        <v>6</v>
      </c>
      <c r="L340" s="25">
        <v>6</v>
      </c>
      <c r="M340" s="4" t="s">
        <v>162</v>
      </c>
      <c r="N340" s="25" t="s">
        <v>162</v>
      </c>
      <c r="O340" s="4">
        <v>1</v>
      </c>
      <c r="P340" s="25">
        <v>1</v>
      </c>
      <c r="Q340" s="4" t="s">
        <v>94</v>
      </c>
      <c r="R340" s="25" t="s">
        <v>94</v>
      </c>
      <c r="S340" s="4">
        <v>0.64</v>
      </c>
      <c r="T340" s="26">
        <v>0.64</v>
      </c>
    </row>
    <row r="341" spans="1:20" x14ac:dyDescent="0.3">
      <c r="A341" s="27" t="s">
        <v>784</v>
      </c>
      <c r="B341" s="4" t="s">
        <v>785</v>
      </c>
      <c r="C341" s="4" t="s">
        <v>118</v>
      </c>
      <c r="D341" s="25" t="s">
        <v>118</v>
      </c>
      <c r="E341" s="4">
        <v>50</v>
      </c>
      <c r="F341" s="25">
        <v>50</v>
      </c>
      <c r="G341" s="4" t="s">
        <v>38</v>
      </c>
      <c r="H341" s="25" t="s">
        <v>38</v>
      </c>
      <c r="I341" s="4" t="s">
        <v>21</v>
      </c>
      <c r="J341" s="25" t="s">
        <v>21</v>
      </c>
      <c r="K341" s="4">
        <v>20</v>
      </c>
      <c r="L341" s="25">
        <v>20</v>
      </c>
      <c r="M341" s="4" t="s">
        <v>130</v>
      </c>
      <c r="N341" s="25" t="s">
        <v>130</v>
      </c>
      <c r="O341" s="4">
        <v>0</v>
      </c>
      <c r="P341" s="25">
        <v>0</v>
      </c>
      <c r="Q341" s="4" t="s">
        <v>23</v>
      </c>
      <c r="R341" s="25" t="s">
        <v>23</v>
      </c>
      <c r="T341" s="26" t="s">
        <v>2120</v>
      </c>
    </row>
    <row r="342" spans="1:20" x14ac:dyDescent="0.3">
      <c r="A342" s="27" t="s">
        <v>786</v>
      </c>
      <c r="B342" s="4" t="s">
        <v>787</v>
      </c>
      <c r="C342" s="4" t="s">
        <v>18</v>
      </c>
      <c r="D342" s="25" t="s">
        <v>97</v>
      </c>
      <c r="E342" s="4">
        <v>37</v>
      </c>
      <c r="F342" s="25">
        <v>37</v>
      </c>
      <c r="G342" s="4" t="s">
        <v>149</v>
      </c>
      <c r="H342" s="25" t="s">
        <v>149</v>
      </c>
      <c r="I342" s="4" t="s">
        <v>110</v>
      </c>
      <c r="J342" s="25" t="s">
        <v>110</v>
      </c>
      <c r="L342" s="25" t="s">
        <v>2120</v>
      </c>
      <c r="M342" s="4" t="s">
        <v>336</v>
      </c>
      <c r="N342" s="25" t="s">
        <v>336</v>
      </c>
      <c r="O342" s="4">
        <v>4.9000000000000004</v>
      </c>
      <c r="P342" s="25">
        <v>4.9000000000000004</v>
      </c>
      <c r="Q342" s="4" t="s">
        <v>41</v>
      </c>
      <c r="R342" s="25" t="s">
        <v>41</v>
      </c>
      <c r="T342" s="26" t="s">
        <v>2120</v>
      </c>
    </row>
    <row r="343" spans="1:20" x14ac:dyDescent="0.3">
      <c r="A343" s="27" t="s">
        <v>788</v>
      </c>
      <c r="B343" s="4" t="s">
        <v>789</v>
      </c>
      <c r="C343" s="4" t="s">
        <v>113</v>
      </c>
      <c r="D343" s="25" t="s">
        <v>118</v>
      </c>
      <c r="E343" s="4">
        <v>53</v>
      </c>
      <c r="F343" s="25">
        <v>53</v>
      </c>
      <c r="G343" s="4" t="s">
        <v>19</v>
      </c>
      <c r="H343" s="25" t="s">
        <v>19</v>
      </c>
      <c r="I343" s="4" t="s">
        <v>57</v>
      </c>
      <c r="J343" s="25" t="s">
        <v>57</v>
      </c>
      <c r="K343" s="4">
        <v>4</v>
      </c>
      <c r="L343" s="25">
        <v>4</v>
      </c>
      <c r="M343" s="4" t="s">
        <v>52</v>
      </c>
      <c r="N343" s="25" t="s">
        <v>52</v>
      </c>
      <c r="O343" s="4">
        <v>4.7</v>
      </c>
      <c r="P343" s="25">
        <v>4.7</v>
      </c>
      <c r="Q343" s="4" t="s">
        <v>181</v>
      </c>
      <c r="R343" s="25" t="s">
        <v>181</v>
      </c>
      <c r="S343" s="4">
        <v>0.99</v>
      </c>
      <c r="T343" s="26">
        <v>0.99</v>
      </c>
    </row>
    <row r="344" spans="1:20" x14ac:dyDescent="0.3">
      <c r="A344" s="27" t="s">
        <v>790</v>
      </c>
      <c r="B344" s="4" t="s">
        <v>791</v>
      </c>
      <c r="C344" s="4" t="s">
        <v>97</v>
      </c>
      <c r="D344" s="25" t="s">
        <v>97</v>
      </c>
      <c r="E344" s="4">
        <v>22</v>
      </c>
      <c r="F344" s="25">
        <v>22</v>
      </c>
      <c r="G344" s="4" t="s">
        <v>19</v>
      </c>
      <c r="H344" s="25" t="s">
        <v>19</v>
      </c>
      <c r="I344" s="4" t="s">
        <v>21</v>
      </c>
      <c r="J344" s="25" t="s">
        <v>21</v>
      </c>
      <c r="K344" s="4">
        <v>3</v>
      </c>
      <c r="L344" s="25">
        <v>3</v>
      </c>
      <c r="M344" s="4" t="s">
        <v>70</v>
      </c>
      <c r="N344" s="25" t="s">
        <v>70</v>
      </c>
      <c r="O344" s="4">
        <v>2.1</v>
      </c>
      <c r="P344" s="25">
        <v>2.1</v>
      </c>
      <c r="Q344" s="4" t="s">
        <v>23</v>
      </c>
      <c r="R344" s="25" t="s">
        <v>23</v>
      </c>
      <c r="T344" s="26" t="s">
        <v>2120</v>
      </c>
    </row>
    <row r="345" spans="1:20" x14ac:dyDescent="0.3">
      <c r="A345" s="27" t="s">
        <v>792</v>
      </c>
      <c r="B345" s="4" t="s">
        <v>793</v>
      </c>
      <c r="C345" s="4" t="s">
        <v>97</v>
      </c>
      <c r="D345" s="25" t="s">
        <v>97</v>
      </c>
      <c r="E345" s="4">
        <v>55</v>
      </c>
      <c r="F345" s="25">
        <v>55</v>
      </c>
      <c r="G345" s="4" t="s">
        <v>55</v>
      </c>
      <c r="H345" s="25" t="s">
        <v>55</v>
      </c>
      <c r="I345" s="4" t="s">
        <v>31</v>
      </c>
      <c r="J345" s="25" t="s">
        <v>31</v>
      </c>
      <c r="K345" s="4">
        <v>33</v>
      </c>
      <c r="L345" s="25">
        <v>33</v>
      </c>
      <c r="M345" s="4" t="s">
        <v>86</v>
      </c>
      <c r="N345" s="25" t="s">
        <v>86</v>
      </c>
      <c r="O345" s="4">
        <v>1.5</v>
      </c>
      <c r="P345" s="25">
        <v>1.5</v>
      </c>
      <c r="Q345" s="4" t="s">
        <v>94</v>
      </c>
      <c r="R345" s="25" t="s">
        <v>94</v>
      </c>
      <c r="S345" s="4">
        <v>0.71</v>
      </c>
      <c r="T345" s="26">
        <v>0.71</v>
      </c>
    </row>
    <row r="346" spans="1:20" x14ac:dyDescent="0.3">
      <c r="A346" s="27" t="s">
        <v>794</v>
      </c>
      <c r="B346" s="4" t="s">
        <v>795</v>
      </c>
      <c r="C346" s="4" t="s">
        <v>78</v>
      </c>
      <c r="D346" s="25" t="s">
        <v>118</v>
      </c>
      <c r="E346" s="4">
        <v>22</v>
      </c>
      <c r="F346" s="25">
        <v>22</v>
      </c>
      <c r="G346" s="4" t="s">
        <v>29</v>
      </c>
      <c r="H346" s="25" t="s">
        <v>29</v>
      </c>
      <c r="I346" s="4" t="s">
        <v>98</v>
      </c>
      <c r="J346" s="25" t="s">
        <v>98</v>
      </c>
      <c r="K346" s="4">
        <v>1</v>
      </c>
      <c r="L346" s="25">
        <v>1</v>
      </c>
      <c r="M346" s="4" t="s">
        <v>51</v>
      </c>
      <c r="N346" s="25" t="s">
        <v>2119</v>
      </c>
      <c r="O346" s="4">
        <v>2.6</v>
      </c>
      <c r="P346" s="25">
        <v>2.6</v>
      </c>
      <c r="Q346" s="4" t="s">
        <v>23</v>
      </c>
      <c r="R346" s="25" t="s">
        <v>23</v>
      </c>
      <c r="S346" s="4">
        <v>0.72</v>
      </c>
      <c r="T346" s="26">
        <v>0.72</v>
      </c>
    </row>
    <row r="347" spans="1:20" x14ac:dyDescent="0.3">
      <c r="A347" s="27" t="s">
        <v>796</v>
      </c>
      <c r="B347" s="4" t="s">
        <v>797</v>
      </c>
      <c r="C347" s="4" t="s">
        <v>18</v>
      </c>
      <c r="D347" s="25" t="s">
        <v>97</v>
      </c>
      <c r="E347" s="4">
        <v>45</v>
      </c>
      <c r="F347" s="25">
        <v>45</v>
      </c>
      <c r="G347" s="4" t="s">
        <v>79</v>
      </c>
      <c r="H347" s="25" t="s">
        <v>79</v>
      </c>
      <c r="I347" s="4" t="s">
        <v>46</v>
      </c>
      <c r="J347" s="25" t="s">
        <v>46</v>
      </c>
      <c r="K347" s="4">
        <v>23</v>
      </c>
      <c r="L347" s="25">
        <v>23</v>
      </c>
      <c r="M347" s="4" t="s">
        <v>119</v>
      </c>
      <c r="N347" s="25" t="s">
        <v>119</v>
      </c>
      <c r="O347" s="4">
        <v>0</v>
      </c>
      <c r="P347" s="25">
        <v>0</v>
      </c>
      <c r="Q347" s="4" t="s">
        <v>23</v>
      </c>
      <c r="R347" s="25" t="s">
        <v>23</v>
      </c>
      <c r="S347" s="4">
        <v>0.66</v>
      </c>
      <c r="T347" s="26">
        <v>0.66</v>
      </c>
    </row>
    <row r="348" spans="1:20" x14ac:dyDescent="0.3">
      <c r="A348" s="27" t="s">
        <v>798</v>
      </c>
      <c r="B348" s="4" t="s">
        <v>799</v>
      </c>
      <c r="C348" s="4" t="s">
        <v>113</v>
      </c>
      <c r="D348" s="25" t="s">
        <v>118</v>
      </c>
      <c r="E348" s="4">
        <v>36</v>
      </c>
      <c r="F348" s="25">
        <v>36</v>
      </c>
      <c r="G348" s="4" t="s">
        <v>156</v>
      </c>
      <c r="H348" s="25" t="s">
        <v>156</v>
      </c>
      <c r="I348" s="4" t="s">
        <v>66</v>
      </c>
      <c r="J348" s="25" t="s">
        <v>66</v>
      </c>
      <c r="K348" s="4">
        <v>13</v>
      </c>
      <c r="L348" s="25">
        <v>13</v>
      </c>
      <c r="M348" s="4" t="s">
        <v>86</v>
      </c>
      <c r="N348" s="25" t="s">
        <v>86</v>
      </c>
      <c r="P348" s="25" t="s">
        <v>2120</v>
      </c>
      <c r="Q348" s="4" t="s">
        <v>41</v>
      </c>
      <c r="R348" s="25" t="s">
        <v>41</v>
      </c>
      <c r="S348" s="4">
        <v>0.78</v>
      </c>
      <c r="T348" s="26">
        <v>0.78</v>
      </c>
    </row>
    <row r="349" spans="1:20" x14ac:dyDescent="0.3">
      <c r="A349" s="27" t="s">
        <v>800</v>
      </c>
      <c r="B349" s="4" t="s">
        <v>801</v>
      </c>
      <c r="C349" s="4" t="s">
        <v>63</v>
      </c>
      <c r="D349" s="25" t="s">
        <v>118</v>
      </c>
      <c r="E349" s="4">
        <v>23</v>
      </c>
      <c r="F349" s="25">
        <v>23</v>
      </c>
      <c r="G349" s="4" t="s">
        <v>29</v>
      </c>
      <c r="H349" s="25" t="s">
        <v>29</v>
      </c>
      <c r="I349" s="4" t="s">
        <v>110</v>
      </c>
      <c r="J349" s="25" t="s">
        <v>110</v>
      </c>
      <c r="K349" s="4">
        <v>1</v>
      </c>
      <c r="L349" s="25">
        <v>1</v>
      </c>
      <c r="M349" s="4" t="s">
        <v>336</v>
      </c>
      <c r="N349" s="25" t="s">
        <v>336</v>
      </c>
      <c r="O349" s="4">
        <v>4</v>
      </c>
      <c r="P349" s="25">
        <v>4</v>
      </c>
      <c r="Q349" s="4" t="s">
        <v>94</v>
      </c>
      <c r="R349" s="25" t="s">
        <v>94</v>
      </c>
      <c r="S349" s="4">
        <v>100</v>
      </c>
      <c r="T349" s="26">
        <v>100</v>
      </c>
    </row>
    <row r="350" spans="1:20" x14ac:dyDescent="0.3">
      <c r="A350" s="27" t="s">
        <v>802</v>
      </c>
      <c r="B350" s="4" t="s">
        <v>803</v>
      </c>
      <c r="C350" s="4" t="s">
        <v>113</v>
      </c>
      <c r="D350" s="25" t="s">
        <v>118</v>
      </c>
      <c r="E350" s="4">
        <v>55</v>
      </c>
      <c r="F350" s="25">
        <v>55</v>
      </c>
      <c r="G350" s="4" t="s">
        <v>19</v>
      </c>
      <c r="H350" s="25" t="s">
        <v>19</v>
      </c>
      <c r="I350" s="4" t="s">
        <v>110</v>
      </c>
      <c r="J350" s="25" t="s">
        <v>110</v>
      </c>
      <c r="K350" s="4">
        <v>15</v>
      </c>
      <c r="L350" s="25">
        <v>15</v>
      </c>
      <c r="M350" s="4" t="s">
        <v>86</v>
      </c>
      <c r="N350" s="25" t="s">
        <v>86</v>
      </c>
      <c r="O350" s="4">
        <v>4.5</v>
      </c>
      <c r="P350" s="25">
        <v>4.5</v>
      </c>
      <c r="Q350" s="4" t="s">
        <v>51</v>
      </c>
      <c r="R350" s="25" t="s">
        <v>2120</v>
      </c>
      <c r="T350" s="26" t="s">
        <v>2120</v>
      </c>
    </row>
    <row r="351" spans="1:20" x14ac:dyDescent="0.3">
      <c r="A351" s="27" t="s">
        <v>804</v>
      </c>
      <c r="B351" s="4" t="s">
        <v>805</v>
      </c>
      <c r="C351" s="4" t="s">
        <v>45</v>
      </c>
      <c r="D351" s="25" t="s">
        <v>97</v>
      </c>
      <c r="E351" s="4">
        <v>50</v>
      </c>
      <c r="F351" s="25">
        <v>50</v>
      </c>
      <c r="G351" s="4" t="s">
        <v>128</v>
      </c>
      <c r="H351" s="25" t="s">
        <v>128</v>
      </c>
      <c r="I351" s="4" t="s">
        <v>31</v>
      </c>
      <c r="J351" s="25" t="s">
        <v>31</v>
      </c>
      <c r="K351" s="4">
        <v>18</v>
      </c>
      <c r="L351" s="25">
        <v>18</v>
      </c>
      <c r="M351" s="4" t="s">
        <v>103</v>
      </c>
      <c r="N351" s="25" t="s">
        <v>103</v>
      </c>
      <c r="O351" s="4">
        <v>3.8</v>
      </c>
      <c r="P351" s="25">
        <v>3.8</v>
      </c>
      <c r="Q351" s="4" t="s">
        <v>23</v>
      </c>
      <c r="R351" s="25" t="s">
        <v>23</v>
      </c>
      <c r="S351" s="4">
        <v>67</v>
      </c>
      <c r="T351" s="26">
        <v>67</v>
      </c>
    </row>
    <row r="352" spans="1:20" x14ac:dyDescent="0.3">
      <c r="A352" s="27" t="s">
        <v>806</v>
      </c>
      <c r="B352" s="4" t="s">
        <v>807</v>
      </c>
      <c r="C352" s="4" t="s">
        <v>37</v>
      </c>
      <c r="D352" s="25" t="s">
        <v>118</v>
      </c>
      <c r="E352" s="4">
        <v>48</v>
      </c>
      <c r="F352" s="25">
        <v>48</v>
      </c>
      <c r="G352" s="4" t="s">
        <v>73</v>
      </c>
      <c r="H352" s="25" t="s">
        <v>73</v>
      </c>
      <c r="I352" s="4" t="s">
        <v>135</v>
      </c>
      <c r="J352" s="25" t="s">
        <v>135</v>
      </c>
      <c r="K352" s="4">
        <v>21</v>
      </c>
      <c r="L352" s="25">
        <v>21</v>
      </c>
      <c r="M352" s="4" t="s">
        <v>40</v>
      </c>
      <c r="N352" s="25" t="s">
        <v>40</v>
      </c>
      <c r="O352" s="4">
        <v>4</v>
      </c>
      <c r="P352" s="25">
        <v>4</v>
      </c>
      <c r="Q352" s="4" t="s">
        <v>23</v>
      </c>
      <c r="R352" s="25" t="s">
        <v>23</v>
      </c>
      <c r="S352" s="4">
        <v>0.78</v>
      </c>
      <c r="T352" s="26">
        <v>0.78</v>
      </c>
    </row>
    <row r="353" spans="1:20" x14ac:dyDescent="0.3">
      <c r="A353" s="27" t="s">
        <v>808</v>
      </c>
      <c r="B353" s="4" t="s">
        <v>809</v>
      </c>
      <c r="C353" s="4" t="s">
        <v>78</v>
      </c>
      <c r="D353" s="25" t="s">
        <v>118</v>
      </c>
      <c r="E353" s="4">
        <v>23</v>
      </c>
      <c r="F353" s="25">
        <v>23</v>
      </c>
      <c r="G353" s="4" t="s">
        <v>55</v>
      </c>
      <c r="H353" s="25" t="s">
        <v>55</v>
      </c>
      <c r="I353" s="4" t="s">
        <v>110</v>
      </c>
      <c r="J353" s="25" t="s">
        <v>110</v>
      </c>
      <c r="K353" s="4">
        <v>1</v>
      </c>
      <c r="L353" s="25">
        <v>1</v>
      </c>
      <c r="M353" s="4" t="s">
        <v>47</v>
      </c>
      <c r="N353" s="25" t="s">
        <v>47</v>
      </c>
      <c r="O353" s="4">
        <v>4.9000000000000004</v>
      </c>
      <c r="P353" s="25">
        <v>4.9000000000000004</v>
      </c>
      <c r="Q353" s="4" t="s">
        <v>87</v>
      </c>
      <c r="R353" s="25" t="s">
        <v>87</v>
      </c>
      <c r="S353" s="4">
        <v>0.78</v>
      </c>
      <c r="T353" s="26">
        <v>0.78</v>
      </c>
    </row>
    <row r="354" spans="1:20" x14ac:dyDescent="0.3">
      <c r="A354" s="27" t="s">
        <v>810</v>
      </c>
      <c r="B354" s="4" t="s">
        <v>811</v>
      </c>
      <c r="C354" s="4" t="s">
        <v>18</v>
      </c>
      <c r="D354" s="25" t="s">
        <v>97</v>
      </c>
      <c r="E354" s="4">
        <v>49</v>
      </c>
      <c r="F354" s="25">
        <v>49</v>
      </c>
      <c r="G354" s="4" t="s">
        <v>149</v>
      </c>
      <c r="H354" s="25" t="s">
        <v>149</v>
      </c>
      <c r="I354" s="4" t="s">
        <v>46</v>
      </c>
      <c r="J354" s="25" t="s">
        <v>46</v>
      </c>
      <c r="K354" s="4">
        <v>25</v>
      </c>
      <c r="L354" s="25">
        <v>25</v>
      </c>
      <c r="M354" s="4" t="s">
        <v>58</v>
      </c>
      <c r="N354" s="25" t="s">
        <v>58</v>
      </c>
      <c r="O354" s="4">
        <v>3.4</v>
      </c>
      <c r="P354" s="25">
        <v>3.4</v>
      </c>
      <c r="Q354" s="4" t="s">
        <v>23</v>
      </c>
      <c r="R354" s="25" t="s">
        <v>23</v>
      </c>
      <c r="S354" s="4">
        <v>0.75</v>
      </c>
      <c r="T354" s="26">
        <v>0.75</v>
      </c>
    </row>
    <row r="355" spans="1:20" x14ac:dyDescent="0.3">
      <c r="A355" s="27" t="s">
        <v>812</v>
      </c>
      <c r="B355" s="4" t="s">
        <v>813</v>
      </c>
      <c r="C355" s="4" t="s">
        <v>45</v>
      </c>
      <c r="D355" s="25" t="s">
        <v>97</v>
      </c>
      <c r="E355" s="4">
        <v>47</v>
      </c>
      <c r="F355" s="25">
        <v>47</v>
      </c>
      <c r="G355" s="4" t="s">
        <v>19</v>
      </c>
      <c r="H355" s="25" t="s">
        <v>19</v>
      </c>
      <c r="I355" s="4" t="s">
        <v>98</v>
      </c>
      <c r="J355" s="25" t="s">
        <v>98</v>
      </c>
      <c r="K355" s="4">
        <v>12</v>
      </c>
      <c r="L355" s="25">
        <v>12</v>
      </c>
      <c r="M355" s="4" t="s">
        <v>40</v>
      </c>
      <c r="N355" s="25" t="s">
        <v>40</v>
      </c>
      <c r="O355" s="4">
        <v>2.1</v>
      </c>
      <c r="P355" s="25">
        <v>2.1</v>
      </c>
      <c r="Q355" s="4" t="s">
        <v>74</v>
      </c>
      <c r="R355" s="25" t="s">
        <v>74</v>
      </c>
      <c r="S355" s="4">
        <v>0.67</v>
      </c>
      <c r="T355" s="26">
        <v>0.67</v>
      </c>
    </row>
    <row r="356" spans="1:20" x14ac:dyDescent="0.3">
      <c r="A356" s="27" t="s">
        <v>814</v>
      </c>
      <c r="B356" s="4" t="s">
        <v>815</v>
      </c>
      <c r="C356" s="4" t="s">
        <v>97</v>
      </c>
      <c r="D356" s="25" t="s">
        <v>97</v>
      </c>
      <c r="E356" s="4">
        <v>56</v>
      </c>
      <c r="F356" s="25">
        <v>56</v>
      </c>
      <c r="G356" s="4" t="s">
        <v>106</v>
      </c>
      <c r="H356" s="25" t="s">
        <v>106</v>
      </c>
      <c r="I356" s="4" t="s">
        <v>39</v>
      </c>
      <c r="J356" s="25" t="s">
        <v>39</v>
      </c>
      <c r="K356" s="4">
        <v>32</v>
      </c>
      <c r="L356" s="25">
        <v>32</v>
      </c>
      <c r="M356" s="4" t="s">
        <v>70</v>
      </c>
      <c r="N356" s="25" t="s">
        <v>70</v>
      </c>
      <c r="O356" s="4">
        <v>0</v>
      </c>
      <c r="P356" s="25">
        <v>0</v>
      </c>
      <c r="Q356" s="4" t="s">
        <v>33</v>
      </c>
      <c r="R356" s="25" t="s">
        <v>33</v>
      </c>
      <c r="S356" s="4">
        <v>0.86</v>
      </c>
      <c r="T356" s="26">
        <v>0.86</v>
      </c>
    </row>
    <row r="357" spans="1:20" x14ac:dyDescent="0.3">
      <c r="A357" s="27" t="s">
        <v>816</v>
      </c>
      <c r="B357" s="4" t="s">
        <v>817</v>
      </c>
      <c r="C357" s="4" t="s">
        <v>78</v>
      </c>
      <c r="D357" s="25" t="s">
        <v>118</v>
      </c>
      <c r="E357" s="4">
        <v>58</v>
      </c>
      <c r="F357" s="25">
        <v>58</v>
      </c>
      <c r="G357" s="4" t="s">
        <v>91</v>
      </c>
      <c r="H357" s="25" t="s">
        <v>91</v>
      </c>
      <c r="I357" s="4" t="s">
        <v>93</v>
      </c>
      <c r="J357" s="25" t="s">
        <v>93</v>
      </c>
      <c r="L357" s="25" t="s">
        <v>2120</v>
      </c>
      <c r="M357" s="4" t="s">
        <v>22</v>
      </c>
      <c r="N357" s="25" t="s">
        <v>22</v>
      </c>
      <c r="O357" s="4">
        <v>4.5</v>
      </c>
      <c r="P357" s="25">
        <v>4.5</v>
      </c>
      <c r="Q357" s="4" t="s">
        <v>181</v>
      </c>
      <c r="R357" s="25" t="s">
        <v>181</v>
      </c>
      <c r="S357" s="4">
        <v>77</v>
      </c>
      <c r="T357" s="26">
        <v>77</v>
      </c>
    </row>
    <row r="358" spans="1:20" x14ac:dyDescent="0.3">
      <c r="A358" s="27" t="s">
        <v>818</v>
      </c>
      <c r="B358" s="4" t="s">
        <v>819</v>
      </c>
      <c r="C358" s="4" t="s">
        <v>63</v>
      </c>
      <c r="D358" s="25" t="s">
        <v>118</v>
      </c>
      <c r="E358" s="4">
        <v>32</v>
      </c>
      <c r="F358" s="25">
        <v>32</v>
      </c>
      <c r="G358" s="4" t="s">
        <v>133</v>
      </c>
      <c r="H358" s="25" t="s">
        <v>133</v>
      </c>
      <c r="I358" s="4" t="s">
        <v>93</v>
      </c>
      <c r="J358" s="25" t="s">
        <v>93</v>
      </c>
      <c r="K358" s="4">
        <v>10</v>
      </c>
      <c r="L358" s="25">
        <v>10</v>
      </c>
      <c r="M358" s="4" t="s">
        <v>58</v>
      </c>
      <c r="N358" s="25" t="s">
        <v>58</v>
      </c>
      <c r="O358" s="4">
        <v>3.8</v>
      </c>
      <c r="P358" s="25">
        <v>3.8</v>
      </c>
      <c r="Q358" s="4" t="s">
        <v>23</v>
      </c>
      <c r="R358" s="25" t="s">
        <v>23</v>
      </c>
      <c r="S358" s="4">
        <v>0.61</v>
      </c>
      <c r="T358" s="26">
        <v>0.61</v>
      </c>
    </row>
    <row r="359" spans="1:20" x14ac:dyDescent="0.3">
      <c r="A359" s="27" t="s">
        <v>820</v>
      </c>
      <c r="B359" s="4" t="s">
        <v>821</v>
      </c>
      <c r="C359" s="4" t="s">
        <v>97</v>
      </c>
      <c r="D359" s="25" t="s">
        <v>97</v>
      </c>
      <c r="E359" s="4">
        <v>52</v>
      </c>
      <c r="F359" s="25">
        <v>52</v>
      </c>
      <c r="G359" s="4" t="s">
        <v>114</v>
      </c>
      <c r="H359" s="25" t="s">
        <v>114</v>
      </c>
      <c r="I359" s="4" t="s">
        <v>93</v>
      </c>
      <c r="J359" s="25" t="s">
        <v>93</v>
      </c>
      <c r="K359" s="4">
        <v>0</v>
      </c>
      <c r="L359" s="25">
        <v>0</v>
      </c>
      <c r="M359" s="4" t="s">
        <v>51</v>
      </c>
      <c r="N359" s="25" t="s">
        <v>2119</v>
      </c>
      <c r="O359" s="4">
        <v>4.3</v>
      </c>
      <c r="P359" s="25">
        <v>4.3</v>
      </c>
      <c r="Q359" s="4" t="s">
        <v>23</v>
      </c>
      <c r="R359" s="25" t="s">
        <v>23</v>
      </c>
      <c r="S359" s="4">
        <v>0.9</v>
      </c>
      <c r="T359" s="26">
        <v>0.9</v>
      </c>
    </row>
    <row r="360" spans="1:20" x14ac:dyDescent="0.3">
      <c r="A360" s="27" t="s">
        <v>822</v>
      </c>
      <c r="B360" s="4" t="s">
        <v>823</v>
      </c>
      <c r="C360" s="4" t="s">
        <v>28</v>
      </c>
      <c r="D360" s="25" t="s">
        <v>97</v>
      </c>
      <c r="E360" s="4">
        <v>22</v>
      </c>
      <c r="F360" s="25">
        <v>22</v>
      </c>
      <c r="G360" s="4" t="s">
        <v>197</v>
      </c>
      <c r="H360" s="25" t="s">
        <v>197</v>
      </c>
      <c r="I360" s="4" t="s">
        <v>66</v>
      </c>
      <c r="J360" s="25" t="s">
        <v>66</v>
      </c>
      <c r="K360" s="4">
        <v>1</v>
      </c>
      <c r="L360" s="25">
        <v>1</v>
      </c>
      <c r="M360" s="4" t="s">
        <v>40</v>
      </c>
      <c r="N360" s="25" t="s">
        <v>40</v>
      </c>
      <c r="O360" s="4">
        <v>0</v>
      </c>
      <c r="P360" s="25">
        <v>0</v>
      </c>
      <c r="Q360" s="4" t="s">
        <v>51</v>
      </c>
      <c r="R360" s="25" t="s">
        <v>2120</v>
      </c>
      <c r="S360" s="4">
        <v>0.98</v>
      </c>
      <c r="T360" s="26">
        <v>0.98</v>
      </c>
    </row>
    <row r="361" spans="1:20" x14ac:dyDescent="0.3">
      <c r="A361" s="27" t="s">
        <v>824</v>
      </c>
      <c r="B361" s="4" t="s">
        <v>825</v>
      </c>
      <c r="C361" s="4" t="s">
        <v>118</v>
      </c>
      <c r="D361" s="25" t="s">
        <v>118</v>
      </c>
      <c r="E361" s="4">
        <v>20</v>
      </c>
      <c r="F361" s="25">
        <v>20</v>
      </c>
      <c r="G361" s="4" t="s">
        <v>114</v>
      </c>
      <c r="H361" s="25" t="s">
        <v>114</v>
      </c>
      <c r="I361" s="4" t="s">
        <v>98</v>
      </c>
      <c r="J361" s="25" t="s">
        <v>98</v>
      </c>
      <c r="K361" s="4">
        <v>2</v>
      </c>
      <c r="L361" s="25">
        <v>2</v>
      </c>
      <c r="M361" s="4" t="s">
        <v>52</v>
      </c>
      <c r="N361" s="25" t="s">
        <v>52</v>
      </c>
      <c r="P361" s="25" t="s">
        <v>2120</v>
      </c>
      <c r="Q361" s="4" t="s">
        <v>33</v>
      </c>
      <c r="R361" s="25" t="s">
        <v>33</v>
      </c>
      <c r="S361" s="4">
        <v>0.99</v>
      </c>
      <c r="T361" s="26">
        <v>0.99</v>
      </c>
    </row>
    <row r="362" spans="1:20" x14ac:dyDescent="0.3">
      <c r="A362" s="27" t="s">
        <v>826</v>
      </c>
      <c r="B362" s="4" t="s">
        <v>827</v>
      </c>
      <c r="C362" s="4" t="s">
        <v>113</v>
      </c>
      <c r="D362" s="25" t="s">
        <v>118</v>
      </c>
      <c r="E362" s="4">
        <v>56</v>
      </c>
      <c r="F362" s="25">
        <v>56</v>
      </c>
      <c r="G362" s="4" t="s">
        <v>55</v>
      </c>
      <c r="H362" s="25" t="s">
        <v>55</v>
      </c>
      <c r="I362" s="4" t="s">
        <v>66</v>
      </c>
      <c r="J362" s="25" t="s">
        <v>66</v>
      </c>
      <c r="K362" s="4">
        <v>9</v>
      </c>
      <c r="L362" s="25">
        <v>9</v>
      </c>
      <c r="M362" s="4" t="s">
        <v>70</v>
      </c>
      <c r="N362" s="25" t="s">
        <v>70</v>
      </c>
      <c r="O362" s="4">
        <v>2.6</v>
      </c>
      <c r="P362" s="25">
        <v>2.6</v>
      </c>
      <c r="Q362" s="4" t="s">
        <v>23</v>
      </c>
      <c r="R362" s="25" t="s">
        <v>23</v>
      </c>
      <c r="S362" s="4">
        <v>0.61</v>
      </c>
      <c r="T362" s="26">
        <v>0.61</v>
      </c>
    </row>
    <row r="363" spans="1:20" x14ac:dyDescent="0.3">
      <c r="A363" s="27" t="s">
        <v>828</v>
      </c>
      <c r="B363" s="4" t="s">
        <v>829</v>
      </c>
      <c r="C363" s="4" t="s">
        <v>118</v>
      </c>
      <c r="D363" s="25" t="s">
        <v>118</v>
      </c>
      <c r="E363" s="4">
        <v>41</v>
      </c>
      <c r="F363" s="25">
        <v>41</v>
      </c>
      <c r="G363" s="4" t="s">
        <v>106</v>
      </c>
      <c r="H363" s="25" t="s">
        <v>106</v>
      </c>
      <c r="I363" s="4" t="s">
        <v>66</v>
      </c>
      <c r="J363" s="25" t="s">
        <v>66</v>
      </c>
      <c r="K363" s="4">
        <v>22</v>
      </c>
      <c r="L363" s="25">
        <v>22</v>
      </c>
      <c r="M363" s="4" t="s">
        <v>119</v>
      </c>
      <c r="N363" s="25" t="s">
        <v>119</v>
      </c>
      <c r="O363" s="4">
        <v>1.6</v>
      </c>
      <c r="P363" s="25">
        <v>1.6</v>
      </c>
      <c r="Q363" s="4" t="s">
        <v>33</v>
      </c>
      <c r="R363" s="25" t="s">
        <v>33</v>
      </c>
      <c r="S363" s="4">
        <v>0.61</v>
      </c>
      <c r="T363" s="26">
        <v>0.61</v>
      </c>
    </row>
    <row r="364" spans="1:20" x14ac:dyDescent="0.3">
      <c r="A364" s="27" t="s">
        <v>830</v>
      </c>
      <c r="B364" s="4" t="s">
        <v>831</v>
      </c>
      <c r="C364" s="4" t="s">
        <v>118</v>
      </c>
      <c r="D364" s="25" t="s">
        <v>118</v>
      </c>
      <c r="E364" s="4">
        <v>25</v>
      </c>
      <c r="F364" s="25">
        <v>25</v>
      </c>
      <c r="G364" s="4" t="s">
        <v>91</v>
      </c>
      <c r="H364" s="25" t="s">
        <v>91</v>
      </c>
      <c r="I364" s="4" t="s">
        <v>21</v>
      </c>
      <c r="J364" s="25" t="s">
        <v>21</v>
      </c>
      <c r="K364" s="4">
        <v>5</v>
      </c>
      <c r="L364" s="25">
        <v>5</v>
      </c>
      <c r="M364" s="4" t="s">
        <v>58</v>
      </c>
      <c r="N364" s="25" t="s">
        <v>58</v>
      </c>
      <c r="O364" s="4">
        <v>2.2999999999999998</v>
      </c>
      <c r="P364" s="25">
        <v>2.2999999999999998</v>
      </c>
      <c r="Q364" s="4" t="s">
        <v>23</v>
      </c>
      <c r="R364" s="25" t="s">
        <v>23</v>
      </c>
      <c r="S364" s="4">
        <v>0.91</v>
      </c>
      <c r="T364" s="26">
        <v>0.91</v>
      </c>
    </row>
    <row r="365" spans="1:20" x14ac:dyDescent="0.3">
      <c r="A365" s="27" t="s">
        <v>832</v>
      </c>
      <c r="B365" s="4" t="s">
        <v>833</v>
      </c>
      <c r="C365" s="4" t="s">
        <v>28</v>
      </c>
      <c r="D365" s="25" t="s">
        <v>97</v>
      </c>
      <c r="E365" s="4">
        <v>44</v>
      </c>
      <c r="F365" s="25">
        <v>44</v>
      </c>
      <c r="G365" s="4" t="s">
        <v>149</v>
      </c>
      <c r="H365" s="25" t="s">
        <v>149</v>
      </c>
      <c r="I365" s="4" t="s">
        <v>98</v>
      </c>
      <c r="J365" s="25" t="s">
        <v>98</v>
      </c>
      <c r="K365" s="4">
        <v>6</v>
      </c>
      <c r="L365" s="25">
        <v>6</v>
      </c>
      <c r="M365" s="4" t="s">
        <v>103</v>
      </c>
      <c r="N365" s="25" t="s">
        <v>103</v>
      </c>
      <c r="O365" s="4">
        <v>4.5999999999999996</v>
      </c>
      <c r="P365" s="25">
        <v>4.5999999999999996</v>
      </c>
      <c r="Q365" s="4" t="s">
        <v>94</v>
      </c>
      <c r="R365" s="25" t="s">
        <v>94</v>
      </c>
      <c r="S365" s="4">
        <v>72</v>
      </c>
      <c r="T365" s="26">
        <v>72</v>
      </c>
    </row>
    <row r="366" spans="1:20" x14ac:dyDescent="0.3">
      <c r="A366" s="27" t="s">
        <v>834</v>
      </c>
      <c r="B366" s="4" t="s">
        <v>835</v>
      </c>
      <c r="C366" s="4" t="s">
        <v>50</v>
      </c>
      <c r="D366" s="25" t="s">
        <v>97</v>
      </c>
      <c r="E366" s="4">
        <v>46</v>
      </c>
      <c r="F366" s="25">
        <v>46</v>
      </c>
      <c r="G366" s="4" t="s">
        <v>29</v>
      </c>
      <c r="H366" s="25" t="s">
        <v>29</v>
      </c>
      <c r="I366" s="4" t="s">
        <v>46</v>
      </c>
      <c r="J366" s="25" t="s">
        <v>46</v>
      </c>
      <c r="K366" s="4">
        <v>26</v>
      </c>
      <c r="L366" s="25">
        <v>26</v>
      </c>
      <c r="M366" s="4" t="s">
        <v>251</v>
      </c>
      <c r="N366" s="25" t="s">
        <v>251</v>
      </c>
      <c r="O366" s="4">
        <v>2.1</v>
      </c>
      <c r="P366" s="25">
        <v>2.1</v>
      </c>
      <c r="Q366" s="4" t="s">
        <v>51</v>
      </c>
      <c r="R366" s="25" t="s">
        <v>2120</v>
      </c>
      <c r="T366" s="26" t="s">
        <v>2120</v>
      </c>
    </row>
    <row r="367" spans="1:20" x14ac:dyDescent="0.3">
      <c r="A367" s="27" t="s">
        <v>836</v>
      </c>
      <c r="B367" s="4" t="s">
        <v>837</v>
      </c>
      <c r="C367" s="4" t="s">
        <v>50</v>
      </c>
      <c r="D367" s="25" t="s">
        <v>97</v>
      </c>
      <c r="E367" s="4">
        <v>40</v>
      </c>
      <c r="F367" s="25">
        <v>40</v>
      </c>
      <c r="G367" s="4" t="s">
        <v>133</v>
      </c>
      <c r="H367" s="25" t="s">
        <v>133</v>
      </c>
      <c r="I367" s="4" t="s">
        <v>21</v>
      </c>
      <c r="J367" s="25" t="s">
        <v>21</v>
      </c>
      <c r="L367" s="25" t="s">
        <v>2120</v>
      </c>
      <c r="M367" s="4" t="s">
        <v>86</v>
      </c>
      <c r="N367" s="25" t="s">
        <v>86</v>
      </c>
      <c r="O367" s="4">
        <v>1.5</v>
      </c>
      <c r="P367" s="25">
        <v>1.5</v>
      </c>
      <c r="Q367" s="4" t="s">
        <v>59</v>
      </c>
      <c r="R367" s="25" t="s">
        <v>59</v>
      </c>
      <c r="S367" s="4">
        <v>0.96</v>
      </c>
      <c r="T367" s="26">
        <v>0.96</v>
      </c>
    </row>
    <row r="368" spans="1:20" x14ac:dyDescent="0.3">
      <c r="A368" s="27" t="s">
        <v>838</v>
      </c>
      <c r="B368" s="4" t="s">
        <v>839</v>
      </c>
      <c r="C368" s="4" t="s">
        <v>37</v>
      </c>
      <c r="D368" s="25" t="s">
        <v>118</v>
      </c>
      <c r="F368" s="25" t="s">
        <v>2119</v>
      </c>
      <c r="G368" s="4" t="s">
        <v>197</v>
      </c>
      <c r="H368" s="25" t="s">
        <v>197</v>
      </c>
      <c r="I368" s="4" t="s">
        <v>57</v>
      </c>
      <c r="J368" s="25" t="s">
        <v>57</v>
      </c>
      <c r="K368" s="4">
        <v>9</v>
      </c>
      <c r="L368" s="25">
        <v>9</v>
      </c>
      <c r="M368" s="4" t="s">
        <v>70</v>
      </c>
      <c r="N368" s="25" t="s">
        <v>70</v>
      </c>
      <c r="O368" s="4">
        <v>1.7</v>
      </c>
      <c r="P368" s="25">
        <v>1.7</v>
      </c>
      <c r="Q368" s="4" t="s">
        <v>33</v>
      </c>
      <c r="R368" s="25" t="s">
        <v>33</v>
      </c>
      <c r="S368" s="4">
        <v>72</v>
      </c>
      <c r="T368" s="26">
        <v>72</v>
      </c>
    </row>
    <row r="369" spans="1:20" x14ac:dyDescent="0.3">
      <c r="A369" s="27" t="s">
        <v>840</v>
      </c>
      <c r="B369" s="4" t="s">
        <v>841</v>
      </c>
      <c r="C369" s="4" t="s">
        <v>113</v>
      </c>
      <c r="D369" s="25" t="s">
        <v>118</v>
      </c>
      <c r="E369" s="4">
        <v>31</v>
      </c>
      <c r="F369" s="25">
        <v>31</v>
      </c>
      <c r="G369" s="4" t="s">
        <v>106</v>
      </c>
      <c r="H369" s="25" t="s">
        <v>106</v>
      </c>
      <c r="I369" s="4" t="s">
        <v>66</v>
      </c>
      <c r="J369" s="25" t="s">
        <v>66</v>
      </c>
      <c r="K369" s="4">
        <v>11</v>
      </c>
      <c r="L369" s="25">
        <v>11</v>
      </c>
      <c r="M369" s="4" t="s">
        <v>51</v>
      </c>
      <c r="N369" s="25" t="s">
        <v>2119</v>
      </c>
      <c r="O369" s="4">
        <v>3.3</v>
      </c>
      <c r="P369" s="25">
        <v>3.3</v>
      </c>
      <c r="Q369" s="4" t="s">
        <v>23</v>
      </c>
      <c r="R369" s="25" t="s">
        <v>23</v>
      </c>
      <c r="T369" s="26" t="s">
        <v>2120</v>
      </c>
    </row>
    <row r="370" spans="1:20" x14ac:dyDescent="0.3">
      <c r="A370" s="27" t="s">
        <v>842</v>
      </c>
      <c r="B370" s="4" t="s">
        <v>843</v>
      </c>
      <c r="C370" s="4" t="s">
        <v>63</v>
      </c>
      <c r="D370" s="25" t="s">
        <v>118</v>
      </c>
      <c r="E370" s="4">
        <v>33</v>
      </c>
      <c r="F370" s="25">
        <v>33</v>
      </c>
      <c r="G370" s="4" t="s">
        <v>133</v>
      </c>
      <c r="H370" s="25" t="s">
        <v>133</v>
      </c>
      <c r="I370" s="4" t="s">
        <v>135</v>
      </c>
      <c r="J370" s="25" t="s">
        <v>135</v>
      </c>
      <c r="L370" s="25" t="s">
        <v>2120</v>
      </c>
      <c r="M370" s="4" t="s">
        <v>47</v>
      </c>
      <c r="N370" s="25" t="s">
        <v>47</v>
      </c>
      <c r="O370" s="4">
        <v>4.3</v>
      </c>
      <c r="P370" s="25">
        <v>4.3</v>
      </c>
      <c r="Q370" s="4" t="s">
        <v>33</v>
      </c>
      <c r="R370" s="25" t="s">
        <v>33</v>
      </c>
      <c r="S370" s="4">
        <v>0.63</v>
      </c>
      <c r="T370" s="26">
        <v>0.63</v>
      </c>
    </row>
    <row r="371" spans="1:20" x14ac:dyDescent="0.3">
      <c r="A371" s="27" t="s">
        <v>844</v>
      </c>
      <c r="B371" s="4" t="s">
        <v>845</v>
      </c>
      <c r="C371" s="4" t="s">
        <v>28</v>
      </c>
      <c r="D371" s="25" t="s">
        <v>97</v>
      </c>
      <c r="E371" s="4">
        <v>31</v>
      </c>
      <c r="F371" s="25">
        <v>31</v>
      </c>
      <c r="G371" s="4" t="s">
        <v>128</v>
      </c>
      <c r="H371" s="25" t="s">
        <v>128</v>
      </c>
      <c r="I371" s="4" t="s">
        <v>135</v>
      </c>
      <c r="J371" s="25" t="s">
        <v>135</v>
      </c>
      <c r="K371" s="4">
        <v>3</v>
      </c>
      <c r="L371" s="25">
        <v>3</v>
      </c>
      <c r="M371" s="4" t="s">
        <v>142</v>
      </c>
      <c r="N371" s="25" t="s">
        <v>142</v>
      </c>
      <c r="P371" s="25" t="s">
        <v>2120</v>
      </c>
      <c r="Q371" s="4" t="s">
        <v>41</v>
      </c>
      <c r="R371" s="25" t="s">
        <v>41</v>
      </c>
      <c r="T371" s="26" t="s">
        <v>2120</v>
      </c>
    </row>
    <row r="372" spans="1:20" x14ac:dyDescent="0.3">
      <c r="A372" s="27" t="s">
        <v>846</v>
      </c>
      <c r="B372" s="4" t="s">
        <v>847</v>
      </c>
      <c r="C372" s="4" t="s">
        <v>45</v>
      </c>
      <c r="D372" s="25" t="s">
        <v>97</v>
      </c>
      <c r="E372" s="4">
        <v>49</v>
      </c>
      <c r="F372" s="25">
        <v>49</v>
      </c>
      <c r="G372" s="4" t="s">
        <v>19</v>
      </c>
      <c r="H372" s="25" t="s">
        <v>19</v>
      </c>
      <c r="I372" s="4" t="s">
        <v>66</v>
      </c>
      <c r="J372" s="25" t="s">
        <v>66</v>
      </c>
      <c r="K372" s="4">
        <v>15</v>
      </c>
      <c r="L372" s="25">
        <v>15</v>
      </c>
      <c r="M372" s="4" t="s">
        <v>67</v>
      </c>
      <c r="N372" s="25" t="s">
        <v>67</v>
      </c>
      <c r="O372" s="4">
        <v>2.6</v>
      </c>
      <c r="P372" s="25">
        <v>2.6</v>
      </c>
      <c r="Q372" s="4" t="s">
        <v>41</v>
      </c>
      <c r="R372" s="25" t="s">
        <v>41</v>
      </c>
      <c r="S372" s="4">
        <v>0.83</v>
      </c>
      <c r="T372" s="26">
        <v>0.83</v>
      </c>
    </row>
    <row r="373" spans="1:20" x14ac:dyDescent="0.3">
      <c r="A373" s="27" t="s">
        <v>848</v>
      </c>
      <c r="B373" s="4" t="s">
        <v>849</v>
      </c>
      <c r="C373" s="4" t="s">
        <v>37</v>
      </c>
      <c r="D373" s="25" t="s">
        <v>118</v>
      </c>
      <c r="E373" s="4">
        <v>35</v>
      </c>
      <c r="F373" s="25">
        <v>35</v>
      </c>
      <c r="G373" s="4" t="s">
        <v>201</v>
      </c>
      <c r="H373" s="25" t="s">
        <v>201</v>
      </c>
      <c r="I373" s="4" t="s">
        <v>39</v>
      </c>
      <c r="J373" s="25" t="s">
        <v>39</v>
      </c>
      <c r="K373" s="4">
        <v>12</v>
      </c>
      <c r="L373" s="25">
        <v>12</v>
      </c>
      <c r="M373" s="4" t="s">
        <v>336</v>
      </c>
      <c r="N373" s="25" t="s">
        <v>336</v>
      </c>
      <c r="O373" s="4">
        <v>4.0999999999999996</v>
      </c>
      <c r="P373" s="25">
        <v>4.0999999999999996</v>
      </c>
      <c r="Q373" s="4" t="s">
        <v>51</v>
      </c>
      <c r="R373" s="25" t="s">
        <v>2120</v>
      </c>
      <c r="S373" s="4">
        <v>0.94</v>
      </c>
      <c r="T373" s="26">
        <v>0.94</v>
      </c>
    </row>
    <row r="374" spans="1:20" x14ac:dyDescent="0.3">
      <c r="A374" s="27" t="s">
        <v>850</v>
      </c>
      <c r="B374" s="4" t="s">
        <v>851</v>
      </c>
      <c r="C374" s="4" t="s">
        <v>113</v>
      </c>
      <c r="D374" s="25" t="s">
        <v>118</v>
      </c>
      <c r="E374" s="4">
        <v>45</v>
      </c>
      <c r="F374" s="25">
        <v>45</v>
      </c>
      <c r="G374" s="4" t="s">
        <v>114</v>
      </c>
      <c r="H374" s="25" t="s">
        <v>114</v>
      </c>
      <c r="I374" s="4" t="s">
        <v>66</v>
      </c>
      <c r="J374" s="25" t="s">
        <v>66</v>
      </c>
      <c r="K374" s="4">
        <v>19</v>
      </c>
      <c r="L374" s="25">
        <v>19</v>
      </c>
      <c r="M374" s="4" t="s">
        <v>47</v>
      </c>
      <c r="N374" s="25" t="s">
        <v>47</v>
      </c>
      <c r="O374" s="4">
        <v>2.2000000000000002</v>
      </c>
      <c r="P374" s="25">
        <v>2.2000000000000002</v>
      </c>
      <c r="Q374" s="4" t="s">
        <v>33</v>
      </c>
      <c r="R374" s="25" t="s">
        <v>33</v>
      </c>
      <c r="S374" s="4">
        <v>0.78</v>
      </c>
      <c r="T374" s="26">
        <v>0.78</v>
      </c>
    </row>
    <row r="375" spans="1:20" x14ac:dyDescent="0.3">
      <c r="A375" s="27" t="s">
        <v>852</v>
      </c>
      <c r="B375" s="4" t="s">
        <v>853</v>
      </c>
      <c r="C375" s="4" t="s">
        <v>50</v>
      </c>
      <c r="D375" s="25" t="s">
        <v>97</v>
      </c>
      <c r="E375" s="4">
        <v>39</v>
      </c>
      <c r="F375" s="25">
        <v>39</v>
      </c>
      <c r="G375" s="4" t="s">
        <v>55</v>
      </c>
      <c r="H375" s="25" t="s">
        <v>55</v>
      </c>
      <c r="I375" s="4" t="s">
        <v>66</v>
      </c>
      <c r="J375" s="25" t="s">
        <v>66</v>
      </c>
      <c r="K375" s="4">
        <v>13</v>
      </c>
      <c r="L375" s="25">
        <v>13</v>
      </c>
      <c r="M375" s="4" t="s">
        <v>52</v>
      </c>
      <c r="N375" s="25" t="s">
        <v>52</v>
      </c>
      <c r="O375" s="4">
        <v>1.1000000000000001</v>
      </c>
      <c r="P375" s="25">
        <v>1.1000000000000001</v>
      </c>
      <c r="Q375" s="4" t="s">
        <v>33</v>
      </c>
      <c r="R375" s="25" t="s">
        <v>33</v>
      </c>
      <c r="T375" s="26" t="s">
        <v>2120</v>
      </c>
    </row>
    <row r="376" spans="1:20" x14ac:dyDescent="0.3">
      <c r="A376" s="27" t="s">
        <v>854</v>
      </c>
      <c r="B376" s="4" t="s">
        <v>855</v>
      </c>
      <c r="C376" s="4" t="s">
        <v>78</v>
      </c>
      <c r="D376" s="25" t="s">
        <v>118</v>
      </c>
      <c r="F376" s="25" t="s">
        <v>2119</v>
      </c>
      <c r="G376" s="4" t="s">
        <v>91</v>
      </c>
      <c r="H376" s="25" t="s">
        <v>91</v>
      </c>
      <c r="I376" s="4" t="s">
        <v>21</v>
      </c>
      <c r="J376" s="25" t="s">
        <v>21</v>
      </c>
      <c r="L376" s="25" t="s">
        <v>2120</v>
      </c>
      <c r="M376" s="4" t="s">
        <v>81</v>
      </c>
      <c r="N376" s="25" t="s">
        <v>81</v>
      </c>
      <c r="O376" s="4">
        <v>2.1</v>
      </c>
      <c r="P376" s="25">
        <v>2.1</v>
      </c>
      <c r="Q376" s="4" t="s">
        <v>33</v>
      </c>
      <c r="R376" s="25" t="s">
        <v>33</v>
      </c>
      <c r="S376" s="4">
        <v>0.82</v>
      </c>
      <c r="T376" s="26">
        <v>0.82</v>
      </c>
    </row>
    <row r="377" spans="1:20" x14ac:dyDescent="0.3">
      <c r="A377" s="27" t="s">
        <v>856</v>
      </c>
      <c r="B377" s="4" t="s">
        <v>857</v>
      </c>
      <c r="C377" s="4" t="s">
        <v>37</v>
      </c>
      <c r="D377" s="25" t="s">
        <v>118</v>
      </c>
      <c r="E377" s="4">
        <v>24</v>
      </c>
      <c r="F377" s="25">
        <v>24</v>
      </c>
      <c r="G377" s="4" t="s">
        <v>38</v>
      </c>
      <c r="H377" s="25" t="s">
        <v>38</v>
      </c>
      <c r="I377" s="4" t="s">
        <v>98</v>
      </c>
      <c r="J377" s="25" t="s">
        <v>98</v>
      </c>
      <c r="K377" s="4">
        <v>3</v>
      </c>
      <c r="L377" s="25">
        <v>3</v>
      </c>
      <c r="M377" s="4" t="s">
        <v>58</v>
      </c>
      <c r="N377" s="25" t="s">
        <v>58</v>
      </c>
      <c r="O377" s="4">
        <v>2.2999999999999998</v>
      </c>
      <c r="P377" s="25">
        <v>2.2999999999999998</v>
      </c>
      <c r="Q377" s="4" t="s">
        <v>59</v>
      </c>
      <c r="R377" s="25" t="s">
        <v>59</v>
      </c>
      <c r="S377" s="4">
        <v>0.66</v>
      </c>
      <c r="T377" s="26">
        <v>0.66</v>
      </c>
    </row>
    <row r="378" spans="1:20" x14ac:dyDescent="0.3">
      <c r="A378" s="27" t="s">
        <v>858</v>
      </c>
      <c r="B378" s="4" t="s">
        <v>859</v>
      </c>
      <c r="C378" s="4" t="s">
        <v>118</v>
      </c>
      <c r="D378" s="25" t="s">
        <v>118</v>
      </c>
      <c r="E378" s="4">
        <v>50</v>
      </c>
      <c r="F378" s="25">
        <v>50</v>
      </c>
      <c r="G378" s="4" t="s">
        <v>29</v>
      </c>
      <c r="H378" s="25" t="s">
        <v>29</v>
      </c>
      <c r="I378" s="4" t="s">
        <v>39</v>
      </c>
      <c r="J378" s="25" t="s">
        <v>39</v>
      </c>
      <c r="K378" s="4">
        <v>26</v>
      </c>
      <c r="L378" s="25">
        <v>26</v>
      </c>
      <c r="M378" s="4" t="s">
        <v>51</v>
      </c>
      <c r="N378" s="25" t="s">
        <v>2119</v>
      </c>
      <c r="O378" s="4">
        <v>3.6</v>
      </c>
      <c r="P378" s="25">
        <v>3.6</v>
      </c>
      <c r="Q378" s="4" t="s">
        <v>33</v>
      </c>
      <c r="R378" s="25" t="s">
        <v>33</v>
      </c>
      <c r="S378" s="4">
        <v>82</v>
      </c>
      <c r="T378" s="26">
        <v>82</v>
      </c>
    </row>
    <row r="379" spans="1:20" x14ac:dyDescent="0.3">
      <c r="A379" s="27" t="s">
        <v>860</v>
      </c>
      <c r="B379" s="4" t="s">
        <v>861</v>
      </c>
      <c r="C379" s="4" t="s">
        <v>50</v>
      </c>
      <c r="D379" s="25" t="s">
        <v>97</v>
      </c>
      <c r="E379" s="4">
        <v>23</v>
      </c>
      <c r="F379" s="25">
        <v>23</v>
      </c>
      <c r="G379" s="4" t="s">
        <v>38</v>
      </c>
      <c r="H379" s="25" t="s">
        <v>38</v>
      </c>
      <c r="I379" s="4" t="s">
        <v>135</v>
      </c>
      <c r="J379" s="25" t="s">
        <v>135</v>
      </c>
      <c r="K379" s="4">
        <v>4</v>
      </c>
      <c r="L379" s="25">
        <v>4</v>
      </c>
      <c r="M379" s="4" t="s">
        <v>336</v>
      </c>
      <c r="N379" s="25" t="s">
        <v>336</v>
      </c>
      <c r="O379" s="4">
        <v>4.7</v>
      </c>
      <c r="P379" s="25">
        <v>4.7</v>
      </c>
      <c r="Q379" s="4" t="s">
        <v>74</v>
      </c>
      <c r="R379" s="25" t="s">
        <v>74</v>
      </c>
      <c r="S379" s="4">
        <v>0.84</v>
      </c>
      <c r="T379" s="26">
        <v>0.84</v>
      </c>
    </row>
    <row r="380" spans="1:20" x14ac:dyDescent="0.3">
      <c r="A380" s="27" t="s">
        <v>862</v>
      </c>
      <c r="B380" s="4" t="s">
        <v>863</v>
      </c>
      <c r="C380" s="4" t="s">
        <v>78</v>
      </c>
      <c r="D380" s="25" t="s">
        <v>118</v>
      </c>
      <c r="E380" s="4">
        <v>27</v>
      </c>
      <c r="F380" s="25">
        <v>27</v>
      </c>
      <c r="G380" s="4" t="s">
        <v>149</v>
      </c>
      <c r="H380" s="25" t="s">
        <v>149</v>
      </c>
      <c r="I380" s="4" t="s">
        <v>98</v>
      </c>
      <c r="J380" s="25" t="s">
        <v>98</v>
      </c>
      <c r="K380" s="4">
        <v>8</v>
      </c>
      <c r="L380" s="25">
        <v>8</v>
      </c>
      <c r="M380" s="4" t="s">
        <v>162</v>
      </c>
      <c r="N380" s="25" t="s">
        <v>162</v>
      </c>
      <c r="O380" s="4">
        <v>4.8</v>
      </c>
      <c r="P380" s="25">
        <v>4.8</v>
      </c>
      <c r="Q380" s="4" t="s">
        <v>41</v>
      </c>
      <c r="R380" s="25" t="s">
        <v>41</v>
      </c>
      <c r="S380" s="4">
        <v>0.81</v>
      </c>
      <c r="T380" s="26">
        <v>0.81</v>
      </c>
    </row>
    <row r="381" spans="1:20" x14ac:dyDescent="0.3">
      <c r="A381" s="27" t="s">
        <v>864</v>
      </c>
      <c r="B381" s="4" t="s">
        <v>865</v>
      </c>
      <c r="C381" s="4" t="s">
        <v>118</v>
      </c>
      <c r="D381" s="25" t="s">
        <v>118</v>
      </c>
      <c r="E381" s="4">
        <v>58</v>
      </c>
      <c r="F381" s="25">
        <v>58</v>
      </c>
      <c r="G381" s="4" t="s">
        <v>175</v>
      </c>
      <c r="H381" s="25" t="s">
        <v>175</v>
      </c>
      <c r="I381" s="4" t="s">
        <v>57</v>
      </c>
      <c r="J381" s="25" t="s">
        <v>57</v>
      </c>
      <c r="K381" s="4">
        <v>10</v>
      </c>
      <c r="L381" s="25">
        <v>10</v>
      </c>
      <c r="M381" s="4" t="s">
        <v>103</v>
      </c>
      <c r="N381" s="25" t="s">
        <v>103</v>
      </c>
      <c r="O381" s="4">
        <v>4.2</v>
      </c>
      <c r="P381" s="25">
        <v>4.2</v>
      </c>
      <c r="Q381" s="4" t="s">
        <v>41</v>
      </c>
      <c r="R381" s="25" t="s">
        <v>41</v>
      </c>
      <c r="S381" s="4">
        <v>71</v>
      </c>
      <c r="T381" s="26">
        <v>71</v>
      </c>
    </row>
    <row r="382" spans="1:20" x14ac:dyDescent="0.3">
      <c r="A382" s="27" t="s">
        <v>866</v>
      </c>
      <c r="B382" s="4" t="s">
        <v>867</v>
      </c>
      <c r="C382" s="4" t="s">
        <v>63</v>
      </c>
      <c r="D382" s="25" t="s">
        <v>118</v>
      </c>
      <c r="E382" s="4">
        <v>37</v>
      </c>
      <c r="F382" s="25">
        <v>37</v>
      </c>
      <c r="G382" s="4" t="s">
        <v>19</v>
      </c>
      <c r="H382" s="25" t="s">
        <v>19</v>
      </c>
      <c r="I382" s="4" t="s">
        <v>135</v>
      </c>
      <c r="J382" s="25" t="s">
        <v>135</v>
      </c>
      <c r="K382" s="4">
        <v>5</v>
      </c>
      <c r="L382" s="25">
        <v>5</v>
      </c>
      <c r="M382" s="4" t="s">
        <v>51</v>
      </c>
      <c r="N382" s="25" t="s">
        <v>2119</v>
      </c>
      <c r="O382" s="4">
        <v>4.8</v>
      </c>
      <c r="P382" s="25">
        <v>4.8</v>
      </c>
      <c r="Q382" s="4" t="s">
        <v>33</v>
      </c>
      <c r="R382" s="25" t="s">
        <v>33</v>
      </c>
      <c r="S382" s="4">
        <v>0.61</v>
      </c>
      <c r="T382" s="26">
        <v>0.61</v>
      </c>
    </row>
    <row r="383" spans="1:20" x14ac:dyDescent="0.3">
      <c r="A383" s="27" t="s">
        <v>868</v>
      </c>
      <c r="B383" s="4" t="s">
        <v>869</v>
      </c>
      <c r="C383" s="4" t="s">
        <v>78</v>
      </c>
      <c r="D383" s="25" t="s">
        <v>118</v>
      </c>
      <c r="E383" s="4">
        <v>39</v>
      </c>
      <c r="F383" s="25">
        <v>39</v>
      </c>
      <c r="G383" s="4" t="s">
        <v>212</v>
      </c>
      <c r="H383" s="25" t="s">
        <v>212</v>
      </c>
      <c r="I383" s="4" t="s">
        <v>21</v>
      </c>
      <c r="J383" s="25" t="s">
        <v>21</v>
      </c>
      <c r="K383" s="4">
        <v>18</v>
      </c>
      <c r="L383" s="25">
        <v>18</v>
      </c>
      <c r="M383" s="4" t="s">
        <v>103</v>
      </c>
      <c r="N383" s="25" t="s">
        <v>103</v>
      </c>
      <c r="O383" s="4">
        <v>4</v>
      </c>
      <c r="P383" s="25">
        <v>4</v>
      </c>
      <c r="Q383" s="4" t="s">
        <v>33</v>
      </c>
      <c r="R383" s="25" t="s">
        <v>33</v>
      </c>
      <c r="S383" s="4">
        <v>0.66</v>
      </c>
      <c r="T383" s="26">
        <v>0.66</v>
      </c>
    </row>
    <row r="384" spans="1:20" x14ac:dyDescent="0.3">
      <c r="A384" s="27" t="s">
        <v>870</v>
      </c>
      <c r="B384" s="4" t="s">
        <v>871</v>
      </c>
      <c r="C384" s="4" t="s">
        <v>28</v>
      </c>
      <c r="D384" s="25" t="s">
        <v>97</v>
      </c>
      <c r="E384" s="4">
        <v>46</v>
      </c>
      <c r="F384" s="25">
        <v>46</v>
      </c>
      <c r="G384" s="4" t="s">
        <v>160</v>
      </c>
      <c r="H384" s="25" t="s">
        <v>160</v>
      </c>
      <c r="I384" s="4" t="s">
        <v>66</v>
      </c>
      <c r="J384" s="25" t="s">
        <v>66</v>
      </c>
      <c r="K384" s="4">
        <v>10</v>
      </c>
      <c r="L384" s="25">
        <v>10</v>
      </c>
      <c r="M384" s="4" t="s">
        <v>142</v>
      </c>
      <c r="N384" s="25" t="s">
        <v>142</v>
      </c>
      <c r="O384" s="4">
        <v>2.5</v>
      </c>
      <c r="P384" s="25">
        <v>2.5</v>
      </c>
      <c r="Q384" s="4" t="s">
        <v>74</v>
      </c>
      <c r="R384" s="25" t="s">
        <v>74</v>
      </c>
      <c r="S384" s="4">
        <v>0.97</v>
      </c>
      <c r="T384" s="26">
        <v>0.97</v>
      </c>
    </row>
    <row r="385" spans="1:20" x14ac:dyDescent="0.3">
      <c r="A385" s="27" t="s">
        <v>872</v>
      </c>
      <c r="B385" s="4" t="s">
        <v>873</v>
      </c>
      <c r="C385" s="4" t="s">
        <v>97</v>
      </c>
      <c r="D385" s="25" t="s">
        <v>97</v>
      </c>
      <c r="F385" s="25" t="s">
        <v>2119</v>
      </c>
      <c r="G385" s="4" t="s">
        <v>85</v>
      </c>
      <c r="H385" s="25" t="s">
        <v>85</v>
      </c>
      <c r="I385" s="4" t="s">
        <v>93</v>
      </c>
      <c r="J385" s="25" t="s">
        <v>93</v>
      </c>
      <c r="K385" s="4">
        <v>0</v>
      </c>
      <c r="L385" s="25">
        <v>0</v>
      </c>
      <c r="M385" s="4" t="s">
        <v>336</v>
      </c>
      <c r="N385" s="25" t="s">
        <v>336</v>
      </c>
      <c r="O385" s="4">
        <v>4.8</v>
      </c>
      <c r="P385" s="25">
        <v>4.8</v>
      </c>
      <c r="Q385" s="4" t="s">
        <v>23</v>
      </c>
      <c r="R385" s="25" t="s">
        <v>23</v>
      </c>
      <c r="S385" s="4">
        <v>0.74</v>
      </c>
      <c r="T385" s="26">
        <v>0.74</v>
      </c>
    </row>
    <row r="386" spans="1:20" x14ac:dyDescent="0.3">
      <c r="A386" s="27" t="s">
        <v>874</v>
      </c>
      <c r="B386" s="4" t="s">
        <v>875</v>
      </c>
      <c r="C386" s="4" t="s">
        <v>18</v>
      </c>
      <c r="D386" s="25" t="s">
        <v>97</v>
      </c>
      <c r="E386" s="4">
        <v>39</v>
      </c>
      <c r="F386" s="25">
        <v>39</v>
      </c>
      <c r="G386" s="4" t="s">
        <v>201</v>
      </c>
      <c r="H386" s="25" t="s">
        <v>201</v>
      </c>
      <c r="I386" s="4" t="s">
        <v>21</v>
      </c>
      <c r="J386" s="25" t="s">
        <v>21</v>
      </c>
      <c r="K386" s="4">
        <v>21</v>
      </c>
      <c r="L386" s="25">
        <v>21</v>
      </c>
      <c r="M386" s="4" t="s">
        <v>52</v>
      </c>
      <c r="N386" s="25" t="s">
        <v>52</v>
      </c>
      <c r="O386" s="4">
        <v>4.7</v>
      </c>
      <c r="P386" s="25">
        <v>4.7</v>
      </c>
      <c r="Q386" s="4" t="s">
        <v>59</v>
      </c>
      <c r="R386" s="25" t="s">
        <v>59</v>
      </c>
      <c r="S386" s="4">
        <v>0.61</v>
      </c>
      <c r="T386" s="26">
        <v>0.61</v>
      </c>
    </row>
    <row r="387" spans="1:20" x14ac:dyDescent="0.3">
      <c r="A387" s="27" t="s">
        <v>876</v>
      </c>
      <c r="B387" s="4" t="s">
        <v>877</v>
      </c>
      <c r="C387" s="4" t="s">
        <v>113</v>
      </c>
      <c r="D387" s="25" t="s">
        <v>118</v>
      </c>
      <c r="E387" s="4">
        <v>59</v>
      </c>
      <c r="F387" s="25">
        <v>59</v>
      </c>
      <c r="G387" s="4" t="s">
        <v>160</v>
      </c>
      <c r="H387" s="25" t="s">
        <v>160</v>
      </c>
      <c r="I387" s="4" t="s">
        <v>21</v>
      </c>
      <c r="J387" s="25" t="s">
        <v>21</v>
      </c>
      <c r="K387" s="4">
        <v>25</v>
      </c>
      <c r="L387" s="25">
        <v>25</v>
      </c>
      <c r="M387" s="4" t="s">
        <v>162</v>
      </c>
      <c r="N387" s="25" t="s">
        <v>162</v>
      </c>
      <c r="O387" s="4">
        <v>4</v>
      </c>
      <c r="P387" s="25">
        <v>4</v>
      </c>
      <c r="Q387" s="4" t="s">
        <v>23</v>
      </c>
      <c r="R387" s="25" t="s">
        <v>23</v>
      </c>
      <c r="S387" s="4">
        <v>0.9</v>
      </c>
      <c r="T387" s="26">
        <v>0.9</v>
      </c>
    </row>
    <row r="388" spans="1:20" x14ac:dyDescent="0.3">
      <c r="A388" s="27" t="s">
        <v>878</v>
      </c>
      <c r="B388" s="4" t="s">
        <v>879</v>
      </c>
      <c r="C388" s="4" t="s">
        <v>63</v>
      </c>
      <c r="D388" s="25" t="s">
        <v>118</v>
      </c>
      <c r="E388" s="4">
        <v>21</v>
      </c>
      <c r="F388" s="25">
        <v>21</v>
      </c>
      <c r="G388" s="4" t="s">
        <v>55</v>
      </c>
      <c r="H388" s="25" t="s">
        <v>55</v>
      </c>
      <c r="I388" s="4" t="s">
        <v>110</v>
      </c>
      <c r="J388" s="25" t="s">
        <v>110</v>
      </c>
      <c r="K388" s="4">
        <v>0</v>
      </c>
      <c r="L388" s="25">
        <v>0</v>
      </c>
      <c r="M388" s="4" t="s">
        <v>47</v>
      </c>
      <c r="N388" s="25" t="s">
        <v>47</v>
      </c>
      <c r="O388" s="4">
        <v>4.0999999999999996</v>
      </c>
      <c r="P388" s="25">
        <v>4.0999999999999996</v>
      </c>
      <c r="Q388" s="4" t="s">
        <v>94</v>
      </c>
      <c r="R388" s="25" t="s">
        <v>94</v>
      </c>
      <c r="S388" s="4">
        <v>0.97</v>
      </c>
      <c r="T388" s="26">
        <v>0.97</v>
      </c>
    </row>
    <row r="389" spans="1:20" x14ac:dyDescent="0.3">
      <c r="A389" s="27" t="s">
        <v>880</v>
      </c>
      <c r="B389" s="4" t="s">
        <v>881</v>
      </c>
      <c r="C389" s="4" t="s">
        <v>28</v>
      </c>
      <c r="D389" s="25" t="s">
        <v>97</v>
      </c>
      <c r="E389" s="4">
        <v>23</v>
      </c>
      <c r="F389" s="25">
        <v>23</v>
      </c>
      <c r="G389" s="4" t="s">
        <v>149</v>
      </c>
      <c r="H389" s="25" t="s">
        <v>149</v>
      </c>
      <c r="I389" s="4" t="s">
        <v>110</v>
      </c>
      <c r="J389" s="25" t="s">
        <v>110</v>
      </c>
      <c r="K389" s="4">
        <v>5</v>
      </c>
      <c r="L389" s="25">
        <v>5</v>
      </c>
      <c r="M389" s="4" t="s">
        <v>22</v>
      </c>
      <c r="N389" s="25" t="s">
        <v>22</v>
      </c>
      <c r="O389" s="4">
        <v>3.2</v>
      </c>
      <c r="P389" s="25">
        <v>3.2</v>
      </c>
      <c r="Q389" s="4" t="s">
        <v>33</v>
      </c>
      <c r="R389" s="25" t="s">
        <v>33</v>
      </c>
      <c r="T389" s="26" t="s">
        <v>2120</v>
      </c>
    </row>
    <row r="390" spans="1:20" x14ac:dyDescent="0.3">
      <c r="A390" s="27" t="s">
        <v>882</v>
      </c>
      <c r="B390" s="4" t="s">
        <v>883</v>
      </c>
      <c r="C390" s="4" t="s">
        <v>63</v>
      </c>
      <c r="D390" s="25" t="s">
        <v>118</v>
      </c>
      <c r="E390" s="4">
        <v>27</v>
      </c>
      <c r="F390" s="25">
        <v>27</v>
      </c>
      <c r="G390" s="4" t="s">
        <v>160</v>
      </c>
      <c r="H390" s="25" t="s">
        <v>160</v>
      </c>
      <c r="I390" s="4" t="s">
        <v>46</v>
      </c>
      <c r="J390" s="25" t="s">
        <v>46</v>
      </c>
      <c r="K390" s="4">
        <v>1</v>
      </c>
      <c r="L390" s="25">
        <v>1</v>
      </c>
      <c r="M390" s="4" t="s">
        <v>162</v>
      </c>
      <c r="N390" s="25" t="s">
        <v>162</v>
      </c>
      <c r="O390" s="4">
        <v>4.3</v>
      </c>
      <c r="P390" s="25">
        <v>4.3</v>
      </c>
      <c r="Q390" s="4" t="s">
        <v>41</v>
      </c>
      <c r="R390" s="25" t="s">
        <v>41</v>
      </c>
      <c r="S390" s="4">
        <v>0.76</v>
      </c>
      <c r="T390" s="26">
        <v>0.76</v>
      </c>
    </row>
    <row r="391" spans="1:20" x14ac:dyDescent="0.3">
      <c r="A391" s="27" t="s">
        <v>884</v>
      </c>
      <c r="B391" s="4" t="s">
        <v>885</v>
      </c>
      <c r="C391" s="4" t="s">
        <v>63</v>
      </c>
      <c r="D391" s="25" t="s">
        <v>118</v>
      </c>
      <c r="E391" s="4">
        <v>27</v>
      </c>
      <c r="F391" s="25">
        <v>27</v>
      </c>
      <c r="G391" s="4" t="s">
        <v>197</v>
      </c>
      <c r="H391" s="25" t="s">
        <v>197</v>
      </c>
      <c r="I391" s="4" t="s">
        <v>98</v>
      </c>
      <c r="J391" s="25" t="s">
        <v>98</v>
      </c>
      <c r="K391" s="4">
        <v>4</v>
      </c>
      <c r="L391" s="25">
        <v>4</v>
      </c>
      <c r="M391" s="4" t="s">
        <v>86</v>
      </c>
      <c r="N391" s="25" t="s">
        <v>86</v>
      </c>
      <c r="O391" s="4">
        <v>4.4000000000000004</v>
      </c>
      <c r="P391" s="25">
        <v>4.4000000000000004</v>
      </c>
      <c r="Q391" s="4" t="s">
        <v>23</v>
      </c>
      <c r="R391" s="25" t="s">
        <v>23</v>
      </c>
      <c r="S391" s="4">
        <v>0.92</v>
      </c>
      <c r="T391" s="26">
        <v>0.92</v>
      </c>
    </row>
    <row r="392" spans="1:20" x14ac:dyDescent="0.3">
      <c r="A392" s="27" t="s">
        <v>886</v>
      </c>
      <c r="B392" s="4" t="s">
        <v>887</v>
      </c>
      <c r="C392" s="4" t="s">
        <v>45</v>
      </c>
      <c r="D392" s="25" t="s">
        <v>97</v>
      </c>
      <c r="E392" s="4">
        <v>48</v>
      </c>
      <c r="F392" s="25">
        <v>48</v>
      </c>
      <c r="G392" s="4" t="s">
        <v>175</v>
      </c>
      <c r="H392" s="25" t="s">
        <v>175</v>
      </c>
      <c r="I392" s="4" t="s">
        <v>66</v>
      </c>
      <c r="J392" s="25" t="s">
        <v>66</v>
      </c>
      <c r="K392" s="4">
        <v>21</v>
      </c>
      <c r="L392" s="25">
        <v>21</v>
      </c>
      <c r="M392" s="4" t="s">
        <v>86</v>
      </c>
      <c r="N392" s="25" t="s">
        <v>86</v>
      </c>
      <c r="O392" s="4">
        <v>2.2999999999999998</v>
      </c>
      <c r="P392" s="25">
        <v>2.2999999999999998</v>
      </c>
      <c r="Q392" s="4" t="s">
        <v>23</v>
      </c>
      <c r="R392" s="25" t="s">
        <v>23</v>
      </c>
      <c r="T392" s="26" t="s">
        <v>2120</v>
      </c>
    </row>
    <row r="393" spans="1:20" x14ac:dyDescent="0.3">
      <c r="A393" s="27" t="s">
        <v>888</v>
      </c>
      <c r="B393" s="4" t="s">
        <v>889</v>
      </c>
      <c r="C393" s="4" t="s">
        <v>78</v>
      </c>
      <c r="D393" s="25" t="s">
        <v>118</v>
      </c>
      <c r="E393" s="4">
        <v>21</v>
      </c>
      <c r="F393" s="25">
        <v>21</v>
      </c>
      <c r="G393" s="4" t="s">
        <v>175</v>
      </c>
      <c r="H393" s="25" t="s">
        <v>175</v>
      </c>
      <c r="I393" s="4" t="s">
        <v>57</v>
      </c>
      <c r="J393" s="25" t="s">
        <v>57</v>
      </c>
      <c r="K393" s="4">
        <v>1</v>
      </c>
      <c r="L393" s="25">
        <v>1</v>
      </c>
      <c r="M393" s="4" t="s">
        <v>142</v>
      </c>
      <c r="N393" s="25" t="s">
        <v>142</v>
      </c>
      <c r="O393" s="4">
        <v>2.4</v>
      </c>
      <c r="P393" s="25">
        <v>2.4</v>
      </c>
      <c r="Q393" s="4" t="s">
        <v>33</v>
      </c>
      <c r="R393" s="25" t="s">
        <v>33</v>
      </c>
      <c r="S393" s="4">
        <v>0.66</v>
      </c>
      <c r="T393" s="26">
        <v>0.66</v>
      </c>
    </row>
    <row r="394" spans="1:20" x14ac:dyDescent="0.3">
      <c r="A394" s="27" t="s">
        <v>890</v>
      </c>
      <c r="B394" s="4" t="s">
        <v>891</v>
      </c>
      <c r="C394" s="4" t="s">
        <v>63</v>
      </c>
      <c r="D394" s="25" t="s">
        <v>118</v>
      </c>
      <c r="E394" s="4">
        <v>37</v>
      </c>
      <c r="F394" s="25">
        <v>37</v>
      </c>
      <c r="G394" s="4" t="s">
        <v>19</v>
      </c>
      <c r="H394" s="25" t="s">
        <v>19</v>
      </c>
      <c r="I394" s="4" t="s">
        <v>110</v>
      </c>
      <c r="J394" s="25" t="s">
        <v>110</v>
      </c>
      <c r="L394" s="25" t="s">
        <v>2120</v>
      </c>
      <c r="M394" s="4" t="s">
        <v>40</v>
      </c>
      <c r="N394" s="25" t="s">
        <v>40</v>
      </c>
      <c r="O394" s="4">
        <v>4.5999999999999996</v>
      </c>
      <c r="P394" s="25">
        <v>4.5999999999999996</v>
      </c>
      <c r="Q394" s="4" t="s">
        <v>23</v>
      </c>
      <c r="R394" s="25" t="s">
        <v>23</v>
      </c>
      <c r="S394" s="4">
        <v>0.83</v>
      </c>
      <c r="T394" s="26">
        <v>0.83</v>
      </c>
    </row>
    <row r="395" spans="1:20" x14ac:dyDescent="0.3">
      <c r="A395" s="27" t="s">
        <v>892</v>
      </c>
      <c r="B395" s="4" t="s">
        <v>893</v>
      </c>
      <c r="C395" s="4" t="s">
        <v>45</v>
      </c>
      <c r="D395" s="25" t="s">
        <v>97</v>
      </c>
      <c r="E395" s="4">
        <v>31</v>
      </c>
      <c r="F395" s="25">
        <v>31</v>
      </c>
      <c r="G395" s="4" t="s">
        <v>38</v>
      </c>
      <c r="H395" s="25" t="s">
        <v>38</v>
      </c>
      <c r="I395" s="4" t="s">
        <v>93</v>
      </c>
      <c r="J395" s="25" t="s">
        <v>93</v>
      </c>
      <c r="K395" s="4">
        <v>10</v>
      </c>
      <c r="L395" s="25">
        <v>10</v>
      </c>
      <c r="M395" s="4" t="s">
        <v>40</v>
      </c>
      <c r="N395" s="25" t="s">
        <v>40</v>
      </c>
      <c r="O395" s="4">
        <v>0</v>
      </c>
      <c r="P395" s="25">
        <v>0</v>
      </c>
      <c r="Q395" s="4" t="s">
        <v>181</v>
      </c>
      <c r="R395" s="25" t="s">
        <v>181</v>
      </c>
      <c r="T395" s="26" t="s">
        <v>2120</v>
      </c>
    </row>
    <row r="396" spans="1:20" x14ac:dyDescent="0.3">
      <c r="A396" s="27" t="s">
        <v>894</v>
      </c>
      <c r="B396" s="4" t="s">
        <v>895</v>
      </c>
      <c r="C396" s="4" t="s">
        <v>18</v>
      </c>
      <c r="D396" s="25" t="s">
        <v>97</v>
      </c>
      <c r="E396" s="4">
        <v>41</v>
      </c>
      <c r="F396" s="25">
        <v>41</v>
      </c>
      <c r="G396" s="4" t="s">
        <v>160</v>
      </c>
      <c r="H396" s="25" t="s">
        <v>160</v>
      </c>
      <c r="I396" s="4" t="s">
        <v>21</v>
      </c>
      <c r="J396" s="25" t="s">
        <v>21</v>
      </c>
      <c r="K396" s="4">
        <v>21</v>
      </c>
      <c r="L396" s="25">
        <v>21</v>
      </c>
      <c r="M396" s="4" t="s">
        <v>51</v>
      </c>
      <c r="N396" s="25" t="s">
        <v>2119</v>
      </c>
      <c r="O396" s="4">
        <v>0</v>
      </c>
      <c r="P396" s="25">
        <v>0</v>
      </c>
      <c r="Q396" s="4" t="s">
        <v>94</v>
      </c>
      <c r="R396" s="25" t="s">
        <v>94</v>
      </c>
      <c r="T396" s="26" t="s">
        <v>2120</v>
      </c>
    </row>
    <row r="397" spans="1:20" x14ac:dyDescent="0.3">
      <c r="A397" s="27" t="s">
        <v>896</v>
      </c>
      <c r="B397" s="4" t="s">
        <v>897</v>
      </c>
      <c r="C397" s="4" t="s">
        <v>37</v>
      </c>
      <c r="D397" s="25" t="s">
        <v>118</v>
      </c>
      <c r="E397" s="4">
        <v>31</v>
      </c>
      <c r="F397" s="25">
        <v>31</v>
      </c>
      <c r="G397" s="4" t="s">
        <v>145</v>
      </c>
      <c r="H397" s="25" t="s">
        <v>145</v>
      </c>
      <c r="I397" s="4" t="s">
        <v>98</v>
      </c>
      <c r="J397" s="25" t="s">
        <v>98</v>
      </c>
      <c r="K397" s="4">
        <v>0</v>
      </c>
      <c r="L397" s="25">
        <v>0</v>
      </c>
      <c r="M397" s="4" t="s">
        <v>142</v>
      </c>
      <c r="N397" s="25" t="s">
        <v>142</v>
      </c>
      <c r="O397" s="4">
        <v>4.2</v>
      </c>
      <c r="P397" s="25">
        <v>4.2</v>
      </c>
      <c r="Q397" s="4" t="s">
        <v>94</v>
      </c>
      <c r="R397" s="25" t="s">
        <v>94</v>
      </c>
      <c r="S397" s="4">
        <v>82</v>
      </c>
      <c r="T397" s="26">
        <v>82</v>
      </c>
    </row>
    <row r="398" spans="1:20" x14ac:dyDescent="0.3">
      <c r="A398" s="27" t="s">
        <v>898</v>
      </c>
      <c r="B398" s="4" t="s">
        <v>899</v>
      </c>
      <c r="C398" s="4" t="s">
        <v>28</v>
      </c>
      <c r="D398" s="25" t="s">
        <v>97</v>
      </c>
      <c r="E398" s="4">
        <v>58</v>
      </c>
      <c r="F398" s="25">
        <v>58</v>
      </c>
      <c r="G398" s="4" t="s">
        <v>91</v>
      </c>
      <c r="H398" s="25" t="s">
        <v>91</v>
      </c>
      <c r="I398" s="4" t="s">
        <v>66</v>
      </c>
      <c r="J398" s="25" t="s">
        <v>66</v>
      </c>
      <c r="K398" s="4">
        <v>0</v>
      </c>
      <c r="L398" s="25">
        <v>0</v>
      </c>
      <c r="M398" s="4" t="s">
        <v>40</v>
      </c>
      <c r="N398" s="25" t="s">
        <v>40</v>
      </c>
      <c r="O398" s="4">
        <v>2.2999999999999998</v>
      </c>
      <c r="P398" s="25">
        <v>2.2999999999999998</v>
      </c>
      <c r="Q398" s="4" t="s">
        <v>23</v>
      </c>
      <c r="R398" s="25" t="s">
        <v>23</v>
      </c>
      <c r="S398" s="4">
        <v>0.77</v>
      </c>
      <c r="T398" s="26">
        <v>0.77</v>
      </c>
    </row>
    <row r="399" spans="1:20" x14ac:dyDescent="0.3">
      <c r="A399" s="27" t="s">
        <v>900</v>
      </c>
      <c r="B399" s="4" t="s">
        <v>901</v>
      </c>
      <c r="C399" s="4" t="s">
        <v>18</v>
      </c>
      <c r="D399" s="25" t="s">
        <v>97</v>
      </c>
      <c r="E399" s="4">
        <v>45</v>
      </c>
      <c r="F399" s="25">
        <v>45</v>
      </c>
      <c r="G399" s="4" t="s">
        <v>55</v>
      </c>
      <c r="H399" s="25" t="s">
        <v>55</v>
      </c>
      <c r="I399" s="4" t="s">
        <v>66</v>
      </c>
      <c r="J399" s="25" t="s">
        <v>66</v>
      </c>
      <c r="K399" s="4">
        <v>17</v>
      </c>
      <c r="L399" s="25">
        <v>17</v>
      </c>
      <c r="M399" s="4" t="s">
        <v>81</v>
      </c>
      <c r="N399" s="25" t="s">
        <v>81</v>
      </c>
      <c r="O399" s="4">
        <v>4.7</v>
      </c>
      <c r="P399" s="25">
        <v>4.7</v>
      </c>
      <c r="Q399" s="4" t="s">
        <v>33</v>
      </c>
      <c r="R399" s="25" t="s">
        <v>33</v>
      </c>
      <c r="S399" s="4">
        <v>0.73</v>
      </c>
      <c r="T399" s="26">
        <v>0.73</v>
      </c>
    </row>
    <row r="400" spans="1:20" x14ac:dyDescent="0.3">
      <c r="A400" s="27" t="s">
        <v>902</v>
      </c>
      <c r="B400" s="4" t="s">
        <v>903</v>
      </c>
      <c r="C400" s="4" t="s">
        <v>63</v>
      </c>
      <c r="D400" s="25" t="s">
        <v>118</v>
      </c>
      <c r="E400" s="4">
        <v>51</v>
      </c>
      <c r="F400" s="25">
        <v>51</v>
      </c>
      <c r="G400" s="4" t="s">
        <v>133</v>
      </c>
      <c r="H400" s="25" t="s">
        <v>133</v>
      </c>
      <c r="I400" s="4" t="s">
        <v>98</v>
      </c>
      <c r="J400" s="25" t="s">
        <v>98</v>
      </c>
      <c r="K400" s="4">
        <v>5</v>
      </c>
      <c r="L400" s="25">
        <v>5</v>
      </c>
      <c r="M400" s="4" t="s">
        <v>51</v>
      </c>
      <c r="N400" s="25" t="s">
        <v>2119</v>
      </c>
      <c r="O400" s="4">
        <v>3</v>
      </c>
      <c r="P400" s="25">
        <v>3</v>
      </c>
      <c r="Q400" s="4" t="s">
        <v>33</v>
      </c>
      <c r="R400" s="25" t="s">
        <v>33</v>
      </c>
      <c r="S400" s="4">
        <v>0.88</v>
      </c>
      <c r="T400" s="26">
        <v>0.88</v>
      </c>
    </row>
    <row r="401" spans="1:20" x14ac:dyDescent="0.3">
      <c r="A401" s="27" t="s">
        <v>904</v>
      </c>
      <c r="B401" s="4" t="s">
        <v>905</v>
      </c>
      <c r="C401" s="4" t="s">
        <v>78</v>
      </c>
      <c r="D401" s="25" t="s">
        <v>118</v>
      </c>
      <c r="E401" s="4">
        <v>54</v>
      </c>
      <c r="F401" s="25">
        <v>54</v>
      </c>
      <c r="G401" s="4" t="s">
        <v>73</v>
      </c>
      <c r="H401" s="25" t="s">
        <v>73</v>
      </c>
      <c r="I401" s="4" t="s">
        <v>93</v>
      </c>
      <c r="J401" s="25" t="s">
        <v>93</v>
      </c>
      <c r="K401" s="4">
        <v>3</v>
      </c>
      <c r="L401" s="25">
        <v>3</v>
      </c>
      <c r="M401" s="4" t="s">
        <v>130</v>
      </c>
      <c r="N401" s="25" t="s">
        <v>130</v>
      </c>
      <c r="O401" s="4">
        <v>2.4</v>
      </c>
      <c r="P401" s="25">
        <v>2.4</v>
      </c>
      <c r="Q401" s="4" t="s">
        <v>23</v>
      </c>
      <c r="R401" s="25" t="s">
        <v>23</v>
      </c>
      <c r="S401" s="4">
        <v>0.81</v>
      </c>
      <c r="T401" s="26">
        <v>0.81</v>
      </c>
    </row>
    <row r="402" spans="1:20" x14ac:dyDescent="0.3">
      <c r="A402" s="27" t="s">
        <v>906</v>
      </c>
      <c r="B402" s="4" t="s">
        <v>907</v>
      </c>
      <c r="C402" s="4" t="s">
        <v>113</v>
      </c>
      <c r="D402" s="25" t="s">
        <v>118</v>
      </c>
      <c r="E402" s="4">
        <v>22</v>
      </c>
      <c r="F402" s="25">
        <v>22</v>
      </c>
      <c r="G402" s="4" t="s">
        <v>145</v>
      </c>
      <c r="H402" s="25" t="s">
        <v>145</v>
      </c>
      <c r="I402" s="4" t="s">
        <v>66</v>
      </c>
      <c r="J402" s="25" t="s">
        <v>66</v>
      </c>
      <c r="K402" s="4">
        <v>1</v>
      </c>
      <c r="L402" s="25">
        <v>1</v>
      </c>
      <c r="M402" s="4" t="s">
        <v>162</v>
      </c>
      <c r="N402" s="25" t="s">
        <v>162</v>
      </c>
      <c r="O402" s="4">
        <v>1.7</v>
      </c>
      <c r="P402" s="25">
        <v>1.7</v>
      </c>
      <c r="Q402" s="4" t="s">
        <v>41</v>
      </c>
      <c r="R402" s="25" t="s">
        <v>41</v>
      </c>
      <c r="S402" s="4">
        <v>0.78</v>
      </c>
      <c r="T402" s="26">
        <v>0.78</v>
      </c>
    </row>
    <row r="403" spans="1:20" x14ac:dyDescent="0.3">
      <c r="A403" s="27" t="s">
        <v>908</v>
      </c>
      <c r="B403" s="4" t="s">
        <v>909</v>
      </c>
      <c r="C403" s="4" t="s">
        <v>113</v>
      </c>
      <c r="D403" s="25" t="s">
        <v>118</v>
      </c>
      <c r="E403" s="4">
        <v>36</v>
      </c>
      <c r="F403" s="25">
        <v>36</v>
      </c>
      <c r="G403" s="4" t="s">
        <v>79</v>
      </c>
      <c r="H403" s="25" t="s">
        <v>79</v>
      </c>
      <c r="I403" s="4" t="s">
        <v>98</v>
      </c>
      <c r="J403" s="25" t="s">
        <v>98</v>
      </c>
      <c r="K403" s="4">
        <v>2</v>
      </c>
      <c r="L403" s="25">
        <v>2</v>
      </c>
      <c r="M403" s="4" t="s">
        <v>103</v>
      </c>
      <c r="N403" s="25" t="s">
        <v>103</v>
      </c>
      <c r="O403" s="4">
        <v>0</v>
      </c>
      <c r="P403" s="25">
        <v>0</v>
      </c>
      <c r="Q403" s="4" t="s">
        <v>59</v>
      </c>
      <c r="R403" s="25" t="s">
        <v>59</v>
      </c>
      <c r="S403" s="4">
        <v>0.92</v>
      </c>
      <c r="T403" s="26">
        <v>0.92</v>
      </c>
    </row>
    <row r="404" spans="1:20" x14ac:dyDescent="0.3">
      <c r="A404" s="27" t="s">
        <v>910</v>
      </c>
      <c r="B404" s="4" t="s">
        <v>911</v>
      </c>
      <c r="C404" s="4" t="s">
        <v>78</v>
      </c>
      <c r="D404" s="25" t="s">
        <v>118</v>
      </c>
      <c r="E404" s="4">
        <v>50</v>
      </c>
      <c r="F404" s="25">
        <v>50</v>
      </c>
      <c r="G404" s="4" t="s">
        <v>38</v>
      </c>
      <c r="H404" s="25" t="s">
        <v>38</v>
      </c>
      <c r="I404" s="4" t="s">
        <v>110</v>
      </c>
      <c r="J404" s="25" t="s">
        <v>110</v>
      </c>
      <c r="K404" s="4">
        <v>32</v>
      </c>
      <c r="L404" s="25">
        <v>32</v>
      </c>
      <c r="M404" s="4" t="s">
        <v>58</v>
      </c>
      <c r="N404" s="25" t="s">
        <v>58</v>
      </c>
      <c r="P404" s="25" t="s">
        <v>2120</v>
      </c>
      <c r="Q404" s="4" t="s">
        <v>23</v>
      </c>
      <c r="R404" s="25" t="s">
        <v>23</v>
      </c>
      <c r="S404" s="4">
        <v>0.64</v>
      </c>
      <c r="T404" s="26">
        <v>0.64</v>
      </c>
    </row>
    <row r="405" spans="1:20" x14ac:dyDescent="0.3">
      <c r="A405" s="27" t="s">
        <v>912</v>
      </c>
      <c r="B405" s="4" t="s">
        <v>913</v>
      </c>
      <c r="C405" s="4" t="s">
        <v>97</v>
      </c>
      <c r="D405" s="25" t="s">
        <v>97</v>
      </c>
      <c r="E405" s="4">
        <v>41</v>
      </c>
      <c r="F405" s="25">
        <v>41</v>
      </c>
      <c r="G405" s="4" t="s">
        <v>29</v>
      </c>
      <c r="H405" s="25" t="s">
        <v>29</v>
      </c>
      <c r="I405" s="4" t="s">
        <v>21</v>
      </c>
      <c r="J405" s="25" t="s">
        <v>21</v>
      </c>
      <c r="K405" s="4">
        <v>14</v>
      </c>
      <c r="L405" s="25">
        <v>14</v>
      </c>
      <c r="M405" s="4" t="s">
        <v>52</v>
      </c>
      <c r="N405" s="25" t="s">
        <v>52</v>
      </c>
      <c r="O405" s="4">
        <v>0</v>
      </c>
      <c r="P405" s="25">
        <v>0</v>
      </c>
      <c r="Q405" s="4" t="s">
        <v>94</v>
      </c>
      <c r="R405" s="25" t="s">
        <v>94</v>
      </c>
      <c r="S405" s="4">
        <v>0.78</v>
      </c>
      <c r="T405" s="26">
        <v>0.78</v>
      </c>
    </row>
    <row r="406" spans="1:20" x14ac:dyDescent="0.3">
      <c r="A406" s="27" t="s">
        <v>914</v>
      </c>
      <c r="B406" s="4" t="s">
        <v>915</v>
      </c>
      <c r="C406" s="4" t="s">
        <v>113</v>
      </c>
      <c r="D406" s="25" t="s">
        <v>118</v>
      </c>
      <c r="F406" s="25" t="s">
        <v>2119</v>
      </c>
      <c r="G406" s="4" t="s">
        <v>175</v>
      </c>
      <c r="H406" s="25" t="s">
        <v>175</v>
      </c>
      <c r="I406" s="4" t="s">
        <v>46</v>
      </c>
      <c r="J406" s="25" t="s">
        <v>46</v>
      </c>
      <c r="K406" s="4">
        <v>10</v>
      </c>
      <c r="L406" s="25">
        <v>10</v>
      </c>
      <c r="M406" s="4" t="s">
        <v>162</v>
      </c>
      <c r="N406" s="25" t="s">
        <v>162</v>
      </c>
      <c r="O406" s="4">
        <v>1.8</v>
      </c>
      <c r="P406" s="25">
        <v>1.8</v>
      </c>
      <c r="Q406" s="4" t="s">
        <v>87</v>
      </c>
      <c r="R406" s="25" t="s">
        <v>87</v>
      </c>
      <c r="S406" s="4">
        <v>85</v>
      </c>
      <c r="T406" s="26">
        <v>85</v>
      </c>
    </row>
    <row r="407" spans="1:20" x14ac:dyDescent="0.3">
      <c r="A407" s="27" t="s">
        <v>916</v>
      </c>
      <c r="B407" s="4" t="s">
        <v>917</v>
      </c>
      <c r="C407" s="4" t="s">
        <v>28</v>
      </c>
      <c r="D407" s="25" t="s">
        <v>97</v>
      </c>
      <c r="E407" s="4">
        <v>51</v>
      </c>
      <c r="F407" s="25">
        <v>51</v>
      </c>
      <c r="G407" s="4" t="s">
        <v>55</v>
      </c>
      <c r="H407" s="25" t="s">
        <v>55</v>
      </c>
      <c r="I407" s="4" t="s">
        <v>98</v>
      </c>
      <c r="J407" s="25" t="s">
        <v>98</v>
      </c>
      <c r="K407" s="4">
        <v>27</v>
      </c>
      <c r="L407" s="25">
        <v>27</v>
      </c>
      <c r="M407" s="4" t="s">
        <v>81</v>
      </c>
      <c r="N407" s="25" t="s">
        <v>81</v>
      </c>
      <c r="O407" s="4">
        <v>0</v>
      </c>
      <c r="P407" s="25">
        <v>0</v>
      </c>
      <c r="Q407" s="4" t="s">
        <v>181</v>
      </c>
      <c r="R407" s="25" t="s">
        <v>181</v>
      </c>
      <c r="S407" s="4">
        <v>0.78</v>
      </c>
      <c r="T407" s="26">
        <v>0.78</v>
      </c>
    </row>
    <row r="408" spans="1:20" x14ac:dyDescent="0.3">
      <c r="A408" s="27" t="s">
        <v>918</v>
      </c>
      <c r="B408" s="4" t="s">
        <v>919</v>
      </c>
      <c r="C408" s="4" t="s">
        <v>37</v>
      </c>
      <c r="D408" s="25" t="s">
        <v>118</v>
      </c>
      <c r="E408" s="4">
        <v>21</v>
      </c>
      <c r="F408" s="25">
        <v>21</v>
      </c>
      <c r="G408" s="4" t="s">
        <v>156</v>
      </c>
      <c r="H408" s="25" t="s">
        <v>156</v>
      </c>
      <c r="I408" s="4" t="s">
        <v>57</v>
      </c>
      <c r="J408" s="25" t="s">
        <v>57</v>
      </c>
      <c r="K408" s="4">
        <v>2</v>
      </c>
      <c r="L408" s="25">
        <v>2</v>
      </c>
      <c r="M408" s="4" t="s">
        <v>58</v>
      </c>
      <c r="N408" s="25" t="s">
        <v>58</v>
      </c>
      <c r="O408" s="4">
        <v>3.8</v>
      </c>
      <c r="P408" s="25">
        <v>3.8</v>
      </c>
      <c r="Q408" s="4" t="s">
        <v>33</v>
      </c>
      <c r="R408" s="25" t="s">
        <v>33</v>
      </c>
      <c r="S408" s="4">
        <v>0.98</v>
      </c>
      <c r="T408" s="26">
        <v>0.98</v>
      </c>
    </row>
    <row r="409" spans="1:20" x14ac:dyDescent="0.3">
      <c r="A409" s="27" t="s">
        <v>920</v>
      </c>
      <c r="B409" s="4" t="s">
        <v>921</v>
      </c>
      <c r="C409" s="4" t="s">
        <v>78</v>
      </c>
      <c r="D409" s="25" t="s">
        <v>118</v>
      </c>
      <c r="E409" s="4">
        <v>51</v>
      </c>
      <c r="F409" s="25">
        <v>51</v>
      </c>
      <c r="G409" s="4" t="s">
        <v>106</v>
      </c>
      <c r="H409" s="25" t="s">
        <v>106</v>
      </c>
      <c r="I409" s="4" t="s">
        <v>57</v>
      </c>
      <c r="J409" s="25" t="s">
        <v>57</v>
      </c>
      <c r="K409" s="4">
        <v>33</v>
      </c>
      <c r="L409" s="25">
        <v>33</v>
      </c>
      <c r="M409" s="4" t="s">
        <v>70</v>
      </c>
      <c r="N409" s="25" t="s">
        <v>70</v>
      </c>
      <c r="O409" s="4">
        <v>0</v>
      </c>
      <c r="P409" s="25">
        <v>0</v>
      </c>
      <c r="Q409" s="4" t="s">
        <v>94</v>
      </c>
      <c r="R409" s="25" t="s">
        <v>94</v>
      </c>
      <c r="S409" s="4">
        <v>0.63</v>
      </c>
      <c r="T409" s="26">
        <v>0.63</v>
      </c>
    </row>
    <row r="410" spans="1:20" x14ac:dyDescent="0.3">
      <c r="A410" s="27" t="s">
        <v>922</v>
      </c>
      <c r="B410" s="4" t="s">
        <v>923</v>
      </c>
      <c r="C410" s="4" t="s">
        <v>50</v>
      </c>
      <c r="D410" s="25" t="s">
        <v>97</v>
      </c>
      <c r="E410" s="4">
        <v>37</v>
      </c>
      <c r="F410" s="25">
        <v>37</v>
      </c>
      <c r="G410" s="4" t="s">
        <v>64</v>
      </c>
      <c r="H410" s="25" t="s">
        <v>64</v>
      </c>
      <c r="I410" s="4" t="s">
        <v>39</v>
      </c>
      <c r="J410" s="25" t="s">
        <v>39</v>
      </c>
      <c r="K410" s="4">
        <v>11</v>
      </c>
      <c r="L410" s="25">
        <v>11</v>
      </c>
      <c r="M410" s="4" t="s">
        <v>70</v>
      </c>
      <c r="N410" s="25" t="s">
        <v>70</v>
      </c>
      <c r="O410" s="4">
        <v>3.6</v>
      </c>
      <c r="P410" s="25">
        <v>3.6</v>
      </c>
      <c r="Q410" s="4" t="s">
        <v>41</v>
      </c>
      <c r="R410" s="25" t="s">
        <v>41</v>
      </c>
      <c r="S410" s="4">
        <v>0.73</v>
      </c>
      <c r="T410" s="26">
        <v>0.73</v>
      </c>
    </row>
    <row r="411" spans="1:20" x14ac:dyDescent="0.3">
      <c r="A411" s="27" t="s">
        <v>924</v>
      </c>
      <c r="B411" s="4" t="s">
        <v>925</v>
      </c>
      <c r="C411" s="4" t="s">
        <v>18</v>
      </c>
      <c r="D411" s="25" t="s">
        <v>97</v>
      </c>
      <c r="E411" s="4">
        <v>20</v>
      </c>
      <c r="F411" s="25">
        <v>20</v>
      </c>
      <c r="G411" s="4" t="s">
        <v>212</v>
      </c>
      <c r="H411" s="25" t="s">
        <v>212</v>
      </c>
      <c r="I411" s="4" t="s">
        <v>39</v>
      </c>
      <c r="J411" s="25" t="s">
        <v>39</v>
      </c>
      <c r="K411" s="4">
        <v>2</v>
      </c>
      <c r="L411" s="25">
        <v>2</v>
      </c>
      <c r="M411" s="4" t="s">
        <v>52</v>
      </c>
      <c r="N411" s="25" t="s">
        <v>52</v>
      </c>
      <c r="O411" s="4">
        <v>0</v>
      </c>
      <c r="P411" s="25">
        <v>0</v>
      </c>
      <c r="Q411" s="4" t="s">
        <v>23</v>
      </c>
      <c r="R411" s="25" t="s">
        <v>23</v>
      </c>
      <c r="S411" s="4">
        <v>0.94</v>
      </c>
      <c r="T411" s="26">
        <v>0.94</v>
      </c>
    </row>
    <row r="412" spans="1:20" x14ac:dyDescent="0.3">
      <c r="A412" s="27" t="s">
        <v>926</v>
      </c>
      <c r="B412" s="4" t="s">
        <v>927</v>
      </c>
      <c r="C412" s="4" t="s">
        <v>97</v>
      </c>
      <c r="D412" s="25" t="s">
        <v>97</v>
      </c>
      <c r="E412" s="4">
        <v>50</v>
      </c>
      <c r="F412" s="25">
        <v>50</v>
      </c>
      <c r="G412" s="4" t="s">
        <v>29</v>
      </c>
      <c r="H412" s="25" t="s">
        <v>29</v>
      </c>
      <c r="I412" s="4" t="s">
        <v>46</v>
      </c>
      <c r="J412" s="25" t="s">
        <v>46</v>
      </c>
      <c r="K412" s="4">
        <v>31</v>
      </c>
      <c r="L412" s="25">
        <v>31</v>
      </c>
      <c r="M412" s="4" t="s">
        <v>81</v>
      </c>
      <c r="N412" s="25" t="s">
        <v>81</v>
      </c>
      <c r="O412" s="4">
        <v>4.0999999999999996</v>
      </c>
      <c r="P412" s="25">
        <v>4.0999999999999996</v>
      </c>
      <c r="Q412" s="4" t="s">
        <v>51</v>
      </c>
      <c r="R412" s="25" t="s">
        <v>2120</v>
      </c>
      <c r="S412" s="4">
        <v>0.81</v>
      </c>
      <c r="T412" s="26">
        <v>0.81</v>
      </c>
    </row>
    <row r="413" spans="1:20" x14ac:dyDescent="0.3">
      <c r="A413" s="27" t="s">
        <v>928</v>
      </c>
      <c r="B413" s="4" t="s">
        <v>929</v>
      </c>
      <c r="C413" s="4" t="s">
        <v>28</v>
      </c>
      <c r="D413" s="25" t="s">
        <v>97</v>
      </c>
      <c r="E413" s="4">
        <v>58</v>
      </c>
      <c r="F413" s="25">
        <v>58</v>
      </c>
      <c r="G413" s="4" t="s">
        <v>79</v>
      </c>
      <c r="H413" s="25" t="s">
        <v>79</v>
      </c>
      <c r="I413" s="4" t="s">
        <v>39</v>
      </c>
      <c r="J413" s="25" t="s">
        <v>39</v>
      </c>
      <c r="K413" s="4">
        <v>17</v>
      </c>
      <c r="L413" s="25">
        <v>17</v>
      </c>
      <c r="M413" s="4" t="s">
        <v>81</v>
      </c>
      <c r="N413" s="25" t="s">
        <v>81</v>
      </c>
      <c r="O413" s="4">
        <v>2.6</v>
      </c>
      <c r="P413" s="25">
        <v>2.6</v>
      </c>
      <c r="Q413" s="4" t="s">
        <v>33</v>
      </c>
      <c r="R413" s="25" t="s">
        <v>33</v>
      </c>
      <c r="S413" s="4">
        <v>0.61</v>
      </c>
      <c r="T413" s="26">
        <v>0.61</v>
      </c>
    </row>
    <row r="414" spans="1:20" x14ac:dyDescent="0.3">
      <c r="A414" s="27" t="s">
        <v>930</v>
      </c>
      <c r="B414" s="4" t="s">
        <v>931</v>
      </c>
      <c r="C414" s="4" t="s">
        <v>28</v>
      </c>
      <c r="D414" s="25" t="s">
        <v>97</v>
      </c>
      <c r="E414" s="4">
        <v>40</v>
      </c>
      <c r="F414" s="25">
        <v>40</v>
      </c>
      <c r="G414" s="4" t="s">
        <v>128</v>
      </c>
      <c r="H414" s="25" t="s">
        <v>128</v>
      </c>
      <c r="I414" s="4" t="s">
        <v>93</v>
      </c>
      <c r="J414" s="25" t="s">
        <v>93</v>
      </c>
      <c r="K414" s="4">
        <v>2</v>
      </c>
      <c r="L414" s="25">
        <v>2</v>
      </c>
      <c r="M414" s="4" t="s">
        <v>251</v>
      </c>
      <c r="N414" s="25" t="s">
        <v>251</v>
      </c>
      <c r="O414" s="4">
        <v>0</v>
      </c>
      <c r="P414" s="25">
        <v>0</v>
      </c>
      <c r="Q414" s="4" t="s">
        <v>23</v>
      </c>
      <c r="R414" s="25" t="s">
        <v>23</v>
      </c>
      <c r="T414" s="26" t="s">
        <v>2120</v>
      </c>
    </row>
    <row r="415" spans="1:20" x14ac:dyDescent="0.3">
      <c r="A415" s="27" t="s">
        <v>932</v>
      </c>
      <c r="B415" s="4" t="s">
        <v>933</v>
      </c>
      <c r="C415" s="4" t="s">
        <v>45</v>
      </c>
      <c r="D415" s="25" t="s">
        <v>97</v>
      </c>
      <c r="E415" s="4">
        <v>26</v>
      </c>
      <c r="F415" s="25">
        <v>26</v>
      </c>
      <c r="G415" s="4" t="s">
        <v>160</v>
      </c>
      <c r="H415" s="25" t="s">
        <v>160</v>
      </c>
      <c r="I415" s="4" t="s">
        <v>46</v>
      </c>
      <c r="J415" s="25" t="s">
        <v>46</v>
      </c>
      <c r="K415" s="4">
        <v>2</v>
      </c>
      <c r="L415" s="25">
        <v>2</v>
      </c>
      <c r="M415" s="4" t="s">
        <v>162</v>
      </c>
      <c r="N415" s="25" t="s">
        <v>162</v>
      </c>
      <c r="O415" s="4">
        <v>1.3</v>
      </c>
      <c r="P415" s="25">
        <v>1.3</v>
      </c>
      <c r="Q415" s="4" t="s">
        <v>181</v>
      </c>
      <c r="R415" s="25" t="s">
        <v>181</v>
      </c>
      <c r="S415" s="4">
        <v>0.83</v>
      </c>
      <c r="T415" s="26">
        <v>0.83</v>
      </c>
    </row>
    <row r="416" spans="1:20" x14ac:dyDescent="0.3">
      <c r="A416" s="27" t="s">
        <v>934</v>
      </c>
      <c r="B416" s="4" t="s">
        <v>935</v>
      </c>
      <c r="C416" s="4" t="s">
        <v>28</v>
      </c>
      <c r="D416" s="25" t="s">
        <v>97</v>
      </c>
      <c r="E416" s="4">
        <v>44</v>
      </c>
      <c r="F416" s="25">
        <v>44</v>
      </c>
      <c r="G416" s="4" t="s">
        <v>133</v>
      </c>
      <c r="H416" s="25" t="s">
        <v>133</v>
      </c>
      <c r="I416" s="4" t="s">
        <v>98</v>
      </c>
      <c r="J416" s="25" t="s">
        <v>98</v>
      </c>
      <c r="K416" s="4">
        <v>22</v>
      </c>
      <c r="L416" s="25">
        <v>22</v>
      </c>
      <c r="M416" s="4" t="s">
        <v>52</v>
      </c>
      <c r="N416" s="25" t="s">
        <v>52</v>
      </c>
      <c r="O416" s="4">
        <v>4.0999999999999996</v>
      </c>
      <c r="P416" s="25">
        <v>4.0999999999999996</v>
      </c>
      <c r="Q416" s="4" t="s">
        <v>94</v>
      </c>
      <c r="R416" s="25" t="s">
        <v>94</v>
      </c>
      <c r="T416" s="26" t="s">
        <v>2120</v>
      </c>
    </row>
    <row r="417" spans="1:20" x14ac:dyDescent="0.3">
      <c r="A417" s="27" t="s">
        <v>936</v>
      </c>
      <c r="B417" s="4" t="s">
        <v>937</v>
      </c>
      <c r="C417" s="4" t="s">
        <v>37</v>
      </c>
      <c r="D417" s="25" t="s">
        <v>118</v>
      </c>
      <c r="E417" s="4">
        <v>42</v>
      </c>
      <c r="F417" s="25">
        <v>42</v>
      </c>
      <c r="G417" s="4" t="s">
        <v>201</v>
      </c>
      <c r="H417" s="25" t="s">
        <v>201</v>
      </c>
      <c r="I417" s="4" t="s">
        <v>135</v>
      </c>
      <c r="J417" s="25" t="s">
        <v>135</v>
      </c>
      <c r="K417" s="4">
        <v>8</v>
      </c>
      <c r="L417" s="25">
        <v>8</v>
      </c>
      <c r="M417" s="4" t="s">
        <v>81</v>
      </c>
      <c r="N417" s="25" t="s">
        <v>81</v>
      </c>
      <c r="O417" s="4">
        <v>2.4</v>
      </c>
      <c r="P417" s="25">
        <v>2.4</v>
      </c>
      <c r="Q417" s="4" t="s">
        <v>181</v>
      </c>
      <c r="R417" s="25" t="s">
        <v>181</v>
      </c>
      <c r="S417" s="4">
        <v>0.68</v>
      </c>
      <c r="T417" s="26">
        <v>0.68</v>
      </c>
    </row>
    <row r="418" spans="1:20" x14ac:dyDescent="0.3">
      <c r="A418" s="27" t="s">
        <v>938</v>
      </c>
      <c r="B418" s="4" t="s">
        <v>358</v>
      </c>
      <c r="C418" s="4" t="s">
        <v>113</v>
      </c>
      <c r="D418" s="25" t="s">
        <v>118</v>
      </c>
      <c r="E418" s="4">
        <v>38</v>
      </c>
      <c r="F418" s="25">
        <v>38</v>
      </c>
      <c r="G418" s="4" t="s">
        <v>201</v>
      </c>
      <c r="H418" s="25" t="s">
        <v>201</v>
      </c>
      <c r="I418" s="4" t="s">
        <v>66</v>
      </c>
      <c r="J418" s="25" t="s">
        <v>66</v>
      </c>
      <c r="K418" s="4">
        <v>9</v>
      </c>
      <c r="L418" s="25">
        <v>9</v>
      </c>
      <c r="M418" s="4" t="s">
        <v>81</v>
      </c>
      <c r="N418" s="25" t="s">
        <v>81</v>
      </c>
      <c r="O418" s="4">
        <v>0</v>
      </c>
      <c r="P418" s="25">
        <v>0</v>
      </c>
      <c r="Q418" s="4" t="s">
        <v>23</v>
      </c>
      <c r="R418" s="25" t="s">
        <v>23</v>
      </c>
      <c r="S418" s="4">
        <v>0.74</v>
      </c>
      <c r="T418" s="26">
        <v>0.74</v>
      </c>
    </row>
    <row r="419" spans="1:20" x14ac:dyDescent="0.3">
      <c r="A419" s="27" t="s">
        <v>939</v>
      </c>
      <c r="B419" s="4" t="s">
        <v>940</v>
      </c>
      <c r="C419" s="4" t="s">
        <v>37</v>
      </c>
      <c r="D419" s="25" t="s">
        <v>118</v>
      </c>
      <c r="E419" s="4">
        <v>51</v>
      </c>
      <c r="F419" s="25">
        <v>51</v>
      </c>
      <c r="G419" s="4" t="s">
        <v>160</v>
      </c>
      <c r="H419" s="25" t="s">
        <v>160</v>
      </c>
      <c r="I419" s="4" t="s">
        <v>46</v>
      </c>
      <c r="J419" s="25" t="s">
        <v>46</v>
      </c>
      <c r="K419" s="4">
        <v>32</v>
      </c>
      <c r="L419" s="25">
        <v>32</v>
      </c>
      <c r="M419" s="4" t="s">
        <v>22</v>
      </c>
      <c r="N419" s="25" t="s">
        <v>22</v>
      </c>
      <c r="O419" s="4">
        <v>4.4000000000000004</v>
      </c>
      <c r="P419" s="25">
        <v>4.4000000000000004</v>
      </c>
      <c r="Q419" s="4" t="s">
        <v>59</v>
      </c>
      <c r="R419" s="25" t="s">
        <v>59</v>
      </c>
      <c r="S419" s="4">
        <v>91</v>
      </c>
      <c r="T419" s="26">
        <v>91</v>
      </c>
    </row>
    <row r="420" spans="1:20" x14ac:dyDescent="0.3">
      <c r="A420" s="27" t="s">
        <v>941</v>
      </c>
      <c r="B420" s="4" t="s">
        <v>942</v>
      </c>
      <c r="C420" s="4" t="s">
        <v>50</v>
      </c>
      <c r="D420" s="25" t="s">
        <v>97</v>
      </c>
      <c r="E420" s="4">
        <v>36</v>
      </c>
      <c r="F420" s="25">
        <v>36</v>
      </c>
      <c r="G420" s="4" t="s">
        <v>156</v>
      </c>
      <c r="H420" s="25" t="s">
        <v>156</v>
      </c>
      <c r="I420" s="4" t="s">
        <v>57</v>
      </c>
      <c r="J420" s="25" t="s">
        <v>57</v>
      </c>
      <c r="K420" s="4">
        <v>8</v>
      </c>
      <c r="L420" s="25">
        <v>8</v>
      </c>
      <c r="M420" s="4" t="s">
        <v>32</v>
      </c>
      <c r="N420" s="25" t="s">
        <v>32</v>
      </c>
      <c r="O420" s="4">
        <v>2.2000000000000002</v>
      </c>
      <c r="P420" s="25">
        <v>2.2000000000000002</v>
      </c>
      <c r="Q420" s="4" t="s">
        <v>33</v>
      </c>
      <c r="R420" s="25" t="s">
        <v>33</v>
      </c>
      <c r="S420" s="4">
        <v>0.97</v>
      </c>
      <c r="T420" s="26">
        <v>0.97</v>
      </c>
    </row>
    <row r="421" spans="1:20" x14ac:dyDescent="0.3">
      <c r="A421" s="27" t="s">
        <v>943</v>
      </c>
      <c r="B421" s="4" t="s">
        <v>944</v>
      </c>
      <c r="C421" s="4" t="s">
        <v>28</v>
      </c>
      <c r="D421" s="25" t="s">
        <v>97</v>
      </c>
      <c r="E421" s="4">
        <v>37</v>
      </c>
      <c r="F421" s="25">
        <v>37</v>
      </c>
      <c r="G421" s="4" t="s">
        <v>29</v>
      </c>
      <c r="H421" s="25" t="s">
        <v>29</v>
      </c>
      <c r="I421" s="4" t="s">
        <v>31</v>
      </c>
      <c r="J421" s="25" t="s">
        <v>31</v>
      </c>
      <c r="K421" s="4">
        <v>10</v>
      </c>
      <c r="L421" s="25">
        <v>10</v>
      </c>
      <c r="M421" s="4" t="s">
        <v>52</v>
      </c>
      <c r="N421" s="25" t="s">
        <v>52</v>
      </c>
      <c r="O421" s="4">
        <v>0</v>
      </c>
      <c r="P421" s="25">
        <v>0</v>
      </c>
      <c r="Q421" s="4" t="s">
        <v>23</v>
      </c>
      <c r="R421" s="25" t="s">
        <v>23</v>
      </c>
      <c r="S421" s="4">
        <v>0.96</v>
      </c>
      <c r="T421" s="26">
        <v>0.96</v>
      </c>
    </row>
    <row r="422" spans="1:20" x14ac:dyDescent="0.3">
      <c r="A422" s="27" t="s">
        <v>945</v>
      </c>
      <c r="B422" s="4" t="s">
        <v>946</v>
      </c>
      <c r="C422" s="4" t="s">
        <v>37</v>
      </c>
      <c r="D422" s="25" t="s">
        <v>118</v>
      </c>
      <c r="E422" s="4">
        <v>31</v>
      </c>
      <c r="F422" s="25">
        <v>31</v>
      </c>
      <c r="G422" s="4" t="s">
        <v>175</v>
      </c>
      <c r="H422" s="25" t="s">
        <v>175</v>
      </c>
      <c r="I422" s="4" t="s">
        <v>110</v>
      </c>
      <c r="J422" s="25" t="s">
        <v>110</v>
      </c>
      <c r="K422" s="4">
        <v>0</v>
      </c>
      <c r="L422" s="25">
        <v>0</v>
      </c>
      <c r="M422" s="4" t="s">
        <v>40</v>
      </c>
      <c r="N422" s="25" t="s">
        <v>40</v>
      </c>
      <c r="O422" s="4">
        <v>1.1000000000000001</v>
      </c>
      <c r="P422" s="25">
        <v>1.1000000000000001</v>
      </c>
      <c r="Q422" s="4" t="s">
        <v>94</v>
      </c>
      <c r="R422" s="25" t="s">
        <v>94</v>
      </c>
      <c r="S422" s="4">
        <v>0.73</v>
      </c>
      <c r="T422" s="26">
        <v>0.73</v>
      </c>
    </row>
    <row r="423" spans="1:20" x14ac:dyDescent="0.3">
      <c r="A423" s="27" t="s">
        <v>947</v>
      </c>
      <c r="B423" s="4" t="s">
        <v>948</v>
      </c>
      <c r="C423" s="4" t="s">
        <v>18</v>
      </c>
      <c r="D423" s="25" t="s">
        <v>97</v>
      </c>
      <c r="E423" s="4">
        <v>47</v>
      </c>
      <c r="F423" s="25">
        <v>47</v>
      </c>
      <c r="G423" s="4" t="s">
        <v>114</v>
      </c>
      <c r="H423" s="25" t="s">
        <v>114</v>
      </c>
      <c r="I423" s="4" t="s">
        <v>98</v>
      </c>
      <c r="J423" s="25" t="s">
        <v>98</v>
      </c>
      <c r="K423" s="4">
        <v>22</v>
      </c>
      <c r="L423" s="25">
        <v>22</v>
      </c>
      <c r="M423" s="4" t="s">
        <v>51</v>
      </c>
      <c r="N423" s="25" t="s">
        <v>2119</v>
      </c>
      <c r="O423" s="4">
        <v>1.4</v>
      </c>
      <c r="P423" s="25">
        <v>1.4</v>
      </c>
      <c r="Q423" s="4" t="s">
        <v>87</v>
      </c>
      <c r="R423" s="25" t="s">
        <v>87</v>
      </c>
      <c r="S423" s="4">
        <v>0.72</v>
      </c>
      <c r="T423" s="26">
        <v>0.72</v>
      </c>
    </row>
    <row r="424" spans="1:20" x14ac:dyDescent="0.3">
      <c r="A424" s="27" t="s">
        <v>949</v>
      </c>
      <c r="B424" s="4" t="s">
        <v>950</v>
      </c>
      <c r="C424" s="4" t="s">
        <v>50</v>
      </c>
      <c r="D424" s="25" t="s">
        <v>97</v>
      </c>
      <c r="E424" s="4">
        <v>60</v>
      </c>
      <c r="F424" s="25">
        <v>60</v>
      </c>
      <c r="G424" s="4" t="s">
        <v>201</v>
      </c>
      <c r="H424" s="25" t="s">
        <v>201</v>
      </c>
      <c r="I424" s="4" t="s">
        <v>93</v>
      </c>
      <c r="J424" s="25" t="s">
        <v>93</v>
      </c>
      <c r="K424" s="4">
        <v>34</v>
      </c>
      <c r="L424" s="25">
        <v>34</v>
      </c>
      <c r="M424" s="4" t="s">
        <v>251</v>
      </c>
      <c r="N424" s="25" t="s">
        <v>251</v>
      </c>
      <c r="O424" s="4">
        <v>0</v>
      </c>
      <c r="P424" s="25">
        <v>0</v>
      </c>
      <c r="Q424" s="4" t="s">
        <v>74</v>
      </c>
      <c r="R424" s="25" t="s">
        <v>74</v>
      </c>
      <c r="S424" s="4">
        <v>0.74</v>
      </c>
      <c r="T424" s="26">
        <v>0.74</v>
      </c>
    </row>
    <row r="425" spans="1:20" x14ac:dyDescent="0.3">
      <c r="A425" s="27" t="s">
        <v>951</v>
      </c>
      <c r="B425" s="4" t="s">
        <v>952</v>
      </c>
      <c r="C425" s="4" t="s">
        <v>28</v>
      </c>
      <c r="D425" s="25" t="s">
        <v>97</v>
      </c>
      <c r="E425" s="4">
        <v>48</v>
      </c>
      <c r="F425" s="25">
        <v>48</v>
      </c>
      <c r="G425" s="4" t="s">
        <v>91</v>
      </c>
      <c r="H425" s="25" t="s">
        <v>91</v>
      </c>
      <c r="I425" s="4" t="s">
        <v>31</v>
      </c>
      <c r="J425" s="25" t="s">
        <v>31</v>
      </c>
      <c r="K425" s="4">
        <v>5</v>
      </c>
      <c r="L425" s="25">
        <v>5</v>
      </c>
      <c r="M425" s="4" t="s">
        <v>52</v>
      </c>
      <c r="N425" s="25" t="s">
        <v>52</v>
      </c>
      <c r="O425" s="4">
        <v>1.5</v>
      </c>
      <c r="P425" s="25">
        <v>1.5</v>
      </c>
      <c r="Q425" s="4" t="s">
        <v>41</v>
      </c>
      <c r="R425" s="25" t="s">
        <v>41</v>
      </c>
      <c r="T425" s="26" t="s">
        <v>2120</v>
      </c>
    </row>
    <row r="426" spans="1:20" x14ac:dyDescent="0.3">
      <c r="A426" s="27" t="s">
        <v>953</v>
      </c>
      <c r="B426" s="4" t="s">
        <v>954</v>
      </c>
      <c r="C426" s="4" t="s">
        <v>45</v>
      </c>
      <c r="D426" s="25" t="s">
        <v>97</v>
      </c>
      <c r="E426" s="4">
        <v>24</v>
      </c>
      <c r="F426" s="25">
        <v>24</v>
      </c>
      <c r="G426" s="4" t="s">
        <v>114</v>
      </c>
      <c r="H426" s="25" t="s">
        <v>114</v>
      </c>
      <c r="I426" s="4" t="s">
        <v>57</v>
      </c>
      <c r="J426" s="25" t="s">
        <v>57</v>
      </c>
      <c r="K426" s="4">
        <v>3</v>
      </c>
      <c r="L426" s="25">
        <v>3</v>
      </c>
      <c r="M426" s="4" t="s">
        <v>162</v>
      </c>
      <c r="N426" s="25" t="s">
        <v>162</v>
      </c>
      <c r="O426" s="4">
        <v>0</v>
      </c>
      <c r="P426" s="25">
        <v>0</v>
      </c>
      <c r="Q426" s="4" t="s">
        <v>33</v>
      </c>
      <c r="R426" s="25" t="s">
        <v>33</v>
      </c>
      <c r="T426" s="26" t="s">
        <v>2120</v>
      </c>
    </row>
    <row r="427" spans="1:20" x14ac:dyDescent="0.3">
      <c r="A427" s="27" t="s">
        <v>955</v>
      </c>
      <c r="B427" s="4" t="s">
        <v>956</v>
      </c>
      <c r="C427" s="4" t="s">
        <v>28</v>
      </c>
      <c r="D427" s="25" t="s">
        <v>97</v>
      </c>
      <c r="E427" s="4">
        <v>35</v>
      </c>
      <c r="F427" s="25">
        <v>35</v>
      </c>
      <c r="G427" s="4" t="s">
        <v>55</v>
      </c>
      <c r="H427" s="25" t="s">
        <v>55</v>
      </c>
      <c r="I427" s="4" t="s">
        <v>135</v>
      </c>
      <c r="J427" s="25" t="s">
        <v>135</v>
      </c>
      <c r="K427" s="4">
        <v>10</v>
      </c>
      <c r="L427" s="25">
        <v>10</v>
      </c>
      <c r="M427" s="4" t="s">
        <v>103</v>
      </c>
      <c r="N427" s="25" t="s">
        <v>103</v>
      </c>
      <c r="O427" s="4">
        <v>0</v>
      </c>
      <c r="P427" s="25">
        <v>0</v>
      </c>
      <c r="Q427" s="4" t="s">
        <v>51</v>
      </c>
      <c r="R427" s="25" t="s">
        <v>2120</v>
      </c>
      <c r="S427" s="4">
        <v>0.74</v>
      </c>
      <c r="T427" s="26">
        <v>0.74</v>
      </c>
    </row>
    <row r="428" spans="1:20" x14ac:dyDescent="0.3">
      <c r="A428" s="27" t="s">
        <v>957</v>
      </c>
      <c r="B428" s="4" t="s">
        <v>958</v>
      </c>
      <c r="C428" s="4" t="s">
        <v>78</v>
      </c>
      <c r="D428" s="25" t="s">
        <v>118</v>
      </c>
      <c r="E428" s="4">
        <v>35</v>
      </c>
      <c r="F428" s="25">
        <v>35</v>
      </c>
      <c r="G428" s="4" t="s">
        <v>73</v>
      </c>
      <c r="H428" s="25" t="s">
        <v>73</v>
      </c>
      <c r="I428" s="4" t="s">
        <v>110</v>
      </c>
      <c r="J428" s="25" t="s">
        <v>110</v>
      </c>
      <c r="L428" s="25" t="s">
        <v>2120</v>
      </c>
      <c r="M428" s="4" t="s">
        <v>22</v>
      </c>
      <c r="N428" s="25" t="s">
        <v>22</v>
      </c>
      <c r="O428" s="4">
        <v>3.5</v>
      </c>
      <c r="P428" s="25">
        <v>3.5</v>
      </c>
      <c r="Q428" s="4" t="s">
        <v>94</v>
      </c>
      <c r="R428" s="25" t="s">
        <v>94</v>
      </c>
      <c r="S428" s="4">
        <v>0.71</v>
      </c>
      <c r="T428" s="26">
        <v>0.71</v>
      </c>
    </row>
    <row r="429" spans="1:20" x14ac:dyDescent="0.3">
      <c r="A429" s="27" t="s">
        <v>959</v>
      </c>
      <c r="B429" s="4" t="s">
        <v>960</v>
      </c>
      <c r="C429" s="4" t="s">
        <v>97</v>
      </c>
      <c r="D429" s="25" t="s">
        <v>97</v>
      </c>
      <c r="E429" s="4">
        <v>29</v>
      </c>
      <c r="F429" s="25">
        <v>29</v>
      </c>
      <c r="G429" s="4" t="s">
        <v>55</v>
      </c>
      <c r="H429" s="25" t="s">
        <v>55</v>
      </c>
      <c r="I429" s="4" t="s">
        <v>93</v>
      </c>
      <c r="J429" s="25" t="s">
        <v>93</v>
      </c>
      <c r="K429" s="4">
        <v>6</v>
      </c>
      <c r="L429" s="25">
        <v>6</v>
      </c>
      <c r="M429" s="4" t="s">
        <v>51</v>
      </c>
      <c r="N429" s="25" t="s">
        <v>2119</v>
      </c>
      <c r="O429" s="4">
        <v>4.8</v>
      </c>
      <c r="P429" s="25">
        <v>4.8</v>
      </c>
      <c r="Q429" s="4" t="s">
        <v>41</v>
      </c>
      <c r="R429" s="25" t="s">
        <v>41</v>
      </c>
      <c r="S429" s="4">
        <v>0.83</v>
      </c>
      <c r="T429" s="26">
        <v>0.83</v>
      </c>
    </row>
    <row r="430" spans="1:20" x14ac:dyDescent="0.3">
      <c r="A430" s="27" t="s">
        <v>961</v>
      </c>
      <c r="B430" s="4" t="s">
        <v>962</v>
      </c>
      <c r="C430" s="4" t="s">
        <v>97</v>
      </c>
      <c r="D430" s="25" t="s">
        <v>97</v>
      </c>
      <c r="E430" s="4">
        <v>36</v>
      </c>
      <c r="F430" s="25">
        <v>36</v>
      </c>
      <c r="G430" s="4" t="s">
        <v>19</v>
      </c>
      <c r="H430" s="25" t="s">
        <v>19</v>
      </c>
      <c r="I430" s="4" t="s">
        <v>135</v>
      </c>
      <c r="J430" s="25" t="s">
        <v>135</v>
      </c>
      <c r="K430" s="4">
        <v>1</v>
      </c>
      <c r="L430" s="25">
        <v>1</v>
      </c>
      <c r="M430" s="4" t="s">
        <v>192</v>
      </c>
      <c r="N430" s="25" t="s">
        <v>192</v>
      </c>
      <c r="P430" s="25" t="s">
        <v>2120</v>
      </c>
      <c r="Q430" s="4" t="s">
        <v>51</v>
      </c>
      <c r="R430" s="25" t="s">
        <v>2120</v>
      </c>
      <c r="S430" s="4">
        <v>0.63</v>
      </c>
      <c r="T430" s="26">
        <v>0.63</v>
      </c>
    </row>
    <row r="431" spans="1:20" x14ac:dyDescent="0.3">
      <c r="A431" s="27" t="s">
        <v>963</v>
      </c>
      <c r="B431" s="4" t="s">
        <v>964</v>
      </c>
      <c r="C431" s="4" t="s">
        <v>28</v>
      </c>
      <c r="D431" s="25" t="s">
        <v>97</v>
      </c>
      <c r="E431" s="4">
        <v>44</v>
      </c>
      <c r="F431" s="25">
        <v>44</v>
      </c>
      <c r="G431" s="4" t="s">
        <v>149</v>
      </c>
      <c r="H431" s="25" t="s">
        <v>149</v>
      </c>
      <c r="I431" s="4" t="s">
        <v>57</v>
      </c>
      <c r="J431" s="25" t="s">
        <v>57</v>
      </c>
      <c r="K431" s="4">
        <v>0</v>
      </c>
      <c r="L431" s="25">
        <v>0</v>
      </c>
      <c r="M431" s="4" t="s">
        <v>51</v>
      </c>
      <c r="N431" s="25" t="s">
        <v>2119</v>
      </c>
      <c r="O431" s="4">
        <v>4.8</v>
      </c>
      <c r="P431" s="25">
        <v>4.8</v>
      </c>
      <c r="Q431" s="4" t="s">
        <v>51</v>
      </c>
      <c r="R431" s="25" t="s">
        <v>2120</v>
      </c>
      <c r="S431" s="4">
        <v>0.84</v>
      </c>
      <c r="T431" s="26">
        <v>0.84</v>
      </c>
    </row>
    <row r="432" spans="1:20" x14ac:dyDescent="0.3">
      <c r="A432" s="27" t="s">
        <v>965</v>
      </c>
      <c r="B432" s="4" t="s">
        <v>966</v>
      </c>
      <c r="C432" s="4" t="s">
        <v>78</v>
      </c>
      <c r="D432" s="25" t="s">
        <v>118</v>
      </c>
      <c r="E432" s="4">
        <v>44</v>
      </c>
      <c r="F432" s="25">
        <v>44</v>
      </c>
      <c r="G432" s="4" t="s">
        <v>175</v>
      </c>
      <c r="H432" s="25" t="s">
        <v>175</v>
      </c>
      <c r="I432" s="4" t="s">
        <v>46</v>
      </c>
      <c r="J432" s="25" t="s">
        <v>46</v>
      </c>
      <c r="L432" s="25" t="s">
        <v>2120</v>
      </c>
      <c r="M432" s="4" t="s">
        <v>51</v>
      </c>
      <c r="N432" s="25" t="s">
        <v>2119</v>
      </c>
      <c r="O432" s="4">
        <v>1.4</v>
      </c>
      <c r="P432" s="25">
        <v>1.4</v>
      </c>
      <c r="Q432" s="4" t="s">
        <v>23</v>
      </c>
      <c r="R432" s="25" t="s">
        <v>23</v>
      </c>
      <c r="S432" s="4">
        <v>0.93</v>
      </c>
      <c r="T432" s="26">
        <v>0.93</v>
      </c>
    </row>
    <row r="433" spans="1:20" x14ac:dyDescent="0.3">
      <c r="A433" s="27" t="s">
        <v>967</v>
      </c>
      <c r="B433" s="4" t="s">
        <v>968</v>
      </c>
      <c r="C433" s="4" t="s">
        <v>63</v>
      </c>
      <c r="D433" s="25" t="s">
        <v>118</v>
      </c>
      <c r="E433" s="4">
        <v>40</v>
      </c>
      <c r="F433" s="25">
        <v>40</v>
      </c>
      <c r="G433" s="4" t="s">
        <v>114</v>
      </c>
      <c r="H433" s="25" t="s">
        <v>114</v>
      </c>
      <c r="I433" s="4" t="s">
        <v>57</v>
      </c>
      <c r="J433" s="25" t="s">
        <v>57</v>
      </c>
      <c r="K433" s="4">
        <v>13</v>
      </c>
      <c r="L433" s="25">
        <v>13</v>
      </c>
      <c r="M433" s="4" t="s">
        <v>32</v>
      </c>
      <c r="N433" s="25" t="s">
        <v>32</v>
      </c>
      <c r="O433" s="4">
        <v>1.1000000000000001</v>
      </c>
      <c r="P433" s="25">
        <v>1.1000000000000001</v>
      </c>
      <c r="Q433" s="4" t="s">
        <v>33</v>
      </c>
      <c r="R433" s="25" t="s">
        <v>33</v>
      </c>
      <c r="T433" s="26" t="s">
        <v>2120</v>
      </c>
    </row>
    <row r="434" spans="1:20" x14ac:dyDescent="0.3">
      <c r="A434" s="27" t="s">
        <v>969</v>
      </c>
      <c r="B434" s="4" t="s">
        <v>970</v>
      </c>
      <c r="C434" s="4" t="s">
        <v>45</v>
      </c>
      <c r="D434" s="25" t="s">
        <v>97</v>
      </c>
      <c r="E434" s="4">
        <v>53</v>
      </c>
      <c r="F434" s="25">
        <v>53</v>
      </c>
      <c r="G434" s="4" t="s">
        <v>55</v>
      </c>
      <c r="H434" s="25" t="s">
        <v>55</v>
      </c>
      <c r="I434" s="4" t="s">
        <v>135</v>
      </c>
      <c r="J434" s="25" t="s">
        <v>135</v>
      </c>
      <c r="K434" s="4">
        <v>13</v>
      </c>
      <c r="L434" s="25">
        <v>13</v>
      </c>
      <c r="M434" s="4" t="s">
        <v>81</v>
      </c>
      <c r="N434" s="25" t="s">
        <v>81</v>
      </c>
      <c r="O434" s="4">
        <v>3.3</v>
      </c>
      <c r="P434" s="25">
        <v>3.3</v>
      </c>
      <c r="Q434" s="4" t="s">
        <v>94</v>
      </c>
      <c r="R434" s="25" t="s">
        <v>94</v>
      </c>
      <c r="S434" s="4">
        <v>0.93</v>
      </c>
      <c r="T434" s="26">
        <v>0.93</v>
      </c>
    </row>
    <row r="435" spans="1:20" x14ac:dyDescent="0.3">
      <c r="A435" s="27" t="s">
        <v>971</v>
      </c>
      <c r="B435" s="4" t="s">
        <v>972</v>
      </c>
      <c r="C435" s="4" t="s">
        <v>18</v>
      </c>
      <c r="D435" s="25" t="s">
        <v>97</v>
      </c>
      <c r="E435" s="4">
        <v>35</v>
      </c>
      <c r="F435" s="25">
        <v>35</v>
      </c>
      <c r="G435" s="4" t="s">
        <v>38</v>
      </c>
      <c r="H435" s="25" t="s">
        <v>38</v>
      </c>
      <c r="I435" s="4" t="s">
        <v>21</v>
      </c>
      <c r="J435" s="25" t="s">
        <v>21</v>
      </c>
      <c r="K435" s="4">
        <v>0</v>
      </c>
      <c r="L435" s="25">
        <v>0</v>
      </c>
      <c r="M435" s="4" t="s">
        <v>130</v>
      </c>
      <c r="N435" s="25" t="s">
        <v>130</v>
      </c>
      <c r="O435" s="4">
        <v>4.5999999999999996</v>
      </c>
      <c r="P435" s="25">
        <v>4.5999999999999996</v>
      </c>
      <c r="Q435" s="4" t="s">
        <v>51</v>
      </c>
      <c r="R435" s="25" t="s">
        <v>2120</v>
      </c>
      <c r="S435" s="4">
        <v>0.97</v>
      </c>
      <c r="T435" s="26">
        <v>0.97</v>
      </c>
    </row>
    <row r="436" spans="1:20" x14ac:dyDescent="0.3">
      <c r="A436" s="27" t="s">
        <v>973</v>
      </c>
      <c r="B436" s="4" t="s">
        <v>974</v>
      </c>
      <c r="C436" s="4" t="s">
        <v>28</v>
      </c>
      <c r="D436" s="25" t="s">
        <v>97</v>
      </c>
      <c r="E436" s="4">
        <v>27</v>
      </c>
      <c r="F436" s="25">
        <v>27</v>
      </c>
      <c r="G436" s="4" t="s">
        <v>91</v>
      </c>
      <c r="H436" s="25" t="s">
        <v>91</v>
      </c>
      <c r="I436" s="4" t="s">
        <v>135</v>
      </c>
      <c r="J436" s="25" t="s">
        <v>135</v>
      </c>
      <c r="K436" s="4">
        <v>7</v>
      </c>
      <c r="L436" s="25">
        <v>7</v>
      </c>
      <c r="M436" s="4" t="s">
        <v>67</v>
      </c>
      <c r="N436" s="25" t="s">
        <v>67</v>
      </c>
      <c r="O436" s="4">
        <v>2.8</v>
      </c>
      <c r="P436" s="25">
        <v>2.8</v>
      </c>
      <c r="Q436" s="4" t="s">
        <v>33</v>
      </c>
      <c r="R436" s="25" t="s">
        <v>33</v>
      </c>
      <c r="S436" s="4">
        <v>0.92</v>
      </c>
      <c r="T436" s="26">
        <v>0.92</v>
      </c>
    </row>
    <row r="437" spans="1:20" x14ac:dyDescent="0.3">
      <c r="A437" s="27" t="s">
        <v>975</v>
      </c>
      <c r="B437" s="4" t="s">
        <v>976</v>
      </c>
      <c r="C437" s="4" t="s">
        <v>78</v>
      </c>
      <c r="D437" s="25" t="s">
        <v>118</v>
      </c>
      <c r="E437" s="4">
        <v>34</v>
      </c>
      <c r="F437" s="25">
        <v>34</v>
      </c>
      <c r="G437" s="4" t="s">
        <v>29</v>
      </c>
      <c r="H437" s="25" t="s">
        <v>29</v>
      </c>
      <c r="I437" s="4" t="s">
        <v>110</v>
      </c>
      <c r="J437" s="25" t="s">
        <v>110</v>
      </c>
      <c r="K437" s="4">
        <v>6</v>
      </c>
      <c r="L437" s="25">
        <v>6</v>
      </c>
      <c r="M437" s="4" t="s">
        <v>40</v>
      </c>
      <c r="N437" s="25" t="s">
        <v>40</v>
      </c>
      <c r="O437" s="4">
        <v>5</v>
      </c>
      <c r="P437" s="25">
        <v>5</v>
      </c>
      <c r="Q437" s="4" t="s">
        <v>94</v>
      </c>
      <c r="R437" s="25" t="s">
        <v>94</v>
      </c>
      <c r="S437" s="4">
        <v>0.92</v>
      </c>
      <c r="T437" s="26">
        <v>0.92</v>
      </c>
    </row>
    <row r="438" spans="1:20" x14ac:dyDescent="0.3">
      <c r="A438" s="27" t="s">
        <v>977</v>
      </c>
      <c r="B438" s="4" t="s">
        <v>978</v>
      </c>
      <c r="C438" s="4" t="s">
        <v>37</v>
      </c>
      <c r="D438" s="25" t="s">
        <v>118</v>
      </c>
      <c r="E438" s="4">
        <v>24</v>
      </c>
      <c r="F438" s="25">
        <v>24</v>
      </c>
      <c r="G438" s="4" t="s">
        <v>114</v>
      </c>
      <c r="H438" s="25" t="s">
        <v>114</v>
      </c>
      <c r="I438" s="4" t="s">
        <v>98</v>
      </c>
      <c r="J438" s="25" t="s">
        <v>98</v>
      </c>
      <c r="K438" s="4">
        <v>2</v>
      </c>
      <c r="L438" s="25">
        <v>2</v>
      </c>
      <c r="M438" s="4" t="s">
        <v>103</v>
      </c>
      <c r="N438" s="25" t="s">
        <v>103</v>
      </c>
      <c r="O438" s="4">
        <v>4.7</v>
      </c>
      <c r="P438" s="25">
        <v>4.7</v>
      </c>
      <c r="Q438" s="4" t="s">
        <v>181</v>
      </c>
      <c r="R438" s="25" t="s">
        <v>181</v>
      </c>
      <c r="S438" s="4">
        <v>0.68</v>
      </c>
      <c r="T438" s="26">
        <v>0.68</v>
      </c>
    </row>
    <row r="439" spans="1:20" x14ac:dyDescent="0.3">
      <c r="A439" s="27" t="s">
        <v>979</v>
      </c>
      <c r="B439" s="4" t="s">
        <v>980</v>
      </c>
      <c r="C439" s="4" t="s">
        <v>37</v>
      </c>
      <c r="D439" s="25" t="s">
        <v>118</v>
      </c>
      <c r="E439" s="4">
        <v>57</v>
      </c>
      <c r="F439" s="25">
        <v>57</v>
      </c>
      <c r="G439" s="4" t="s">
        <v>73</v>
      </c>
      <c r="H439" s="25" t="s">
        <v>73</v>
      </c>
      <c r="I439" s="4" t="s">
        <v>93</v>
      </c>
      <c r="J439" s="25" t="s">
        <v>93</v>
      </c>
      <c r="K439" s="4">
        <v>13</v>
      </c>
      <c r="L439" s="25">
        <v>13</v>
      </c>
      <c r="M439" s="4" t="s">
        <v>22</v>
      </c>
      <c r="N439" s="25" t="s">
        <v>22</v>
      </c>
      <c r="O439" s="4">
        <v>3.5</v>
      </c>
      <c r="P439" s="25">
        <v>3.5</v>
      </c>
      <c r="Q439" s="4" t="s">
        <v>181</v>
      </c>
      <c r="R439" s="25" t="s">
        <v>181</v>
      </c>
      <c r="S439" s="4">
        <v>0.95</v>
      </c>
      <c r="T439" s="26">
        <v>0.95</v>
      </c>
    </row>
    <row r="440" spans="1:20" x14ac:dyDescent="0.3">
      <c r="A440" s="27" t="s">
        <v>981</v>
      </c>
      <c r="B440" s="4" t="s">
        <v>982</v>
      </c>
      <c r="C440" s="4" t="s">
        <v>63</v>
      </c>
      <c r="D440" s="25" t="s">
        <v>118</v>
      </c>
      <c r="E440" s="4">
        <v>28</v>
      </c>
      <c r="F440" s="25">
        <v>28</v>
      </c>
      <c r="G440" s="4" t="s">
        <v>133</v>
      </c>
      <c r="H440" s="25" t="s">
        <v>133</v>
      </c>
      <c r="I440" s="4" t="s">
        <v>93</v>
      </c>
      <c r="J440" s="25" t="s">
        <v>93</v>
      </c>
      <c r="K440" s="4">
        <v>7</v>
      </c>
      <c r="L440" s="25">
        <v>7</v>
      </c>
      <c r="M440" s="4" t="s">
        <v>251</v>
      </c>
      <c r="N440" s="25" t="s">
        <v>251</v>
      </c>
      <c r="O440" s="4">
        <v>4.3</v>
      </c>
      <c r="P440" s="25">
        <v>4.3</v>
      </c>
      <c r="Q440" s="4" t="s">
        <v>59</v>
      </c>
      <c r="R440" s="25" t="s">
        <v>59</v>
      </c>
      <c r="S440" s="4">
        <v>0.76</v>
      </c>
      <c r="T440" s="26">
        <v>0.76</v>
      </c>
    </row>
    <row r="441" spans="1:20" x14ac:dyDescent="0.3">
      <c r="A441" s="27" t="s">
        <v>983</v>
      </c>
      <c r="B441" s="4" t="s">
        <v>984</v>
      </c>
      <c r="C441" s="4" t="s">
        <v>45</v>
      </c>
      <c r="D441" s="25" t="s">
        <v>97</v>
      </c>
      <c r="E441" s="4">
        <v>26</v>
      </c>
      <c r="F441" s="25">
        <v>26</v>
      </c>
      <c r="G441" s="4" t="s">
        <v>19</v>
      </c>
      <c r="H441" s="25" t="s">
        <v>19</v>
      </c>
      <c r="I441" s="4" t="s">
        <v>110</v>
      </c>
      <c r="J441" s="25" t="s">
        <v>110</v>
      </c>
      <c r="K441" s="4">
        <v>7</v>
      </c>
      <c r="L441" s="25">
        <v>7</v>
      </c>
      <c r="M441" s="4" t="s">
        <v>32</v>
      </c>
      <c r="N441" s="25" t="s">
        <v>32</v>
      </c>
      <c r="O441" s="4">
        <v>3.3</v>
      </c>
      <c r="P441" s="25">
        <v>3.3</v>
      </c>
      <c r="Q441" s="4" t="s">
        <v>87</v>
      </c>
      <c r="R441" s="25" t="s">
        <v>87</v>
      </c>
      <c r="S441" s="4">
        <v>0.66</v>
      </c>
      <c r="T441" s="26">
        <v>0.66</v>
      </c>
    </row>
    <row r="442" spans="1:20" x14ac:dyDescent="0.3">
      <c r="A442" s="27" t="s">
        <v>985</v>
      </c>
      <c r="B442" s="4" t="s">
        <v>986</v>
      </c>
      <c r="C442" s="4" t="s">
        <v>118</v>
      </c>
      <c r="D442" s="25" t="s">
        <v>118</v>
      </c>
      <c r="E442" s="4">
        <v>34</v>
      </c>
      <c r="F442" s="25">
        <v>34</v>
      </c>
      <c r="G442" s="4" t="s">
        <v>91</v>
      </c>
      <c r="H442" s="25" t="s">
        <v>91</v>
      </c>
      <c r="I442" s="4" t="s">
        <v>31</v>
      </c>
      <c r="J442" s="25" t="s">
        <v>31</v>
      </c>
      <c r="K442" s="4">
        <v>15</v>
      </c>
      <c r="L442" s="25">
        <v>15</v>
      </c>
      <c r="M442" s="4" t="s">
        <v>103</v>
      </c>
      <c r="N442" s="25" t="s">
        <v>103</v>
      </c>
      <c r="P442" s="25" t="s">
        <v>2120</v>
      </c>
      <c r="Q442" s="4" t="s">
        <v>23</v>
      </c>
      <c r="R442" s="25" t="s">
        <v>23</v>
      </c>
      <c r="S442" s="4">
        <v>0.73</v>
      </c>
      <c r="T442" s="26">
        <v>0.73</v>
      </c>
    </row>
    <row r="443" spans="1:20" x14ac:dyDescent="0.3">
      <c r="A443" s="27" t="s">
        <v>987</v>
      </c>
      <c r="B443" s="4" t="s">
        <v>988</v>
      </c>
      <c r="C443" s="4" t="s">
        <v>118</v>
      </c>
      <c r="D443" s="25" t="s">
        <v>118</v>
      </c>
      <c r="E443" s="4">
        <v>43</v>
      </c>
      <c r="F443" s="25">
        <v>43</v>
      </c>
      <c r="G443" s="4" t="s">
        <v>106</v>
      </c>
      <c r="H443" s="25" t="s">
        <v>106</v>
      </c>
      <c r="I443" s="4" t="s">
        <v>57</v>
      </c>
      <c r="J443" s="25" t="s">
        <v>57</v>
      </c>
      <c r="L443" s="25" t="s">
        <v>2120</v>
      </c>
      <c r="M443" s="4" t="s">
        <v>336</v>
      </c>
      <c r="N443" s="25" t="s">
        <v>336</v>
      </c>
      <c r="O443" s="4">
        <v>2.8</v>
      </c>
      <c r="P443" s="25">
        <v>2.8</v>
      </c>
      <c r="Q443" s="4" t="s">
        <v>51</v>
      </c>
      <c r="R443" s="25" t="s">
        <v>2120</v>
      </c>
      <c r="S443" s="4">
        <v>0.99</v>
      </c>
      <c r="T443" s="26">
        <v>0.99</v>
      </c>
    </row>
    <row r="444" spans="1:20" x14ac:dyDescent="0.3">
      <c r="A444" s="27" t="s">
        <v>989</v>
      </c>
      <c r="B444" s="4" t="s">
        <v>990</v>
      </c>
      <c r="C444" s="4" t="s">
        <v>113</v>
      </c>
      <c r="D444" s="25" t="s">
        <v>118</v>
      </c>
      <c r="E444" s="4">
        <v>31</v>
      </c>
      <c r="F444" s="25">
        <v>31</v>
      </c>
      <c r="G444" s="4" t="s">
        <v>197</v>
      </c>
      <c r="H444" s="25" t="s">
        <v>197</v>
      </c>
      <c r="I444" s="4" t="s">
        <v>39</v>
      </c>
      <c r="J444" s="25" t="s">
        <v>39</v>
      </c>
      <c r="K444" s="4">
        <v>5</v>
      </c>
      <c r="L444" s="25">
        <v>5</v>
      </c>
      <c r="M444" s="4" t="s">
        <v>51</v>
      </c>
      <c r="N444" s="25" t="s">
        <v>2119</v>
      </c>
      <c r="O444" s="4">
        <v>2.7</v>
      </c>
      <c r="P444" s="25">
        <v>2.7</v>
      </c>
      <c r="Q444" s="4" t="s">
        <v>33</v>
      </c>
      <c r="R444" s="25" t="s">
        <v>33</v>
      </c>
      <c r="S444" s="4">
        <v>94</v>
      </c>
      <c r="T444" s="26">
        <v>94</v>
      </c>
    </row>
    <row r="445" spans="1:20" x14ac:dyDescent="0.3">
      <c r="A445" s="27" t="s">
        <v>991</v>
      </c>
      <c r="B445" s="4" t="s">
        <v>992</v>
      </c>
      <c r="C445" s="4" t="s">
        <v>28</v>
      </c>
      <c r="D445" s="25" t="s">
        <v>97</v>
      </c>
      <c r="E445" s="4">
        <v>34</v>
      </c>
      <c r="F445" s="25">
        <v>34</v>
      </c>
      <c r="G445" s="4" t="s">
        <v>197</v>
      </c>
      <c r="H445" s="25" t="s">
        <v>197</v>
      </c>
      <c r="I445" s="4" t="s">
        <v>21</v>
      </c>
      <c r="J445" s="25" t="s">
        <v>21</v>
      </c>
      <c r="L445" s="25" t="s">
        <v>2120</v>
      </c>
      <c r="M445" s="4" t="s">
        <v>81</v>
      </c>
      <c r="N445" s="25" t="s">
        <v>81</v>
      </c>
      <c r="O445" s="4">
        <v>0</v>
      </c>
      <c r="P445" s="25">
        <v>0</v>
      </c>
      <c r="Q445" s="4" t="s">
        <v>59</v>
      </c>
      <c r="R445" s="25" t="s">
        <v>59</v>
      </c>
      <c r="S445" s="4">
        <v>84</v>
      </c>
      <c r="T445" s="26">
        <v>84</v>
      </c>
    </row>
    <row r="446" spans="1:20" x14ac:dyDescent="0.3">
      <c r="A446" s="27" t="s">
        <v>993</v>
      </c>
      <c r="B446" s="4" t="s">
        <v>994</v>
      </c>
      <c r="C446" s="4" t="s">
        <v>45</v>
      </c>
      <c r="D446" s="25" t="s">
        <v>97</v>
      </c>
      <c r="E446" s="4">
        <v>32</v>
      </c>
      <c r="F446" s="25">
        <v>32</v>
      </c>
      <c r="G446" s="4" t="s">
        <v>145</v>
      </c>
      <c r="H446" s="25" t="s">
        <v>145</v>
      </c>
      <c r="I446" s="4" t="s">
        <v>98</v>
      </c>
      <c r="J446" s="25" t="s">
        <v>98</v>
      </c>
      <c r="K446" s="4">
        <v>10</v>
      </c>
      <c r="L446" s="25">
        <v>10</v>
      </c>
      <c r="M446" s="4" t="s">
        <v>142</v>
      </c>
      <c r="N446" s="25" t="s">
        <v>142</v>
      </c>
      <c r="P446" s="25" t="s">
        <v>2120</v>
      </c>
      <c r="Q446" s="4" t="s">
        <v>94</v>
      </c>
      <c r="R446" s="25" t="s">
        <v>94</v>
      </c>
      <c r="S446" s="4">
        <v>0.92</v>
      </c>
      <c r="T446" s="26">
        <v>0.92</v>
      </c>
    </row>
    <row r="447" spans="1:20" x14ac:dyDescent="0.3">
      <c r="A447" s="27" t="s">
        <v>995</v>
      </c>
      <c r="B447" s="4" t="s">
        <v>996</v>
      </c>
      <c r="C447" s="4" t="s">
        <v>63</v>
      </c>
      <c r="D447" s="25" t="s">
        <v>118</v>
      </c>
      <c r="E447" s="4">
        <v>24</v>
      </c>
      <c r="F447" s="25">
        <v>24</v>
      </c>
      <c r="G447" s="4" t="s">
        <v>160</v>
      </c>
      <c r="H447" s="25" t="s">
        <v>160</v>
      </c>
      <c r="I447" s="4" t="s">
        <v>110</v>
      </c>
      <c r="J447" s="25" t="s">
        <v>110</v>
      </c>
      <c r="K447" s="4">
        <v>6</v>
      </c>
      <c r="L447" s="25">
        <v>6</v>
      </c>
      <c r="M447" s="4" t="s">
        <v>192</v>
      </c>
      <c r="N447" s="25" t="s">
        <v>192</v>
      </c>
      <c r="O447" s="4">
        <v>4.3</v>
      </c>
      <c r="P447" s="25">
        <v>4.3</v>
      </c>
      <c r="Q447" s="4" t="s">
        <v>87</v>
      </c>
      <c r="R447" s="25" t="s">
        <v>87</v>
      </c>
      <c r="T447" s="26" t="s">
        <v>2120</v>
      </c>
    </row>
    <row r="448" spans="1:20" x14ac:dyDescent="0.3">
      <c r="A448" s="27" t="s">
        <v>997</v>
      </c>
      <c r="B448" s="4" t="s">
        <v>998</v>
      </c>
      <c r="C448" s="4" t="s">
        <v>37</v>
      </c>
      <c r="D448" s="25" t="s">
        <v>118</v>
      </c>
      <c r="E448" s="4">
        <v>35</v>
      </c>
      <c r="F448" s="25">
        <v>35</v>
      </c>
      <c r="G448" s="4" t="s">
        <v>85</v>
      </c>
      <c r="H448" s="25" t="s">
        <v>85</v>
      </c>
      <c r="I448" s="4" t="s">
        <v>57</v>
      </c>
      <c r="J448" s="25" t="s">
        <v>57</v>
      </c>
      <c r="K448" s="4">
        <v>8</v>
      </c>
      <c r="L448" s="25">
        <v>8</v>
      </c>
      <c r="M448" s="4" t="s">
        <v>119</v>
      </c>
      <c r="N448" s="25" t="s">
        <v>119</v>
      </c>
      <c r="P448" s="25" t="s">
        <v>2120</v>
      </c>
      <c r="Q448" s="4" t="s">
        <v>181</v>
      </c>
      <c r="R448" s="25" t="s">
        <v>181</v>
      </c>
      <c r="S448" s="4">
        <v>90</v>
      </c>
      <c r="T448" s="26">
        <v>90</v>
      </c>
    </row>
    <row r="449" spans="1:20" x14ac:dyDescent="0.3">
      <c r="A449" s="27" t="s">
        <v>999</v>
      </c>
      <c r="B449" s="4" t="s">
        <v>1000</v>
      </c>
      <c r="C449" s="4" t="s">
        <v>28</v>
      </c>
      <c r="D449" s="25" t="s">
        <v>97</v>
      </c>
      <c r="E449" s="4">
        <v>22</v>
      </c>
      <c r="F449" s="25">
        <v>22</v>
      </c>
      <c r="G449" s="4" t="s">
        <v>29</v>
      </c>
      <c r="H449" s="25" t="s">
        <v>29</v>
      </c>
      <c r="I449" s="4" t="s">
        <v>31</v>
      </c>
      <c r="J449" s="25" t="s">
        <v>31</v>
      </c>
      <c r="K449" s="4">
        <v>4</v>
      </c>
      <c r="L449" s="25">
        <v>4</v>
      </c>
      <c r="M449" s="4" t="s">
        <v>162</v>
      </c>
      <c r="N449" s="25" t="s">
        <v>162</v>
      </c>
      <c r="P449" s="25" t="s">
        <v>2120</v>
      </c>
      <c r="Q449" s="4" t="s">
        <v>23</v>
      </c>
      <c r="R449" s="25" t="s">
        <v>23</v>
      </c>
      <c r="S449" s="4">
        <v>0.73</v>
      </c>
      <c r="T449" s="26">
        <v>0.73</v>
      </c>
    </row>
    <row r="450" spans="1:20" x14ac:dyDescent="0.3">
      <c r="A450" s="27" t="s">
        <v>1001</v>
      </c>
      <c r="B450" s="4" t="s">
        <v>1002</v>
      </c>
      <c r="C450" s="4" t="s">
        <v>45</v>
      </c>
      <c r="D450" s="25" t="s">
        <v>97</v>
      </c>
      <c r="E450" s="4">
        <v>55</v>
      </c>
      <c r="F450" s="25">
        <v>55</v>
      </c>
      <c r="G450" s="4" t="s">
        <v>160</v>
      </c>
      <c r="H450" s="25" t="s">
        <v>160</v>
      </c>
      <c r="I450" s="4" t="s">
        <v>57</v>
      </c>
      <c r="J450" s="25" t="s">
        <v>57</v>
      </c>
      <c r="K450" s="4">
        <v>3</v>
      </c>
      <c r="L450" s="25">
        <v>3</v>
      </c>
      <c r="M450" s="4" t="s">
        <v>22</v>
      </c>
      <c r="N450" s="25" t="s">
        <v>22</v>
      </c>
      <c r="P450" s="25" t="s">
        <v>2120</v>
      </c>
      <c r="Q450" s="4" t="s">
        <v>33</v>
      </c>
      <c r="R450" s="25" t="s">
        <v>33</v>
      </c>
      <c r="S450" s="4">
        <v>0.73</v>
      </c>
      <c r="T450" s="26">
        <v>0.73</v>
      </c>
    </row>
    <row r="451" spans="1:20" x14ac:dyDescent="0.3">
      <c r="A451" s="27" t="s">
        <v>1003</v>
      </c>
      <c r="B451" s="4" t="s">
        <v>1004</v>
      </c>
      <c r="C451" s="4" t="s">
        <v>50</v>
      </c>
      <c r="D451" s="25" t="s">
        <v>97</v>
      </c>
      <c r="E451" s="4">
        <v>54</v>
      </c>
      <c r="F451" s="25">
        <v>54</v>
      </c>
      <c r="G451" s="4" t="s">
        <v>91</v>
      </c>
      <c r="H451" s="25" t="s">
        <v>91</v>
      </c>
      <c r="I451" s="4" t="s">
        <v>135</v>
      </c>
      <c r="J451" s="25" t="s">
        <v>135</v>
      </c>
      <c r="L451" s="25" t="s">
        <v>2120</v>
      </c>
      <c r="M451" s="4" t="s">
        <v>52</v>
      </c>
      <c r="N451" s="25" t="s">
        <v>52</v>
      </c>
      <c r="O451" s="4">
        <v>2.9</v>
      </c>
      <c r="P451" s="25">
        <v>2.9</v>
      </c>
      <c r="Q451" s="4" t="s">
        <v>74</v>
      </c>
      <c r="R451" s="25" t="s">
        <v>74</v>
      </c>
      <c r="S451" s="4">
        <v>0.78</v>
      </c>
      <c r="T451" s="26">
        <v>0.78</v>
      </c>
    </row>
    <row r="452" spans="1:20" x14ac:dyDescent="0.3">
      <c r="A452" s="27" t="s">
        <v>1005</v>
      </c>
      <c r="B452" s="4" t="s">
        <v>1006</v>
      </c>
      <c r="C452" s="4" t="s">
        <v>18</v>
      </c>
      <c r="D452" s="25" t="s">
        <v>97</v>
      </c>
      <c r="E452" s="4">
        <v>36</v>
      </c>
      <c r="F452" s="25">
        <v>36</v>
      </c>
      <c r="G452" s="4" t="s">
        <v>55</v>
      </c>
      <c r="H452" s="25" t="s">
        <v>55</v>
      </c>
      <c r="I452" s="4" t="s">
        <v>98</v>
      </c>
      <c r="J452" s="25" t="s">
        <v>98</v>
      </c>
      <c r="K452" s="4">
        <v>11</v>
      </c>
      <c r="L452" s="25">
        <v>11</v>
      </c>
      <c r="M452" s="4" t="s">
        <v>58</v>
      </c>
      <c r="N452" s="25" t="s">
        <v>58</v>
      </c>
      <c r="O452" s="4">
        <v>0</v>
      </c>
      <c r="P452" s="25">
        <v>0</v>
      </c>
      <c r="Q452" s="4" t="s">
        <v>74</v>
      </c>
      <c r="R452" s="25" t="s">
        <v>74</v>
      </c>
      <c r="S452" s="4">
        <v>0.63</v>
      </c>
      <c r="T452" s="26">
        <v>0.63</v>
      </c>
    </row>
    <row r="453" spans="1:20" x14ac:dyDescent="0.3">
      <c r="A453" s="27" t="s">
        <v>1007</v>
      </c>
      <c r="B453" s="4" t="s">
        <v>1008</v>
      </c>
      <c r="C453" s="4" t="s">
        <v>50</v>
      </c>
      <c r="D453" s="25" t="s">
        <v>97</v>
      </c>
      <c r="E453" s="4">
        <v>36</v>
      </c>
      <c r="F453" s="25">
        <v>36</v>
      </c>
      <c r="G453" s="4" t="s">
        <v>55</v>
      </c>
      <c r="H453" s="25" t="s">
        <v>55</v>
      </c>
      <c r="I453" s="4" t="s">
        <v>57</v>
      </c>
      <c r="J453" s="25" t="s">
        <v>57</v>
      </c>
      <c r="K453" s="4">
        <v>17</v>
      </c>
      <c r="L453" s="25">
        <v>17</v>
      </c>
      <c r="M453" s="4" t="s">
        <v>40</v>
      </c>
      <c r="N453" s="25" t="s">
        <v>40</v>
      </c>
      <c r="O453" s="4">
        <v>1.3</v>
      </c>
      <c r="P453" s="25">
        <v>1.3</v>
      </c>
      <c r="Q453" s="4" t="s">
        <v>51</v>
      </c>
      <c r="R453" s="25" t="s">
        <v>2120</v>
      </c>
      <c r="S453" s="4">
        <v>0.64</v>
      </c>
      <c r="T453" s="26">
        <v>0.64</v>
      </c>
    </row>
    <row r="454" spans="1:20" x14ac:dyDescent="0.3">
      <c r="A454" s="27" t="s">
        <v>1009</v>
      </c>
      <c r="B454" s="4" t="s">
        <v>1010</v>
      </c>
      <c r="C454" s="4" t="s">
        <v>18</v>
      </c>
      <c r="D454" s="25" t="s">
        <v>97</v>
      </c>
      <c r="E454" s="4">
        <v>25</v>
      </c>
      <c r="F454" s="25">
        <v>25</v>
      </c>
      <c r="G454" s="4" t="s">
        <v>91</v>
      </c>
      <c r="H454" s="25" t="s">
        <v>91</v>
      </c>
      <c r="I454" s="4" t="s">
        <v>46</v>
      </c>
      <c r="J454" s="25" t="s">
        <v>46</v>
      </c>
      <c r="K454" s="4">
        <v>1</v>
      </c>
      <c r="L454" s="25">
        <v>1</v>
      </c>
      <c r="M454" s="4" t="s">
        <v>103</v>
      </c>
      <c r="N454" s="25" t="s">
        <v>103</v>
      </c>
      <c r="O454" s="4">
        <v>0</v>
      </c>
      <c r="P454" s="25">
        <v>0</v>
      </c>
      <c r="Q454" s="4" t="s">
        <v>33</v>
      </c>
      <c r="R454" s="25" t="s">
        <v>33</v>
      </c>
      <c r="T454" s="26" t="s">
        <v>2120</v>
      </c>
    </row>
    <row r="455" spans="1:20" x14ac:dyDescent="0.3">
      <c r="A455" s="27" t="s">
        <v>1011</v>
      </c>
      <c r="B455" s="4" t="s">
        <v>1012</v>
      </c>
      <c r="C455" s="4" t="s">
        <v>118</v>
      </c>
      <c r="D455" s="25" t="s">
        <v>118</v>
      </c>
      <c r="E455" s="4">
        <v>46</v>
      </c>
      <c r="F455" s="25">
        <v>46</v>
      </c>
      <c r="G455" s="4" t="s">
        <v>64</v>
      </c>
      <c r="H455" s="25" t="s">
        <v>64</v>
      </c>
      <c r="I455" s="4" t="s">
        <v>57</v>
      </c>
      <c r="J455" s="25" t="s">
        <v>57</v>
      </c>
      <c r="K455" s="4">
        <v>16</v>
      </c>
      <c r="L455" s="25">
        <v>16</v>
      </c>
      <c r="M455" s="4" t="s">
        <v>162</v>
      </c>
      <c r="N455" s="25" t="s">
        <v>162</v>
      </c>
      <c r="O455" s="4">
        <v>4.8</v>
      </c>
      <c r="P455" s="25">
        <v>4.8</v>
      </c>
      <c r="Q455" s="4" t="s">
        <v>33</v>
      </c>
      <c r="R455" s="25" t="s">
        <v>33</v>
      </c>
      <c r="S455" s="4">
        <v>0.86</v>
      </c>
      <c r="T455" s="26">
        <v>0.86</v>
      </c>
    </row>
    <row r="456" spans="1:20" x14ac:dyDescent="0.3">
      <c r="A456" s="27" t="s">
        <v>1013</v>
      </c>
      <c r="B456" s="4" t="s">
        <v>1014</v>
      </c>
      <c r="C456" s="4" t="s">
        <v>113</v>
      </c>
      <c r="D456" s="25" t="s">
        <v>118</v>
      </c>
      <c r="E456" s="4">
        <v>41</v>
      </c>
      <c r="F456" s="25">
        <v>41</v>
      </c>
      <c r="G456" s="4" t="s">
        <v>91</v>
      </c>
      <c r="H456" s="25" t="s">
        <v>91</v>
      </c>
      <c r="I456" s="4" t="s">
        <v>135</v>
      </c>
      <c r="J456" s="25" t="s">
        <v>135</v>
      </c>
      <c r="K456" s="4">
        <v>11</v>
      </c>
      <c r="L456" s="25">
        <v>11</v>
      </c>
      <c r="M456" s="4" t="s">
        <v>47</v>
      </c>
      <c r="N456" s="25" t="s">
        <v>47</v>
      </c>
      <c r="O456" s="4">
        <v>2.4</v>
      </c>
      <c r="P456" s="25">
        <v>2.4</v>
      </c>
      <c r="Q456" s="4" t="s">
        <v>59</v>
      </c>
      <c r="R456" s="25" t="s">
        <v>59</v>
      </c>
      <c r="T456" s="26" t="s">
        <v>2120</v>
      </c>
    </row>
    <row r="457" spans="1:20" x14ac:dyDescent="0.3">
      <c r="A457" s="27" t="s">
        <v>1015</v>
      </c>
      <c r="B457" s="4" t="s">
        <v>1016</v>
      </c>
      <c r="C457" s="4" t="s">
        <v>28</v>
      </c>
      <c r="D457" s="25" t="s">
        <v>97</v>
      </c>
      <c r="E457" s="4">
        <v>21</v>
      </c>
      <c r="F457" s="25">
        <v>21</v>
      </c>
      <c r="G457" s="4" t="s">
        <v>145</v>
      </c>
      <c r="H457" s="25" t="s">
        <v>145</v>
      </c>
      <c r="I457" s="4" t="s">
        <v>31</v>
      </c>
      <c r="J457" s="25" t="s">
        <v>31</v>
      </c>
      <c r="K457" s="4">
        <v>3</v>
      </c>
      <c r="L457" s="25">
        <v>3</v>
      </c>
      <c r="M457" s="4" t="s">
        <v>251</v>
      </c>
      <c r="N457" s="25" t="s">
        <v>251</v>
      </c>
      <c r="O457" s="4">
        <v>4.7</v>
      </c>
      <c r="P457" s="25">
        <v>4.7</v>
      </c>
      <c r="Q457" s="4" t="s">
        <v>41</v>
      </c>
      <c r="R457" s="25" t="s">
        <v>41</v>
      </c>
      <c r="S457" s="4">
        <v>0.96</v>
      </c>
      <c r="T457" s="26">
        <v>0.96</v>
      </c>
    </row>
    <row r="458" spans="1:20" x14ac:dyDescent="0.3">
      <c r="A458" s="27" t="s">
        <v>1017</v>
      </c>
      <c r="B458" s="4" t="s">
        <v>1018</v>
      </c>
      <c r="C458" s="4" t="s">
        <v>118</v>
      </c>
      <c r="D458" s="25" t="s">
        <v>118</v>
      </c>
      <c r="E458" s="4">
        <v>29</v>
      </c>
      <c r="F458" s="25">
        <v>29</v>
      </c>
      <c r="G458" s="4" t="s">
        <v>73</v>
      </c>
      <c r="H458" s="25" t="s">
        <v>73</v>
      </c>
      <c r="I458" s="4" t="s">
        <v>39</v>
      </c>
      <c r="J458" s="25" t="s">
        <v>39</v>
      </c>
      <c r="L458" s="25" t="s">
        <v>2120</v>
      </c>
      <c r="M458" s="4" t="s">
        <v>192</v>
      </c>
      <c r="N458" s="25" t="s">
        <v>192</v>
      </c>
      <c r="O458" s="4">
        <v>2</v>
      </c>
      <c r="P458" s="25">
        <v>2</v>
      </c>
      <c r="Q458" s="4" t="s">
        <v>23</v>
      </c>
      <c r="R458" s="25" t="s">
        <v>23</v>
      </c>
      <c r="T458" s="26" t="s">
        <v>2120</v>
      </c>
    </row>
    <row r="459" spans="1:20" x14ac:dyDescent="0.3">
      <c r="A459" s="27" t="s">
        <v>1019</v>
      </c>
      <c r="B459" s="4" t="s">
        <v>1020</v>
      </c>
      <c r="C459" s="4" t="s">
        <v>45</v>
      </c>
      <c r="D459" s="25" t="s">
        <v>97</v>
      </c>
      <c r="E459" s="4">
        <v>44</v>
      </c>
      <c r="F459" s="25">
        <v>44</v>
      </c>
      <c r="G459" s="4" t="s">
        <v>73</v>
      </c>
      <c r="H459" s="25" t="s">
        <v>73</v>
      </c>
      <c r="I459" s="4" t="s">
        <v>31</v>
      </c>
      <c r="J459" s="25" t="s">
        <v>31</v>
      </c>
      <c r="K459" s="4">
        <v>3</v>
      </c>
      <c r="L459" s="25">
        <v>3</v>
      </c>
      <c r="M459" s="4" t="s">
        <v>81</v>
      </c>
      <c r="N459" s="25" t="s">
        <v>81</v>
      </c>
      <c r="O459" s="4">
        <v>2.2000000000000002</v>
      </c>
      <c r="P459" s="25">
        <v>2.2000000000000002</v>
      </c>
      <c r="Q459" s="4" t="s">
        <v>23</v>
      </c>
      <c r="R459" s="25" t="s">
        <v>23</v>
      </c>
      <c r="S459" s="4">
        <v>0.77</v>
      </c>
      <c r="T459" s="26">
        <v>0.77</v>
      </c>
    </row>
    <row r="460" spans="1:20" x14ac:dyDescent="0.3">
      <c r="A460" s="27" t="s">
        <v>1021</v>
      </c>
      <c r="B460" s="4" t="s">
        <v>1022</v>
      </c>
      <c r="C460" s="4" t="s">
        <v>118</v>
      </c>
      <c r="D460" s="25" t="s">
        <v>118</v>
      </c>
      <c r="E460" s="4">
        <v>40</v>
      </c>
      <c r="F460" s="25">
        <v>40</v>
      </c>
      <c r="G460" s="4" t="s">
        <v>149</v>
      </c>
      <c r="H460" s="25" t="s">
        <v>149</v>
      </c>
      <c r="I460" s="4" t="s">
        <v>135</v>
      </c>
      <c r="J460" s="25" t="s">
        <v>135</v>
      </c>
      <c r="K460" s="4">
        <v>1</v>
      </c>
      <c r="L460" s="25">
        <v>1</v>
      </c>
      <c r="M460" s="4" t="s">
        <v>22</v>
      </c>
      <c r="N460" s="25" t="s">
        <v>22</v>
      </c>
      <c r="O460" s="4">
        <v>2.1</v>
      </c>
      <c r="P460" s="25">
        <v>2.1</v>
      </c>
      <c r="Q460" s="4" t="s">
        <v>33</v>
      </c>
      <c r="R460" s="25" t="s">
        <v>33</v>
      </c>
      <c r="T460" s="26" t="s">
        <v>2120</v>
      </c>
    </row>
    <row r="461" spans="1:20" x14ac:dyDescent="0.3">
      <c r="A461" s="27" t="s">
        <v>1023</v>
      </c>
      <c r="B461" s="4" t="s">
        <v>1024</v>
      </c>
      <c r="C461" s="4" t="s">
        <v>50</v>
      </c>
      <c r="D461" s="25" t="s">
        <v>97</v>
      </c>
      <c r="E461" s="4">
        <v>27</v>
      </c>
      <c r="F461" s="25">
        <v>27</v>
      </c>
      <c r="G461" s="4" t="s">
        <v>160</v>
      </c>
      <c r="H461" s="25" t="s">
        <v>160</v>
      </c>
      <c r="I461" s="4" t="s">
        <v>66</v>
      </c>
      <c r="J461" s="25" t="s">
        <v>66</v>
      </c>
      <c r="K461" s="4">
        <v>1</v>
      </c>
      <c r="L461" s="25">
        <v>1</v>
      </c>
      <c r="M461" s="4" t="s">
        <v>52</v>
      </c>
      <c r="N461" s="25" t="s">
        <v>52</v>
      </c>
      <c r="O461" s="4">
        <v>1.7</v>
      </c>
      <c r="P461" s="25">
        <v>1.7</v>
      </c>
      <c r="Q461" s="4" t="s">
        <v>59</v>
      </c>
      <c r="R461" s="25" t="s">
        <v>59</v>
      </c>
      <c r="S461" s="4">
        <v>0.65</v>
      </c>
      <c r="T461" s="26">
        <v>0.65</v>
      </c>
    </row>
    <row r="462" spans="1:20" x14ac:dyDescent="0.3">
      <c r="A462" s="27" t="s">
        <v>1025</v>
      </c>
      <c r="B462" s="4" t="s">
        <v>1026</v>
      </c>
      <c r="C462" s="4" t="s">
        <v>78</v>
      </c>
      <c r="D462" s="25" t="s">
        <v>118</v>
      </c>
      <c r="E462" s="4">
        <v>53</v>
      </c>
      <c r="F462" s="25">
        <v>53</v>
      </c>
      <c r="G462" s="4" t="s">
        <v>156</v>
      </c>
      <c r="H462" s="25" t="s">
        <v>156</v>
      </c>
      <c r="I462" s="4" t="s">
        <v>31</v>
      </c>
      <c r="J462" s="25" t="s">
        <v>31</v>
      </c>
      <c r="K462" s="4">
        <v>35</v>
      </c>
      <c r="L462" s="25">
        <v>35</v>
      </c>
      <c r="M462" s="4" t="s">
        <v>51</v>
      </c>
      <c r="N462" s="25" t="s">
        <v>2119</v>
      </c>
      <c r="O462" s="4">
        <v>5</v>
      </c>
      <c r="P462" s="25">
        <v>5</v>
      </c>
      <c r="Q462" s="4" t="s">
        <v>33</v>
      </c>
      <c r="R462" s="25" t="s">
        <v>33</v>
      </c>
      <c r="S462" s="4">
        <v>0.62</v>
      </c>
      <c r="T462" s="26">
        <v>0.62</v>
      </c>
    </row>
    <row r="463" spans="1:20" x14ac:dyDescent="0.3">
      <c r="A463" s="27" t="s">
        <v>1027</v>
      </c>
      <c r="B463" s="4" t="s">
        <v>1028</v>
      </c>
      <c r="C463" s="4" t="s">
        <v>37</v>
      </c>
      <c r="D463" s="25" t="s">
        <v>118</v>
      </c>
      <c r="E463" s="4">
        <v>20</v>
      </c>
      <c r="F463" s="25">
        <v>20</v>
      </c>
      <c r="G463" s="4" t="s">
        <v>79</v>
      </c>
      <c r="H463" s="25" t="s">
        <v>79</v>
      </c>
      <c r="I463" s="4" t="s">
        <v>66</v>
      </c>
      <c r="J463" s="25" t="s">
        <v>66</v>
      </c>
      <c r="K463" s="4">
        <v>1</v>
      </c>
      <c r="L463" s="25">
        <v>1</v>
      </c>
      <c r="M463" s="4" t="s">
        <v>40</v>
      </c>
      <c r="N463" s="25" t="s">
        <v>40</v>
      </c>
      <c r="O463" s="4">
        <v>2.9</v>
      </c>
      <c r="P463" s="25">
        <v>2.9</v>
      </c>
      <c r="Q463" s="4" t="s">
        <v>181</v>
      </c>
      <c r="R463" s="25" t="s">
        <v>181</v>
      </c>
      <c r="S463" s="4">
        <v>0.81</v>
      </c>
      <c r="T463" s="26">
        <v>0.81</v>
      </c>
    </row>
    <row r="464" spans="1:20" x14ac:dyDescent="0.3">
      <c r="A464" s="27" t="s">
        <v>1029</v>
      </c>
      <c r="B464" s="4" t="s">
        <v>1030</v>
      </c>
      <c r="C464" s="4" t="s">
        <v>50</v>
      </c>
      <c r="D464" s="25" t="s">
        <v>97</v>
      </c>
      <c r="F464" s="25" t="s">
        <v>2119</v>
      </c>
      <c r="G464" s="4" t="s">
        <v>106</v>
      </c>
      <c r="H464" s="25" t="s">
        <v>106</v>
      </c>
      <c r="I464" s="4" t="s">
        <v>110</v>
      </c>
      <c r="J464" s="25" t="s">
        <v>110</v>
      </c>
      <c r="K464" s="4">
        <v>12</v>
      </c>
      <c r="L464" s="25">
        <v>12</v>
      </c>
      <c r="M464" s="4" t="s">
        <v>81</v>
      </c>
      <c r="N464" s="25" t="s">
        <v>81</v>
      </c>
      <c r="O464" s="4">
        <v>4.0999999999999996</v>
      </c>
      <c r="P464" s="25">
        <v>4.0999999999999996</v>
      </c>
      <c r="Q464" s="4" t="s">
        <v>94</v>
      </c>
      <c r="R464" s="25" t="s">
        <v>94</v>
      </c>
      <c r="S464" s="4">
        <v>0.62</v>
      </c>
      <c r="T464" s="26">
        <v>0.62</v>
      </c>
    </row>
    <row r="465" spans="1:20" x14ac:dyDescent="0.3">
      <c r="A465" s="27" t="s">
        <v>1031</v>
      </c>
      <c r="B465" s="4" t="s">
        <v>1032</v>
      </c>
      <c r="C465" s="4" t="s">
        <v>37</v>
      </c>
      <c r="D465" s="25" t="s">
        <v>118</v>
      </c>
      <c r="E465" s="4">
        <v>26</v>
      </c>
      <c r="F465" s="25">
        <v>26</v>
      </c>
      <c r="G465" s="4" t="s">
        <v>201</v>
      </c>
      <c r="H465" s="25" t="s">
        <v>201</v>
      </c>
      <c r="I465" s="4" t="s">
        <v>46</v>
      </c>
      <c r="J465" s="25" t="s">
        <v>46</v>
      </c>
      <c r="K465" s="4">
        <v>8</v>
      </c>
      <c r="L465" s="25">
        <v>8</v>
      </c>
      <c r="M465" s="4" t="s">
        <v>86</v>
      </c>
      <c r="N465" s="25" t="s">
        <v>86</v>
      </c>
      <c r="O465" s="4">
        <v>4.9000000000000004</v>
      </c>
      <c r="P465" s="25">
        <v>4.9000000000000004</v>
      </c>
      <c r="Q465" s="4" t="s">
        <v>41</v>
      </c>
      <c r="R465" s="25" t="s">
        <v>41</v>
      </c>
      <c r="S465" s="4">
        <v>0.87</v>
      </c>
      <c r="T465" s="26">
        <v>0.87</v>
      </c>
    </row>
    <row r="466" spans="1:20" x14ac:dyDescent="0.3">
      <c r="A466" s="27" t="s">
        <v>1033</v>
      </c>
      <c r="B466" s="4" t="s">
        <v>1034</v>
      </c>
      <c r="C466" s="4" t="s">
        <v>50</v>
      </c>
      <c r="D466" s="25" t="s">
        <v>97</v>
      </c>
      <c r="E466" s="4">
        <v>49</v>
      </c>
      <c r="F466" s="25">
        <v>49</v>
      </c>
      <c r="G466" s="4" t="s">
        <v>128</v>
      </c>
      <c r="H466" s="25" t="s">
        <v>128</v>
      </c>
      <c r="I466" s="4" t="s">
        <v>135</v>
      </c>
      <c r="J466" s="25" t="s">
        <v>135</v>
      </c>
      <c r="K466" s="4">
        <v>13</v>
      </c>
      <c r="L466" s="25">
        <v>13</v>
      </c>
      <c r="M466" s="4" t="s">
        <v>251</v>
      </c>
      <c r="N466" s="25" t="s">
        <v>251</v>
      </c>
      <c r="O466" s="4">
        <v>2.5</v>
      </c>
      <c r="P466" s="25">
        <v>2.5</v>
      </c>
      <c r="Q466" s="4" t="s">
        <v>59</v>
      </c>
      <c r="R466" s="25" t="s">
        <v>59</v>
      </c>
      <c r="T466" s="26" t="s">
        <v>2120</v>
      </c>
    </row>
    <row r="467" spans="1:20" x14ac:dyDescent="0.3">
      <c r="A467" s="27" t="s">
        <v>1035</v>
      </c>
      <c r="B467" s="4" t="s">
        <v>1036</v>
      </c>
      <c r="C467" s="4" t="s">
        <v>45</v>
      </c>
      <c r="D467" s="25" t="s">
        <v>97</v>
      </c>
      <c r="E467" s="4">
        <v>20</v>
      </c>
      <c r="F467" s="25">
        <v>20</v>
      </c>
      <c r="G467" s="4" t="s">
        <v>160</v>
      </c>
      <c r="H467" s="25" t="s">
        <v>160</v>
      </c>
      <c r="I467" s="4" t="s">
        <v>66</v>
      </c>
      <c r="J467" s="25" t="s">
        <v>66</v>
      </c>
      <c r="K467" s="4">
        <v>0</v>
      </c>
      <c r="L467" s="25">
        <v>0</v>
      </c>
      <c r="M467" s="4" t="s">
        <v>130</v>
      </c>
      <c r="N467" s="25" t="s">
        <v>130</v>
      </c>
      <c r="O467" s="4">
        <v>0</v>
      </c>
      <c r="P467" s="25">
        <v>0</v>
      </c>
      <c r="Q467" s="4" t="s">
        <v>33</v>
      </c>
      <c r="R467" s="25" t="s">
        <v>33</v>
      </c>
      <c r="S467" s="4">
        <v>76</v>
      </c>
      <c r="T467" s="26">
        <v>76</v>
      </c>
    </row>
    <row r="468" spans="1:20" x14ac:dyDescent="0.3">
      <c r="A468" s="27" t="s">
        <v>1037</v>
      </c>
      <c r="B468" s="4" t="s">
        <v>1038</v>
      </c>
      <c r="C468" s="4" t="s">
        <v>50</v>
      </c>
      <c r="D468" s="25" t="s">
        <v>97</v>
      </c>
      <c r="E468" s="4">
        <v>39</v>
      </c>
      <c r="F468" s="25">
        <v>39</v>
      </c>
      <c r="G468" s="4" t="s">
        <v>197</v>
      </c>
      <c r="H468" s="25" t="s">
        <v>197</v>
      </c>
      <c r="I468" s="4" t="s">
        <v>21</v>
      </c>
      <c r="J468" s="25" t="s">
        <v>21</v>
      </c>
      <c r="K468" s="4">
        <v>11</v>
      </c>
      <c r="L468" s="25">
        <v>11</v>
      </c>
      <c r="M468" s="4" t="s">
        <v>22</v>
      </c>
      <c r="N468" s="25" t="s">
        <v>22</v>
      </c>
      <c r="O468" s="4">
        <v>2.8</v>
      </c>
      <c r="P468" s="25">
        <v>2.8</v>
      </c>
      <c r="Q468" s="4" t="s">
        <v>51</v>
      </c>
      <c r="R468" s="25" t="s">
        <v>2120</v>
      </c>
      <c r="S468" s="4">
        <v>70</v>
      </c>
      <c r="T468" s="26">
        <v>70</v>
      </c>
    </row>
    <row r="469" spans="1:20" x14ac:dyDescent="0.3">
      <c r="A469" s="27" t="s">
        <v>1039</v>
      </c>
      <c r="B469" s="4" t="s">
        <v>1040</v>
      </c>
      <c r="C469" s="4" t="s">
        <v>45</v>
      </c>
      <c r="D469" s="25" t="s">
        <v>97</v>
      </c>
      <c r="E469" s="4">
        <v>41</v>
      </c>
      <c r="F469" s="25">
        <v>41</v>
      </c>
      <c r="G469" s="4" t="s">
        <v>197</v>
      </c>
      <c r="H469" s="25" t="s">
        <v>197</v>
      </c>
      <c r="I469" s="4" t="s">
        <v>135</v>
      </c>
      <c r="J469" s="25" t="s">
        <v>135</v>
      </c>
      <c r="K469" s="4">
        <v>19</v>
      </c>
      <c r="L469" s="25">
        <v>19</v>
      </c>
      <c r="M469" s="4" t="s">
        <v>22</v>
      </c>
      <c r="N469" s="25" t="s">
        <v>22</v>
      </c>
      <c r="O469" s="4">
        <v>3.8</v>
      </c>
      <c r="P469" s="25">
        <v>3.8</v>
      </c>
      <c r="Q469" s="4" t="s">
        <v>87</v>
      </c>
      <c r="R469" s="25" t="s">
        <v>87</v>
      </c>
      <c r="S469" s="4">
        <v>0.71</v>
      </c>
      <c r="T469" s="26">
        <v>0.71</v>
      </c>
    </row>
    <row r="470" spans="1:20" x14ac:dyDescent="0.3">
      <c r="A470" s="27" t="s">
        <v>1041</v>
      </c>
      <c r="B470" s="4" t="s">
        <v>1042</v>
      </c>
      <c r="C470" s="4" t="s">
        <v>118</v>
      </c>
      <c r="D470" s="25" t="s">
        <v>118</v>
      </c>
      <c r="E470" s="4">
        <v>59</v>
      </c>
      <c r="F470" s="25">
        <v>59</v>
      </c>
      <c r="G470" s="4" t="s">
        <v>149</v>
      </c>
      <c r="H470" s="25" t="s">
        <v>149</v>
      </c>
      <c r="I470" s="4" t="s">
        <v>31</v>
      </c>
      <c r="J470" s="25" t="s">
        <v>31</v>
      </c>
      <c r="K470" s="4">
        <v>30</v>
      </c>
      <c r="L470" s="25">
        <v>30</v>
      </c>
      <c r="M470" s="4" t="s">
        <v>130</v>
      </c>
      <c r="N470" s="25" t="s">
        <v>130</v>
      </c>
      <c r="O470" s="4">
        <v>4.3</v>
      </c>
      <c r="P470" s="25">
        <v>4.3</v>
      </c>
      <c r="Q470" s="4" t="s">
        <v>33</v>
      </c>
      <c r="R470" s="25" t="s">
        <v>33</v>
      </c>
      <c r="S470" s="4">
        <v>0.83</v>
      </c>
      <c r="T470" s="26">
        <v>0.83</v>
      </c>
    </row>
    <row r="471" spans="1:20" x14ac:dyDescent="0.3">
      <c r="A471" s="27" t="s">
        <v>1043</v>
      </c>
      <c r="B471" s="4" t="s">
        <v>1044</v>
      </c>
      <c r="C471" s="4" t="s">
        <v>97</v>
      </c>
      <c r="D471" s="25" t="s">
        <v>97</v>
      </c>
      <c r="E471" s="4">
        <v>45</v>
      </c>
      <c r="F471" s="25">
        <v>45</v>
      </c>
      <c r="G471" s="4" t="s">
        <v>29</v>
      </c>
      <c r="H471" s="25" t="s">
        <v>29</v>
      </c>
      <c r="I471" s="4" t="s">
        <v>21</v>
      </c>
      <c r="J471" s="25" t="s">
        <v>21</v>
      </c>
      <c r="K471" s="4">
        <v>8</v>
      </c>
      <c r="L471" s="25">
        <v>8</v>
      </c>
      <c r="M471" s="4" t="s">
        <v>86</v>
      </c>
      <c r="N471" s="25" t="s">
        <v>86</v>
      </c>
      <c r="O471" s="4">
        <v>0</v>
      </c>
      <c r="P471" s="25">
        <v>0</v>
      </c>
      <c r="Q471" s="4" t="s">
        <v>23</v>
      </c>
      <c r="R471" s="25" t="s">
        <v>23</v>
      </c>
      <c r="S471" s="4">
        <v>78</v>
      </c>
      <c r="T471" s="26">
        <v>78</v>
      </c>
    </row>
    <row r="472" spans="1:20" x14ac:dyDescent="0.3">
      <c r="A472" s="27" t="s">
        <v>1045</v>
      </c>
      <c r="B472" s="4" t="s">
        <v>1046</v>
      </c>
      <c r="C472" s="4" t="s">
        <v>78</v>
      </c>
      <c r="D472" s="25" t="s">
        <v>118</v>
      </c>
      <c r="E472" s="4">
        <v>22</v>
      </c>
      <c r="F472" s="25">
        <v>22</v>
      </c>
      <c r="G472" s="4" t="s">
        <v>64</v>
      </c>
      <c r="H472" s="25" t="s">
        <v>64</v>
      </c>
      <c r="I472" s="4" t="s">
        <v>98</v>
      </c>
      <c r="J472" s="25" t="s">
        <v>98</v>
      </c>
      <c r="K472" s="4">
        <v>0</v>
      </c>
      <c r="L472" s="25">
        <v>0</v>
      </c>
      <c r="M472" s="4" t="s">
        <v>86</v>
      </c>
      <c r="N472" s="25" t="s">
        <v>86</v>
      </c>
      <c r="O472" s="4">
        <v>1.3</v>
      </c>
      <c r="P472" s="25">
        <v>1.3</v>
      </c>
      <c r="Q472" s="4" t="s">
        <v>33</v>
      </c>
      <c r="R472" s="25" t="s">
        <v>33</v>
      </c>
      <c r="S472" s="4">
        <v>0.78</v>
      </c>
      <c r="T472" s="26">
        <v>0.78</v>
      </c>
    </row>
    <row r="473" spans="1:20" x14ac:dyDescent="0.3">
      <c r="A473" s="27" t="s">
        <v>1047</v>
      </c>
      <c r="B473" s="4" t="s">
        <v>1048</v>
      </c>
      <c r="C473" s="4" t="s">
        <v>18</v>
      </c>
      <c r="D473" s="25" t="s">
        <v>97</v>
      </c>
      <c r="E473" s="4">
        <v>48</v>
      </c>
      <c r="F473" s="25">
        <v>48</v>
      </c>
      <c r="G473" s="4" t="s">
        <v>114</v>
      </c>
      <c r="H473" s="25" t="s">
        <v>114</v>
      </c>
      <c r="I473" s="4" t="s">
        <v>31</v>
      </c>
      <c r="J473" s="25" t="s">
        <v>31</v>
      </c>
      <c r="K473" s="4">
        <v>7</v>
      </c>
      <c r="L473" s="25">
        <v>7</v>
      </c>
      <c r="M473" s="4" t="s">
        <v>40</v>
      </c>
      <c r="N473" s="25" t="s">
        <v>40</v>
      </c>
      <c r="O473" s="4">
        <v>4.7</v>
      </c>
      <c r="P473" s="25">
        <v>4.7</v>
      </c>
      <c r="Q473" s="4" t="s">
        <v>94</v>
      </c>
      <c r="R473" s="25" t="s">
        <v>94</v>
      </c>
      <c r="S473" s="4">
        <v>0.6</v>
      </c>
      <c r="T473" s="26">
        <v>0.6</v>
      </c>
    </row>
    <row r="474" spans="1:20" x14ac:dyDescent="0.3">
      <c r="A474" s="27" t="s">
        <v>1049</v>
      </c>
      <c r="B474" s="4" t="s">
        <v>1050</v>
      </c>
      <c r="C474" s="4" t="s">
        <v>78</v>
      </c>
      <c r="D474" s="25" t="s">
        <v>118</v>
      </c>
      <c r="E474" s="4">
        <v>36</v>
      </c>
      <c r="F474" s="25">
        <v>36</v>
      </c>
      <c r="G474" s="4" t="s">
        <v>156</v>
      </c>
      <c r="H474" s="25" t="s">
        <v>156</v>
      </c>
      <c r="I474" s="4" t="s">
        <v>21</v>
      </c>
      <c r="J474" s="25" t="s">
        <v>21</v>
      </c>
      <c r="K474" s="4">
        <v>11</v>
      </c>
      <c r="L474" s="25">
        <v>11</v>
      </c>
      <c r="M474" s="4" t="s">
        <v>47</v>
      </c>
      <c r="N474" s="25" t="s">
        <v>47</v>
      </c>
      <c r="O474" s="4">
        <v>1.3</v>
      </c>
      <c r="P474" s="25">
        <v>1.3</v>
      </c>
      <c r="Q474" s="4" t="s">
        <v>74</v>
      </c>
      <c r="R474" s="25" t="s">
        <v>74</v>
      </c>
      <c r="T474" s="26" t="s">
        <v>2120</v>
      </c>
    </row>
    <row r="475" spans="1:20" x14ac:dyDescent="0.3">
      <c r="A475" s="27" t="s">
        <v>1051</v>
      </c>
      <c r="B475" s="4" t="s">
        <v>1052</v>
      </c>
      <c r="C475" s="4" t="s">
        <v>28</v>
      </c>
      <c r="D475" s="25" t="s">
        <v>97</v>
      </c>
      <c r="E475" s="4">
        <v>57</v>
      </c>
      <c r="F475" s="25">
        <v>57</v>
      </c>
      <c r="G475" s="4" t="s">
        <v>197</v>
      </c>
      <c r="H475" s="25" t="s">
        <v>197</v>
      </c>
      <c r="I475" s="4" t="s">
        <v>21</v>
      </c>
      <c r="J475" s="25" t="s">
        <v>21</v>
      </c>
      <c r="L475" s="25" t="s">
        <v>2120</v>
      </c>
      <c r="M475" s="4" t="s">
        <v>103</v>
      </c>
      <c r="N475" s="25" t="s">
        <v>103</v>
      </c>
      <c r="O475" s="4">
        <v>4.8</v>
      </c>
      <c r="P475" s="25">
        <v>4.8</v>
      </c>
      <c r="Q475" s="4" t="s">
        <v>33</v>
      </c>
      <c r="R475" s="25" t="s">
        <v>33</v>
      </c>
      <c r="T475" s="26" t="s">
        <v>2120</v>
      </c>
    </row>
    <row r="476" spans="1:20" x14ac:dyDescent="0.3">
      <c r="A476" s="27" t="s">
        <v>1053</v>
      </c>
      <c r="B476" s="4" t="s">
        <v>1054</v>
      </c>
      <c r="C476" s="4" t="s">
        <v>78</v>
      </c>
      <c r="D476" s="25" t="s">
        <v>118</v>
      </c>
      <c r="E476" s="4">
        <v>42</v>
      </c>
      <c r="F476" s="25">
        <v>42</v>
      </c>
      <c r="G476" s="4" t="s">
        <v>73</v>
      </c>
      <c r="H476" s="25" t="s">
        <v>73</v>
      </c>
      <c r="I476" s="4" t="s">
        <v>93</v>
      </c>
      <c r="J476" s="25" t="s">
        <v>93</v>
      </c>
      <c r="K476" s="4">
        <v>14</v>
      </c>
      <c r="L476" s="25">
        <v>14</v>
      </c>
      <c r="M476" s="4" t="s">
        <v>58</v>
      </c>
      <c r="N476" s="25" t="s">
        <v>58</v>
      </c>
      <c r="O476" s="4">
        <v>1.3</v>
      </c>
      <c r="P476" s="25">
        <v>1.3</v>
      </c>
      <c r="Q476" s="4" t="s">
        <v>23</v>
      </c>
      <c r="R476" s="25" t="s">
        <v>23</v>
      </c>
      <c r="S476" s="4">
        <v>0.94</v>
      </c>
      <c r="T476" s="26">
        <v>0.94</v>
      </c>
    </row>
    <row r="477" spans="1:20" x14ac:dyDescent="0.3">
      <c r="A477" s="27" t="s">
        <v>1055</v>
      </c>
      <c r="B477" s="4" t="s">
        <v>1056</v>
      </c>
      <c r="C477" s="4" t="s">
        <v>63</v>
      </c>
      <c r="D477" s="25" t="s">
        <v>118</v>
      </c>
      <c r="E477" s="4">
        <v>31</v>
      </c>
      <c r="F477" s="25">
        <v>31</v>
      </c>
      <c r="G477" s="4" t="s">
        <v>64</v>
      </c>
      <c r="H477" s="25" t="s">
        <v>64</v>
      </c>
      <c r="I477" s="4" t="s">
        <v>98</v>
      </c>
      <c r="J477" s="25" t="s">
        <v>98</v>
      </c>
      <c r="K477" s="4">
        <v>11</v>
      </c>
      <c r="L477" s="25">
        <v>11</v>
      </c>
      <c r="M477" s="4" t="s">
        <v>81</v>
      </c>
      <c r="N477" s="25" t="s">
        <v>81</v>
      </c>
      <c r="O477" s="4">
        <v>4.3</v>
      </c>
      <c r="P477" s="25">
        <v>4.3</v>
      </c>
      <c r="Q477" s="4" t="s">
        <v>23</v>
      </c>
      <c r="R477" s="25" t="s">
        <v>23</v>
      </c>
      <c r="S477" s="4">
        <v>62</v>
      </c>
      <c r="T477" s="26">
        <v>62</v>
      </c>
    </row>
    <row r="478" spans="1:20" x14ac:dyDescent="0.3">
      <c r="A478" s="27" t="s">
        <v>1057</v>
      </c>
      <c r="B478" s="4" t="s">
        <v>1058</v>
      </c>
      <c r="C478" s="4" t="s">
        <v>113</v>
      </c>
      <c r="D478" s="25" t="s">
        <v>118</v>
      </c>
      <c r="E478" s="4">
        <v>52</v>
      </c>
      <c r="F478" s="25">
        <v>52</v>
      </c>
      <c r="G478" s="4" t="s">
        <v>212</v>
      </c>
      <c r="H478" s="25" t="s">
        <v>212</v>
      </c>
      <c r="I478" s="4" t="s">
        <v>98</v>
      </c>
      <c r="J478" s="25" t="s">
        <v>98</v>
      </c>
      <c r="K478" s="4">
        <v>31</v>
      </c>
      <c r="L478" s="25">
        <v>31</v>
      </c>
      <c r="M478" s="4" t="s">
        <v>52</v>
      </c>
      <c r="N478" s="25" t="s">
        <v>52</v>
      </c>
      <c r="P478" s="25" t="s">
        <v>2120</v>
      </c>
      <c r="Q478" s="4" t="s">
        <v>33</v>
      </c>
      <c r="R478" s="25" t="s">
        <v>33</v>
      </c>
      <c r="T478" s="26" t="s">
        <v>2120</v>
      </c>
    </row>
    <row r="479" spans="1:20" x14ac:dyDescent="0.3">
      <c r="A479" s="27" t="s">
        <v>1059</v>
      </c>
      <c r="B479" s="4" t="s">
        <v>1060</v>
      </c>
      <c r="C479" s="4" t="s">
        <v>113</v>
      </c>
      <c r="D479" s="25" t="s">
        <v>118</v>
      </c>
      <c r="E479" s="4">
        <v>56</v>
      </c>
      <c r="F479" s="25">
        <v>56</v>
      </c>
      <c r="G479" s="4" t="s">
        <v>55</v>
      </c>
      <c r="H479" s="25" t="s">
        <v>55</v>
      </c>
      <c r="I479" s="4" t="s">
        <v>110</v>
      </c>
      <c r="J479" s="25" t="s">
        <v>110</v>
      </c>
      <c r="K479" s="4">
        <v>16</v>
      </c>
      <c r="L479" s="25">
        <v>16</v>
      </c>
      <c r="M479" s="4" t="s">
        <v>130</v>
      </c>
      <c r="N479" s="25" t="s">
        <v>130</v>
      </c>
      <c r="O479" s="4">
        <v>0</v>
      </c>
      <c r="P479" s="25">
        <v>0</v>
      </c>
      <c r="Q479" s="4" t="s">
        <v>87</v>
      </c>
      <c r="R479" s="25" t="s">
        <v>87</v>
      </c>
      <c r="T479" s="26" t="s">
        <v>2120</v>
      </c>
    </row>
    <row r="480" spans="1:20" x14ac:dyDescent="0.3">
      <c r="A480" s="27" t="s">
        <v>1061</v>
      </c>
      <c r="B480" s="4" t="s">
        <v>1062</v>
      </c>
      <c r="C480" s="4" t="s">
        <v>97</v>
      </c>
      <c r="D480" s="25" t="s">
        <v>97</v>
      </c>
      <c r="E480" s="4">
        <v>24</v>
      </c>
      <c r="F480" s="25">
        <v>24</v>
      </c>
      <c r="G480" s="4" t="s">
        <v>55</v>
      </c>
      <c r="H480" s="25" t="s">
        <v>55</v>
      </c>
      <c r="I480" s="4" t="s">
        <v>110</v>
      </c>
      <c r="J480" s="25" t="s">
        <v>110</v>
      </c>
      <c r="K480" s="4">
        <v>6</v>
      </c>
      <c r="L480" s="25">
        <v>6</v>
      </c>
      <c r="M480" s="4" t="s">
        <v>52</v>
      </c>
      <c r="N480" s="25" t="s">
        <v>52</v>
      </c>
      <c r="O480" s="4">
        <v>0</v>
      </c>
      <c r="P480" s="25">
        <v>0</v>
      </c>
      <c r="Q480" s="4" t="s">
        <v>87</v>
      </c>
      <c r="R480" s="25" t="s">
        <v>87</v>
      </c>
      <c r="S480" s="4">
        <v>0.84</v>
      </c>
      <c r="T480" s="26">
        <v>0.84</v>
      </c>
    </row>
    <row r="481" spans="1:20" x14ac:dyDescent="0.3">
      <c r="A481" s="27" t="s">
        <v>1063</v>
      </c>
      <c r="B481" s="4" t="s">
        <v>1064</v>
      </c>
      <c r="C481" s="4" t="s">
        <v>37</v>
      </c>
      <c r="D481" s="25" t="s">
        <v>118</v>
      </c>
      <c r="E481" s="4">
        <v>48</v>
      </c>
      <c r="F481" s="25">
        <v>48</v>
      </c>
      <c r="G481" s="4" t="s">
        <v>149</v>
      </c>
      <c r="H481" s="25" t="s">
        <v>149</v>
      </c>
      <c r="I481" s="4" t="s">
        <v>110</v>
      </c>
      <c r="J481" s="25" t="s">
        <v>110</v>
      </c>
      <c r="K481" s="4">
        <v>21</v>
      </c>
      <c r="L481" s="25">
        <v>21</v>
      </c>
      <c r="M481" s="4" t="s">
        <v>103</v>
      </c>
      <c r="N481" s="25" t="s">
        <v>103</v>
      </c>
      <c r="O481" s="4">
        <v>2.7</v>
      </c>
      <c r="P481" s="25">
        <v>2.7</v>
      </c>
      <c r="Q481" s="4" t="s">
        <v>33</v>
      </c>
      <c r="R481" s="25" t="s">
        <v>33</v>
      </c>
      <c r="T481" s="26" t="s">
        <v>2120</v>
      </c>
    </row>
    <row r="482" spans="1:20" x14ac:dyDescent="0.3">
      <c r="A482" s="27" t="s">
        <v>1065</v>
      </c>
      <c r="B482" s="4" t="s">
        <v>1066</v>
      </c>
      <c r="C482" s="4" t="s">
        <v>118</v>
      </c>
      <c r="D482" s="25" t="s">
        <v>118</v>
      </c>
      <c r="E482" s="4">
        <v>59</v>
      </c>
      <c r="F482" s="25">
        <v>59</v>
      </c>
      <c r="G482" s="4" t="s">
        <v>156</v>
      </c>
      <c r="H482" s="25" t="s">
        <v>156</v>
      </c>
      <c r="I482" s="4" t="s">
        <v>98</v>
      </c>
      <c r="J482" s="25" t="s">
        <v>98</v>
      </c>
      <c r="K482" s="4">
        <v>13</v>
      </c>
      <c r="L482" s="25">
        <v>13</v>
      </c>
      <c r="M482" s="4" t="s">
        <v>86</v>
      </c>
      <c r="N482" s="25" t="s">
        <v>86</v>
      </c>
      <c r="O482" s="4">
        <v>2.4</v>
      </c>
      <c r="P482" s="25">
        <v>2.4</v>
      </c>
      <c r="Q482" s="4" t="s">
        <v>181</v>
      </c>
      <c r="R482" s="25" t="s">
        <v>181</v>
      </c>
      <c r="S482" s="4">
        <v>65</v>
      </c>
      <c r="T482" s="26">
        <v>65</v>
      </c>
    </row>
    <row r="483" spans="1:20" x14ac:dyDescent="0.3">
      <c r="A483" s="27" t="s">
        <v>1067</v>
      </c>
      <c r="B483" s="4" t="s">
        <v>1068</v>
      </c>
      <c r="C483" s="4" t="s">
        <v>78</v>
      </c>
      <c r="D483" s="25" t="s">
        <v>118</v>
      </c>
      <c r="F483" s="25" t="s">
        <v>2119</v>
      </c>
      <c r="G483" s="4" t="s">
        <v>85</v>
      </c>
      <c r="H483" s="25" t="s">
        <v>85</v>
      </c>
      <c r="I483" s="4" t="s">
        <v>46</v>
      </c>
      <c r="J483" s="25" t="s">
        <v>46</v>
      </c>
      <c r="L483" s="25" t="s">
        <v>2120</v>
      </c>
      <c r="M483" s="4" t="s">
        <v>86</v>
      </c>
      <c r="N483" s="25" t="s">
        <v>86</v>
      </c>
      <c r="O483" s="4">
        <v>1.9</v>
      </c>
      <c r="P483" s="25">
        <v>1.9</v>
      </c>
      <c r="Q483" s="4" t="s">
        <v>33</v>
      </c>
      <c r="R483" s="25" t="s">
        <v>33</v>
      </c>
      <c r="S483" s="4">
        <v>0.94</v>
      </c>
      <c r="T483" s="26">
        <v>0.94</v>
      </c>
    </row>
    <row r="484" spans="1:20" x14ac:dyDescent="0.3">
      <c r="A484" s="27" t="s">
        <v>1069</v>
      </c>
      <c r="B484" s="4" t="s">
        <v>1070</v>
      </c>
      <c r="C484" s="4" t="s">
        <v>50</v>
      </c>
      <c r="D484" s="25" t="s">
        <v>97</v>
      </c>
      <c r="F484" s="25" t="s">
        <v>2119</v>
      </c>
      <c r="G484" s="4" t="s">
        <v>55</v>
      </c>
      <c r="H484" s="25" t="s">
        <v>55</v>
      </c>
      <c r="I484" s="4" t="s">
        <v>31</v>
      </c>
      <c r="J484" s="25" t="s">
        <v>31</v>
      </c>
      <c r="K484" s="4">
        <v>11</v>
      </c>
      <c r="L484" s="25">
        <v>11</v>
      </c>
      <c r="M484" s="4" t="s">
        <v>142</v>
      </c>
      <c r="N484" s="25" t="s">
        <v>142</v>
      </c>
      <c r="O484" s="4">
        <v>3.6</v>
      </c>
      <c r="P484" s="25">
        <v>3.6</v>
      </c>
      <c r="Q484" s="4" t="s">
        <v>181</v>
      </c>
      <c r="R484" s="25" t="s">
        <v>181</v>
      </c>
      <c r="S484" s="4">
        <v>0.69</v>
      </c>
      <c r="T484" s="26">
        <v>0.69</v>
      </c>
    </row>
    <row r="485" spans="1:20" x14ac:dyDescent="0.3">
      <c r="A485" s="27" t="s">
        <v>1071</v>
      </c>
      <c r="B485" s="4" t="s">
        <v>1072</v>
      </c>
      <c r="C485" s="4" t="s">
        <v>63</v>
      </c>
      <c r="D485" s="25" t="s">
        <v>118</v>
      </c>
      <c r="E485" s="4">
        <v>25</v>
      </c>
      <c r="F485" s="25">
        <v>25</v>
      </c>
      <c r="G485" s="4" t="s">
        <v>55</v>
      </c>
      <c r="H485" s="25" t="s">
        <v>55</v>
      </c>
      <c r="I485" s="4" t="s">
        <v>31</v>
      </c>
      <c r="J485" s="25" t="s">
        <v>31</v>
      </c>
      <c r="K485" s="4">
        <v>0</v>
      </c>
      <c r="L485" s="25">
        <v>0</v>
      </c>
      <c r="M485" s="4" t="s">
        <v>40</v>
      </c>
      <c r="N485" s="25" t="s">
        <v>40</v>
      </c>
      <c r="O485" s="4">
        <v>2.9</v>
      </c>
      <c r="P485" s="25">
        <v>2.9</v>
      </c>
      <c r="Q485" s="4" t="s">
        <v>87</v>
      </c>
      <c r="R485" s="25" t="s">
        <v>87</v>
      </c>
      <c r="S485" s="4">
        <v>0.65</v>
      </c>
      <c r="T485" s="26">
        <v>0.65</v>
      </c>
    </row>
    <row r="486" spans="1:20" x14ac:dyDescent="0.3">
      <c r="A486" s="27" t="s">
        <v>1073</v>
      </c>
      <c r="B486" s="4" t="s">
        <v>1074</v>
      </c>
      <c r="C486" s="4" t="s">
        <v>37</v>
      </c>
      <c r="D486" s="25" t="s">
        <v>118</v>
      </c>
      <c r="E486" s="4">
        <v>31</v>
      </c>
      <c r="F486" s="25">
        <v>31</v>
      </c>
      <c r="G486" s="4" t="s">
        <v>160</v>
      </c>
      <c r="H486" s="25" t="s">
        <v>160</v>
      </c>
      <c r="I486" s="4" t="s">
        <v>31</v>
      </c>
      <c r="J486" s="25" t="s">
        <v>31</v>
      </c>
      <c r="K486" s="4">
        <v>2</v>
      </c>
      <c r="L486" s="25">
        <v>2</v>
      </c>
      <c r="M486" s="4" t="s">
        <v>192</v>
      </c>
      <c r="N486" s="25" t="s">
        <v>192</v>
      </c>
      <c r="O486" s="4">
        <v>2.8</v>
      </c>
      <c r="P486" s="25">
        <v>2.8</v>
      </c>
      <c r="Q486" s="4" t="s">
        <v>59</v>
      </c>
      <c r="R486" s="25" t="s">
        <v>59</v>
      </c>
      <c r="S486" s="4">
        <v>0.6</v>
      </c>
      <c r="T486" s="26">
        <v>0.6</v>
      </c>
    </row>
    <row r="487" spans="1:20" x14ac:dyDescent="0.3">
      <c r="A487" s="27" t="s">
        <v>1075</v>
      </c>
      <c r="B487" s="4" t="s">
        <v>1076</v>
      </c>
      <c r="C487" s="4" t="s">
        <v>78</v>
      </c>
      <c r="D487" s="25" t="s">
        <v>118</v>
      </c>
      <c r="E487" s="4">
        <v>40</v>
      </c>
      <c r="F487" s="25">
        <v>40</v>
      </c>
      <c r="G487" s="4" t="s">
        <v>79</v>
      </c>
      <c r="H487" s="25" t="s">
        <v>79</v>
      </c>
      <c r="I487" s="4" t="s">
        <v>110</v>
      </c>
      <c r="J487" s="25" t="s">
        <v>110</v>
      </c>
      <c r="K487" s="4">
        <v>12</v>
      </c>
      <c r="L487" s="25">
        <v>12</v>
      </c>
      <c r="M487" s="4" t="s">
        <v>103</v>
      </c>
      <c r="N487" s="25" t="s">
        <v>103</v>
      </c>
      <c r="O487" s="4">
        <v>2.6</v>
      </c>
      <c r="P487" s="25">
        <v>2.6</v>
      </c>
      <c r="Q487" s="4" t="s">
        <v>59</v>
      </c>
      <c r="R487" s="25" t="s">
        <v>59</v>
      </c>
      <c r="T487" s="26" t="s">
        <v>2120</v>
      </c>
    </row>
    <row r="488" spans="1:20" x14ac:dyDescent="0.3">
      <c r="A488" s="27" t="s">
        <v>1077</v>
      </c>
      <c r="B488" s="4" t="s">
        <v>697</v>
      </c>
      <c r="C488" s="4" t="s">
        <v>18</v>
      </c>
      <c r="D488" s="25" t="s">
        <v>97</v>
      </c>
      <c r="E488" s="4">
        <v>48</v>
      </c>
      <c r="F488" s="25">
        <v>48</v>
      </c>
      <c r="G488" s="4" t="s">
        <v>145</v>
      </c>
      <c r="H488" s="25" t="s">
        <v>145</v>
      </c>
      <c r="I488" s="4" t="s">
        <v>21</v>
      </c>
      <c r="J488" s="25" t="s">
        <v>21</v>
      </c>
      <c r="K488" s="4">
        <v>13</v>
      </c>
      <c r="L488" s="25">
        <v>13</v>
      </c>
      <c r="M488" s="4" t="s">
        <v>251</v>
      </c>
      <c r="N488" s="25" t="s">
        <v>251</v>
      </c>
      <c r="O488" s="4">
        <v>2.7</v>
      </c>
      <c r="P488" s="25">
        <v>2.7</v>
      </c>
      <c r="Q488" s="4" t="s">
        <v>51</v>
      </c>
      <c r="R488" s="25" t="s">
        <v>2120</v>
      </c>
      <c r="S488" s="4">
        <v>0.62</v>
      </c>
      <c r="T488" s="26">
        <v>0.62</v>
      </c>
    </row>
    <row r="489" spans="1:20" x14ac:dyDescent="0.3">
      <c r="A489" s="27" t="s">
        <v>1078</v>
      </c>
      <c r="B489" s="4" t="s">
        <v>1079</v>
      </c>
      <c r="C489" s="4" t="s">
        <v>18</v>
      </c>
      <c r="D489" s="25" t="s">
        <v>97</v>
      </c>
      <c r="E489" s="4">
        <v>24</v>
      </c>
      <c r="F489" s="25">
        <v>24</v>
      </c>
      <c r="G489" s="4" t="s">
        <v>175</v>
      </c>
      <c r="H489" s="25" t="s">
        <v>175</v>
      </c>
      <c r="I489" s="4" t="s">
        <v>31</v>
      </c>
      <c r="J489" s="25" t="s">
        <v>31</v>
      </c>
      <c r="K489" s="4">
        <v>6</v>
      </c>
      <c r="L489" s="25">
        <v>6</v>
      </c>
      <c r="M489" s="4" t="s">
        <v>52</v>
      </c>
      <c r="N489" s="25" t="s">
        <v>52</v>
      </c>
      <c r="O489" s="4">
        <v>1.1000000000000001</v>
      </c>
      <c r="P489" s="25">
        <v>1.1000000000000001</v>
      </c>
      <c r="Q489" s="4" t="s">
        <v>87</v>
      </c>
      <c r="R489" s="25" t="s">
        <v>87</v>
      </c>
      <c r="T489" s="26" t="s">
        <v>2120</v>
      </c>
    </row>
    <row r="490" spans="1:20" x14ac:dyDescent="0.3">
      <c r="A490" s="27" t="s">
        <v>1080</v>
      </c>
      <c r="B490" s="4" t="s">
        <v>1081</v>
      </c>
      <c r="C490" s="4" t="s">
        <v>78</v>
      </c>
      <c r="D490" s="25" t="s">
        <v>118</v>
      </c>
      <c r="E490" s="4">
        <v>33</v>
      </c>
      <c r="F490" s="25">
        <v>33</v>
      </c>
      <c r="G490" s="4" t="s">
        <v>64</v>
      </c>
      <c r="H490" s="25" t="s">
        <v>64</v>
      </c>
      <c r="I490" s="4" t="s">
        <v>46</v>
      </c>
      <c r="J490" s="25" t="s">
        <v>46</v>
      </c>
      <c r="K490" s="4">
        <v>10</v>
      </c>
      <c r="L490" s="25">
        <v>10</v>
      </c>
      <c r="M490" s="4" t="s">
        <v>130</v>
      </c>
      <c r="N490" s="25" t="s">
        <v>130</v>
      </c>
      <c r="O490" s="4">
        <v>0</v>
      </c>
      <c r="P490" s="25">
        <v>0</v>
      </c>
      <c r="Q490" s="4" t="s">
        <v>87</v>
      </c>
      <c r="R490" s="25" t="s">
        <v>87</v>
      </c>
      <c r="S490" s="4">
        <v>0.89</v>
      </c>
      <c r="T490" s="26">
        <v>0.89</v>
      </c>
    </row>
    <row r="491" spans="1:20" x14ac:dyDescent="0.3">
      <c r="A491" s="27" t="s">
        <v>1082</v>
      </c>
      <c r="B491" s="4" t="s">
        <v>1083</v>
      </c>
      <c r="C491" s="4" t="s">
        <v>97</v>
      </c>
      <c r="D491" s="25" t="s">
        <v>97</v>
      </c>
      <c r="E491" s="4">
        <v>43</v>
      </c>
      <c r="F491" s="25">
        <v>43</v>
      </c>
      <c r="G491" s="4" t="s">
        <v>128</v>
      </c>
      <c r="H491" s="25" t="s">
        <v>128</v>
      </c>
      <c r="I491" s="4" t="s">
        <v>93</v>
      </c>
      <c r="J491" s="25" t="s">
        <v>93</v>
      </c>
      <c r="K491" s="4">
        <v>2</v>
      </c>
      <c r="L491" s="25">
        <v>2</v>
      </c>
      <c r="M491" s="4" t="s">
        <v>47</v>
      </c>
      <c r="N491" s="25" t="s">
        <v>47</v>
      </c>
      <c r="O491" s="4">
        <v>0</v>
      </c>
      <c r="P491" s="25">
        <v>0</v>
      </c>
      <c r="Q491" s="4" t="s">
        <v>87</v>
      </c>
      <c r="R491" s="25" t="s">
        <v>87</v>
      </c>
      <c r="S491" s="4">
        <v>0.89</v>
      </c>
      <c r="T491" s="26">
        <v>0.89</v>
      </c>
    </row>
    <row r="492" spans="1:20" x14ac:dyDescent="0.3">
      <c r="A492" s="27" t="s">
        <v>1084</v>
      </c>
      <c r="B492" s="4" t="s">
        <v>1085</v>
      </c>
      <c r="C492" s="4" t="s">
        <v>113</v>
      </c>
      <c r="D492" s="25" t="s">
        <v>118</v>
      </c>
      <c r="E492" s="4">
        <v>43</v>
      </c>
      <c r="F492" s="25">
        <v>43</v>
      </c>
      <c r="G492" s="4" t="s">
        <v>212</v>
      </c>
      <c r="H492" s="25" t="s">
        <v>212</v>
      </c>
      <c r="I492" s="4" t="s">
        <v>21</v>
      </c>
      <c r="J492" s="25" t="s">
        <v>21</v>
      </c>
      <c r="K492" s="4">
        <v>4</v>
      </c>
      <c r="L492" s="25">
        <v>4</v>
      </c>
      <c r="M492" s="4" t="s">
        <v>40</v>
      </c>
      <c r="N492" s="25" t="s">
        <v>40</v>
      </c>
      <c r="O492" s="4">
        <v>0</v>
      </c>
      <c r="P492" s="25">
        <v>0</v>
      </c>
      <c r="Q492" s="4" t="s">
        <v>74</v>
      </c>
      <c r="R492" s="25" t="s">
        <v>74</v>
      </c>
      <c r="S492" s="4">
        <v>1</v>
      </c>
      <c r="T492" s="26">
        <v>1</v>
      </c>
    </row>
    <row r="493" spans="1:20" x14ac:dyDescent="0.3">
      <c r="A493" s="27" t="s">
        <v>1086</v>
      </c>
      <c r="B493" s="4" t="s">
        <v>1087</v>
      </c>
      <c r="C493" s="4" t="s">
        <v>28</v>
      </c>
      <c r="D493" s="25" t="s">
        <v>97</v>
      </c>
      <c r="E493" s="4">
        <v>33</v>
      </c>
      <c r="F493" s="25">
        <v>33</v>
      </c>
      <c r="G493" s="4" t="s">
        <v>29</v>
      </c>
      <c r="H493" s="25" t="s">
        <v>29</v>
      </c>
      <c r="I493" s="4" t="s">
        <v>46</v>
      </c>
      <c r="J493" s="25" t="s">
        <v>46</v>
      </c>
      <c r="K493" s="4">
        <v>11</v>
      </c>
      <c r="L493" s="25">
        <v>11</v>
      </c>
      <c r="M493" s="4" t="s">
        <v>51</v>
      </c>
      <c r="N493" s="25" t="s">
        <v>2119</v>
      </c>
      <c r="O493" s="4">
        <v>4.5999999999999996</v>
      </c>
      <c r="P493" s="25">
        <v>4.5999999999999996</v>
      </c>
      <c r="Q493" s="4" t="s">
        <v>87</v>
      </c>
      <c r="R493" s="25" t="s">
        <v>87</v>
      </c>
      <c r="T493" s="26" t="s">
        <v>2120</v>
      </c>
    </row>
    <row r="494" spans="1:20" x14ac:dyDescent="0.3">
      <c r="A494" s="27" t="s">
        <v>1088</v>
      </c>
      <c r="B494" s="4" t="s">
        <v>1089</v>
      </c>
      <c r="C494" s="4" t="s">
        <v>28</v>
      </c>
      <c r="D494" s="25" t="s">
        <v>97</v>
      </c>
      <c r="E494" s="4">
        <v>49</v>
      </c>
      <c r="F494" s="25">
        <v>49</v>
      </c>
      <c r="G494" s="4" t="s">
        <v>145</v>
      </c>
      <c r="H494" s="25" t="s">
        <v>145</v>
      </c>
      <c r="I494" s="4" t="s">
        <v>93</v>
      </c>
      <c r="J494" s="25" t="s">
        <v>93</v>
      </c>
      <c r="K494" s="4">
        <v>14</v>
      </c>
      <c r="L494" s="25">
        <v>14</v>
      </c>
      <c r="M494" s="4" t="s">
        <v>86</v>
      </c>
      <c r="N494" s="25" t="s">
        <v>86</v>
      </c>
      <c r="O494" s="4">
        <v>1.5</v>
      </c>
      <c r="P494" s="25">
        <v>1.5</v>
      </c>
      <c r="Q494" s="4" t="s">
        <v>51</v>
      </c>
      <c r="R494" s="25" t="s">
        <v>2120</v>
      </c>
      <c r="S494" s="4">
        <v>0.6</v>
      </c>
      <c r="T494" s="26">
        <v>0.6</v>
      </c>
    </row>
    <row r="495" spans="1:20" x14ac:dyDescent="0.3">
      <c r="A495" s="27" t="s">
        <v>1090</v>
      </c>
      <c r="B495" s="4" t="s">
        <v>1091</v>
      </c>
      <c r="C495" s="4" t="s">
        <v>63</v>
      </c>
      <c r="D495" s="25" t="s">
        <v>118</v>
      </c>
      <c r="E495" s="4">
        <v>55</v>
      </c>
      <c r="F495" s="25">
        <v>55</v>
      </c>
      <c r="G495" s="4" t="s">
        <v>149</v>
      </c>
      <c r="H495" s="25" t="s">
        <v>149</v>
      </c>
      <c r="I495" s="4" t="s">
        <v>93</v>
      </c>
      <c r="J495" s="25" t="s">
        <v>93</v>
      </c>
      <c r="K495" s="4">
        <v>10</v>
      </c>
      <c r="L495" s="25">
        <v>10</v>
      </c>
      <c r="M495" s="4" t="s">
        <v>86</v>
      </c>
      <c r="N495" s="25" t="s">
        <v>86</v>
      </c>
      <c r="O495" s="4">
        <v>2</v>
      </c>
      <c r="P495" s="25">
        <v>2</v>
      </c>
      <c r="Q495" s="4" t="s">
        <v>181</v>
      </c>
      <c r="R495" s="25" t="s">
        <v>181</v>
      </c>
      <c r="S495" s="4">
        <v>0.85</v>
      </c>
      <c r="T495" s="26">
        <v>0.85</v>
      </c>
    </row>
    <row r="496" spans="1:20" x14ac:dyDescent="0.3">
      <c r="A496" s="27" t="s">
        <v>1092</v>
      </c>
      <c r="B496" s="4" t="s">
        <v>1093</v>
      </c>
      <c r="C496" s="4" t="s">
        <v>45</v>
      </c>
      <c r="D496" s="25" t="s">
        <v>97</v>
      </c>
      <c r="E496" s="4">
        <v>33</v>
      </c>
      <c r="F496" s="25">
        <v>33</v>
      </c>
      <c r="G496" s="4" t="s">
        <v>133</v>
      </c>
      <c r="H496" s="25" t="s">
        <v>133</v>
      </c>
      <c r="I496" s="4" t="s">
        <v>39</v>
      </c>
      <c r="J496" s="25" t="s">
        <v>39</v>
      </c>
      <c r="K496" s="4">
        <v>3</v>
      </c>
      <c r="L496" s="25">
        <v>3</v>
      </c>
      <c r="M496" s="4" t="s">
        <v>47</v>
      </c>
      <c r="N496" s="25" t="s">
        <v>47</v>
      </c>
      <c r="O496" s="4">
        <v>1.6</v>
      </c>
      <c r="P496" s="25">
        <v>1.6</v>
      </c>
      <c r="Q496" s="4" t="s">
        <v>51</v>
      </c>
      <c r="R496" s="25" t="s">
        <v>2120</v>
      </c>
      <c r="S496" s="4">
        <v>0.83</v>
      </c>
      <c r="T496" s="26">
        <v>0.83</v>
      </c>
    </row>
    <row r="497" spans="1:20" x14ac:dyDescent="0.3">
      <c r="A497" s="27" t="s">
        <v>1094</v>
      </c>
      <c r="B497" s="4" t="s">
        <v>1095</v>
      </c>
      <c r="C497" s="4" t="s">
        <v>118</v>
      </c>
      <c r="D497" s="25" t="s">
        <v>118</v>
      </c>
      <c r="E497" s="4">
        <v>32</v>
      </c>
      <c r="F497" s="25">
        <v>32</v>
      </c>
      <c r="G497" s="4" t="s">
        <v>91</v>
      </c>
      <c r="H497" s="25" t="s">
        <v>91</v>
      </c>
      <c r="I497" s="4" t="s">
        <v>57</v>
      </c>
      <c r="J497" s="25" t="s">
        <v>57</v>
      </c>
      <c r="K497" s="4">
        <v>3</v>
      </c>
      <c r="L497" s="25">
        <v>3</v>
      </c>
      <c r="M497" s="4" t="s">
        <v>58</v>
      </c>
      <c r="N497" s="25" t="s">
        <v>58</v>
      </c>
      <c r="O497" s="4">
        <v>1.5</v>
      </c>
      <c r="P497" s="25">
        <v>1.5</v>
      </c>
      <c r="Q497" s="4" t="s">
        <v>41</v>
      </c>
      <c r="R497" s="25" t="s">
        <v>41</v>
      </c>
      <c r="S497" s="4">
        <v>0.96</v>
      </c>
      <c r="T497" s="26">
        <v>0.96</v>
      </c>
    </row>
    <row r="498" spans="1:20" x14ac:dyDescent="0.3">
      <c r="A498" s="27" t="s">
        <v>1096</v>
      </c>
      <c r="B498" s="4" t="s">
        <v>1097</v>
      </c>
      <c r="C498" s="4" t="s">
        <v>63</v>
      </c>
      <c r="D498" s="25" t="s">
        <v>118</v>
      </c>
      <c r="E498" s="4">
        <v>58</v>
      </c>
      <c r="F498" s="25">
        <v>58</v>
      </c>
      <c r="G498" s="4" t="s">
        <v>55</v>
      </c>
      <c r="H498" s="25" t="s">
        <v>55</v>
      </c>
      <c r="I498" s="4" t="s">
        <v>21</v>
      </c>
      <c r="J498" s="25" t="s">
        <v>21</v>
      </c>
      <c r="K498" s="4">
        <v>33</v>
      </c>
      <c r="L498" s="25">
        <v>33</v>
      </c>
      <c r="M498" s="4" t="s">
        <v>51</v>
      </c>
      <c r="N498" s="25" t="s">
        <v>2119</v>
      </c>
      <c r="O498" s="4">
        <v>4.0999999999999996</v>
      </c>
      <c r="P498" s="25">
        <v>4.0999999999999996</v>
      </c>
      <c r="Q498" s="4" t="s">
        <v>94</v>
      </c>
      <c r="R498" s="25" t="s">
        <v>94</v>
      </c>
      <c r="S498" s="4">
        <v>0.83</v>
      </c>
      <c r="T498" s="26">
        <v>0.83</v>
      </c>
    </row>
    <row r="499" spans="1:20" x14ac:dyDescent="0.3">
      <c r="A499" s="27" t="s">
        <v>1098</v>
      </c>
      <c r="B499" s="4" t="s">
        <v>1099</v>
      </c>
      <c r="C499" s="4" t="s">
        <v>37</v>
      </c>
      <c r="D499" s="25" t="s">
        <v>118</v>
      </c>
      <c r="E499" s="4">
        <v>49</v>
      </c>
      <c r="F499" s="25">
        <v>49</v>
      </c>
      <c r="G499" s="4" t="s">
        <v>64</v>
      </c>
      <c r="H499" s="25" t="s">
        <v>64</v>
      </c>
      <c r="I499" s="4" t="s">
        <v>66</v>
      </c>
      <c r="J499" s="25" t="s">
        <v>66</v>
      </c>
      <c r="K499" s="4">
        <v>24</v>
      </c>
      <c r="L499" s="25">
        <v>24</v>
      </c>
      <c r="M499" s="4" t="s">
        <v>22</v>
      </c>
      <c r="N499" s="25" t="s">
        <v>22</v>
      </c>
      <c r="O499" s="4">
        <v>4.7</v>
      </c>
      <c r="P499" s="25">
        <v>4.7</v>
      </c>
      <c r="Q499" s="4" t="s">
        <v>23</v>
      </c>
      <c r="R499" s="25" t="s">
        <v>23</v>
      </c>
      <c r="S499" s="4">
        <v>0.6</v>
      </c>
      <c r="T499" s="26">
        <v>0.6</v>
      </c>
    </row>
    <row r="500" spans="1:20" x14ac:dyDescent="0.3">
      <c r="A500" s="27" t="s">
        <v>1100</v>
      </c>
      <c r="B500" s="4" t="s">
        <v>1101</v>
      </c>
      <c r="C500" s="4" t="s">
        <v>97</v>
      </c>
      <c r="D500" s="25" t="s">
        <v>97</v>
      </c>
      <c r="E500" s="4">
        <v>22</v>
      </c>
      <c r="F500" s="25">
        <v>22</v>
      </c>
      <c r="G500" s="4" t="s">
        <v>145</v>
      </c>
      <c r="H500" s="25" t="s">
        <v>145</v>
      </c>
      <c r="I500" s="4" t="s">
        <v>93</v>
      </c>
      <c r="J500" s="25" t="s">
        <v>93</v>
      </c>
      <c r="K500" s="4">
        <v>3</v>
      </c>
      <c r="L500" s="25">
        <v>3</v>
      </c>
      <c r="M500" s="4" t="s">
        <v>32</v>
      </c>
      <c r="N500" s="25" t="s">
        <v>32</v>
      </c>
      <c r="O500" s="4">
        <v>3.6</v>
      </c>
      <c r="P500" s="25">
        <v>3.6</v>
      </c>
      <c r="Q500" s="4" t="s">
        <v>33</v>
      </c>
      <c r="R500" s="25" t="s">
        <v>33</v>
      </c>
      <c r="S500" s="4">
        <v>0.78</v>
      </c>
      <c r="T500" s="26">
        <v>0.78</v>
      </c>
    </row>
    <row r="501" spans="1:20" x14ac:dyDescent="0.3">
      <c r="A501" s="27" t="s">
        <v>1102</v>
      </c>
      <c r="B501" s="4" t="s">
        <v>1103</v>
      </c>
      <c r="C501" s="4" t="s">
        <v>18</v>
      </c>
      <c r="D501" s="25" t="s">
        <v>97</v>
      </c>
      <c r="E501" s="4">
        <v>40</v>
      </c>
      <c r="F501" s="25">
        <v>40</v>
      </c>
      <c r="G501" s="4" t="s">
        <v>160</v>
      </c>
      <c r="H501" s="25" t="s">
        <v>160</v>
      </c>
      <c r="I501" s="4" t="s">
        <v>46</v>
      </c>
      <c r="J501" s="25" t="s">
        <v>46</v>
      </c>
      <c r="K501" s="4">
        <v>11</v>
      </c>
      <c r="L501" s="25">
        <v>11</v>
      </c>
      <c r="M501" s="4" t="s">
        <v>142</v>
      </c>
      <c r="N501" s="25" t="s">
        <v>142</v>
      </c>
      <c r="O501" s="4">
        <v>1.8</v>
      </c>
      <c r="P501" s="25">
        <v>1.8</v>
      </c>
      <c r="Q501" s="4" t="s">
        <v>33</v>
      </c>
      <c r="R501" s="25" t="s">
        <v>33</v>
      </c>
      <c r="S501" s="4">
        <v>0.9</v>
      </c>
      <c r="T501" s="26">
        <v>0.9</v>
      </c>
    </row>
    <row r="502" spans="1:20" x14ac:dyDescent="0.3">
      <c r="A502" s="27" t="s">
        <v>1104</v>
      </c>
      <c r="B502" s="4" t="s">
        <v>1105</v>
      </c>
      <c r="C502" s="4" t="s">
        <v>63</v>
      </c>
      <c r="D502" s="25" t="s">
        <v>118</v>
      </c>
      <c r="E502" s="4">
        <v>55</v>
      </c>
      <c r="F502" s="25">
        <v>55</v>
      </c>
      <c r="G502" s="4" t="s">
        <v>29</v>
      </c>
      <c r="H502" s="25" t="s">
        <v>29</v>
      </c>
      <c r="I502" s="4" t="s">
        <v>66</v>
      </c>
      <c r="J502" s="25" t="s">
        <v>66</v>
      </c>
      <c r="K502" s="4">
        <v>7</v>
      </c>
      <c r="L502" s="25">
        <v>7</v>
      </c>
      <c r="M502" s="4" t="s">
        <v>32</v>
      </c>
      <c r="N502" s="25" t="s">
        <v>32</v>
      </c>
      <c r="O502" s="4">
        <v>2.1</v>
      </c>
      <c r="P502" s="25">
        <v>2.1</v>
      </c>
      <c r="Q502" s="4" t="s">
        <v>23</v>
      </c>
      <c r="R502" s="25" t="s">
        <v>23</v>
      </c>
      <c r="S502" s="4">
        <v>0.66</v>
      </c>
      <c r="T502" s="26">
        <v>0.66</v>
      </c>
    </row>
    <row r="503" spans="1:20" x14ac:dyDescent="0.3">
      <c r="A503" s="27" t="s">
        <v>1106</v>
      </c>
      <c r="B503" s="4" t="s">
        <v>1107</v>
      </c>
      <c r="C503" s="4" t="s">
        <v>113</v>
      </c>
      <c r="D503" s="25" t="s">
        <v>118</v>
      </c>
      <c r="E503" s="4">
        <v>32</v>
      </c>
      <c r="F503" s="25">
        <v>32</v>
      </c>
      <c r="G503" s="4" t="s">
        <v>201</v>
      </c>
      <c r="H503" s="25" t="s">
        <v>201</v>
      </c>
      <c r="I503" s="4" t="s">
        <v>110</v>
      </c>
      <c r="J503" s="25" t="s">
        <v>110</v>
      </c>
      <c r="K503" s="4">
        <v>1</v>
      </c>
      <c r="L503" s="25">
        <v>1</v>
      </c>
      <c r="M503" s="4" t="s">
        <v>81</v>
      </c>
      <c r="N503" s="25" t="s">
        <v>81</v>
      </c>
      <c r="P503" s="25" t="s">
        <v>2120</v>
      </c>
      <c r="Q503" s="4" t="s">
        <v>87</v>
      </c>
      <c r="R503" s="25" t="s">
        <v>87</v>
      </c>
      <c r="S503" s="4">
        <v>0.7</v>
      </c>
      <c r="T503" s="26">
        <v>0.7</v>
      </c>
    </row>
    <row r="504" spans="1:20" x14ac:dyDescent="0.3">
      <c r="A504" s="27" t="s">
        <v>1108</v>
      </c>
      <c r="B504" s="4" t="s">
        <v>1109</v>
      </c>
      <c r="C504" s="4" t="s">
        <v>28</v>
      </c>
      <c r="D504" s="25" t="s">
        <v>97</v>
      </c>
      <c r="E504" s="4">
        <v>21</v>
      </c>
      <c r="F504" s="25">
        <v>21</v>
      </c>
      <c r="G504" s="4" t="s">
        <v>106</v>
      </c>
      <c r="H504" s="25" t="s">
        <v>106</v>
      </c>
      <c r="I504" s="4" t="s">
        <v>93</v>
      </c>
      <c r="J504" s="25" t="s">
        <v>93</v>
      </c>
      <c r="K504" s="4">
        <v>0</v>
      </c>
      <c r="L504" s="25">
        <v>0</v>
      </c>
      <c r="M504" s="4" t="s">
        <v>130</v>
      </c>
      <c r="N504" s="25" t="s">
        <v>130</v>
      </c>
      <c r="O504" s="4">
        <v>4.2</v>
      </c>
      <c r="P504" s="25">
        <v>4.2</v>
      </c>
      <c r="Q504" s="4" t="s">
        <v>87</v>
      </c>
      <c r="R504" s="25" t="s">
        <v>87</v>
      </c>
      <c r="S504" s="4">
        <v>0.79</v>
      </c>
      <c r="T504" s="26">
        <v>0.79</v>
      </c>
    </row>
    <row r="505" spans="1:20" x14ac:dyDescent="0.3">
      <c r="A505" s="27" t="s">
        <v>1110</v>
      </c>
      <c r="B505" s="4" t="s">
        <v>1111</v>
      </c>
      <c r="C505" s="4" t="s">
        <v>113</v>
      </c>
      <c r="D505" s="25" t="s">
        <v>118</v>
      </c>
      <c r="E505" s="4">
        <v>23</v>
      </c>
      <c r="F505" s="25">
        <v>23</v>
      </c>
      <c r="G505" s="4" t="s">
        <v>133</v>
      </c>
      <c r="H505" s="25" t="s">
        <v>133</v>
      </c>
      <c r="I505" s="4" t="s">
        <v>21</v>
      </c>
      <c r="J505" s="25" t="s">
        <v>21</v>
      </c>
      <c r="K505" s="4">
        <v>1</v>
      </c>
      <c r="L505" s="25">
        <v>1</v>
      </c>
      <c r="M505" s="4" t="s">
        <v>86</v>
      </c>
      <c r="N505" s="25" t="s">
        <v>86</v>
      </c>
      <c r="O505" s="4">
        <v>0</v>
      </c>
      <c r="P505" s="25">
        <v>0</v>
      </c>
      <c r="Q505" s="4" t="s">
        <v>23</v>
      </c>
      <c r="R505" s="25" t="s">
        <v>23</v>
      </c>
      <c r="S505" s="4">
        <v>0.64</v>
      </c>
      <c r="T505" s="26">
        <v>0.64</v>
      </c>
    </row>
    <row r="506" spans="1:20" x14ac:dyDescent="0.3">
      <c r="A506" s="27" t="s">
        <v>1112</v>
      </c>
      <c r="B506" s="4" t="s">
        <v>1113</v>
      </c>
      <c r="C506" s="4" t="s">
        <v>118</v>
      </c>
      <c r="D506" s="25" t="s">
        <v>118</v>
      </c>
      <c r="E506" s="4">
        <v>21</v>
      </c>
      <c r="F506" s="25">
        <v>21</v>
      </c>
      <c r="G506" s="4" t="s">
        <v>85</v>
      </c>
      <c r="H506" s="25" t="s">
        <v>85</v>
      </c>
      <c r="I506" s="4" t="s">
        <v>31</v>
      </c>
      <c r="J506" s="25" t="s">
        <v>31</v>
      </c>
      <c r="K506" s="4">
        <v>1</v>
      </c>
      <c r="L506" s="25">
        <v>1</v>
      </c>
      <c r="M506" s="4" t="s">
        <v>130</v>
      </c>
      <c r="N506" s="25" t="s">
        <v>130</v>
      </c>
      <c r="O506" s="4">
        <v>1</v>
      </c>
      <c r="P506" s="25">
        <v>1</v>
      </c>
      <c r="Q506" s="4" t="s">
        <v>41</v>
      </c>
      <c r="R506" s="25" t="s">
        <v>41</v>
      </c>
      <c r="S506" s="4">
        <v>0.81</v>
      </c>
      <c r="T506" s="26">
        <v>0.81</v>
      </c>
    </row>
    <row r="507" spans="1:20" x14ac:dyDescent="0.3">
      <c r="A507" s="27" t="s">
        <v>1114</v>
      </c>
      <c r="B507" s="4" t="s">
        <v>1115</v>
      </c>
      <c r="C507" s="4" t="s">
        <v>118</v>
      </c>
      <c r="D507" s="25" t="s">
        <v>118</v>
      </c>
      <c r="E507" s="4">
        <v>31</v>
      </c>
      <c r="F507" s="25">
        <v>31</v>
      </c>
      <c r="G507" s="4" t="s">
        <v>91</v>
      </c>
      <c r="H507" s="25" t="s">
        <v>91</v>
      </c>
      <c r="I507" s="4" t="s">
        <v>57</v>
      </c>
      <c r="J507" s="25" t="s">
        <v>57</v>
      </c>
      <c r="K507" s="4">
        <v>7</v>
      </c>
      <c r="L507" s="25">
        <v>7</v>
      </c>
      <c r="M507" s="4" t="s">
        <v>103</v>
      </c>
      <c r="N507" s="25" t="s">
        <v>103</v>
      </c>
      <c r="O507" s="4">
        <v>4.4000000000000004</v>
      </c>
      <c r="P507" s="25">
        <v>4.4000000000000004</v>
      </c>
      <c r="Q507" s="4" t="s">
        <v>23</v>
      </c>
      <c r="R507" s="25" t="s">
        <v>23</v>
      </c>
      <c r="S507" s="4">
        <v>0.83</v>
      </c>
      <c r="T507" s="26">
        <v>0.83</v>
      </c>
    </row>
    <row r="508" spans="1:20" x14ac:dyDescent="0.3">
      <c r="A508" s="27" t="s">
        <v>1116</v>
      </c>
      <c r="B508" s="4" t="s">
        <v>1117</v>
      </c>
      <c r="C508" s="4" t="s">
        <v>113</v>
      </c>
      <c r="D508" s="25" t="s">
        <v>118</v>
      </c>
      <c r="E508" s="4">
        <v>21</v>
      </c>
      <c r="F508" s="25">
        <v>21</v>
      </c>
      <c r="G508" s="4" t="s">
        <v>201</v>
      </c>
      <c r="H508" s="25" t="s">
        <v>201</v>
      </c>
      <c r="I508" s="4" t="s">
        <v>21</v>
      </c>
      <c r="J508" s="25" t="s">
        <v>21</v>
      </c>
      <c r="L508" s="25" t="s">
        <v>2120</v>
      </c>
      <c r="M508" s="4" t="s">
        <v>86</v>
      </c>
      <c r="N508" s="25" t="s">
        <v>86</v>
      </c>
      <c r="O508" s="4">
        <v>4</v>
      </c>
      <c r="P508" s="25">
        <v>4</v>
      </c>
      <c r="Q508" s="4" t="s">
        <v>23</v>
      </c>
      <c r="R508" s="25" t="s">
        <v>23</v>
      </c>
      <c r="S508" s="4">
        <v>0.91</v>
      </c>
      <c r="T508" s="26">
        <v>0.91</v>
      </c>
    </row>
    <row r="509" spans="1:20" x14ac:dyDescent="0.3">
      <c r="A509" s="27" t="s">
        <v>1118</v>
      </c>
      <c r="B509" s="4" t="s">
        <v>1119</v>
      </c>
      <c r="C509" s="4" t="s">
        <v>37</v>
      </c>
      <c r="D509" s="25" t="s">
        <v>118</v>
      </c>
      <c r="E509" s="4">
        <v>33</v>
      </c>
      <c r="F509" s="25">
        <v>33</v>
      </c>
      <c r="G509" s="4" t="s">
        <v>85</v>
      </c>
      <c r="H509" s="25" t="s">
        <v>85</v>
      </c>
      <c r="I509" s="4" t="s">
        <v>98</v>
      </c>
      <c r="J509" s="25" t="s">
        <v>98</v>
      </c>
      <c r="K509" s="4">
        <v>6</v>
      </c>
      <c r="L509" s="25">
        <v>6</v>
      </c>
      <c r="M509" s="4" t="s">
        <v>119</v>
      </c>
      <c r="N509" s="25" t="s">
        <v>119</v>
      </c>
      <c r="O509" s="4">
        <v>3.1</v>
      </c>
      <c r="P509" s="25">
        <v>3.1</v>
      </c>
      <c r="Q509" s="4" t="s">
        <v>41</v>
      </c>
      <c r="R509" s="25" t="s">
        <v>41</v>
      </c>
      <c r="T509" s="26" t="s">
        <v>2120</v>
      </c>
    </row>
    <row r="510" spans="1:20" x14ac:dyDescent="0.3">
      <c r="A510" s="27" t="s">
        <v>1120</v>
      </c>
      <c r="B510" s="4" t="s">
        <v>1121</v>
      </c>
      <c r="C510" s="4" t="s">
        <v>63</v>
      </c>
      <c r="D510" s="25" t="s">
        <v>118</v>
      </c>
      <c r="E510" s="4">
        <v>57</v>
      </c>
      <c r="F510" s="25">
        <v>57</v>
      </c>
      <c r="G510" s="4" t="s">
        <v>128</v>
      </c>
      <c r="H510" s="25" t="s">
        <v>128</v>
      </c>
      <c r="I510" s="4" t="s">
        <v>46</v>
      </c>
      <c r="J510" s="25" t="s">
        <v>46</v>
      </c>
      <c r="K510" s="4">
        <v>5</v>
      </c>
      <c r="L510" s="25">
        <v>5</v>
      </c>
      <c r="M510" s="4" t="s">
        <v>103</v>
      </c>
      <c r="N510" s="25" t="s">
        <v>103</v>
      </c>
      <c r="O510" s="4">
        <v>1.1000000000000001</v>
      </c>
      <c r="P510" s="25">
        <v>1.1000000000000001</v>
      </c>
      <c r="Q510" s="4" t="s">
        <v>74</v>
      </c>
      <c r="R510" s="25" t="s">
        <v>74</v>
      </c>
      <c r="S510" s="4">
        <v>0.77</v>
      </c>
      <c r="T510" s="26">
        <v>0.77</v>
      </c>
    </row>
    <row r="511" spans="1:20" x14ac:dyDescent="0.3">
      <c r="A511" s="27" t="s">
        <v>1122</v>
      </c>
      <c r="B511" s="4" t="s">
        <v>1123</v>
      </c>
      <c r="C511" s="4" t="s">
        <v>63</v>
      </c>
      <c r="D511" s="25" t="s">
        <v>118</v>
      </c>
      <c r="E511" s="4">
        <v>52</v>
      </c>
      <c r="F511" s="25">
        <v>52</v>
      </c>
      <c r="G511" s="4" t="s">
        <v>73</v>
      </c>
      <c r="H511" s="25" t="s">
        <v>73</v>
      </c>
      <c r="I511" s="4" t="s">
        <v>110</v>
      </c>
      <c r="J511" s="25" t="s">
        <v>110</v>
      </c>
      <c r="K511" s="4">
        <v>17</v>
      </c>
      <c r="L511" s="25">
        <v>17</v>
      </c>
      <c r="M511" s="4" t="s">
        <v>67</v>
      </c>
      <c r="N511" s="25" t="s">
        <v>67</v>
      </c>
      <c r="O511" s="4">
        <v>0</v>
      </c>
      <c r="P511" s="25">
        <v>0</v>
      </c>
      <c r="Q511" s="4" t="s">
        <v>23</v>
      </c>
      <c r="R511" s="25" t="s">
        <v>23</v>
      </c>
      <c r="S511" s="4">
        <v>0.94</v>
      </c>
      <c r="T511" s="26">
        <v>0.94</v>
      </c>
    </row>
    <row r="512" spans="1:20" x14ac:dyDescent="0.3">
      <c r="A512" s="27" t="s">
        <v>1124</v>
      </c>
      <c r="B512" s="4" t="s">
        <v>1125</v>
      </c>
      <c r="C512" s="4" t="s">
        <v>97</v>
      </c>
      <c r="D512" s="25" t="s">
        <v>97</v>
      </c>
      <c r="E512" s="4">
        <v>21</v>
      </c>
      <c r="F512" s="25">
        <v>21</v>
      </c>
      <c r="G512" s="4" t="s">
        <v>38</v>
      </c>
      <c r="H512" s="25" t="s">
        <v>38</v>
      </c>
      <c r="I512" s="4" t="s">
        <v>46</v>
      </c>
      <c r="J512" s="25" t="s">
        <v>46</v>
      </c>
      <c r="K512" s="4">
        <v>0</v>
      </c>
      <c r="L512" s="25">
        <v>0</v>
      </c>
      <c r="M512" s="4" t="s">
        <v>142</v>
      </c>
      <c r="N512" s="25" t="s">
        <v>142</v>
      </c>
      <c r="O512" s="4">
        <v>3.8</v>
      </c>
      <c r="P512" s="25">
        <v>3.8</v>
      </c>
      <c r="Q512" s="4" t="s">
        <v>33</v>
      </c>
      <c r="R512" s="25" t="s">
        <v>33</v>
      </c>
      <c r="S512" s="4">
        <v>0.61</v>
      </c>
      <c r="T512" s="26">
        <v>0.61</v>
      </c>
    </row>
    <row r="513" spans="1:20" x14ac:dyDescent="0.3">
      <c r="A513" s="27" t="s">
        <v>1126</v>
      </c>
      <c r="B513" s="4" t="s">
        <v>1127</v>
      </c>
      <c r="C513" s="4" t="s">
        <v>28</v>
      </c>
      <c r="D513" s="25" t="s">
        <v>97</v>
      </c>
      <c r="E513" s="4">
        <v>36</v>
      </c>
      <c r="F513" s="25">
        <v>36</v>
      </c>
      <c r="G513" s="4" t="s">
        <v>91</v>
      </c>
      <c r="H513" s="25" t="s">
        <v>91</v>
      </c>
      <c r="I513" s="4" t="s">
        <v>93</v>
      </c>
      <c r="J513" s="25" t="s">
        <v>93</v>
      </c>
      <c r="K513" s="4">
        <v>8</v>
      </c>
      <c r="L513" s="25">
        <v>8</v>
      </c>
      <c r="M513" s="4" t="s">
        <v>22</v>
      </c>
      <c r="N513" s="25" t="s">
        <v>22</v>
      </c>
      <c r="O513" s="4">
        <v>1.7</v>
      </c>
      <c r="P513" s="25">
        <v>1.7</v>
      </c>
      <c r="Q513" s="4" t="s">
        <v>41</v>
      </c>
      <c r="R513" s="25" t="s">
        <v>41</v>
      </c>
      <c r="S513" s="4">
        <v>0.68</v>
      </c>
      <c r="T513" s="26">
        <v>0.68</v>
      </c>
    </row>
    <row r="514" spans="1:20" x14ac:dyDescent="0.3">
      <c r="A514" s="27" t="s">
        <v>1128</v>
      </c>
      <c r="B514" s="4" t="s">
        <v>1129</v>
      </c>
      <c r="C514" s="4" t="s">
        <v>37</v>
      </c>
      <c r="D514" s="25" t="s">
        <v>118</v>
      </c>
      <c r="E514" s="4">
        <v>33</v>
      </c>
      <c r="F514" s="25">
        <v>33</v>
      </c>
      <c r="G514" s="4" t="s">
        <v>212</v>
      </c>
      <c r="H514" s="25" t="s">
        <v>212</v>
      </c>
      <c r="I514" s="4" t="s">
        <v>135</v>
      </c>
      <c r="J514" s="25" t="s">
        <v>135</v>
      </c>
      <c r="K514" s="4">
        <v>13</v>
      </c>
      <c r="L514" s="25">
        <v>13</v>
      </c>
      <c r="M514" s="4" t="s">
        <v>40</v>
      </c>
      <c r="N514" s="25" t="s">
        <v>40</v>
      </c>
      <c r="O514" s="4">
        <v>2.2000000000000002</v>
      </c>
      <c r="P514" s="25">
        <v>2.2000000000000002</v>
      </c>
      <c r="Q514" s="4" t="s">
        <v>41</v>
      </c>
      <c r="R514" s="25" t="s">
        <v>41</v>
      </c>
      <c r="S514" s="4">
        <v>0.7</v>
      </c>
      <c r="T514" s="26">
        <v>0.7</v>
      </c>
    </row>
    <row r="515" spans="1:20" x14ac:dyDescent="0.3">
      <c r="A515" s="27" t="s">
        <v>1130</v>
      </c>
      <c r="B515" s="4" t="s">
        <v>1131</v>
      </c>
      <c r="C515" s="4" t="s">
        <v>45</v>
      </c>
      <c r="D515" s="25" t="s">
        <v>97</v>
      </c>
      <c r="E515" s="4">
        <v>54</v>
      </c>
      <c r="F515" s="25">
        <v>54</v>
      </c>
      <c r="G515" s="4" t="s">
        <v>85</v>
      </c>
      <c r="H515" s="25" t="s">
        <v>85</v>
      </c>
      <c r="I515" s="4" t="s">
        <v>66</v>
      </c>
      <c r="J515" s="25" t="s">
        <v>66</v>
      </c>
      <c r="K515" s="4">
        <v>15</v>
      </c>
      <c r="L515" s="25">
        <v>15</v>
      </c>
      <c r="M515" s="4" t="s">
        <v>86</v>
      </c>
      <c r="N515" s="25" t="s">
        <v>86</v>
      </c>
      <c r="O515" s="4">
        <v>4.0999999999999996</v>
      </c>
      <c r="P515" s="25">
        <v>4.0999999999999996</v>
      </c>
      <c r="Q515" s="4" t="s">
        <v>74</v>
      </c>
      <c r="R515" s="25" t="s">
        <v>74</v>
      </c>
      <c r="S515" s="4">
        <v>71</v>
      </c>
      <c r="T515" s="26">
        <v>71</v>
      </c>
    </row>
    <row r="516" spans="1:20" x14ac:dyDescent="0.3">
      <c r="A516" s="27" t="s">
        <v>1132</v>
      </c>
      <c r="B516" s="4" t="s">
        <v>1133</v>
      </c>
      <c r="C516" s="4" t="s">
        <v>50</v>
      </c>
      <c r="D516" s="25" t="s">
        <v>97</v>
      </c>
      <c r="E516" s="4">
        <v>33</v>
      </c>
      <c r="F516" s="25">
        <v>33</v>
      </c>
      <c r="G516" s="4" t="s">
        <v>73</v>
      </c>
      <c r="H516" s="25" t="s">
        <v>73</v>
      </c>
      <c r="I516" s="4" t="s">
        <v>21</v>
      </c>
      <c r="J516" s="25" t="s">
        <v>21</v>
      </c>
      <c r="K516" s="4">
        <v>2</v>
      </c>
      <c r="L516" s="25">
        <v>2</v>
      </c>
      <c r="M516" s="4" t="s">
        <v>32</v>
      </c>
      <c r="N516" s="25" t="s">
        <v>32</v>
      </c>
      <c r="O516" s="4">
        <v>3.8</v>
      </c>
      <c r="P516" s="25">
        <v>3.8</v>
      </c>
      <c r="Q516" s="4" t="s">
        <v>59</v>
      </c>
      <c r="R516" s="25" t="s">
        <v>59</v>
      </c>
      <c r="T516" s="26" t="s">
        <v>2120</v>
      </c>
    </row>
    <row r="517" spans="1:20" x14ac:dyDescent="0.3">
      <c r="A517" s="27" t="s">
        <v>1134</v>
      </c>
      <c r="B517" s="4" t="s">
        <v>1135</v>
      </c>
      <c r="C517" s="4" t="s">
        <v>50</v>
      </c>
      <c r="D517" s="25" t="s">
        <v>97</v>
      </c>
      <c r="E517" s="4">
        <v>36</v>
      </c>
      <c r="F517" s="25">
        <v>36</v>
      </c>
      <c r="G517" s="4" t="s">
        <v>106</v>
      </c>
      <c r="H517" s="25" t="s">
        <v>106</v>
      </c>
      <c r="I517" s="4" t="s">
        <v>135</v>
      </c>
      <c r="J517" s="25" t="s">
        <v>135</v>
      </c>
      <c r="K517" s="4">
        <v>9</v>
      </c>
      <c r="L517" s="25">
        <v>9</v>
      </c>
      <c r="M517" s="4" t="s">
        <v>58</v>
      </c>
      <c r="N517" s="25" t="s">
        <v>58</v>
      </c>
      <c r="O517" s="4">
        <v>0</v>
      </c>
      <c r="P517" s="25">
        <v>0</v>
      </c>
      <c r="Q517" s="4" t="s">
        <v>87</v>
      </c>
      <c r="R517" s="25" t="s">
        <v>87</v>
      </c>
      <c r="S517" s="4">
        <v>0.78</v>
      </c>
      <c r="T517" s="26">
        <v>0.78</v>
      </c>
    </row>
    <row r="518" spans="1:20" x14ac:dyDescent="0.3">
      <c r="A518" s="27" t="s">
        <v>1136</v>
      </c>
      <c r="B518" s="4" t="s">
        <v>1137</v>
      </c>
      <c r="C518" s="4" t="s">
        <v>28</v>
      </c>
      <c r="D518" s="25" t="s">
        <v>97</v>
      </c>
      <c r="E518" s="4">
        <v>36</v>
      </c>
      <c r="F518" s="25">
        <v>36</v>
      </c>
      <c r="G518" s="4" t="s">
        <v>79</v>
      </c>
      <c r="H518" s="25" t="s">
        <v>79</v>
      </c>
      <c r="I518" s="4" t="s">
        <v>57</v>
      </c>
      <c r="J518" s="25" t="s">
        <v>57</v>
      </c>
      <c r="K518" s="4">
        <v>3</v>
      </c>
      <c r="L518" s="25">
        <v>3</v>
      </c>
      <c r="M518" s="4" t="s">
        <v>119</v>
      </c>
      <c r="N518" s="25" t="s">
        <v>119</v>
      </c>
      <c r="O518" s="4">
        <v>0</v>
      </c>
      <c r="P518" s="25">
        <v>0</v>
      </c>
      <c r="Q518" s="4" t="s">
        <v>181</v>
      </c>
      <c r="R518" s="25" t="s">
        <v>181</v>
      </c>
      <c r="S518" s="4">
        <v>75</v>
      </c>
      <c r="T518" s="26">
        <v>75</v>
      </c>
    </row>
    <row r="519" spans="1:20" x14ac:dyDescent="0.3">
      <c r="A519" s="27" t="s">
        <v>1138</v>
      </c>
      <c r="B519" s="4" t="s">
        <v>1139</v>
      </c>
      <c r="C519" s="4" t="s">
        <v>45</v>
      </c>
      <c r="D519" s="25" t="s">
        <v>97</v>
      </c>
      <c r="E519" s="4">
        <v>43</v>
      </c>
      <c r="F519" s="25">
        <v>43</v>
      </c>
      <c r="G519" s="4" t="s">
        <v>197</v>
      </c>
      <c r="H519" s="25" t="s">
        <v>197</v>
      </c>
      <c r="I519" s="4" t="s">
        <v>57</v>
      </c>
      <c r="J519" s="25" t="s">
        <v>57</v>
      </c>
      <c r="K519" s="4">
        <v>15</v>
      </c>
      <c r="L519" s="25">
        <v>15</v>
      </c>
      <c r="M519" s="4" t="s">
        <v>142</v>
      </c>
      <c r="N519" s="25" t="s">
        <v>142</v>
      </c>
      <c r="O519" s="4">
        <v>4.2</v>
      </c>
      <c r="P519" s="25">
        <v>4.2</v>
      </c>
      <c r="Q519" s="4" t="s">
        <v>74</v>
      </c>
      <c r="R519" s="25" t="s">
        <v>74</v>
      </c>
      <c r="S519" s="4">
        <v>0.91</v>
      </c>
      <c r="T519" s="26">
        <v>0.91</v>
      </c>
    </row>
    <row r="520" spans="1:20" x14ac:dyDescent="0.3">
      <c r="A520" s="27" t="s">
        <v>1140</v>
      </c>
      <c r="B520" s="4" t="s">
        <v>1141</v>
      </c>
      <c r="C520" s="4" t="s">
        <v>118</v>
      </c>
      <c r="D520" s="25" t="s">
        <v>118</v>
      </c>
      <c r="E520" s="4">
        <v>52</v>
      </c>
      <c r="F520" s="25">
        <v>52</v>
      </c>
      <c r="G520" s="4" t="s">
        <v>85</v>
      </c>
      <c r="H520" s="25" t="s">
        <v>85</v>
      </c>
      <c r="I520" s="4" t="s">
        <v>66</v>
      </c>
      <c r="J520" s="25" t="s">
        <v>66</v>
      </c>
      <c r="K520" s="4">
        <v>21</v>
      </c>
      <c r="L520" s="25">
        <v>21</v>
      </c>
      <c r="M520" s="4" t="s">
        <v>67</v>
      </c>
      <c r="N520" s="25" t="s">
        <v>67</v>
      </c>
      <c r="O520" s="4">
        <v>2.2000000000000002</v>
      </c>
      <c r="P520" s="25">
        <v>2.2000000000000002</v>
      </c>
      <c r="Q520" s="4" t="s">
        <v>33</v>
      </c>
      <c r="R520" s="25" t="s">
        <v>33</v>
      </c>
      <c r="S520" s="4">
        <v>0.66</v>
      </c>
      <c r="T520" s="26">
        <v>0.66</v>
      </c>
    </row>
    <row r="521" spans="1:20" x14ac:dyDescent="0.3">
      <c r="A521" s="27" t="s">
        <v>1142</v>
      </c>
      <c r="B521" s="4" t="s">
        <v>1143</v>
      </c>
      <c r="C521" s="4" t="s">
        <v>45</v>
      </c>
      <c r="D521" s="25" t="s">
        <v>97</v>
      </c>
      <c r="E521" s="4">
        <v>28</v>
      </c>
      <c r="F521" s="25">
        <v>28</v>
      </c>
      <c r="G521" s="4" t="s">
        <v>64</v>
      </c>
      <c r="H521" s="25" t="s">
        <v>64</v>
      </c>
      <c r="I521" s="4" t="s">
        <v>98</v>
      </c>
      <c r="J521" s="25" t="s">
        <v>98</v>
      </c>
      <c r="K521" s="4">
        <v>2</v>
      </c>
      <c r="L521" s="25">
        <v>2</v>
      </c>
      <c r="M521" s="4" t="s">
        <v>67</v>
      </c>
      <c r="N521" s="25" t="s">
        <v>67</v>
      </c>
      <c r="O521" s="4">
        <v>1.5</v>
      </c>
      <c r="P521" s="25">
        <v>1.5</v>
      </c>
      <c r="Q521" s="4" t="s">
        <v>33</v>
      </c>
      <c r="R521" s="25" t="s">
        <v>33</v>
      </c>
      <c r="S521" s="4">
        <v>0.68</v>
      </c>
      <c r="T521" s="26">
        <v>0.68</v>
      </c>
    </row>
    <row r="522" spans="1:20" x14ac:dyDescent="0.3">
      <c r="A522" s="27" t="s">
        <v>1144</v>
      </c>
      <c r="B522" s="4" t="s">
        <v>1145</v>
      </c>
      <c r="C522" s="4" t="s">
        <v>97</v>
      </c>
      <c r="D522" s="25" t="s">
        <v>97</v>
      </c>
      <c r="E522" s="4">
        <v>47</v>
      </c>
      <c r="F522" s="25">
        <v>47</v>
      </c>
      <c r="G522" s="4" t="s">
        <v>197</v>
      </c>
      <c r="H522" s="25" t="s">
        <v>197</v>
      </c>
      <c r="I522" s="4" t="s">
        <v>98</v>
      </c>
      <c r="J522" s="25" t="s">
        <v>98</v>
      </c>
      <c r="K522" s="4">
        <v>21</v>
      </c>
      <c r="L522" s="25">
        <v>21</v>
      </c>
      <c r="M522" s="4" t="s">
        <v>251</v>
      </c>
      <c r="N522" s="25" t="s">
        <v>251</v>
      </c>
      <c r="O522" s="4">
        <v>0</v>
      </c>
      <c r="P522" s="25">
        <v>0</v>
      </c>
      <c r="Q522" s="4" t="s">
        <v>41</v>
      </c>
      <c r="R522" s="25" t="s">
        <v>41</v>
      </c>
      <c r="T522" s="26" t="s">
        <v>2120</v>
      </c>
    </row>
    <row r="523" spans="1:20" x14ac:dyDescent="0.3">
      <c r="A523" s="27" t="s">
        <v>1146</v>
      </c>
      <c r="B523" s="4" t="s">
        <v>1147</v>
      </c>
      <c r="C523" s="4" t="s">
        <v>50</v>
      </c>
      <c r="D523" s="25" t="s">
        <v>97</v>
      </c>
      <c r="E523" s="4">
        <v>30</v>
      </c>
      <c r="F523" s="25">
        <v>30</v>
      </c>
      <c r="G523" s="4" t="s">
        <v>156</v>
      </c>
      <c r="H523" s="25" t="s">
        <v>156</v>
      </c>
      <c r="I523" s="4" t="s">
        <v>110</v>
      </c>
      <c r="J523" s="25" t="s">
        <v>110</v>
      </c>
      <c r="K523" s="4">
        <v>0</v>
      </c>
      <c r="L523" s="25">
        <v>0</v>
      </c>
      <c r="M523" s="4" t="s">
        <v>32</v>
      </c>
      <c r="N523" s="25" t="s">
        <v>32</v>
      </c>
      <c r="O523" s="4">
        <v>4.0999999999999996</v>
      </c>
      <c r="P523" s="25">
        <v>4.0999999999999996</v>
      </c>
      <c r="Q523" s="4" t="s">
        <v>23</v>
      </c>
      <c r="R523" s="25" t="s">
        <v>23</v>
      </c>
      <c r="S523" s="4">
        <v>0.62</v>
      </c>
      <c r="T523" s="26">
        <v>0.62</v>
      </c>
    </row>
    <row r="524" spans="1:20" x14ac:dyDescent="0.3">
      <c r="A524" s="27" t="s">
        <v>1148</v>
      </c>
      <c r="B524" s="4" t="s">
        <v>1149</v>
      </c>
      <c r="C524" s="4" t="s">
        <v>63</v>
      </c>
      <c r="D524" s="25" t="s">
        <v>118</v>
      </c>
      <c r="E524" s="4">
        <v>36</v>
      </c>
      <c r="F524" s="25">
        <v>36</v>
      </c>
      <c r="G524" s="4" t="s">
        <v>160</v>
      </c>
      <c r="H524" s="25" t="s">
        <v>160</v>
      </c>
      <c r="I524" s="4" t="s">
        <v>21</v>
      </c>
      <c r="J524" s="25" t="s">
        <v>21</v>
      </c>
      <c r="K524" s="4">
        <v>4</v>
      </c>
      <c r="L524" s="25">
        <v>4</v>
      </c>
      <c r="M524" s="4" t="s">
        <v>86</v>
      </c>
      <c r="N524" s="25" t="s">
        <v>86</v>
      </c>
      <c r="O524" s="4">
        <v>2.6</v>
      </c>
      <c r="P524" s="25">
        <v>2.6</v>
      </c>
      <c r="Q524" s="4" t="s">
        <v>181</v>
      </c>
      <c r="R524" s="25" t="s">
        <v>181</v>
      </c>
      <c r="S524" s="4">
        <v>0.9</v>
      </c>
      <c r="T524" s="26">
        <v>0.9</v>
      </c>
    </row>
    <row r="525" spans="1:20" x14ac:dyDescent="0.3">
      <c r="A525" s="27" t="s">
        <v>1150</v>
      </c>
      <c r="B525" s="4" t="s">
        <v>1151</v>
      </c>
      <c r="C525" s="4" t="s">
        <v>28</v>
      </c>
      <c r="D525" s="25" t="s">
        <v>97</v>
      </c>
      <c r="E525" s="4">
        <v>45</v>
      </c>
      <c r="F525" s="25">
        <v>45</v>
      </c>
      <c r="G525" s="4" t="s">
        <v>73</v>
      </c>
      <c r="H525" s="25" t="s">
        <v>73</v>
      </c>
      <c r="I525" s="4" t="s">
        <v>93</v>
      </c>
      <c r="J525" s="25" t="s">
        <v>93</v>
      </c>
      <c r="K525" s="4">
        <v>23</v>
      </c>
      <c r="L525" s="25">
        <v>23</v>
      </c>
      <c r="M525" s="4" t="s">
        <v>22</v>
      </c>
      <c r="N525" s="25" t="s">
        <v>22</v>
      </c>
      <c r="O525" s="4">
        <v>2.4</v>
      </c>
      <c r="P525" s="25">
        <v>2.4</v>
      </c>
      <c r="Q525" s="4" t="s">
        <v>59</v>
      </c>
      <c r="R525" s="25" t="s">
        <v>59</v>
      </c>
      <c r="S525" s="4">
        <v>0.96</v>
      </c>
      <c r="T525" s="26">
        <v>0.96</v>
      </c>
    </row>
    <row r="526" spans="1:20" x14ac:dyDescent="0.3">
      <c r="A526" s="27" t="s">
        <v>1152</v>
      </c>
      <c r="B526" s="4" t="s">
        <v>1153</v>
      </c>
      <c r="C526" s="4" t="s">
        <v>45</v>
      </c>
      <c r="D526" s="25" t="s">
        <v>97</v>
      </c>
      <c r="E526" s="4">
        <v>51</v>
      </c>
      <c r="F526" s="25">
        <v>51</v>
      </c>
      <c r="G526" s="4" t="s">
        <v>73</v>
      </c>
      <c r="H526" s="25" t="s">
        <v>73</v>
      </c>
      <c r="I526" s="4" t="s">
        <v>21</v>
      </c>
      <c r="J526" s="25" t="s">
        <v>21</v>
      </c>
      <c r="K526" s="4">
        <v>25</v>
      </c>
      <c r="L526" s="25">
        <v>25</v>
      </c>
      <c r="M526" s="4" t="s">
        <v>40</v>
      </c>
      <c r="N526" s="25" t="s">
        <v>40</v>
      </c>
      <c r="O526" s="4">
        <v>1.4</v>
      </c>
      <c r="P526" s="25">
        <v>1.4</v>
      </c>
      <c r="Q526" s="4" t="s">
        <v>94</v>
      </c>
      <c r="R526" s="25" t="s">
        <v>94</v>
      </c>
      <c r="S526" s="4">
        <v>0.6</v>
      </c>
      <c r="T526" s="26">
        <v>0.6</v>
      </c>
    </row>
    <row r="527" spans="1:20" x14ac:dyDescent="0.3">
      <c r="A527" s="27" t="s">
        <v>1154</v>
      </c>
      <c r="B527" s="4" t="s">
        <v>1155</v>
      </c>
      <c r="C527" s="4" t="s">
        <v>63</v>
      </c>
      <c r="D527" s="25" t="s">
        <v>118</v>
      </c>
      <c r="E527" s="4">
        <v>46</v>
      </c>
      <c r="F527" s="25">
        <v>46</v>
      </c>
      <c r="G527" s="4" t="s">
        <v>79</v>
      </c>
      <c r="H527" s="25" t="s">
        <v>79</v>
      </c>
      <c r="I527" s="4" t="s">
        <v>31</v>
      </c>
      <c r="J527" s="25" t="s">
        <v>31</v>
      </c>
      <c r="K527" s="4">
        <v>10</v>
      </c>
      <c r="L527" s="25">
        <v>10</v>
      </c>
      <c r="M527" s="4" t="s">
        <v>51</v>
      </c>
      <c r="N527" s="25" t="s">
        <v>2119</v>
      </c>
      <c r="O527" s="4">
        <v>4.5999999999999996</v>
      </c>
      <c r="P527" s="25">
        <v>4.5999999999999996</v>
      </c>
      <c r="Q527" s="4" t="s">
        <v>94</v>
      </c>
      <c r="R527" s="25" t="s">
        <v>94</v>
      </c>
      <c r="S527" s="4">
        <v>0.62</v>
      </c>
      <c r="T527" s="26">
        <v>0.62</v>
      </c>
    </row>
    <row r="528" spans="1:20" x14ac:dyDescent="0.3">
      <c r="A528" s="27" t="s">
        <v>1156</v>
      </c>
      <c r="B528" s="4" t="s">
        <v>1157</v>
      </c>
      <c r="C528" s="4" t="s">
        <v>28</v>
      </c>
      <c r="D528" s="25" t="s">
        <v>97</v>
      </c>
      <c r="E528" s="4">
        <v>38</v>
      </c>
      <c r="F528" s="25">
        <v>38</v>
      </c>
      <c r="G528" s="4" t="s">
        <v>19</v>
      </c>
      <c r="H528" s="25" t="s">
        <v>19</v>
      </c>
      <c r="I528" s="4" t="s">
        <v>66</v>
      </c>
      <c r="J528" s="25" t="s">
        <v>66</v>
      </c>
      <c r="K528" s="4">
        <v>18</v>
      </c>
      <c r="L528" s="25">
        <v>18</v>
      </c>
      <c r="M528" s="4" t="s">
        <v>70</v>
      </c>
      <c r="N528" s="25" t="s">
        <v>70</v>
      </c>
      <c r="O528" s="4">
        <v>4.9000000000000004</v>
      </c>
      <c r="P528" s="25">
        <v>4.9000000000000004</v>
      </c>
      <c r="Q528" s="4" t="s">
        <v>59</v>
      </c>
      <c r="R528" s="25" t="s">
        <v>59</v>
      </c>
      <c r="S528" s="4">
        <v>0.74</v>
      </c>
      <c r="T528" s="26">
        <v>0.74</v>
      </c>
    </row>
    <row r="529" spans="1:20" x14ac:dyDescent="0.3">
      <c r="A529" s="27" t="s">
        <v>1158</v>
      </c>
      <c r="B529" s="4" t="s">
        <v>1159</v>
      </c>
      <c r="C529" s="4" t="s">
        <v>118</v>
      </c>
      <c r="D529" s="25" t="s">
        <v>118</v>
      </c>
      <c r="E529" s="4">
        <v>26</v>
      </c>
      <c r="F529" s="25">
        <v>26</v>
      </c>
      <c r="G529" s="4" t="s">
        <v>212</v>
      </c>
      <c r="H529" s="25" t="s">
        <v>212</v>
      </c>
      <c r="I529" s="4" t="s">
        <v>21</v>
      </c>
      <c r="J529" s="25" t="s">
        <v>21</v>
      </c>
      <c r="K529" s="4">
        <v>1</v>
      </c>
      <c r="L529" s="25">
        <v>1</v>
      </c>
      <c r="M529" s="4" t="s">
        <v>142</v>
      </c>
      <c r="N529" s="25" t="s">
        <v>142</v>
      </c>
      <c r="O529" s="4">
        <v>0</v>
      </c>
      <c r="P529" s="25">
        <v>0</v>
      </c>
      <c r="Q529" s="4" t="s">
        <v>33</v>
      </c>
      <c r="R529" s="25" t="s">
        <v>33</v>
      </c>
      <c r="T529" s="26" t="s">
        <v>2120</v>
      </c>
    </row>
    <row r="530" spans="1:20" x14ac:dyDescent="0.3">
      <c r="A530" s="27" t="s">
        <v>1160</v>
      </c>
      <c r="B530" s="4" t="s">
        <v>1161</v>
      </c>
      <c r="C530" s="4" t="s">
        <v>97</v>
      </c>
      <c r="D530" s="25" t="s">
        <v>97</v>
      </c>
      <c r="E530" s="4">
        <v>40</v>
      </c>
      <c r="F530" s="25">
        <v>40</v>
      </c>
      <c r="G530" s="4" t="s">
        <v>85</v>
      </c>
      <c r="H530" s="25" t="s">
        <v>85</v>
      </c>
      <c r="I530" s="4" t="s">
        <v>110</v>
      </c>
      <c r="J530" s="25" t="s">
        <v>110</v>
      </c>
      <c r="K530" s="4">
        <v>12</v>
      </c>
      <c r="L530" s="25">
        <v>12</v>
      </c>
      <c r="M530" s="4" t="s">
        <v>52</v>
      </c>
      <c r="N530" s="25" t="s">
        <v>52</v>
      </c>
      <c r="O530" s="4">
        <v>3.5</v>
      </c>
      <c r="P530" s="25">
        <v>3.5</v>
      </c>
      <c r="Q530" s="4" t="s">
        <v>51</v>
      </c>
      <c r="R530" s="25" t="s">
        <v>2120</v>
      </c>
      <c r="S530" s="4">
        <v>0.98</v>
      </c>
      <c r="T530" s="26">
        <v>0.98</v>
      </c>
    </row>
    <row r="531" spans="1:20" x14ac:dyDescent="0.3">
      <c r="A531" s="27" t="s">
        <v>1162</v>
      </c>
      <c r="B531" s="4" t="s">
        <v>1163</v>
      </c>
      <c r="C531" s="4" t="s">
        <v>118</v>
      </c>
      <c r="D531" s="25" t="s">
        <v>118</v>
      </c>
      <c r="E531" s="4">
        <v>37</v>
      </c>
      <c r="F531" s="25">
        <v>37</v>
      </c>
      <c r="G531" s="4" t="s">
        <v>38</v>
      </c>
      <c r="H531" s="25" t="s">
        <v>38</v>
      </c>
      <c r="I531" s="4" t="s">
        <v>135</v>
      </c>
      <c r="J531" s="25" t="s">
        <v>135</v>
      </c>
      <c r="L531" s="25" t="s">
        <v>2120</v>
      </c>
      <c r="M531" s="4" t="s">
        <v>51</v>
      </c>
      <c r="N531" s="25" t="s">
        <v>2119</v>
      </c>
      <c r="O531" s="4">
        <v>1.7</v>
      </c>
      <c r="P531" s="25">
        <v>1.7</v>
      </c>
      <c r="Q531" s="4" t="s">
        <v>87</v>
      </c>
      <c r="R531" s="25" t="s">
        <v>87</v>
      </c>
      <c r="S531" s="4">
        <v>0.63</v>
      </c>
      <c r="T531" s="26">
        <v>0.63</v>
      </c>
    </row>
    <row r="532" spans="1:20" x14ac:dyDescent="0.3">
      <c r="A532" s="27" t="s">
        <v>1164</v>
      </c>
      <c r="B532" s="4" t="s">
        <v>1165</v>
      </c>
      <c r="C532" s="4" t="s">
        <v>113</v>
      </c>
      <c r="D532" s="25" t="s">
        <v>118</v>
      </c>
      <c r="E532" s="4">
        <v>28</v>
      </c>
      <c r="F532" s="25">
        <v>28</v>
      </c>
      <c r="G532" s="4" t="s">
        <v>149</v>
      </c>
      <c r="H532" s="25" t="s">
        <v>149</v>
      </c>
      <c r="I532" s="4" t="s">
        <v>21</v>
      </c>
      <c r="J532" s="25" t="s">
        <v>21</v>
      </c>
      <c r="K532" s="4">
        <v>5</v>
      </c>
      <c r="L532" s="25">
        <v>5</v>
      </c>
      <c r="M532" s="4" t="s">
        <v>81</v>
      </c>
      <c r="N532" s="25" t="s">
        <v>81</v>
      </c>
      <c r="O532" s="4">
        <v>0</v>
      </c>
      <c r="P532" s="25">
        <v>0</v>
      </c>
      <c r="Q532" s="4" t="s">
        <v>87</v>
      </c>
      <c r="R532" s="25" t="s">
        <v>87</v>
      </c>
      <c r="S532" s="4">
        <v>96</v>
      </c>
      <c r="T532" s="26">
        <v>96</v>
      </c>
    </row>
    <row r="533" spans="1:20" x14ac:dyDescent="0.3">
      <c r="A533" s="27" t="s">
        <v>1166</v>
      </c>
      <c r="B533" s="4" t="s">
        <v>1167</v>
      </c>
      <c r="C533" s="4" t="s">
        <v>50</v>
      </c>
      <c r="D533" s="25" t="s">
        <v>97</v>
      </c>
      <c r="E533" s="4">
        <v>48</v>
      </c>
      <c r="F533" s="25">
        <v>48</v>
      </c>
      <c r="G533" s="4" t="s">
        <v>114</v>
      </c>
      <c r="H533" s="25" t="s">
        <v>114</v>
      </c>
      <c r="I533" s="4" t="s">
        <v>31</v>
      </c>
      <c r="J533" s="25" t="s">
        <v>31</v>
      </c>
      <c r="K533" s="4">
        <v>28</v>
      </c>
      <c r="L533" s="25">
        <v>28</v>
      </c>
      <c r="M533" s="4" t="s">
        <v>336</v>
      </c>
      <c r="N533" s="25" t="s">
        <v>336</v>
      </c>
      <c r="O533" s="4">
        <v>0</v>
      </c>
      <c r="P533" s="25">
        <v>0</v>
      </c>
      <c r="Q533" s="4" t="s">
        <v>23</v>
      </c>
      <c r="R533" s="25" t="s">
        <v>23</v>
      </c>
      <c r="S533" s="4">
        <v>0.88</v>
      </c>
      <c r="T533" s="26">
        <v>0.88</v>
      </c>
    </row>
    <row r="534" spans="1:20" x14ac:dyDescent="0.3">
      <c r="A534" s="27" t="s">
        <v>1168</v>
      </c>
      <c r="B534" s="4" t="s">
        <v>1169</v>
      </c>
      <c r="C534" s="4" t="s">
        <v>78</v>
      </c>
      <c r="D534" s="25" t="s">
        <v>118</v>
      </c>
      <c r="E534" s="4">
        <v>22</v>
      </c>
      <c r="F534" s="25">
        <v>22</v>
      </c>
      <c r="G534" s="4" t="s">
        <v>114</v>
      </c>
      <c r="H534" s="25" t="s">
        <v>114</v>
      </c>
      <c r="I534" s="4" t="s">
        <v>57</v>
      </c>
      <c r="J534" s="25" t="s">
        <v>57</v>
      </c>
      <c r="K534" s="4">
        <v>0</v>
      </c>
      <c r="L534" s="25">
        <v>0</v>
      </c>
      <c r="M534" s="4" t="s">
        <v>51</v>
      </c>
      <c r="N534" s="25" t="s">
        <v>2119</v>
      </c>
      <c r="O534" s="4">
        <v>4.5999999999999996</v>
      </c>
      <c r="P534" s="25">
        <v>4.5999999999999996</v>
      </c>
      <c r="Q534" s="4" t="s">
        <v>59</v>
      </c>
      <c r="R534" s="25" t="s">
        <v>59</v>
      </c>
      <c r="T534" s="26" t="s">
        <v>2120</v>
      </c>
    </row>
    <row r="535" spans="1:20" x14ac:dyDescent="0.3">
      <c r="A535" s="27" t="s">
        <v>1170</v>
      </c>
      <c r="B535" s="4" t="s">
        <v>1171</v>
      </c>
      <c r="C535" s="4" t="s">
        <v>50</v>
      </c>
      <c r="D535" s="25" t="s">
        <v>97</v>
      </c>
      <c r="E535" s="4">
        <v>41</v>
      </c>
      <c r="F535" s="25">
        <v>41</v>
      </c>
      <c r="G535" s="4" t="s">
        <v>38</v>
      </c>
      <c r="H535" s="25" t="s">
        <v>38</v>
      </c>
      <c r="I535" s="4" t="s">
        <v>46</v>
      </c>
      <c r="J535" s="25" t="s">
        <v>46</v>
      </c>
      <c r="K535" s="4">
        <v>14</v>
      </c>
      <c r="L535" s="25">
        <v>14</v>
      </c>
      <c r="M535" s="4" t="s">
        <v>86</v>
      </c>
      <c r="N535" s="25" t="s">
        <v>86</v>
      </c>
      <c r="O535" s="4">
        <v>1.1000000000000001</v>
      </c>
      <c r="P535" s="25">
        <v>1.1000000000000001</v>
      </c>
      <c r="Q535" s="4" t="s">
        <v>74</v>
      </c>
      <c r="R535" s="25" t="s">
        <v>74</v>
      </c>
      <c r="S535" s="4">
        <v>0.73</v>
      </c>
      <c r="T535" s="26">
        <v>0.73</v>
      </c>
    </row>
    <row r="536" spans="1:20" x14ac:dyDescent="0.3">
      <c r="A536" s="27" t="s">
        <v>1172</v>
      </c>
      <c r="B536" s="4" t="s">
        <v>1173</v>
      </c>
      <c r="C536" s="4" t="s">
        <v>78</v>
      </c>
      <c r="D536" s="25" t="s">
        <v>118</v>
      </c>
      <c r="E536" s="4">
        <v>38</v>
      </c>
      <c r="F536" s="25">
        <v>38</v>
      </c>
      <c r="G536" s="4" t="s">
        <v>73</v>
      </c>
      <c r="H536" s="25" t="s">
        <v>73</v>
      </c>
      <c r="I536" s="4" t="s">
        <v>39</v>
      </c>
      <c r="J536" s="25" t="s">
        <v>39</v>
      </c>
      <c r="K536" s="4">
        <v>15</v>
      </c>
      <c r="L536" s="25">
        <v>15</v>
      </c>
      <c r="M536" s="4" t="s">
        <v>51</v>
      </c>
      <c r="N536" s="25" t="s">
        <v>2119</v>
      </c>
      <c r="O536" s="4">
        <v>4.2</v>
      </c>
      <c r="P536" s="25">
        <v>4.2</v>
      </c>
      <c r="Q536" s="4" t="s">
        <v>23</v>
      </c>
      <c r="R536" s="25" t="s">
        <v>23</v>
      </c>
      <c r="S536" s="4">
        <v>0.88</v>
      </c>
      <c r="T536" s="26">
        <v>0.88</v>
      </c>
    </row>
    <row r="537" spans="1:20" x14ac:dyDescent="0.3">
      <c r="A537" s="27" t="s">
        <v>1174</v>
      </c>
      <c r="B537" s="4" t="s">
        <v>1175</v>
      </c>
      <c r="C537" s="4" t="s">
        <v>28</v>
      </c>
      <c r="D537" s="25" t="s">
        <v>97</v>
      </c>
      <c r="E537" s="4">
        <v>31</v>
      </c>
      <c r="F537" s="25">
        <v>31</v>
      </c>
      <c r="G537" s="4" t="s">
        <v>175</v>
      </c>
      <c r="H537" s="25" t="s">
        <v>175</v>
      </c>
      <c r="I537" s="4" t="s">
        <v>93</v>
      </c>
      <c r="J537" s="25" t="s">
        <v>93</v>
      </c>
      <c r="K537" s="4">
        <v>9</v>
      </c>
      <c r="L537" s="25">
        <v>9</v>
      </c>
      <c r="M537" s="4" t="s">
        <v>51</v>
      </c>
      <c r="N537" s="25" t="s">
        <v>2119</v>
      </c>
      <c r="O537" s="4">
        <v>0</v>
      </c>
      <c r="P537" s="25">
        <v>0</v>
      </c>
      <c r="Q537" s="4" t="s">
        <v>59</v>
      </c>
      <c r="R537" s="25" t="s">
        <v>59</v>
      </c>
      <c r="S537" s="4">
        <v>0.91</v>
      </c>
      <c r="T537" s="26">
        <v>0.91</v>
      </c>
    </row>
    <row r="538" spans="1:20" x14ac:dyDescent="0.3">
      <c r="A538" s="27" t="s">
        <v>1176</v>
      </c>
      <c r="B538" s="4" t="s">
        <v>1177</v>
      </c>
      <c r="C538" s="4" t="s">
        <v>45</v>
      </c>
      <c r="D538" s="25" t="s">
        <v>97</v>
      </c>
      <c r="E538" s="4">
        <v>30</v>
      </c>
      <c r="F538" s="25">
        <v>30</v>
      </c>
      <c r="G538" s="4" t="s">
        <v>197</v>
      </c>
      <c r="H538" s="25" t="s">
        <v>197</v>
      </c>
      <c r="I538" s="4" t="s">
        <v>31</v>
      </c>
      <c r="J538" s="25" t="s">
        <v>31</v>
      </c>
      <c r="K538" s="4">
        <v>9</v>
      </c>
      <c r="L538" s="25">
        <v>9</v>
      </c>
      <c r="M538" s="4" t="s">
        <v>58</v>
      </c>
      <c r="N538" s="25" t="s">
        <v>58</v>
      </c>
      <c r="O538" s="4">
        <v>3.9</v>
      </c>
      <c r="P538" s="25">
        <v>3.9</v>
      </c>
      <c r="Q538" s="4" t="s">
        <v>181</v>
      </c>
      <c r="R538" s="25" t="s">
        <v>181</v>
      </c>
      <c r="S538" s="4">
        <v>0.65</v>
      </c>
      <c r="T538" s="26">
        <v>0.65</v>
      </c>
    </row>
    <row r="539" spans="1:20" x14ac:dyDescent="0.3">
      <c r="A539" s="27" t="s">
        <v>1178</v>
      </c>
      <c r="B539" s="4" t="s">
        <v>1179</v>
      </c>
      <c r="C539" s="4" t="s">
        <v>78</v>
      </c>
      <c r="D539" s="25" t="s">
        <v>118</v>
      </c>
      <c r="E539" s="4">
        <v>51</v>
      </c>
      <c r="F539" s="25">
        <v>51</v>
      </c>
      <c r="G539" s="4" t="s">
        <v>201</v>
      </c>
      <c r="H539" s="25" t="s">
        <v>201</v>
      </c>
      <c r="I539" s="4" t="s">
        <v>93</v>
      </c>
      <c r="J539" s="25" t="s">
        <v>93</v>
      </c>
      <c r="K539" s="4">
        <v>22</v>
      </c>
      <c r="L539" s="25">
        <v>22</v>
      </c>
      <c r="M539" s="4" t="s">
        <v>162</v>
      </c>
      <c r="N539" s="25" t="s">
        <v>162</v>
      </c>
      <c r="O539" s="4">
        <v>3.4</v>
      </c>
      <c r="P539" s="25">
        <v>3.4</v>
      </c>
      <c r="Q539" s="4" t="s">
        <v>74</v>
      </c>
      <c r="R539" s="25" t="s">
        <v>74</v>
      </c>
      <c r="S539" s="4">
        <v>90</v>
      </c>
      <c r="T539" s="26">
        <v>90</v>
      </c>
    </row>
    <row r="540" spans="1:20" x14ac:dyDescent="0.3">
      <c r="A540" s="27" t="s">
        <v>1180</v>
      </c>
      <c r="B540" s="4" t="s">
        <v>1181</v>
      </c>
      <c r="C540" s="4" t="s">
        <v>18</v>
      </c>
      <c r="D540" s="25" t="s">
        <v>97</v>
      </c>
      <c r="E540" s="4">
        <v>21</v>
      </c>
      <c r="F540" s="25">
        <v>21</v>
      </c>
      <c r="G540" s="4" t="s">
        <v>38</v>
      </c>
      <c r="H540" s="25" t="s">
        <v>38</v>
      </c>
      <c r="I540" s="4" t="s">
        <v>110</v>
      </c>
      <c r="J540" s="25" t="s">
        <v>110</v>
      </c>
      <c r="K540" s="4">
        <v>0</v>
      </c>
      <c r="L540" s="25">
        <v>0</v>
      </c>
      <c r="M540" s="4" t="s">
        <v>142</v>
      </c>
      <c r="N540" s="25" t="s">
        <v>142</v>
      </c>
      <c r="O540" s="4">
        <v>2.6</v>
      </c>
      <c r="P540" s="25">
        <v>2.6</v>
      </c>
      <c r="Q540" s="4" t="s">
        <v>41</v>
      </c>
      <c r="R540" s="25" t="s">
        <v>41</v>
      </c>
      <c r="S540" s="4">
        <v>0.72</v>
      </c>
      <c r="T540" s="26">
        <v>0.72</v>
      </c>
    </row>
    <row r="541" spans="1:20" x14ac:dyDescent="0.3">
      <c r="A541" s="27" t="s">
        <v>1182</v>
      </c>
      <c r="B541" s="4" t="s">
        <v>1183</v>
      </c>
      <c r="C541" s="4" t="s">
        <v>28</v>
      </c>
      <c r="D541" s="25" t="s">
        <v>97</v>
      </c>
      <c r="E541" s="4">
        <v>20</v>
      </c>
      <c r="F541" s="25">
        <v>20</v>
      </c>
      <c r="G541" s="4" t="s">
        <v>19</v>
      </c>
      <c r="H541" s="25" t="s">
        <v>19</v>
      </c>
      <c r="I541" s="4" t="s">
        <v>110</v>
      </c>
      <c r="J541" s="25" t="s">
        <v>110</v>
      </c>
      <c r="K541" s="4">
        <v>1</v>
      </c>
      <c r="L541" s="25">
        <v>1</v>
      </c>
      <c r="M541" s="4" t="s">
        <v>70</v>
      </c>
      <c r="N541" s="25" t="s">
        <v>70</v>
      </c>
      <c r="O541" s="4">
        <v>2.2999999999999998</v>
      </c>
      <c r="P541" s="25">
        <v>2.2999999999999998</v>
      </c>
      <c r="Q541" s="4" t="s">
        <v>33</v>
      </c>
      <c r="R541" s="25" t="s">
        <v>33</v>
      </c>
      <c r="S541" s="4">
        <v>0.72</v>
      </c>
      <c r="T541" s="26">
        <v>0.72</v>
      </c>
    </row>
    <row r="542" spans="1:20" x14ac:dyDescent="0.3">
      <c r="A542" s="27" t="s">
        <v>1184</v>
      </c>
      <c r="B542" s="4" t="s">
        <v>1185</v>
      </c>
      <c r="C542" s="4" t="s">
        <v>118</v>
      </c>
      <c r="D542" s="25" t="s">
        <v>118</v>
      </c>
      <c r="E542" s="4">
        <v>30</v>
      </c>
      <c r="F542" s="25">
        <v>30</v>
      </c>
      <c r="G542" s="4" t="s">
        <v>106</v>
      </c>
      <c r="H542" s="25" t="s">
        <v>106</v>
      </c>
      <c r="I542" s="4" t="s">
        <v>21</v>
      </c>
      <c r="J542" s="25" t="s">
        <v>21</v>
      </c>
      <c r="K542" s="4">
        <v>5</v>
      </c>
      <c r="L542" s="25">
        <v>5</v>
      </c>
      <c r="M542" s="4" t="s">
        <v>58</v>
      </c>
      <c r="N542" s="25" t="s">
        <v>58</v>
      </c>
      <c r="O542" s="4">
        <v>4.8</v>
      </c>
      <c r="P542" s="25">
        <v>4.8</v>
      </c>
      <c r="Q542" s="4" t="s">
        <v>41</v>
      </c>
      <c r="R542" s="25" t="s">
        <v>41</v>
      </c>
      <c r="T542" s="26" t="s">
        <v>2120</v>
      </c>
    </row>
    <row r="543" spans="1:20" x14ac:dyDescent="0.3">
      <c r="A543" s="27" t="s">
        <v>1186</v>
      </c>
      <c r="B543" s="4" t="s">
        <v>1187</v>
      </c>
      <c r="C543" s="4" t="s">
        <v>78</v>
      </c>
      <c r="D543" s="25" t="s">
        <v>118</v>
      </c>
      <c r="E543" s="4">
        <v>41</v>
      </c>
      <c r="F543" s="25">
        <v>41</v>
      </c>
      <c r="G543" s="4" t="s">
        <v>197</v>
      </c>
      <c r="H543" s="25" t="s">
        <v>197</v>
      </c>
      <c r="I543" s="4" t="s">
        <v>66</v>
      </c>
      <c r="J543" s="25" t="s">
        <v>66</v>
      </c>
      <c r="K543" s="4">
        <v>0</v>
      </c>
      <c r="L543" s="25">
        <v>0</v>
      </c>
      <c r="M543" s="4" t="s">
        <v>70</v>
      </c>
      <c r="N543" s="25" t="s">
        <v>70</v>
      </c>
      <c r="O543" s="4">
        <v>4.5</v>
      </c>
      <c r="P543" s="25">
        <v>4.5</v>
      </c>
      <c r="Q543" s="4" t="s">
        <v>41</v>
      </c>
      <c r="R543" s="25" t="s">
        <v>41</v>
      </c>
      <c r="S543" s="4">
        <v>0.68</v>
      </c>
      <c r="T543" s="26">
        <v>0.68</v>
      </c>
    </row>
    <row r="544" spans="1:20" x14ac:dyDescent="0.3">
      <c r="A544" s="27" t="s">
        <v>1188</v>
      </c>
      <c r="B544" s="4" t="s">
        <v>1189</v>
      </c>
      <c r="C544" s="4" t="s">
        <v>118</v>
      </c>
      <c r="D544" s="25" t="s">
        <v>118</v>
      </c>
      <c r="E544" s="4">
        <v>22</v>
      </c>
      <c r="F544" s="25">
        <v>22</v>
      </c>
      <c r="G544" s="4" t="s">
        <v>212</v>
      </c>
      <c r="H544" s="25" t="s">
        <v>212</v>
      </c>
      <c r="I544" s="4" t="s">
        <v>21</v>
      </c>
      <c r="J544" s="25" t="s">
        <v>21</v>
      </c>
      <c r="K544" s="4">
        <v>0</v>
      </c>
      <c r="L544" s="25">
        <v>0</v>
      </c>
      <c r="M544" s="4" t="s">
        <v>58</v>
      </c>
      <c r="N544" s="25" t="s">
        <v>58</v>
      </c>
      <c r="O544" s="4">
        <v>0</v>
      </c>
      <c r="P544" s="25">
        <v>0</v>
      </c>
      <c r="Q544" s="4" t="s">
        <v>23</v>
      </c>
      <c r="R544" s="25" t="s">
        <v>23</v>
      </c>
      <c r="S544" s="4">
        <v>0.87</v>
      </c>
      <c r="T544" s="26">
        <v>0.87</v>
      </c>
    </row>
    <row r="545" spans="1:20" x14ac:dyDescent="0.3">
      <c r="A545" s="27" t="s">
        <v>1190</v>
      </c>
      <c r="B545" s="4" t="s">
        <v>1191</v>
      </c>
      <c r="C545" s="4" t="s">
        <v>78</v>
      </c>
      <c r="D545" s="25" t="s">
        <v>118</v>
      </c>
      <c r="E545" s="4">
        <v>45</v>
      </c>
      <c r="F545" s="25">
        <v>45</v>
      </c>
      <c r="G545" s="4" t="s">
        <v>201</v>
      </c>
      <c r="H545" s="25" t="s">
        <v>201</v>
      </c>
      <c r="I545" s="4" t="s">
        <v>98</v>
      </c>
      <c r="J545" s="25" t="s">
        <v>98</v>
      </c>
      <c r="K545" s="4">
        <v>19</v>
      </c>
      <c r="L545" s="25">
        <v>19</v>
      </c>
      <c r="M545" s="4" t="s">
        <v>103</v>
      </c>
      <c r="N545" s="25" t="s">
        <v>103</v>
      </c>
      <c r="O545" s="4">
        <v>0</v>
      </c>
      <c r="P545" s="25">
        <v>0</v>
      </c>
      <c r="Q545" s="4" t="s">
        <v>181</v>
      </c>
      <c r="R545" s="25" t="s">
        <v>181</v>
      </c>
      <c r="S545" s="4">
        <v>0.72</v>
      </c>
      <c r="T545" s="26">
        <v>0.72</v>
      </c>
    </row>
    <row r="546" spans="1:20" x14ac:dyDescent="0.3">
      <c r="A546" s="27" t="s">
        <v>1192</v>
      </c>
      <c r="B546" s="4" t="s">
        <v>1193</v>
      </c>
      <c r="C546" s="4" t="s">
        <v>97</v>
      </c>
      <c r="D546" s="25" t="s">
        <v>97</v>
      </c>
      <c r="E546" s="4">
        <v>22</v>
      </c>
      <c r="F546" s="25">
        <v>22</v>
      </c>
      <c r="G546" s="4" t="s">
        <v>29</v>
      </c>
      <c r="H546" s="25" t="s">
        <v>29</v>
      </c>
      <c r="I546" s="4" t="s">
        <v>66</v>
      </c>
      <c r="J546" s="25" t="s">
        <v>66</v>
      </c>
      <c r="K546" s="4">
        <v>2</v>
      </c>
      <c r="L546" s="25">
        <v>2</v>
      </c>
      <c r="M546" s="4" t="s">
        <v>86</v>
      </c>
      <c r="N546" s="25" t="s">
        <v>86</v>
      </c>
      <c r="O546" s="4">
        <v>1.1000000000000001</v>
      </c>
      <c r="P546" s="25">
        <v>1.1000000000000001</v>
      </c>
      <c r="Q546" s="4" t="s">
        <v>181</v>
      </c>
      <c r="R546" s="25" t="s">
        <v>181</v>
      </c>
      <c r="S546" s="4">
        <v>0.76</v>
      </c>
      <c r="T546" s="26">
        <v>0.76</v>
      </c>
    </row>
    <row r="547" spans="1:20" x14ac:dyDescent="0.3">
      <c r="A547" s="27" t="s">
        <v>1194</v>
      </c>
      <c r="B547" s="4" t="s">
        <v>1195</v>
      </c>
      <c r="C547" s="4" t="s">
        <v>18</v>
      </c>
      <c r="D547" s="25" t="s">
        <v>97</v>
      </c>
      <c r="E547" s="4">
        <v>20</v>
      </c>
      <c r="F547" s="25">
        <v>20</v>
      </c>
      <c r="G547" s="4" t="s">
        <v>79</v>
      </c>
      <c r="H547" s="25" t="s">
        <v>79</v>
      </c>
      <c r="I547" s="4" t="s">
        <v>31</v>
      </c>
      <c r="J547" s="25" t="s">
        <v>31</v>
      </c>
      <c r="K547" s="4">
        <v>0</v>
      </c>
      <c r="L547" s="25">
        <v>0</v>
      </c>
      <c r="M547" s="4" t="s">
        <v>22</v>
      </c>
      <c r="N547" s="25" t="s">
        <v>22</v>
      </c>
      <c r="O547" s="4">
        <v>0</v>
      </c>
      <c r="P547" s="25">
        <v>0</v>
      </c>
      <c r="Q547" s="4" t="s">
        <v>23</v>
      </c>
      <c r="R547" s="25" t="s">
        <v>23</v>
      </c>
      <c r="S547" s="4">
        <v>63</v>
      </c>
      <c r="T547" s="26">
        <v>63</v>
      </c>
    </row>
    <row r="548" spans="1:20" x14ac:dyDescent="0.3">
      <c r="A548" s="27" t="s">
        <v>1196</v>
      </c>
      <c r="B548" s="4" t="s">
        <v>1197</v>
      </c>
      <c r="C548" s="4" t="s">
        <v>28</v>
      </c>
      <c r="D548" s="25" t="s">
        <v>97</v>
      </c>
      <c r="E548" s="4">
        <v>20</v>
      </c>
      <c r="F548" s="25">
        <v>20</v>
      </c>
      <c r="G548" s="4" t="s">
        <v>149</v>
      </c>
      <c r="H548" s="25" t="s">
        <v>149</v>
      </c>
      <c r="I548" s="4" t="s">
        <v>66</v>
      </c>
      <c r="J548" s="25" t="s">
        <v>66</v>
      </c>
      <c r="K548" s="4">
        <v>2</v>
      </c>
      <c r="L548" s="25">
        <v>2</v>
      </c>
      <c r="M548" s="4" t="s">
        <v>86</v>
      </c>
      <c r="N548" s="25" t="s">
        <v>86</v>
      </c>
      <c r="P548" s="25" t="s">
        <v>2120</v>
      </c>
      <c r="Q548" s="4" t="s">
        <v>33</v>
      </c>
      <c r="R548" s="25" t="s">
        <v>33</v>
      </c>
      <c r="S548" s="4">
        <v>0.91</v>
      </c>
      <c r="T548" s="26">
        <v>0.91</v>
      </c>
    </row>
    <row r="549" spans="1:20" x14ac:dyDescent="0.3">
      <c r="A549" s="27" t="s">
        <v>1198</v>
      </c>
      <c r="B549" s="4" t="s">
        <v>1199</v>
      </c>
      <c r="C549" s="4" t="s">
        <v>113</v>
      </c>
      <c r="D549" s="25" t="s">
        <v>118</v>
      </c>
      <c r="E549" s="4">
        <v>21</v>
      </c>
      <c r="F549" s="25">
        <v>21</v>
      </c>
      <c r="G549" s="4" t="s">
        <v>85</v>
      </c>
      <c r="H549" s="25" t="s">
        <v>85</v>
      </c>
      <c r="I549" s="4" t="s">
        <v>57</v>
      </c>
      <c r="J549" s="25" t="s">
        <v>57</v>
      </c>
      <c r="K549" s="4">
        <v>0</v>
      </c>
      <c r="L549" s="25">
        <v>0</v>
      </c>
      <c r="M549" s="4" t="s">
        <v>22</v>
      </c>
      <c r="N549" s="25" t="s">
        <v>22</v>
      </c>
      <c r="P549" s="25" t="s">
        <v>2120</v>
      </c>
      <c r="Q549" s="4" t="s">
        <v>23</v>
      </c>
      <c r="R549" s="25" t="s">
        <v>23</v>
      </c>
      <c r="S549" s="4">
        <v>0.73</v>
      </c>
      <c r="T549" s="26">
        <v>0.73</v>
      </c>
    </row>
    <row r="550" spans="1:20" x14ac:dyDescent="0.3">
      <c r="A550" s="27" t="s">
        <v>1200</v>
      </c>
      <c r="B550" s="4" t="s">
        <v>1201</v>
      </c>
      <c r="C550" s="4" t="s">
        <v>118</v>
      </c>
      <c r="D550" s="25" t="s">
        <v>118</v>
      </c>
      <c r="E550" s="4">
        <v>22</v>
      </c>
      <c r="F550" s="25">
        <v>22</v>
      </c>
      <c r="G550" s="4" t="s">
        <v>55</v>
      </c>
      <c r="H550" s="25" t="s">
        <v>55</v>
      </c>
      <c r="I550" s="4" t="s">
        <v>98</v>
      </c>
      <c r="J550" s="25" t="s">
        <v>98</v>
      </c>
      <c r="K550" s="4">
        <v>1</v>
      </c>
      <c r="L550" s="25">
        <v>1</v>
      </c>
      <c r="M550" s="4" t="s">
        <v>86</v>
      </c>
      <c r="N550" s="25" t="s">
        <v>86</v>
      </c>
      <c r="O550" s="4">
        <v>0</v>
      </c>
      <c r="P550" s="25">
        <v>0</v>
      </c>
      <c r="Q550" s="4" t="s">
        <v>23</v>
      </c>
      <c r="R550" s="25" t="s">
        <v>23</v>
      </c>
      <c r="S550" s="4">
        <v>0.63</v>
      </c>
      <c r="T550" s="26">
        <v>0.63</v>
      </c>
    </row>
    <row r="551" spans="1:20" x14ac:dyDescent="0.3">
      <c r="A551" s="27" t="s">
        <v>1202</v>
      </c>
      <c r="B551" s="4" t="s">
        <v>1203</v>
      </c>
      <c r="C551" s="4" t="s">
        <v>45</v>
      </c>
      <c r="D551" s="25" t="s">
        <v>97</v>
      </c>
      <c r="E551" s="4">
        <v>28</v>
      </c>
      <c r="F551" s="25">
        <v>28</v>
      </c>
      <c r="G551" s="4" t="s">
        <v>85</v>
      </c>
      <c r="H551" s="25" t="s">
        <v>85</v>
      </c>
      <c r="I551" s="4" t="s">
        <v>110</v>
      </c>
      <c r="J551" s="25" t="s">
        <v>110</v>
      </c>
      <c r="K551" s="4">
        <v>3</v>
      </c>
      <c r="L551" s="25">
        <v>3</v>
      </c>
      <c r="M551" s="4" t="s">
        <v>336</v>
      </c>
      <c r="N551" s="25" t="s">
        <v>336</v>
      </c>
      <c r="P551" s="25" t="s">
        <v>2120</v>
      </c>
      <c r="Q551" s="4" t="s">
        <v>33</v>
      </c>
      <c r="R551" s="25" t="s">
        <v>33</v>
      </c>
      <c r="S551" s="4">
        <v>0.79</v>
      </c>
      <c r="T551" s="26">
        <v>0.79</v>
      </c>
    </row>
    <row r="552" spans="1:20" x14ac:dyDescent="0.3">
      <c r="A552" s="27" t="s">
        <v>1204</v>
      </c>
      <c r="B552" s="4" t="s">
        <v>1205</v>
      </c>
      <c r="C552" s="4" t="s">
        <v>45</v>
      </c>
      <c r="D552" s="25" t="s">
        <v>97</v>
      </c>
      <c r="E552" s="4">
        <v>59</v>
      </c>
      <c r="F552" s="25">
        <v>59</v>
      </c>
      <c r="G552" s="4" t="s">
        <v>91</v>
      </c>
      <c r="H552" s="25" t="s">
        <v>91</v>
      </c>
      <c r="I552" s="4" t="s">
        <v>57</v>
      </c>
      <c r="J552" s="25" t="s">
        <v>57</v>
      </c>
      <c r="L552" s="25" t="s">
        <v>2120</v>
      </c>
      <c r="M552" s="4" t="s">
        <v>162</v>
      </c>
      <c r="N552" s="25" t="s">
        <v>162</v>
      </c>
      <c r="O552" s="4">
        <v>4.0999999999999996</v>
      </c>
      <c r="P552" s="25">
        <v>4.0999999999999996</v>
      </c>
      <c r="Q552" s="4" t="s">
        <v>23</v>
      </c>
      <c r="R552" s="25" t="s">
        <v>23</v>
      </c>
      <c r="S552" s="4">
        <v>75</v>
      </c>
      <c r="T552" s="26">
        <v>75</v>
      </c>
    </row>
    <row r="553" spans="1:20" x14ac:dyDescent="0.3">
      <c r="A553" s="27" t="s">
        <v>1206</v>
      </c>
      <c r="B553" s="4" t="s">
        <v>1207</v>
      </c>
      <c r="C553" s="4" t="s">
        <v>50</v>
      </c>
      <c r="D553" s="25" t="s">
        <v>97</v>
      </c>
      <c r="E553" s="4">
        <v>28</v>
      </c>
      <c r="F553" s="25">
        <v>28</v>
      </c>
      <c r="G553" s="4" t="s">
        <v>156</v>
      </c>
      <c r="H553" s="25" t="s">
        <v>156</v>
      </c>
      <c r="I553" s="4" t="s">
        <v>46</v>
      </c>
      <c r="J553" s="25" t="s">
        <v>46</v>
      </c>
      <c r="K553" s="4">
        <v>1</v>
      </c>
      <c r="L553" s="25">
        <v>1</v>
      </c>
      <c r="M553" s="4" t="s">
        <v>51</v>
      </c>
      <c r="N553" s="25" t="s">
        <v>2119</v>
      </c>
      <c r="O553" s="4">
        <v>0</v>
      </c>
      <c r="P553" s="25">
        <v>0</v>
      </c>
      <c r="Q553" s="4" t="s">
        <v>23</v>
      </c>
      <c r="R553" s="25" t="s">
        <v>23</v>
      </c>
      <c r="S553" s="4">
        <v>0.7</v>
      </c>
      <c r="T553" s="26">
        <v>0.7</v>
      </c>
    </row>
    <row r="554" spans="1:20" x14ac:dyDescent="0.3">
      <c r="A554" s="27" t="s">
        <v>1208</v>
      </c>
      <c r="B554" s="4" t="s">
        <v>1209</v>
      </c>
      <c r="C554" s="4" t="s">
        <v>45</v>
      </c>
      <c r="D554" s="25" t="s">
        <v>97</v>
      </c>
      <c r="E554" s="4">
        <v>40</v>
      </c>
      <c r="F554" s="25">
        <v>40</v>
      </c>
      <c r="G554" s="4" t="s">
        <v>29</v>
      </c>
      <c r="H554" s="25" t="s">
        <v>29</v>
      </c>
      <c r="I554" s="4" t="s">
        <v>110</v>
      </c>
      <c r="J554" s="25" t="s">
        <v>110</v>
      </c>
      <c r="K554" s="4">
        <v>0</v>
      </c>
      <c r="L554" s="25">
        <v>0</v>
      </c>
      <c r="M554" s="4" t="s">
        <v>251</v>
      </c>
      <c r="N554" s="25" t="s">
        <v>251</v>
      </c>
      <c r="O554" s="4">
        <v>1.2</v>
      </c>
      <c r="P554" s="25">
        <v>1.2</v>
      </c>
      <c r="Q554" s="4" t="s">
        <v>51</v>
      </c>
      <c r="R554" s="25" t="s">
        <v>2120</v>
      </c>
      <c r="S554" s="4">
        <v>0.87</v>
      </c>
      <c r="T554" s="26">
        <v>0.87</v>
      </c>
    </row>
    <row r="555" spans="1:20" x14ac:dyDescent="0.3">
      <c r="A555" s="27" t="s">
        <v>1210</v>
      </c>
      <c r="B555" s="4" t="s">
        <v>1211</v>
      </c>
      <c r="C555" s="4" t="s">
        <v>113</v>
      </c>
      <c r="D555" s="25" t="s">
        <v>118</v>
      </c>
      <c r="E555" s="4">
        <v>57</v>
      </c>
      <c r="F555" s="25">
        <v>57</v>
      </c>
      <c r="G555" s="4" t="s">
        <v>19</v>
      </c>
      <c r="H555" s="25" t="s">
        <v>19</v>
      </c>
      <c r="I555" s="4" t="s">
        <v>21</v>
      </c>
      <c r="J555" s="25" t="s">
        <v>21</v>
      </c>
      <c r="K555" s="4">
        <v>7</v>
      </c>
      <c r="L555" s="25">
        <v>7</v>
      </c>
      <c r="M555" s="4" t="s">
        <v>52</v>
      </c>
      <c r="N555" s="25" t="s">
        <v>52</v>
      </c>
      <c r="O555" s="4">
        <v>1.6</v>
      </c>
      <c r="P555" s="25">
        <v>1.6</v>
      </c>
      <c r="Q555" s="4" t="s">
        <v>181</v>
      </c>
      <c r="R555" s="25" t="s">
        <v>181</v>
      </c>
      <c r="T555" s="26" t="s">
        <v>2120</v>
      </c>
    </row>
    <row r="556" spans="1:20" x14ac:dyDescent="0.3">
      <c r="A556" s="27" t="s">
        <v>1212</v>
      </c>
      <c r="B556" s="4" t="s">
        <v>1213</v>
      </c>
      <c r="C556" s="4" t="s">
        <v>78</v>
      </c>
      <c r="D556" s="25" t="s">
        <v>118</v>
      </c>
      <c r="E556" s="4">
        <v>47</v>
      </c>
      <c r="F556" s="25">
        <v>47</v>
      </c>
      <c r="G556" s="4" t="s">
        <v>79</v>
      </c>
      <c r="H556" s="25" t="s">
        <v>79</v>
      </c>
      <c r="I556" s="4" t="s">
        <v>110</v>
      </c>
      <c r="J556" s="25" t="s">
        <v>110</v>
      </c>
      <c r="K556" s="4">
        <v>1</v>
      </c>
      <c r="L556" s="25">
        <v>1</v>
      </c>
      <c r="M556" s="4" t="s">
        <v>40</v>
      </c>
      <c r="N556" s="25" t="s">
        <v>40</v>
      </c>
      <c r="O556" s="4">
        <v>3.9</v>
      </c>
      <c r="P556" s="25">
        <v>3.9</v>
      </c>
      <c r="Q556" s="4" t="s">
        <v>94</v>
      </c>
      <c r="R556" s="25" t="s">
        <v>94</v>
      </c>
      <c r="S556" s="4">
        <v>0.88</v>
      </c>
      <c r="T556" s="26">
        <v>0.88</v>
      </c>
    </row>
    <row r="557" spans="1:20" x14ac:dyDescent="0.3">
      <c r="A557" s="27" t="s">
        <v>1214</v>
      </c>
      <c r="B557" s="4" t="s">
        <v>1215</v>
      </c>
      <c r="C557" s="4" t="s">
        <v>37</v>
      </c>
      <c r="D557" s="25" t="s">
        <v>118</v>
      </c>
      <c r="E557" s="4">
        <v>48</v>
      </c>
      <c r="F557" s="25">
        <v>48</v>
      </c>
      <c r="G557" s="4" t="s">
        <v>133</v>
      </c>
      <c r="H557" s="25" t="s">
        <v>133</v>
      </c>
      <c r="I557" s="4" t="s">
        <v>98</v>
      </c>
      <c r="J557" s="25" t="s">
        <v>98</v>
      </c>
      <c r="K557" s="4">
        <v>21</v>
      </c>
      <c r="L557" s="25">
        <v>21</v>
      </c>
      <c r="M557" s="4" t="s">
        <v>86</v>
      </c>
      <c r="N557" s="25" t="s">
        <v>86</v>
      </c>
      <c r="O557" s="4">
        <v>0</v>
      </c>
      <c r="P557" s="25">
        <v>0</v>
      </c>
      <c r="Q557" s="4" t="s">
        <v>33</v>
      </c>
      <c r="R557" s="25" t="s">
        <v>33</v>
      </c>
      <c r="T557" s="26" t="s">
        <v>2120</v>
      </c>
    </row>
    <row r="558" spans="1:20" x14ac:dyDescent="0.3">
      <c r="A558" s="27" t="s">
        <v>1216</v>
      </c>
      <c r="B558" s="4" t="s">
        <v>1217</v>
      </c>
      <c r="C558" s="4" t="s">
        <v>118</v>
      </c>
      <c r="D558" s="25" t="s">
        <v>118</v>
      </c>
      <c r="E558" s="4">
        <v>28</v>
      </c>
      <c r="F558" s="25">
        <v>28</v>
      </c>
      <c r="G558" s="4" t="s">
        <v>73</v>
      </c>
      <c r="H558" s="25" t="s">
        <v>73</v>
      </c>
      <c r="I558" s="4" t="s">
        <v>93</v>
      </c>
      <c r="J558" s="25" t="s">
        <v>93</v>
      </c>
      <c r="K558" s="4">
        <v>1</v>
      </c>
      <c r="L558" s="25">
        <v>1</v>
      </c>
      <c r="M558" s="4" t="s">
        <v>336</v>
      </c>
      <c r="N558" s="25" t="s">
        <v>336</v>
      </c>
      <c r="O558" s="4">
        <v>4.7</v>
      </c>
      <c r="P558" s="25">
        <v>4.7</v>
      </c>
      <c r="Q558" s="4" t="s">
        <v>59</v>
      </c>
      <c r="R558" s="25" t="s">
        <v>59</v>
      </c>
      <c r="S558" s="4">
        <v>0.93</v>
      </c>
      <c r="T558" s="26">
        <v>0.93</v>
      </c>
    </row>
    <row r="559" spans="1:20" x14ac:dyDescent="0.3">
      <c r="A559" s="27" t="s">
        <v>1218</v>
      </c>
      <c r="B559" s="4" t="s">
        <v>1219</v>
      </c>
      <c r="C559" s="4" t="s">
        <v>113</v>
      </c>
      <c r="D559" s="25" t="s">
        <v>118</v>
      </c>
      <c r="E559" s="4">
        <v>41</v>
      </c>
      <c r="F559" s="25">
        <v>41</v>
      </c>
      <c r="G559" s="4" t="s">
        <v>79</v>
      </c>
      <c r="H559" s="25" t="s">
        <v>79</v>
      </c>
      <c r="I559" s="4" t="s">
        <v>39</v>
      </c>
      <c r="J559" s="25" t="s">
        <v>39</v>
      </c>
      <c r="K559" s="4">
        <v>15</v>
      </c>
      <c r="L559" s="25">
        <v>15</v>
      </c>
      <c r="M559" s="4" t="s">
        <v>51</v>
      </c>
      <c r="N559" s="25" t="s">
        <v>2119</v>
      </c>
      <c r="O559" s="4">
        <v>3.8</v>
      </c>
      <c r="P559" s="25">
        <v>3.8</v>
      </c>
      <c r="Q559" s="4" t="s">
        <v>33</v>
      </c>
      <c r="R559" s="25" t="s">
        <v>33</v>
      </c>
      <c r="T559" s="26" t="s">
        <v>2120</v>
      </c>
    </row>
    <row r="560" spans="1:20" x14ac:dyDescent="0.3">
      <c r="A560" s="27" t="s">
        <v>1220</v>
      </c>
      <c r="B560" s="4" t="s">
        <v>1221</v>
      </c>
      <c r="C560" s="4" t="s">
        <v>18</v>
      </c>
      <c r="D560" s="25" t="s">
        <v>97</v>
      </c>
      <c r="E560" s="4">
        <v>57</v>
      </c>
      <c r="F560" s="25">
        <v>57</v>
      </c>
      <c r="G560" s="4" t="s">
        <v>175</v>
      </c>
      <c r="H560" s="25" t="s">
        <v>175</v>
      </c>
      <c r="I560" s="4" t="s">
        <v>98</v>
      </c>
      <c r="J560" s="25" t="s">
        <v>98</v>
      </c>
      <c r="K560" s="4">
        <v>33</v>
      </c>
      <c r="L560" s="25">
        <v>33</v>
      </c>
      <c r="M560" s="4" t="s">
        <v>22</v>
      </c>
      <c r="N560" s="25" t="s">
        <v>22</v>
      </c>
      <c r="O560" s="4">
        <v>3.5</v>
      </c>
      <c r="P560" s="25">
        <v>3.5</v>
      </c>
      <c r="Q560" s="4" t="s">
        <v>181</v>
      </c>
      <c r="R560" s="25" t="s">
        <v>181</v>
      </c>
      <c r="S560" s="4">
        <v>0.74</v>
      </c>
      <c r="T560" s="26">
        <v>0.74</v>
      </c>
    </row>
    <row r="561" spans="1:20" x14ac:dyDescent="0.3">
      <c r="A561" s="27" t="s">
        <v>1222</v>
      </c>
      <c r="B561" s="4" t="s">
        <v>1223</v>
      </c>
      <c r="C561" s="4" t="s">
        <v>37</v>
      </c>
      <c r="D561" s="25" t="s">
        <v>118</v>
      </c>
      <c r="E561" s="4">
        <v>60</v>
      </c>
      <c r="F561" s="25">
        <v>60</v>
      </c>
      <c r="G561" s="4" t="s">
        <v>91</v>
      </c>
      <c r="H561" s="25" t="s">
        <v>91</v>
      </c>
      <c r="I561" s="4" t="s">
        <v>39</v>
      </c>
      <c r="J561" s="25" t="s">
        <v>39</v>
      </c>
      <c r="K561" s="4">
        <v>39</v>
      </c>
      <c r="L561" s="25">
        <v>39</v>
      </c>
      <c r="M561" s="4" t="s">
        <v>67</v>
      </c>
      <c r="N561" s="25" t="s">
        <v>67</v>
      </c>
      <c r="O561" s="4">
        <v>4</v>
      </c>
      <c r="P561" s="25">
        <v>4</v>
      </c>
      <c r="Q561" s="4" t="s">
        <v>51</v>
      </c>
      <c r="R561" s="25" t="s">
        <v>2120</v>
      </c>
      <c r="S561" s="4">
        <v>0.7</v>
      </c>
      <c r="T561" s="26">
        <v>0.7</v>
      </c>
    </row>
    <row r="562" spans="1:20" x14ac:dyDescent="0.3">
      <c r="A562" s="27" t="s">
        <v>1224</v>
      </c>
      <c r="B562" s="4" t="s">
        <v>1225</v>
      </c>
      <c r="C562" s="4" t="s">
        <v>50</v>
      </c>
      <c r="D562" s="25" t="s">
        <v>97</v>
      </c>
      <c r="E562" s="4">
        <v>48</v>
      </c>
      <c r="F562" s="25">
        <v>48</v>
      </c>
      <c r="G562" s="4" t="s">
        <v>160</v>
      </c>
      <c r="H562" s="25" t="s">
        <v>160</v>
      </c>
      <c r="I562" s="4" t="s">
        <v>39</v>
      </c>
      <c r="J562" s="25" t="s">
        <v>39</v>
      </c>
      <c r="K562" s="4">
        <v>21</v>
      </c>
      <c r="L562" s="25">
        <v>21</v>
      </c>
      <c r="M562" s="4" t="s">
        <v>52</v>
      </c>
      <c r="N562" s="25" t="s">
        <v>52</v>
      </c>
      <c r="O562" s="4">
        <v>1.6</v>
      </c>
      <c r="P562" s="25">
        <v>1.6</v>
      </c>
      <c r="Q562" s="4" t="s">
        <v>94</v>
      </c>
      <c r="R562" s="25" t="s">
        <v>94</v>
      </c>
      <c r="S562" s="4">
        <v>0.67</v>
      </c>
      <c r="T562" s="26">
        <v>0.67</v>
      </c>
    </row>
    <row r="563" spans="1:20" x14ac:dyDescent="0.3">
      <c r="A563" s="27" t="s">
        <v>1226</v>
      </c>
      <c r="B563" s="4" t="s">
        <v>1227</v>
      </c>
      <c r="C563" s="4" t="s">
        <v>97</v>
      </c>
      <c r="D563" s="25" t="s">
        <v>97</v>
      </c>
      <c r="E563" s="4">
        <v>24</v>
      </c>
      <c r="F563" s="25">
        <v>24</v>
      </c>
      <c r="G563" s="4" t="s">
        <v>156</v>
      </c>
      <c r="H563" s="25" t="s">
        <v>156</v>
      </c>
      <c r="I563" s="4" t="s">
        <v>98</v>
      </c>
      <c r="J563" s="25" t="s">
        <v>98</v>
      </c>
      <c r="K563" s="4">
        <v>5</v>
      </c>
      <c r="L563" s="25">
        <v>5</v>
      </c>
      <c r="M563" s="4" t="s">
        <v>86</v>
      </c>
      <c r="N563" s="25" t="s">
        <v>86</v>
      </c>
      <c r="O563" s="4">
        <v>3</v>
      </c>
      <c r="P563" s="25">
        <v>3</v>
      </c>
      <c r="Q563" s="4" t="s">
        <v>181</v>
      </c>
      <c r="R563" s="25" t="s">
        <v>181</v>
      </c>
      <c r="S563" s="4">
        <v>0.86</v>
      </c>
      <c r="T563" s="26">
        <v>0.86</v>
      </c>
    </row>
    <row r="564" spans="1:20" x14ac:dyDescent="0.3">
      <c r="A564" s="27" t="s">
        <v>1228</v>
      </c>
      <c r="B564" s="4" t="s">
        <v>1229</v>
      </c>
      <c r="C564" s="4" t="s">
        <v>28</v>
      </c>
      <c r="D564" s="25" t="s">
        <v>97</v>
      </c>
      <c r="E564" s="4">
        <v>33</v>
      </c>
      <c r="F564" s="25">
        <v>33</v>
      </c>
      <c r="G564" s="4" t="s">
        <v>201</v>
      </c>
      <c r="H564" s="25" t="s">
        <v>201</v>
      </c>
      <c r="I564" s="4" t="s">
        <v>110</v>
      </c>
      <c r="J564" s="25" t="s">
        <v>110</v>
      </c>
      <c r="K564" s="4">
        <v>11</v>
      </c>
      <c r="L564" s="25">
        <v>11</v>
      </c>
      <c r="M564" s="4" t="s">
        <v>40</v>
      </c>
      <c r="N564" s="25" t="s">
        <v>40</v>
      </c>
      <c r="O564" s="4">
        <v>5</v>
      </c>
      <c r="P564" s="25">
        <v>5</v>
      </c>
      <c r="Q564" s="4" t="s">
        <v>87</v>
      </c>
      <c r="R564" s="25" t="s">
        <v>87</v>
      </c>
      <c r="S564" s="4">
        <v>0.69</v>
      </c>
      <c r="T564" s="26">
        <v>0.69</v>
      </c>
    </row>
    <row r="565" spans="1:20" x14ac:dyDescent="0.3">
      <c r="A565" s="27" t="s">
        <v>1230</v>
      </c>
      <c r="B565" s="4" t="s">
        <v>1231</v>
      </c>
      <c r="C565" s="4" t="s">
        <v>28</v>
      </c>
      <c r="D565" s="25" t="s">
        <v>97</v>
      </c>
      <c r="E565" s="4">
        <v>20</v>
      </c>
      <c r="F565" s="25">
        <v>20</v>
      </c>
      <c r="G565" s="4" t="s">
        <v>79</v>
      </c>
      <c r="H565" s="25" t="s">
        <v>79</v>
      </c>
      <c r="I565" s="4" t="s">
        <v>39</v>
      </c>
      <c r="J565" s="25" t="s">
        <v>39</v>
      </c>
      <c r="K565" s="4">
        <v>0</v>
      </c>
      <c r="L565" s="25">
        <v>0</v>
      </c>
      <c r="M565" s="4" t="s">
        <v>52</v>
      </c>
      <c r="N565" s="25" t="s">
        <v>52</v>
      </c>
      <c r="O565" s="4">
        <v>4.8</v>
      </c>
      <c r="P565" s="25">
        <v>4.8</v>
      </c>
      <c r="Q565" s="4" t="s">
        <v>87</v>
      </c>
      <c r="R565" s="25" t="s">
        <v>87</v>
      </c>
      <c r="S565" s="4">
        <v>0.68</v>
      </c>
      <c r="T565" s="26">
        <v>0.68</v>
      </c>
    </row>
    <row r="566" spans="1:20" x14ac:dyDescent="0.3">
      <c r="A566" s="27" t="s">
        <v>1232</v>
      </c>
      <c r="B566" s="4" t="s">
        <v>1233</v>
      </c>
      <c r="C566" s="4" t="s">
        <v>78</v>
      </c>
      <c r="D566" s="25" t="s">
        <v>118</v>
      </c>
      <c r="E566" s="4">
        <v>59</v>
      </c>
      <c r="F566" s="25">
        <v>59</v>
      </c>
      <c r="G566" s="4" t="s">
        <v>85</v>
      </c>
      <c r="H566" s="25" t="s">
        <v>85</v>
      </c>
      <c r="I566" s="4" t="s">
        <v>110</v>
      </c>
      <c r="J566" s="25" t="s">
        <v>110</v>
      </c>
      <c r="K566" s="4">
        <v>15</v>
      </c>
      <c r="L566" s="25">
        <v>15</v>
      </c>
      <c r="M566" s="4" t="s">
        <v>81</v>
      </c>
      <c r="N566" s="25" t="s">
        <v>81</v>
      </c>
      <c r="P566" s="25" t="s">
        <v>2120</v>
      </c>
      <c r="Q566" s="4" t="s">
        <v>181</v>
      </c>
      <c r="R566" s="25" t="s">
        <v>181</v>
      </c>
      <c r="T566" s="26" t="s">
        <v>2120</v>
      </c>
    </row>
    <row r="567" spans="1:20" x14ac:dyDescent="0.3">
      <c r="A567" s="27" t="s">
        <v>1234</v>
      </c>
      <c r="B567" s="4" t="s">
        <v>1235</v>
      </c>
      <c r="C567" s="4" t="s">
        <v>50</v>
      </c>
      <c r="D567" s="25" t="s">
        <v>97</v>
      </c>
      <c r="E567" s="4">
        <v>42</v>
      </c>
      <c r="F567" s="25">
        <v>42</v>
      </c>
      <c r="G567" s="4" t="s">
        <v>197</v>
      </c>
      <c r="H567" s="25" t="s">
        <v>197</v>
      </c>
      <c r="I567" s="4" t="s">
        <v>110</v>
      </c>
      <c r="J567" s="25" t="s">
        <v>110</v>
      </c>
      <c r="K567" s="4">
        <v>22</v>
      </c>
      <c r="L567" s="25">
        <v>22</v>
      </c>
      <c r="M567" s="4" t="s">
        <v>51</v>
      </c>
      <c r="N567" s="25" t="s">
        <v>2119</v>
      </c>
      <c r="O567" s="4">
        <v>2.9</v>
      </c>
      <c r="P567" s="25">
        <v>2.9</v>
      </c>
      <c r="Q567" s="4" t="s">
        <v>23</v>
      </c>
      <c r="R567" s="25" t="s">
        <v>23</v>
      </c>
      <c r="S567" s="4">
        <v>0.61</v>
      </c>
      <c r="T567" s="26">
        <v>0.61</v>
      </c>
    </row>
    <row r="568" spans="1:20" x14ac:dyDescent="0.3">
      <c r="A568" s="27" t="s">
        <v>1236</v>
      </c>
      <c r="B568" s="4" t="s">
        <v>1237</v>
      </c>
      <c r="C568" s="4" t="s">
        <v>28</v>
      </c>
      <c r="D568" s="25" t="s">
        <v>97</v>
      </c>
      <c r="E568" s="4">
        <v>22</v>
      </c>
      <c r="F568" s="25">
        <v>22</v>
      </c>
      <c r="G568" s="4" t="s">
        <v>79</v>
      </c>
      <c r="H568" s="25" t="s">
        <v>79</v>
      </c>
      <c r="I568" s="4" t="s">
        <v>93</v>
      </c>
      <c r="J568" s="25" t="s">
        <v>93</v>
      </c>
      <c r="K568" s="4">
        <v>3</v>
      </c>
      <c r="L568" s="25">
        <v>3</v>
      </c>
      <c r="M568" s="4" t="s">
        <v>51</v>
      </c>
      <c r="N568" s="25" t="s">
        <v>2119</v>
      </c>
      <c r="O568" s="4">
        <v>3</v>
      </c>
      <c r="P568" s="25">
        <v>3</v>
      </c>
      <c r="Q568" s="4" t="s">
        <v>74</v>
      </c>
      <c r="R568" s="25" t="s">
        <v>74</v>
      </c>
      <c r="S568" s="4">
        <v>0.96</v>
      </c>
      <c r="T568" s="26">
        <v>0.96</v>
      </c>
    </row>
    <row r="569" spans="1:20" x14ac:dyDescent="0.3">
      <c r="A569" s="27" t="s">
        <v>1238</v>
      </c>
      <c r="B569" s="4" t="s">
        <v>1239</v>
      </c>
      <c r="C569" s="4" t="s">
        <v>113</v>
      </c>
      <c r="D569" s="25" t="s">
        <v>118</v>
      </c>
      <c r="E569" s="4">
        <v>41</v>
      </c>
      <c r="F569" s="25">
        <v>41</v>
      </c>
      <c r="G569" s="4" t="s">
        <v>149</v>
      </c>
      <c r="H569" s="25" t="s">
        <v>149</v>
      </c>
      <c r="I569" s="4" t="s">
        <v>98</v>
      </c>
      <c r="J569" s="25" t="s">
        <v>98</v>
      </c>
      <c r="K569" s="4">
        <v>11</v>
      </c>
      <c r="L569" s="25">
        <v>11</v>
      </c>
      <c r="M569" s="4" t="s">
        <v>40</v>
      </c>
      <c r="N569" s="25" t="s">
        <v>40</v>
      </c>
      <c r="O569" s="4">
        <v>3.5</v>
      </c>
      <c r="P569" s="25">
        <v>3.5</v>
      </c>
      <c r="Q569" s="4" t="s">
        <v>33</v>
      </c>
      <c r="R569" s="25" t="s">
        <v>33</v>
      </c>
      <c r="S569" s="4">
        <v>0.68</v>
      </c>
      <c r="T569" s="26">
        <v>0.68</v>
      </c>
    </row>
    <row r="570" spans="1:20" x14ac:dyDescent="0.3">
      <c r="A570" s="27" t="s">
        <v>1240</v>
      </c>
      <c r="B570" s="4" t="s">
        <v>1241</v>
      </c>
      <c r="C570" s="4" t="s">
        <v>97</v>
      </c>
      <c r="D570" s="25" t="s">
        <v>97</v>
      </c>
      <c r="E570" s="4">
        <v>25</v>
      </c>
      <c r="F570" s="25">
        <v>25</v>
      </c>
      <c r="G570" s="4" t="s">
        <v>91</v>
      </c>
      <c r="H570" s="25" t="s">
        <v>91</v>
      </c>
      <c r="I570" s="4" t="s">
        <v>46</v>
      </c>
      <c r="J570" s="25" t="s">
        <v>46</v>
      </c>
      <c r="K570" s="4">
        <v>5</v>
      </c>
      <c r="L570" s="25">
        <v>5</v>
      </c>
      <c r="M570" s="4" t="s">
        <v>86</v>
      </c>
      <c r="N570" s="25" t="s">
        <v>86</v>
      </c>
      <c r="P570" s="25" t="s">
        <v>2120</v>
      </c>
      <c r="Q570" s="4" t="s">
        <v>74</v>
      </c>
      <c r="R570" s="25" t="s">
        <v>74</v>
      </c>
      <c r="S570" s="4">
        <v>0.75</v>
      </c>
      <c r="T570" s="26">
        <v>0.75</v>
      </c>
    </row>
    <row r="571" spans="1:20" x14ac:dyDescent="0.3">
      <c r="A571" s="27" t="s">
        <v>1242</v>
      </c>
      <c r="B571" s="4" t="s">
        <v>1243</v>
      </c>
      <c r="C571" s="4" t="s">
        <v>18</v>
      </c>
      <c r="D571" s="25" t="s">
        <v>97</v>
      </c>
      <c r="E571" s="4">
        <v>38</v>
      </c>
      <c r="F571" s="25">
        <v>38</v>
      </c>
      <c r="G571" s="4" t="s">
        <v>149</v>
      </c>
      <c r="H571" s="25" t="s">
        <v>149</v>
      </c>
      <c r="I571" s="4" t="s">
        <v>93</v>
      </c>
      <c r="J571" s="25" t="s">
        <v>93</v>
      </c>
      <c r="K571" s="4">
        <v>3</v>
      </c>
      <c r="L571" s="25">
        <v>3</v>
      </c>
      <c r="M571" s="4" t="s">
        <v>86</v>
      </c>
      <c r="N571" s="25" t="s">
        <v>86</v>
      </c>
      <c r="O571" s="4">
        <v>4.7</v>
      </c>
      <c r="P571" s="25">
        <v>4.7</v>
      </c>
      <c r="Q571" s="4" t="s">
        <v>23</v>
      </c>
      <c r="R571" s="25" t="s">
        <v>23</v>
      </c>
      <c r="S571" s="4">
        <v>0.69</v>
      </c>
      <c r="T571" s="26">
        <v>0.69</v>
      </c>
    </row>
    <row r="572" spans="1:20" x14ac:dyDescent="0.3">
      <c r="A572" s="27" t="s">
        <v>1244</v>
      </c>
      <c r="B572" s="4" t="s">
        <v>1245</v>
      </c>
      <c r="C572" s="4" t="s">
        <v>50</v>
      </c>
      <c r="D572" s="25" t="s">
        <v>97</v>
      </c>
      <c r="E572" s="4">
        <v>43</v>
      </c>
      <c r="F572" s="25">
        <v>43</v>
      </c>
      <c r="G572" s="4" t="s">
        <v>73</v>
      </c>
      <c r="H572" s="25" t="s">
        <v>73</v>
      </c>
      <c r="I572" s="4" t="s">
        <v>110</v>
      </c>
      <c r="J572" s="25" t="s">
        <v>110</v>
      </c>
      <c r="K572" s="4">
        <v>1</v>
      </c>
      <c r="L572" s="25">
        <v>1</v>
      </c>
      <c r="M572" s="4" t="s">
        <v>51</v>
      </c>
      <c r="N572" s="25" t="s">
        <v>2119</v>
      </c>
      <c r="O572" s="4">
        <v>2.9</v>
      </c>
      <c r="P572" s="25">
        <v>2.9</v>
      </c>
      <c r="Q572" s="4" t="s">
        <v>181</v>
      </c>
      <c r="R572" s="25" t="s">
        <v>181</v>
      </c>
      <c r="S572" s="4">
        <v>0.78</v>
      </c>
      <c r="T572" s="26">
        <v>0.78</v>
      </c>
    </row>
    <row r="573" spans="1:20" x14ac:dyDescent="0.3">
      <c r="A573" s="27" t="s">
        <v>1246</v>
      </c>
      <c r="B573" s="4" t="s">
        <v>1247</v>
      </c>
      <c r="C573" s="4" t="s">
        <v>45</v>
      </c>
      <c r="D573" s="25" t="s">
        <v>97</v>
      </c>
      <c r="E573" s="4">
        <v>54</v>
      </c>
      <c r="F573" s="25">
        <v>54</v>
      </c>
      <c r="G573" s="4" t="s">
        <v>201</v>
      </c>
      <c r="H573" s="25" t="s">
        <v>201</v>
      </c>
      <c r="I573" s="4" t="s">
        <v>57</v>
      </c>
      <c r="J573" s="25" t="s">
        <v>57</v>
      </c>
      <c r="K573" s="4">
        <v>1</v>
      </c>
      <c r="L573" s="25">
        <v>1</v>
      </c>
      <c r="M573" s="4" t="s">
        <v>103</v>
      </c>
      <c r="N573" s="25" t="s">
        <v>103</v>
      </c>
      <c r="O573" s="4">
        <v>4.4000000000000004</v>
      </c>
      <c r="P573" s="25">
        <v>4.4000000000000004</v>
      </c>
      <c r="Q573" s="4" t="s">
        <v>94</v>
      </c>
      <c r="R573" s="25" t="s">
        <v>94</v>
      </c>
      <c r="T573" s="26" t="s">
        <v>2120</v>
      </c>
    </row>
    <row r="574" spans="1:20" x14ac:dyDescent="0.3">
      <c r="A574" s="27" t="s">
        <v>1248</v>
      </c>
      <c r="B574" s="4" t="s">
        <v>1249</v>
      </c>
      <c r="C574" s="4" t="s">
        <v>45</v>
      </c>
      <c r="D574" s="25" t="s">
        <v>97</v>
      </c>
      <c r="E574" s="4">
        <v>31</v>
      </c>
      <c r="F574" s="25">
        <v>31</v>
      </c>
      <c r="G574" s="4" t="s">
        <v>64</v>
      </c>
      <c r="H574" s="25" t="s">
        <v>64</v>
      </c>
      <c r="I574" s="4" t="s">
        <v>31</v>
      </c>
      <c r="J574" s="25" t="s">
        <v>31</v>
      </c>
      <c r="K574" s="4">
        <v>2</v>
      </c>
      <c r="L574" s="25">
        <v>2</v>
      </c>
      <c r="M574" s="4" t="s">
        <v>86</v>
      </c>
      <c r="N574" s="25" t="s">
        <v>86</v>
      </c>
      <c r="O574" s="4">
        <v>2.2999999999999998</v>
      </c>
      <c r="P574" s="25">
        <v>2.2999999999999998</v>
      </c>
      <c r="Q574" s="4" t="s">
        <v>41</v>
      </c>
      <c r="R574" s="25" t="s">
        <v>41</v>
      </c>
      <c r="S574" s="4">
        <v>0.98</v>
      </c>
      <c r="T574" s="26">
        <v>0.98</v>
      </c>
    </row>
    <row r="575" spans="1:20" x14ac:dyDescent="0.3">
      <c r="A575" s="27" t="s">
        <v>1250</v>
      </c>
      <c r="B575" s="4" t="s">
        <v>1251</v>
      </c>
      <c r="C575" s="4" t="s">
        <v>18</v>
      </c>
      <c r="D575" s="25" t="s">
        <v>97</v>
      </c>
      <c r="E575" s="4">
        <v>56</v>
      </c>
      <c r="F575" s="25">
        <v>56</v>
      </c>
      <c r="G575" s="4" t="s">
        <v>201</v>
      </c>
      <c r="H575" s="25" t="s">
        <v>201</v>
      </c>
      <c r="I575" s="4" t="s">
        <v>57</v>
      </c>
      <c r="J575" s="25" t="s">
        <v>57</v>
      </c>
      <c r="K575" s="4">
        <v>3</v>
      </c>
      <c r="L575" s="25">
        <v>3</v>
      </c>
      <c r="M575" s="4" t="s">
        <v>58</v>
      </c>
      <c r="N575" s="25" t="s">
        <v>58</v>
      </c>
      <c r="O575" s="4">
        <v>3.7</v>
      </c>
      <c r="P575" s="25">
        <v>3.7</v>
      </c>
      <c r="Q575" s="4" t="s">
        <v>51</v>
      </c>
      <c r="R575" s="25" t="s">
        <v>2120</v>
      </c>
      <c r="S575" s="4">
        <v>0.83</v>
      </c>
      <c r="T575" s="26">
        <v>0.83</v>
      </c>
    </row>
    <row r="576" spans="1:20" x14ac:dyDescent="0.3">
      <c r="A576" s="27" t="s">
        <v>1252</v>
      </c>
      <c r="B576" s="4" t="s">
        <v>1253</v>
      </c>
      <c r="C576" s="4" t="s">
        <v>78</v>
      </c>
      <c r="D576" s="25" t="s">
        <v>118</v>
      </c>
      <c r="E576" s="4">
        <v>46</v>
      </c>
      <c r="F576" s="25">
        <v>46</v>
      </c>
      <c r="G576" s="4" t="s">
        <v>201</v>
      </c>
      <c r="H576" s="25" t="s">
        <v>201</v>
      </c>
      <c r="I576" s="4" t="s">
        <v>39</v>
      </c>
      <c r="J576" s="25" t="s">
        <v>39</v>
      </c>
      <c r="K576" s="4">
        <v>11</v>
      </c>
      <c r="L576" s="25">
        <v>11</v>
      </c>
      <c r="M576" s="4" t="s">
        <v>51</v>
      </c>
      <c r="N576" s="25" t="s">
        <v>2119</v>
      </c>
      <c r="O576" s="4">
        <v>1.8</v>
      </c>
      <c r="P576" s="25">
        <v>1.8</v>
      </c>
      <c r="Q576" s="4" t="s">
        <v>33</v>
      </c>
      <c r="R576" s="25" t="s">
        <v>33</v>
      </c>
      <c r="S576" s="4">
        <v>0.91</v>
      </c>
      <c r="T576" s="26">
        <v>0.91</v>
      </c>
    </row>
    <row r="577" spans="1:20" x14ac:dyDescent="0.3">
      <c r="A577" s="27" t="s">
        <v>1254</v>
      </c>
      <c r="B577" s="4" t="s">
        <v>1255</v>
      </c>
      <c r="C577" s="4" t="s">
        <v>118</v>
      </c>
      <c r="D577" s="25" t="s">
        <v>118</v>
      </c>
      <c r="E577" s="4">
        <v>60</v>
      </c>
      <c r="F577" s="25">
        <v>60</v>
      </c>
      <c r="G577" s="4" t="s">
        <v>160</v>
      </c>
      <c r="H577" s="25" t="s">
        <v>160</v>
      </c>
      <c r="I577" s="4" t="s">
        <v>57</v>
      </c>
      <c r="J577" s="25" t="s">
        <v>57</v>
      </c>
      <c r="L577" s="25" t="s">
        <v>2120</v>
      </c>
      <c r="M577" s="4" t="s">
        <v>22</v>
      </c>
      <c r="N577" s="25" t="s">
        <v>22</v>
      </c>
      <c r="O577" s="4">
        <v>0</v>
      </c>
      <c r="P577" s="25">
        <v>0</v>
      </c>
      <c r="Q577" s="4" t="s">
        <v>33</v>
      </c>
      <c r="R577" s="25" t="s">
        <v>33</v>
      </c>
      <c r="S577" s="4">
        <v>0.96</v>
      </c>
      <c r="T577" s="26">
        <v>0.96</v>
      </c>
    </row>
    <row r="578" spans="1:20" x14ac:dyDescent="0.3">
      <c r="A578" s="27" t="s">
        <v>1256</v>
      </c>
      <c r="B578" s="4" t="s">
        <v>1257</v>
      </c>
      <c r="C578" s="4" t="s">
        <v>45</v>
      </c>
      <c r="D578" s="25" t="s">
        <v>97</v>
      </c>
      <c r="E578" s="4">
        <v>28</v>
      </c>
      <c r="F578" s="25">
        <v>28</v>
      </c>
      <c r="G578" s="4" t="s">
        <v>133</v>
      </c>
      <c r="H578" s="25" t="s">
        <v>133</v>
      </c>
      <c r="I578" s="4" t="s">
        <v>39</v>
      </c>
      <c r="J578" s="25" t="s">
        <v>39</v>
      </c>
      <c r="K578" s="4">
        <v>2</v>
      </c>
      <c r="L578" s="25">
        <v>2</v>
      </c>
      <c r="M578" s="4" t="s">
        <v>119</v>
      </c>
      <c r="N578" s="25" t="s">
        <v>119</v>
      </c>
      <c r="P578" s="25" t="s">
        <v>2120</v>
      </c>
      <c r="Q578" s="4" t="s">
        <v>33</v>
      </c>
      <c r="R578" s="25" t="s">
        <v>33</v>
      </c>
      <c r="S578" s="4">
        <v>0.85</v>
      </c>
      <c r="T578" s="26">
        <v>0.85</v>
      </c>
    </row>
    <row r="579" spans="1:20" x14ac:dyDescent="0.3">
      <c r="A579" s="27" t="s">
        <v>1258</v>
      </c>
      <c r="B579" s="4" t="s">
        <v>1259</v>
      </c>
      <c r="C579" s="4" t="s">
        <v>45</v>
      </c>
      <c r="D579" s="25" t="s">
        <v>97</v>
      </c>
      <c r="E579" s="4">
        <v>43</v>
      </c>
      <c r="F579" s="25">
        <v>43</v>
      </c>
      <c r="G579" s="4" t="s">
        <v>64</v>
      </c>
      <c r="H579" s="25" t="s">
        <v>64</v>
      </c>
      <c r="I579" s="4" t="s">
        <v>46</v>
      </c>
      <c r="J579" s="25" t="s">
        <v>46</v>
      </c>
      <c r="K579" s="4">
        <v>20</v>
      </c>
      <c r="L579" s="25">
        <v>20</v>
      </c>
      <c r="M579" s="4" t="s">
        <v>130</v>
      </c>
      <c r="N579" s="25" t="s">
        <v>130</v>
      </c>
      <c r="O579" s="4">
        <v>2.7</v>
      </c>
      <c r="P579" s="25">
        <v>2.7</v>
      </c>
      <c r="Q579" s="4" t="s">
        <v>59</v>
      </c>
      <c r="R579" s="25" t="s">
        <v>59</v>
      </c>
      <c r="S579" s="4">
        <v>0.72</v>
      </c>
      <c r="T579" s="26">
        <v>0.72</v>
      </c>
    </row>
    <row r="580" spans="1:20" x14ac:dyDescent="0.3">
      <c r="A580" s="27" t="s">
        <v>1260</v>
      </c>
      <c r="B580" s="4" t="s">
        <v>1261</v>
      </c>
      <c r="C580" s="4" t="s">
        <v>78</v>
      </c>
      <c r="D580" s="25" t="s">
        <v>118</v>
      </c>
      <c r="E580" s="4">
        <v>41</v>
      </c>
      <c r="F580" s="25">
        <v>41</v>
      </c>
      <c r="G580" s="4" t="s">
        <v>156</v>
      </c>
      <c r="H580" s="25" t="s">
        <v>156</v>
      </c>
      <c r="I580" s="4" t="s">
        <v>46</v>
      </c>
      <c r="J580" s="25" t="s">
        <v>46</v>
      </c>
      <c r="K580" s="4">
        <v>11</v>
      </c>
      <c r="L580" s="25">
        <v>11</v>
      </c>
      <c r="M580" s="4" t="s">
        <v>142</v>
      </c>
      <c r="N580" s="25" t="s">
        <v>142</v>
      </c>
      <c r="O580" s="4">
        <v>4.7</v>
      </c>
      <c r="P580" s="25">
        <v>4.7</v>
      </c>
      <c r="Q580" s="4" t="s">
        <v>51</v>
      </c>
      <c r="R580" s="25" t="s">
        <v>2120</v>
      </c>
      <c r="S580" s="4">
        <v>0.69</v>
      </c>
      <c r="T580" s="26">
        <v>0.69</v>
      </c>
    </row>
    <row r="581" spans="1:20" x14ac:dyDescent="0.3">
      <c r="A581" s="27" t="s">
        <v>1262</v>
      </c>
      <c r="B581" s="4" t="s">
        <v>1263</v>
      </c>
      <c r="C581" s="4" t="s">
        <v>37</v>
      </c>
      <c r="D581" s="25" t="s">
        <v>118</v>
      </c>
      <c r="E581" s="4">
        <v>41</v>
      </c>
      <c r="F581" s="25">
        <v>41</v>
      </c>
      <c r="G581" s="4" t="s">
        <v>85</v>
      </c>
      <c r="H581" s="25" t="s">
        <v>85</v>
      </c>
      <c r="I581" s="4" t="s">
        <v>110</v>
      </c>
      <c r="J581" s="25" t="s">
        <v>110</v>
      </c>
      <c r="K581" s="4">
        <v>0</v>
      </c>
      <c r="L581" s="25">
        <v>0</v>
      </c>
      <c r="M581" s="4" t="s">
        <v>142</v>
      </c>
      <c r="N581" s="25" t="s">
        <v>142</v>
      </c>
      <c r="O581" s="4">
        <v>3.1</v>
      </c>
      <c r="P581" s="25">
        <v>3.1</v>
      </c>
      <c r="Q581" s="4" t="s">
        <v>23</v>
      </c>
      <c r="R581" s="25" t="s">
        <v>23</v>
      </c>
      <c r="S581" s="4">
        <v>90</v>
      </c>
      <c r="T581" s="26">
        <v>90</v>
      </c>
    </row>
    <row r="582" spans="1:20" x14ac:dyDescent="0.3">
      <c r="A582" s="27" t="s">
        <v>1264</v>
      </c>
      <c r="B582" s="4" t="s">
        <v>1265</v>
      </c>
      <c r="C582" s="4" t="s">
        <v>45</v>
      </c>
      <c r="D582" s="25" t="s">
        <v>97</v>
      </c>
      <c r="E582" s="4">
        <v>40</v>
      </c>
      <c r="F582" s="25">
        <v>40</v>
      </c>
      <c r="G582" s="4" t="s">
        <v>85</v>
      </c>
      <c r="H582" s="25" t="s">
        <v>85</v>
      </c>
      <c r="I582" s="4" t="s">
        <v>31</v>
      </c>
      <c r="J582" s="25" t="s">
        <v>31</v>
      </c>
      <c r="K582" s="4">
        <v>20</v>
      </c>
      <c r="L582" s="25">
        <v>20</v>
      </c>
      <c r="M582" s="4" t="s">
        <v>162</v>
      </c>
      <c r="N582" s="25" t="s">
        <v>162</v>
      </c>
      <c r="O582" s="4">
        <v>2.2999999999999998</v>
      </c>
      <c r="P582" s="25">
        <v>2.2999999999999998</v>
      </c>
      <c r="Q582" s="4" t="s">
        <v>23</v>
      </c>
      <c r="R582" s="25" t="s">
        <v>23</v>
      </c>
      <c r="S582" s="4">
        <v>0.92</v>
      </c>
      <c r="T582" s="26">
        <v>0.92</v>
      </c>
    </row>
    <row r="583" spans="1:20" x14ac:dyDescent="0.3">
      <c r="A583" s="27" t="s">
        <v>1266</v>
      </c>
      <c r="B583" s="4" t="s">
        <v>1267</v>
      </c>
      <c r="C583" s="4" t="s">
        <v>118</v>
      </c>
      <c r="D583" s="25" t="s">
        <v>118</v>
      </c>
      <c r="E583" s="4">
        <v>45</v>
      </c>
      <c r="F583" s="25">
        <v>45</v>
      </c>
      <c r="G583" s="4" t="s">
        <v>38</v>
      </c>
      <c r="H583" s="25" t="s">
        <v>38</v>
      </c>
      <c r="I583" s="4" t="s">
        <v>110</v>
      </c>
      <c r="J583" s="25" t="s">
        <v>110</v>
      </c>
      <c r="K583" s="4">
        <v>3</v>
      </c>
      <c r="L583" s="25">
        <v>3</v>
      </c>
      <c r="M583" s="4" t="s">
        <v>336</v>
      </c>
      <c r="N583" s="25" t="s">
        <v>336</v>
      </c>
      <c r="O583" s="4">
        <v>1.3</v>
      </c>
      <c r="P583" s="25">
        <v>1.3</v>
      </c>
      <c r="Q583" s="4" t="s">
        <v>94</v>
      </c>
      <c r="R583" s="25" t="s">
        <v>94</v>
      </c>
      <c r="S583" s="4">
        <v>0.91</v>
      </c>
      <c r="T583" s="26">
        <v>0.91</v>
      </c>
    </row>
    <row r="584" spans="1:20" x14ac:dyDescent="0.3">
      <c r="A584" s="27" t="s">
        <v>1268</v>
      </c>
      <c r="B584" s="4" t="s">
        <v>1269</v>
      </c>
      <c r="C584" s="4" t="s">
        <v>78</v>
      </c>
      <c r="D584" s="25" t="s">
        <v>118</v>
      </c>
      <c r="E584" s="4">
        <v>47</v>
      </c>
      <c r="F584" s="25">
        <v>47</v>
      </c>
      <c r="G584" s="4" t="s">
        <v>160</v>
      </c>
      <c r="H584" s="25" t="s">
        <v>160</v>
      </c>
      <c r="I584" s="4" t="s">
        <v>110</v>
      </c>
      <c r="J584" s="25" t="s">
        <v>110</v>
      </c>
      <c r="K584" s="4">
        <v>28</v>
      </c>
      <c r="L584" s="25">
        <v>28</v>
      </c>
      <c r="M584" s="4" t="s">
        <v>119</v>
      </c>
      <c r="N584" s="25" t="s">
        <v>119</v>
      </c>
      <c r="O584" s="4">
        <v>2.9</v>
      </c>
      <c r="P584" s="25">
        <v>2.9</v>
      </c>
      <c r="Q584" s="4" t="s">
        <v>74</v>
      </c>
      <c r="R584" s="25" t="s">
        <v>74</v>
      </c>
      <c r="T584" s="26" t="s">
        <v>2120</v>
      </c>
    </row>
    <row r="585" spans="1:20" x14ac:dyDescent="0.3">
      <c r="A585" s="27" t="s">
        <v>1270</v>
      </c>
      <c r="B585" s="4" t="s">
        <v>1271</v>
      </c>
      <c r="C585" s="4" t="s">
        <v>63</v>
      </c>
      <c r="D585" s="25" t="s">
        <v>118</v>
      </c>
      <c r="E585" s="4">
        <v>34</v>
      </c>
      <c r="F585" s="25">
        <v>34</v>
      </c>
      <c r="G585" s="4" t="s">
        <v>114</v>
      </c>
      <c r="H585" s="25" t="s">
        <v>114</v>
      </c>
      <c r="I585" s="4" t="s">
        <v>66</v>
      </c>
      <c r="J585" s="25" t="s">
        <v>66</v>
      </c>
      <c r="K585" s="4">
        <v>0</v>
      </c>
      <c r="L585" s="25">
        <v>0</v>
      </c>
      <c r="M585" s="4" t="s">
        <v>86</v>
      </c>
      <c r="N585" s="25" t="s">
        <v>86</v>
      </c>
      <c r="O585" s="4">
        <v>3.3</v>
      </c>
      <c r="P585" s="25">
        <v>3.3</v>
      </c>
      <c r="Q585" s="4" t="s">
        <v>23</v>
      </c>
      <c r="R585" s="25" t="s">
        <v>23</v>
      </c>
      <c r="S585" s="4">
        <v>0.98</v>
      </c>
      <c r="T585" s="26">
        <v>0.98</v>
      </c>
    </row>
    <row r="586" spans="1:20" x14ac:dyDescent="0.3">
      <c r="A586" s="27" t="s">
        <v>1272</v>
      </c>
      <c r="B586" s="4" t="s">
        <v>1273</v>
      </c>
      <c r="C586" s="4" t="s">
        <v>113</v>
      </c>
      <c r="D586" s="25" t="s">
        <v>118</v>
      </c>
      <c r="E586" s="4">
        <v>47</v>
      </c>
      <c r="F586" s="25">
        <v>47</v>
      </c>
      <c r="G586" s="4" t="s">
        <v>73</v>
      </c>
      <c r="H586" s="25" t="s">
        <v>73</v>
      </c>
      <c r="I586" s="4" t="s">
        <v>93</v>
      </c>
      <c r="J586" s="25" t="s">
        <v>93</v>
      </c>
      <c r="K586" s="4">
        <v>4</v>
      </c>
      <c r="L586" s="25">
        <v>4</v>
      </c>
      <c r="M586" s="4" t="s">
        <v>336</v>
      </c>
      <c r="N586" s="25" t="s">
        <v>336</v>
      </c>
      <c r="O586" s="4">
        <v>4.2</v>
      </c>
      <c r="P586" s="25">
        <v>4.2</v>
      </c>
      <c r="Q586" s="4" t="s">
        <v>51</v>
      </c>
      <c r="R586" s="25" t="s">
        <v>2120</v>
      </c>
      <c r="S586" s="4">
        <v>0.82</v>
      </c>
      <c r="T586" s="26">
        <v>0.82</v>
      </c>
    </row>
    <row r="587" spans="1:20" x14ac:dyDescent="0.3">
      <c r="A587" s="27" t="s">
        <v>1274</v>
      </c>
      <c r="B587" s="4" t="s">
        <v>1275</v>
      </c>
      <c r="C587" s="4" t="s">
        <v>113</v>
      </c>
      <c r="D587" s="25" t="s">
        <v>118</v>
      </c>
      <c r="E587" s="4">
        <v>32</v>
      </c>
      <c r="F587" s="25">
        <v>32</v>
      </c>
      <c r="G587" s="4" t="s">
        <v>201</v>
      </c>
      <c r="H587" s="25" t="s">
        <v>201</v>
      </c>
      <c r="I587" s="4" t="s">
        <v>93</v>
      </c>
      <c r="J587" s="25" t="s">
        <v>93</v>
      </c>
      <c r="K587" s="4">
        <v>9</v>
      </c>
      <c r="L587" s="25">
        <v>9</v>
      </c>
      <c r="M587" s="4" t="s">
        <v>70</v>
      </c>
      <c r="N587" s="25" t="s">
        <v>70</v>
      </c>
      <c r="O587" s="4">
        <v>1.3</v>
      </c>
      <c r="P587" s="25">
        <v>1.3</v>
      </c>
      <c r="Q587" s="4" t="s">
        <v>74</v>
      </c>
      <c r="R587" s="25" t="s">
        <v>74</v>
      </c>
      <c r="S587" s="4">
        <v>0.83</v>
      </c>
      <c r="T587" s="26">
        <v>0.83</v>
      </c>
    </row>
    <row r="588" spans="1:20" x14ac:dyDescent="0.3">
      <c r="A588" s="27" t="s">
        <v>1276</v>
      </c>
      <c r="B588" s="4" t="s">
        <v>1277</v>
      </c>
      <c r="C588" s="4" t="s">
        <v>113</v>
      </c>
      <c r="D588" s="25" t="s">
        <v>118</v>
      </c>
      <c r="E588" s="4">
        <v>28</v>
      </c>
      <c r="F588" s="25">
        <v>28</v>
      </c>
      <c r="G588" s="4" t="s">
        <v>85</v>
      </c>
      <c r="H588" s="25" t="s">
        <v>85</v>
      </c>
      <c r="I588" s="4" t="s">
        <v>31</v>
      </c>
      <c r="J588" s="25" t="s">
        <v>31</v>
      </c>
      <c r="K588" s="4">
        <v>2</v>
      </c>
      <c r="L588" s="25">
        <v>2</v>
      </c>
      <c r="M588" s="4" t="s">
        <v>251</v>
      </c>
      <c r="N588" s="25" t="s">
        <v>251</v>
      </c>
      <c r="O588" s="4">
        <v>4.4000000000000004</v>
      </c>
      <c r="P588" s="25">
        <v>4.4000000000000004</v>
      </c>
      <c r="Q588" s="4" t="s">
        <v>74</v>
      </c>
      <c r="R588" s="25" t="s">
        <v>74</v>
      </c>
      <c r="T588" s="26" t="s">
        <v>2120</v>
      </c>
    </row>
    <row r="589" spans="1:20" x14ac:dyDescent="0.3">
      <c r="A589" s="27" t="s">
        <v>1278</v>
      </c>
      <c r="B589" s="4" t="s">
        <v>1279</v>
      </c>
      <c r="C589" s="4" t="s">
        <v>63</v>
      </c>
      <c r="D589" s="25" t="s">
        <v>118</v>
      </c>
      <c r="E589" s="4">
        <v>32</v>
      </c>
      <c r="F589" s="25">
        <v>32</v>
      </c>
      <c r="G589" s="4" t="s">
        <v>29</v>
      </c>
      <c r="H589" s="25" t="s">
        <v>29</v>
      </c>
      <c r="I589" s="4" t="s">
        <v>110</v>
      </c>
      <c r="J589" s="25" t="s">
        <v>110</v>
      </c>
      <c r="K589" s="4">
        <v>1</v>
      </c>
      <c r="L589" s="25">
        <v>1</v>
      </c>
      <c r="M589" s="4" t="s">
        <v>22</v>
      </c>
      <c r="N589" s="25" t="s">
        <v>22</v>
      </c>
      <c r="O589" s="4">
        <v>3.4</v>
      </c>
      <c r="P589" s="25">
        <v>3.4</v>
      </c>
      <c r="Q589" s="4" t="s">
        <v>74</v>
      </c>
      <c r="R589" s="25" t="s">
        <v>74</v>
      </c>
      <c r="T589" s="26" t="s">
        <v>2120</v>
      </c>
    </row>
    <row r="590" spans="1:20" x14ac:dyDescent="0.3">
      <c r="A590" s="27" t="s">
        <v>1280</v>
      </c>
      <c r="B590" s="4" t="s">
        <v>1281</v>
      </c>
      <c r="C590" s="4" t="s">
        <v>45</v>
      </c>
      <c r="D590" s="25" t="s">
        <v>97</v>
      </c>
      <c r="E590" s="4">
        <v>49</v>
      </c>
      <c r="F590" s="25">
        <v>49</v>
      </c>
      <c r="G590" s="4" t="s">
        <v>55</v>
      </c>
      <c r="H590" s="25" t="s">
        <v>55</v>
      </c>
      <c r="I590" s="4" t="s">
        <v>57</v>
      </c>
      <c r="J590" s="25" t="s">
        <v>57</v>
      </c>
      <c r="K590" s="4">
        <v>2</v>
      </c>
      <c r="L590" s="25">
        <v>2</v>
      </c>
      <c r="M590" s="4" t="s">
        <v>251</v>
      </c>
      <c r="N590" s="25" t="s">
        <v>251</v>
      </c>
      <c r="O590" s="4">
        <v>3.4</v>
      </c>
      <c r="P590" s="25">
        <v>3.4</v>
      </c>
      <c r="Q590" s="4" t="s">
        <v>33</v>
      </c>
      <c r="R590" s="25" t="s">
        <v>33</v>
      </c>
      <c r="S590" s="4">
        <v>0.85</v>
      </c>
      <c r="T590" s="26">
        <v>0.85</v>
      </c>
    </row>
    <row r="591" spans="1:20" x14ac:dyDescent="0.3">
      <c r="A591" s="27" t="s">
        <v>1282</v>
      </c>
      <c r="B591" s="4" t="s">
        <v>1283</v>
      </c>
      <c r="C591" s="4" t="s">
        <v>18</v>
      </c>
      <c r="D591" s="25" t="s">
        <v>97</v>
      </c>
      <c r="E591" s="4">
        <v>36</v>
      </c>
      <c r="F591" s="25">
        <v>36</v>
      </c>
      <c r="G591" s="4" t="s">
        <v>91</v>
      </c>
      <c r="H591" s="25" t="s">
        <v>91</v>
      </c>
      <c r="I591" s="4" t="s">
        <v>31</v>
      </c>
      <c r="J591" s="25" t="s">
        <v>31</v>
      </c>
      <c r="K591" s="4">
        <v>16</v>
      </c>
      <c r="L591" s="25">
        <v>16</v>
      </c>
      <c r="M591" s="4" t="s">
        <v>336</v>
      </c>
      <c r="N591" s="25" t="s">
        <v>336</v>
      </c>
      <c r="O591" s="4">
        <v>3.2</v>
      </c>
      <c r="P591" s="25">
        <v>3.2</v>
      </c>
      <c r="Q591" s="4" t="s">
        <v>51</v>
      </c>
      <c r="R591" s="25" t="s">
        <v>2120</v>
      </c>
      <c r="T591" s="26" t="s">
        <v>2120</v>
      </c>
    </row>
    <row r="592" spans="1:20" x14ac:dyDescent="0.3">
      <c r="A592" s="27" t="s">
        <v>1284</v>
      </c>
      <c r="B592" s="4" t="s">
        <v>1285</v>
      </c>
      <c r="C592" s="4" t="s">
        <v>113</v>
      </c>
      <c r="D592" s="25" t="s">
        <v>118</v>
      </c>
      <c r="E592" s="4">
        <v>59</v>
      </c>
      <c r="F592" s="25">
        <v>59</v>
      </c>
      <c r="G592" s="4" t="s">
        <v>201</v>
      </c>
      <c r="H592" s="25" t="s">
        <v>201</v>
      </c>
      <c r="I592" s="4" t="s">
        <v>21</v>
      </c>
      <c r="J592" s="25" t="s">
        <v>21</v>
      </c>
      <c r="K592" s="4">
        <v>22</v>
      </c>
      <c r="L592" s="25">
        <v>22</v>
      </c>
      <c r="M592" s="4" t="s">
        <v>336</v>
      </c>
      <c r="N592" s="25" t="s">
        <v>336</v>
      </c>
      <c r="O592" s="4">
        <v>3.6</v>
      </c>
      <c r="P592" s="25">
        <v>3.6</v>
      </c>
      <c r="Q592" s="4" t="s">
        <v>41</v>
      </c>
      <c r="R592" s="25" t="s">
        <v>41</v>
      </c>
      <c r="S592" s="4">
        <v>0.63</v>
      </c>
      <c r="T592" s="26">
        <v>0.63</v>
      </c>
    </row>
    <row r="593" spans="1:20" x14ac:dyDescent="0.3">
      <c r="A593" s="27" t="s">
        <v>1286</v>
      </c>
      <c r="B593" s="4" t="s">
        <v>1287</v>
      </c>
      <c r="C593" s="4" t="s">
        <v>50</v>
      </c>
      <c r="D593" s="25" t="s">
        <v>97</v>
      </c>
      <c r="E593" s="4">
        <v>52</v>
      </c>
      <c r="F593" s="25">
        <v>52</v>
      </c>
      <c r="G593" s="4" t="s">
        <v>149</v>
      </c>
      <c r="H593" s="25" t="s">
        <v>149</v>
      </c>
      <c r="I593" s="4" t="s">
        <v>98</v>
      </c>
      <c r="J593" s="25" t="s">
        <v>98</v>
      </c>
      <c r="K593" s="4">
        <v>22</v>
      </c>
      <c r="L593" s="25">
        <v>22</v>
      </c>
      <c r="M593" s="4" t="s">
        <v>142</v>
      </c>
      <c r="N593" s="25" t="s">
        <v>142</v>
      </c>
      <c r="O593" s="4">
        <v>0</v>
      </c>
      <c r="P593" s="25">
        <v>0</v>
      </c>
      <c r="Q593" s="4" t="s">
        <v>23</v>
      </c>
      <c r="R593" s="25" t="s">
        <v>23</v>
      </c>
      <c r="T593" s="26" t="s">
        <v>2120</v>
      </c>
    </row>
    <row r="594" spans="1:20" x14ac:dyDescent="0.3">
      <c r="A594" s="27" t="s">
        <v>1288</v>
      </c>
      <c r="B594" s="4" t="s">
        <v>1289</v>
      </c>
      <c r="C594" s="4" t="s">
        <v>50</v>
      </c>
      <c r="D594" s="25" t="s">
        <v>97</v>
      </c>
      <c r="E594" s="4">
        <v>24</v>
      </c>
      <c r="F594" s="25">
        <v>24</v>
      </c>
      <c r="G594" s="4" t="s">
        <v>197</v>
      </c>
      <c r="H594" s="25" t="s">
        <v>197</v>
      </c>
      <c r="I594" s="4" t="s">
        <v>21</v>
      </c>
      <c r="J594" s="25" t="s">
        <v>21</v>
      </c>
      <c r="K594" s="4">
        <v>5</v>
      </c>
      <c r="L594" s="25">
        <v>5</v>
      </c>
      <c r="M594" s="4" t="s">
        <v>86</v>
      </c>
      <c r="N594" s="25" t="s">
        <v>86</v>
      </c>
      <c r="O594" s="4">
        <v>1.8</v>
      </c>
      <c r="P594" s="25">
        <v>1.8</v>
      </c>
      <c r="Q594" s="4" t="s">
        <v>33</v>
      </c>
      <c r="R594" s="25" t="s">
        <v>33</v>
      </c>
      <c r="S594" s="4">
        <v>0.86</v>
      </c>
      <c r="T594" s="26">
        <v>0.86</v>
      </c>
    </row>
    <row r="595" spans="1:20" x14ac:dyDescent="0.3">
      <c r="A595" s="27" t="s">
        <v>1290</v>
      </c>
      <c r="B595" s="4" t="s">
        <v>1291</v>
      </c>
      <c r="C595" s="4" t="s">
        <v>28</v>
      </c>
      <c r="D595" s="25" t="s">
        <v>97</v>
      </c>
      <c r="E595" s="4">
        <v>26</v>
      </c>
      <c r="F595" s="25">
        <v>26</v>
      </c>
      <c r="G595" s="4" t="s">
        <v>29</v>
      </c>
      <c r="H595" s="25" t="s">
        <v>29</v>
      </c>
      <c r="I595" s="4" t="s">
        <v>39</v>
      </c>
      <c r="J595" s="25" t="s">
        <v>39</v>
      </c>
      <c r="K595" s="4">
        <v>2</v>
      </c>
      <c r="L595" s="25">
        <v>2</v>
      </c>
      <c r="M595" s="4" t="s">
        <v>67</v>
      </c>
      <c r="N595" s="25" t="s">
        <v>67</v>
      </c>
      <c r="O595" s="4">
        <v>2.5</v>
      </c>
      <c r="P595" s="25">
        <v>2.5</v>
      </c>
      <c r="Q595" s="4" t="s">
        <v>87</v>
      </c>
      <c r="R595" s="25" t="s">
        <v>87</v>
      </c>
      <c r="S595" s="4">
        <v>60</v>
      </c>
      <c r="T595" s="26">
        <v>60</v>
      </c>
    </row>
    <row r="596" spans="1:20" x14ac:dyDescent="0.3">
      <c r="A596" s="27" t="s">
        <v>1292</v>
      </c>
      <c r="B596" s="4" t="s">
        <v>1293</v>
      </c>
      <c r="C596" s="4" t="s">
        <v>113</v>
      </c>
      <c r="D596" s="25" t="s">
        <v>118</v>
      </c>
      <c r="E596" s="4">
        <v>55</v>
      </c>
      <c r="F596" s="25">
        <v>55</v>
      </c>
      <c r="G596" s="4" t="s">
        <v>149</v>
      </c>
      <c r="H596" s="25" t="s">
        <v>149</v>
      </c>
      <c r="I596" s="4" t="s">
        <v>98</v>
      </c>
      <c r="J596" s="25" t="s">
        <v>98</v>
      </c>
      <c r="K596" s="4">
        <v>24</v>
      </c>
      <c r="L596" s="25">
        <v>24</v>
      </c>
      <c r="M596" s="4" t="s">
        <v>86</v>
      </c>
      <c r="N596" s="25" t="s">
        <v>86</v>
      </c>
      <c r="O596" s="4">
        <v>2</v>
      </c>
      <c r="P596" s="25">
        <v>2</v>
      </c>
      <c r="Q596" s="4" t="s">
        <v>33</v>
      </c>
      <c r="R596" s="25" t="s">
        <v>33</v>
      </c>
      <c r="S596" s="4">
        <v>88</v>
      </c>
      <c r="T596" s="26">
        <v>88</v>
      </c>
    </row>
    <row r="597" spans="1:20" x14ac:dyDescent="0.3">
      <c r="A597" s="27" t="s">
        <v>1294</v>
      </c>
      <c r="B597" s="4" t="s">
        <v>1295</v>
      </c>
      <c r="C597" s="4" t="s">
        <v>28</v>
      </c>
      <c r="D597" s="25" t="s">
        <v>97</v>
      </c>
      <c r="E597" s="4">
        <v>56</v>
      </c>
      <c r="F597" s="25">
        <v>56</v>
      </c>
      <c r="G597" s="4" t="s">
        <v>19</v>
      </c>
      <c r="H597" s="25" t="s">
        <v>19</v>
      </c>
      <c r="I597" s="4" t="s">
        <v>31</v>
      </c>
      <c r="J597" s="25" t="s">
        <v>31</v>
      </c>
      <c r="K597" s="4">
        <v>37</v>
      </c>
      <c r="L597" s="25">
        <v>37</v>
      </c>
      <c r="M597" s="4" t="s">
        <v>86</v>
      </c>
      <c r="N597" s="25" t="s">
        <v>86</v>
      </c>
      <c r="O597" s="4">
        <v>0</v>
      </c>
      <c r="P597" s="25">
        <v>0</v>
      </c>
      <c r="Q597" s="4" t="s">
        <v>41</v>
      </c>
      <c r="R597" s="25" t="s">
        <v>41</v>
      </c>
      <c r="S597" s="4">
        <v>0.7</v>
      </c>
      <c r="T597" s="26">
        <v>0.7</v>
      </c>
    </row>
    <row r="598" spans="1:20" x14ac:dyDescent="0.3">
      <c r="A598" s="27" t="s">
        <v>1296</v>
      </c>
      <c r="B598" s="4" t="s">
        <v>1297</v>
      </c>
      <c r="C598" s="4" t="s">
        <v>63</v>
      </c>
      <c r="D598" s="25" t="s">
        <v>118</v>
      </c>
      <c r="E598" s="4">
        <v>36</v>
      </c>
      <c r="F598" s="25">
        <v>36</v>
      </c>
      <c r="G598" s="4" t="s">
        <v>156</v>
      </c>
      <c r="H598" s="25" t="s">
        <v>156</v>
      </c>
      <c r="I598" s="4" t="s">
        <v>39</v>
      </c>
      <c r="J598" s="25" t="s">
        <v>39</v>
      </c>
      <c r="K598" s="4">
        <v>3</v>
      </c>
      <c r="L598" s="25">
        <v>3</v>
      </c>
      <c r="M598" s="4" t="s">
        <v>119</v>
      </c>
      <c r="N598" s="25" t="s">
        <v>119</v>
      </c>
      <c r="O598" s="4">
        <v>1.3</v>
      </c>
      <c r="P598" s="25">
        <v>1.3</v>
      </c>
      <c r="Q598" s="4" t="s">
        <v>33</v>
      </c>
      <c r="R598" s="25" t="s">
        <v>33</v>
      </c>
      <c r="S598" s="4">
        <v>0.77</v>
      </c>
      <c r="T598" s="26">
        <v>0.77</v>
      </c>
    </row>
    <row r="599" spans="1:20" x14ac:dyDescent="0.3">
      <c r="A599" s="27" t="s">
        <v>1298</v>
      </c>
      <c r="B599" s="4" t="s">
        <v>1299</v>
      </c>
      <c r="C599" s="4" t="s">
        <v>113</v>
      </c>
      <c r="D599" s="25" t="s">
        <v>118</v>
      </c>
      <c r="E599" s="4">
        <v>48</v>
      </c>
      <c r="F599" s="25">
        <v>48</v>
      </c>
      <c r="G599" s="4" t="s">
        <v>91</v>
      </c>
      <c r="H599" s="25" t="s">
        <v>91</v>
      </c>
      <c r="I599" s="4" t="s">
        <v>46</v>
      </c>
      <c r="J599" s="25" t="s">
        <v>46</v>
      </c>
      <c r="K599" s="4">
        <v>18</v>
      </c>
      <c r="L599" s="25">
        <v>18</v>
      </c>
      <c r="M599" s="4" t="s">
        <v>103</v>
      </c>
      <c r="N599" s="25" t="s">
        <v>103</v>
      </c>
      <c r="O599" s="4">
        <v>0</v>
      </c>
      <c r="P599" s="25">
        <v>0</v>
      </c>
      <c r="Q599" s="4" t="s">
        <v>23</v>
      </c>
      <c r="R599" s="25" t="s">
        <v>23</v>
      </c>
      <c r="S599" s="4">
        <v>0.8</v>
      </c>
      <c r="T599" s="26">
        <v>0.8</v>
      </c>
    </row>
    <row r="600" spans="1:20" x14ac:dyDescent="0.3">
      <c r="A600" s="27" t="s">
        <v>1300</v>
      </c>
      <c r="B600" s="4" t="s">
        <v>1301</v>
      </c>
      <c r="C600" s="4" t="s">
        <v>118</v>
      </c>
      <c r="D600" s="25" t="s">
        <v>118</v>
      </c>
      <c r="E600" s="4">
        <v>55</v>
      </c>
      <c r="F600" s="25">
        <v>55</v>
      </c>
      <c r="G600" s="4" t="s">
        <v>160</v>
      </c>
      <c r="H600" s="25" t="s">
        <v>160</v>
      </c>
      <c r="I600" s="4" t="s">
        <v>135</v>
      </c>
      <c r="J600" s="25" t="s">
        <v>135</v>
      </c>
      <c r="K600" s="4">
        <v>6</v>
      </c>
      <c r="L600" s="25">
        <v>6</v>
      </c>
      <c r="M600" s="4" t="s">
        <v>47</v>
      </c>
      <c r="N600" s="25" t="s">
        <v>47</v>
      </c>
      <c r="O600" s="4">
        <v>3.6</v>
      </c>
      <c r="P600" s="25">
        <v>3.6</v>
      </c>
      <c r="Q600" s="4" t="s">
        <v>94</v>
      </c>
      <c r="R600" s="25" t="s">
        <v>94</v>
      </c>
      <c r="T600" s="26" t="s">
        <v>2120</v>
      </c>
    </row>
    <row r="601" spans="1:20" x14ac:dyDescent="0.3">
      <c r="A601" s="27" t="s">
        <v>1302</v>
      </c>
      <c r="B601" s="4" t="s">
        <v>1303</v>
      </c>
      <c r="C601" s="4" t="s">
        <v>50</v>
      </c>
      <c r="D601" s="25" t="s">
        <v>97</v>
      </c>
      <c r="E601" s="4">
        <v>56</v>
      </c>
      <c r="F601" s="25">
        <v>56</v>
      </c>
      <c r="G601" s="4" t="s">
        <v>212</v>
      </c>
      <c r="H601" s="25" t="s">
        <v>212</v>
      </c>
      <c r="I601" s="4" t="s">
        <v>110</v>
      </c>
      <c r="J601" s="25" t="s">
        <v>110</v>
      </c>
      <c r="K601" s="4">
        <v>17</v>
      </c>
      <c r="L601" s="25">
        <v>17</v>
      </c>
      <c r="M601" s="4" t="s">
        <v>51</v>
      </c>
      <c r="N601" s="25" t="s">
        <v>2119</v>
      </c>
      <c r="O601" s="4">
        <v>1.3</v>
      </c>
      <c r="P601" s="25">
        <v>1.3</v>
      </c>
      <c r="Q601" s="4" t="s">
        <v>51</v>
      </c>
      <c r="R601" s="25" t="s">
        <v>2120</v>
      </c>
      <c r="S601" s="4">
        <v>0.87</v>
      </c>
      <c r="T601" s="26">
        <v>0.87</v>
      </c>
    </row>
    <row r="602" spans="1:20" x14ac:dyDescent="0.3">
      <c r="A602" s="27" t="s">
        <v>1304</v>
      </c>
      <c r="B602" s="4" t="s">
        <v>1305</v>
      </c>
      <c r="C602" s="4" t="s">
        <v>97</v>
      </c>
      <c r="D602" s="25" t="s">
        <v>97</v>
      </c>
      <c r="E602" s="4">
        <v>28</v>
      </c>
      <c r="F602" s="25">
        <v>28</v>
      </c>
      <c r="G602" s="4" t="s">
        <v>149</v>
      </c>
      <c r="H602" s="25" t="s">
        <v>149</v>
      </c>
      <c r="I602" s="4" t="s">
        <v>21</v>
      </c>
      <c r="J602" s="25" t="s">
        <v>21</v>
      </c>
      <c r="K602" s="4">
        <v>1</v>
      </c>
      <c r="L602" s="25">
        <v>1</v>
      </c>
      <c r="M602" s="4" t="s">
        <v>103</v>
      </c>
      <c r="N602" s="25" t="s">
        <v>103</v>
      </c>
      <c r="O602" s="4">
        <v>2.7</v>
      </c>
      <c r="P602" s="25">
        <v>2.7</v>
      </c>
      <c r="Q602" s="4" t="s">
        <v>74</v>
      </c>
      <c r="R602" s="25" t="s">
        <v>74</v>
      </c>
      <c r="S602" s="4">
        <v>0.93</v>
      </c>
      <c r="T602" s="26">
        <v>0.93</v>
      </c>
    </row>
    <row r="603" spans="1:20" x14ac:dyDescent="0.3">
      <c r="A603" s="27" t="s">
        <v>1306</v>
      </c>
      <c r="B603" s="4" t="s">
        <v>1307</v>
      </c>
      <c r="C603" s="4" t="s">
        <v>37</v>
      </c>
      <c r="D603" s="25" t="s">
        <v>118</v>
      </c>
      <c r="E603" s="4">
        <v>60</v>
      </c>
      <c r="F603" s="25">
        <v>60</v>
      </c>
      <c r="G603" s="4" t="s">
        <v>73</v>
      </c>
      <c r="H603" s="25" t="s">
        <v>73</v>
      </c>
      <c r="I603" s="4" t="s">
        <v>57</v>
      </c>
      <c r="J603" s="25" t="s">
        <v>57</v>
      </c>
      <c r="K603" s="4">
        <v>39</v>
      </c>
      <c r="L603" s="25">
        <v>39</v>
      </c>
      <c r="M603" s="4" t="s">
        <v>32</v>
      </c>
      <c r="N603" s="25" t="s">
        <v>32</v>
      </c>
      <c r="O603" s="4">
        <v>1.5</v>
      </c>
      <c r="P603" s="25">
        <v>1.5</v>
      </c>
      <c r="Q603" s="4" t="s">
        <v>51</v>
      </c>
      <c r="R603" s="25" t="s">
        <v>2120</v>
      </c>
      <c r="S603" s="4">
        <v>88</v>
      </c>
      <c r="T603" s="26">
        <v>88</v>
      </c>
    </row>
    <row r="604" spans="1:20" x14ac:dyDescent="0.3">
      <c r="A604" s="27" t="s">
        <v>1308</v>
      </c>
      <c r="B604" s="4" t="s">
        <v>1309</v>
      </c>
      <c r="C604" s="4" t="s">
        <v>37</v>
      </c>
      <c r="D604" s="25" t="s">
        <v>118</v>
      </c>
      <c r="E604" s="4">
        <v>34</v>
      </c>
      <c r="F604" s="25">
        <v>34</v>
      </c>
      <c r="G604" s="4" t="s">
        <v>133</v>
      </c>
      <c r="H604" s="25" t="s">
        <v>133</v>
      </c>
      <c r="I604" s="4" t="s">
        <v>21</v>
      </c>
      <c r="J604" s="25" t="s">
        <v>21</v>
      </c>
      <c r="K604" s="4">
        <v>15</v>
      </c>
      <c r="L604" s="25">
        <v>15</v>
      </c>
      <c r="M604" s="4" t="s">
        <v>162</v>
      </c>
      <c r="N604" s="25" t="s">
        <v>162</v>
      </c>
      <c r="O604" s="4">
        <v>0</v>
      </c>
      <c r="P604" s="25">
        <v>0</v>
      </c>
      <c r="Q604" s="4" t="s">
        <v>23</v>
      </c>
      <c r="R604" s="25" t="s">
        <v>23</v>
      </c>
      <c r="S604" s="4">
        <v>1</v>
      </c>
      <c r="T604" s="26">
        <v>1</v>
      </c>
    </row>
    <row r="605" spans="1:20" x14ac:dyDescent="0.3">
      <c r="A605" s="27" t="s">
        <v>1310</v>
      </c>
      <c r="B605" s="4" t="s">
        <v>1311</v>
      </c>
      <c r="C605" s="4" t="s">
        <v>50</v>
      </c>
      <c r="D605" s="25" t="s">
        <v>97</v>
      </c>
      <c r="E605" s="4">
        <v>38</v>
      </c>
      <c r="F605" s="25">
        <v>38</v>
      </c>
      <c r="G605" s="4" t="s">
        <v>64</v>
      </c>
      <c r="H605" s="25" t="s">
        <v>64</v>
      </c>
      <c r="I605" s="4" t="s">
        <v>57</v>
      </c>
      <c r="J605" s="25" t="s">
        <v>57</v>
      </c>
      <c r="K605" s="4">
        <v>13</v>
      </c>
      <c r="L605" s="25">
        <v>13</v>
      </c>
      <c r="M605" s="4" t="s">
        <v>47</v>
      </c>
      <c r="N605" s="25" t="s">
        <v>47</v>
      </c>
      <c r="O605" s="4">
        <v>0</v>
      </c>
      <c r="P605" s="25">
        <v>0</v>
      </c>
      <c r="Q605" s="4" t="s">
        <v>33</v>
      </c>
      <c r="R605" s="25" t="s">
        <v>33</v>
      </c>
      <c r="S605" s="4">
        <v>61</v>
      </c>
      <c r="T605" s="26">
        <v>61</v>
      </c>
    </row>
    <row r="606" spans="1:20" x14ac:dyDescent="0.3">
      <c r="A606" s="27" t="s">
        <v>1312</v>
      </c>
      <c r="B606" s="4" t="s">
        <v>1313</v>
      </c>
      <c r="C606" s="4" t="s">
        <v>28</v>
      </c>
      <c r="D606" s="25" t="s">
        <v>97</v>
      </c>
      <c r="E606" s="4">
        <v>51</v>
      </c>
      <c r="F606" s="25">
        <v>51</v>
      </c>
      <c r="G606" s="4" t="s">
        <v>133</v>
      </c>
      <c r="H606" s="25" t="s">
        <v>133</v>
      </c>
      <c r="I606" s="4" t="s">
        <v>46</v>
      </c>
      <c r="J606" s="25" t="s">
        <v>46</v>
      </c>
      <c r="K606" s="4">
        <v>17</v>
      </c>
      <c r="L606" s="25">
        <v>17</v>
      </c>
      <c r="M606" s="4" t="s">
        <v>22</v>
      </c>
      <c r="N606" s="25" t="s">
        <v>22</v>
      </c>
      <c r="O606" s="4">
        <v>3</v>
      </c>
      <c r="P606" s="25">
        <v>3</v>
      </c>
      <c r="Q606" s="4" t="s">
        <v>59</v>
      </c>
      <c r="R606" s="25" t="s">
        <v>59</v>
      </c>
      <c r="S606" s="4">
        <v>0.79</v>
      </c>
      <c r="T606" s="26">
        <v>0.79</v>
      </c>
    </row>
    <row r="607" spans="1:20" x14ac:dyDescent="0.3">
      <c r="A607" s="27" t="s">
        <v>1314</v>
      </c>
      <c r="B607" s="4" t="s">
        <v>1315</v>
      </c>
      <c r="C607" s="4" t="s">
        <v>18</v>
      </c>
      <c r="D607" s="25" t="s">
        <v>97</v>
      </c>
      <c r="E607" s="4">
        <v>21</v>
      </c>
      <c r="F607" s="25">
        <v>21</v>
      </c>
      <c r="G607" s="4" t="s">
        <v>106</v>
      </c>
      <c r="H607" s="25" t="s">
        <v>106</v>
      </c>
      <c r="I607" s="4" t="s">
        <v>31</v>
      </c>
      <c r="J607" s="25" t="s">
        <v>31</v>
      </c>
      <c r="K607" s="4">
        <v>1</v>
      </c>
      <c r="L607" s="25">
        <v>1</v>
      </c>
      <c r="M607" s="4" t="s">
        <v>52</v>
      </c>
      <c r="N607" s="25" t="s">
        <v>52</v>
      </c>
      <c r="O607" s="4">
        <v>1.2</v>
      </c>
      <c r="P607" s="25">
        <v>1.2</v>
      </c>
      <c r="Q607" s="4" t="s">
        <v>51</v>
      </c>
      <c r="R607" s="25" t="s">
        <v>2120</v>
      </c>
      <c r="S607" s="4">
        <v>0.73</v>
      </c>
      <c r="T607" s="26">
        <v>0.73</v>
      </c>
    </row>
    <row r="608" spans="1:20" x14ac:dyDescent="0.3">
      <c r="A608" s="27" t="s">
        <v>1316</v>
      </c>
      <c r="B608" s="4" t="s">
        <v>1317</v>
      </c>
      <c r="C608" s="4" t="s">
        <v>113</v>
      </c>
      <c r="D608" s="25" t="s">
        <v>118</v>
      </c>
      <c r="E608" s="4">
        <v>35</v>
      </c>
      <c r="F608" s="25">
        <v>35</v>
      </c>
      <c r="G608" s="4" t="s">
        <v>19</v>
      </c>
      <c r="H608" s="25" t="s">
        <v>19</v>
      </c>
      <c r="I608" s="4" t="s">
        <v>93</v>
      </c>
      <c r="J608" s="25" t="s">
        <v>93</v>
      </c>
      <c r="K608" s="4">
        <v>16</v>
      </c>
      <c r="L608" s="25">
        <v>16</v>
      </c>
      <c r="M608" s="4" t="s">
        <v>51</v>
      </c>
      <c r="N608" s="25" t="s">
        <v>2119</v>
      </c>
      <c r="O608" s="4">
        <v>1.3</v>
      </c>
      <c r="P608" s="25">
        <v>1.3</v>
      </c>
      <c r="Q608" s="4" t="s">
        <v>33</v>
      </c>
      <c r="R608" s="25" t="s">
        <v>33</v>
      </c>
      <c r="S608" s="4">
        <v>0.64</v>
      </c>
      <c r="T608" s="26">
        <v>0.64</v>
      </c>
    </row>
    <row r="609" spans="1:20" x14ac:dyDescent="0.3">
      <c r="A609" s="27" t="s">
        <v>1318</v>
      </c>
      <c r="B609" s="4" t="s">
        <v>1319</v>
      </c>
      <c r="C609" s="4" t="s">
        <v>113</v>
      </c>
      <c r="D609" s="25" t="s">
        <v>118</v>
      </c>
      <c r="E609" s="4">
        <v>27</v>
      </c>
      <c r="F609" s="25">
        <v>27</v>
      </c>
      <c r="G609" s="4" t="s">
        <v>128</v>
      </c>
      <c r="H609" s="25" t="s">
        <v>128</v>
      </c>
      <c r="I609" s="4" t="s">
        <v>46</v>
      </c>
      <c r="J609" s="25" t="s">
        <v>46</v>
      </c>
      <c r="K609" s="4">
        <v>9</v>
      </c>
      <c r="L609" s="25">
        <v>9</v>
      </c>
      <c r="M609" s="4" t="s">
        <v>251</v>
      </c>
      <c r="N609" s="25" t="s">
        <v>251</v>
      </c>
      <c r="P609" s="25" t="s">
        <v>2120</v>
      </c>
      <c r="Q609" s="4" t="s">
        <v>74</v>
      </c>
      <c r="R609" s="25" t="s">
        <v>74</v>
      </c>
      <c r="T609" s="26" t="s">
        <v>2120</v>
      </c>
    </row>
    <row r="610" spans="1:20" x14ac:dyDescent="0.3">
      <c r="A610" s="27" t="s">
        <v>1320</v>
      </c>
      <c r="B610" s="4" t="s">
        <v>1321</v>
      </c>
      <c r="C610" s="4" t="s">
        <v>28</v>
      </c>
      <c r="D610" s="25" t="s">
        <v>97</v>
      </c>
      <c r="E610" s="4">
        <v>42</v>
      </c>
      <c r="F610" s="25">
        <v>42</v>
      </c>
      <c r="G610" s="4" t="s">
        <v>79</v>
      </c>
      <c r="H610" s="25" t="s">
        <v>79</v>
      </c>
      <c r="I610" s="4" t="s">
        <v>31</v>
      </c>
      <c r="J610" s="25" t="s">
        <v>31</v>
      </c>
      <c r="K610" s="4">
        <v>20</v>
      </c>
      <c r="L610" s="25">
        <v>20</v>
      </c>
      <c r="M610" s="4" t="s">
        <v>119</v>
      </c>
      <c r="N610" s="25" t="s">
        <v>119</v>
      </c>
      <c r="O610" s="4">
        <v>3.8</v>
      </c>
      <c r="P610" s="25">
        <v>3.8</v>
      </c>
      <c r="Q610" s="4" t="s">
        <v>41</v>
      </c>
      <c r="R610" s="25" t="s">
        <v>41</v>
      </c>
      <c r="S610" s="4">
        <v>0.93</v>
      </c>
      <c r="T610" s="26">
        <v>0.93</v>
      </c>
    </row>
    <row r="611" spans="1:20" x14ac:dyDescent="0.3">
      <c r="A611" s="27" t="s">
        <v>1322</v>
      </c>
      <c r="B611" s="4" t="s">
        <v>1323</v>
      </c>
      <c r="C611" s="4" t="s">
        <v>45</v>
      </c>
      <c r="D611" s="25" t="s">
        <v>97</v>
      </c>
      <c r="E611" s="4">
        <v>52</v>
      </c>
      <c r="F611" s="25">
        <v>52</v>
      </c>
      <c r="G611" s="4" t="s">
        <v>149</v>
      </c>
      <c r="H611" s="25" t="s">
        <v>149</v>
      </c>
      <c r="I611" s="4" t="s">
        <v>21</v>
      </c>
      <c r="J611" s="25" t="s">
        <v>21</v>
      </c>
      <c r="K611" s="4">
        <v>29</v>
      </c>
      <c r="L611" s="25">
        <v>29</v>
      </c>
      <c r="M611" s="4" t="s">
        <v>52</v>
      </c>
      <c r="N611" s="25" t="s">
        <v>52</v>
      </c>
      <c r="O611" s="4">
        <v>3.8</v>
      </c>
      <c r="P611" s="25">
        <v>3.8</v>
      </c>
      <c r="Q611" s="4" t="s">
        <v>23</v>
      </c>
      <c r="R611" s="25" t="s">
        <v>23</v>
      </c>
      <c r="S611" s="4">
        <v>0.68</v>
      </c>
      <c r="T611" s="26">
        <v>0.68</v>
      </c>
    </row>
    <row r="612" spans="1:20" x14ac:dyDescent="0.3">
      <c r="A612" s="27" t="s">
        <v>1324</v>
      </c>
      <c r="B612" s="4" t="s">
        <v>1325</v>
      </c>
      <c r="C612" s="4" t="s">
        <v>37</v>
      </c>
      <c r="D612" s="25" t="s">
        <v>118</v>
      </c>
      <c r="E612" s="4">
        <v>53</v>
      </c>
      <c r="F612" s="25">
        <v>53</v>
      </c>
      <c r="G612" s="4" t="s">
        <v>133</v>
      </c>
      <c r="H612" s="25" t="s">
        <v>133</v>
      </c>
      <c r="I612" s="4" t="s">
        <v>46</v>
      </c>
      <c r="J612" s="25" t="s">
        <v>46</v>
      </c>
      <c r="K612" s="4">
        <v>21</v>
      </c>
      <c r="L612" s="25">
        <v>21</v>
      </c>
      <c r="M612" s="4" t="s">
        <v>86</v>
      </c>
      <c r="N612" s="25" t="s">
        <v>86</v>
      </c>
      <c r="O612" s="4">
        <v>4.7</v>
      </c>
      <c r="P612" s="25">
        <v>4.7</v>
      </c>
      <c r="Q612" s="4" t="s">
        <v>33</v>
      </c>
      <c r="R612" s="25" t="s">
        <v>33</v>
      </c>
      <c r="S612" s="4">
        <v>0.62</v>
      </c>
      <c r="T612" s="26">
        <v>0.62</v>
      </c>
    </row>
    <row r="613" spans="1:20" x14ac:dyDescent="0.3">
      <c r="A613" s="27" t="s">
        <v>1326</v>
      </c>
      <c r="B613" s="4" t="s">
        <v>1327</v>
      </c>
      <c r="C613" s="4" t="s">
        <v>28</v>
      </c>
      <c r="D613" s="25" t="s">
        <v>97</v>
      </c>
      <c r="E613" s="4">
        <v>54</v>
      </c>
      <c r="F613" s="25">
        <v>54</v>
      </c>
      <c r="G613" s="4" t="s">
        <v>19</v>
      </c>
      <c r="H613" s="25" t="s">
        <v>19</v>
      </c>
      <c r="I613" s="4" t="s">
        <v>31</v>
      </c>
      <c r="J613" s="25" t="s">
        <v>31</v>
      </c>
      <c r="K613" s="4">
        <v>28</v>
      </c>
      <c r="L613" s="25">
        <v>28</v>
      </c>
      <c r="M613" s="4" t="s">
        <v>70</v>
      </c>
      <c r="N613" s="25" t="s">
        <v>70</v>
      </c>
      <c r="O613" s="4">
        <v>1.1000000000000001</v>
      </c>
      <c r="P613" s="25">
        <v>1.1000000000000001</v>
      </c>
      <c r="Q613" s="4" t="s">
        <v>181</v>
      </c>
      <c r="R613" s="25" t="s">
        <v>181</v>
      </c>
      <c r="T613" s="26" t="s">
        <v>2120</v>
      </c>
    </row>
    <row r="614" spans="1:20" x14ac:dyDescent="0.3">
      <c r="A614" s="27" t="s">
        <v>1328</v>
      </c>
      <c r="B614" s="4" t="s">
        <v>1329</v>
      </c>
      <c r="C614" s="4" t="s">
        <v>78</v>
      </c>
      <c r="D614" s="25" t="s">
        <v>118</v>
      </c>
      <c r="E614" s="4">
        <v>51</v>
      </c>
      <c r="F614" s="25">
        <v>51</v>
      </c>
      <c r="G614" s="4" t="s">
        <v>106</v>
      </c>
      <c r="H614" s="25" t="s">
        <v>106</v>
      </c>
      <c r="I614" s="4" t="s">
        <v>39</v>
      </c>
      <c r="J614" s="25" t="s">
        <v>39</v>
      </c>
      <c r="K614" s="4">
        <v>5</v>
      </c>
      <c r="L614" s="25">
        <v>5</v>
      </c>
      <c r="M614" s="4" t="s">
        <v>40</v>
      </c>
      <c r="N614" s="25" t="s">
        <v>40</v>
      </c>
      <c r="O614" s="4">
        <v>4.2</v>
      </c>
      <c r="P614" s="25">
        <v>4.2</v>
      </c>
      <c r="Q614" s="4" t="s">
        <v>33</v>
      </c>
      <c r="R614" s="25" t="s">
        <v>33</v>
      </c>
      <c r="S614" s="4">
        <v>0.82</v>
      </c>
      <c r="T614" s="26">
        <v>0.82</v>
      </c>
    </row>
    <row r="615" spans="1:20" x14ac:dyDescent="0.3">
      <c r="A615" s="27" t="s">
        <v>1330</v>
      </c>
      <c r="B615" s="4" t="s">
        <v>1331</v>
      </c>
      <c r="C615" s="4" t="s">
        <v>18</v>
      </c>
      <c r="D615" s="25" t="s">
        <v>97</v>
      </c>
      <c r="E615" s="4">
        <v>30</v>
      </c>
      <c r="F615" s="25">
        <v>30</v>
      </c>
      <c r="G615" s="4" t="s">
        <v>133</v>
      </c>
      <c r="H615" s="25" t="s">
        <v>133</v>
      </c>
      <c r="I615" s="4" t="s">
        <v>46</v>
      </c>
      <c r="J615" s="25" t="s">
        <v>46</v>
      </c>
      <c r="K615" s="4">
        <v>0</v>
      </c>
      <c r="L615" s="25">
        <v>0</v>
      </c>
      <c r="M615" s="4" t="s">
        <v>51</v>
      </c>
      <c r="N615" s="25" t="s">
        <v>2119</v>
      </c>
      <c r="O615" s="4">
        <v>0</v>
      </c>
      <c r="P615" s="25">
        <v>0</v>
      </c>
      <c r="Q615" s="4" t="s">
        <v>23</v>
      </c>
      <c r="R615" s="25" t="s">
        <v>23</v>
      </c>
      <c r="T615" s="26" t="s">
        <v>2120</v>
      </c>
    </row>
    <row r="616" spans="1:20" x14ac:dyDescent="0.3">
      <c r="A616" s="27" t="s">
        <v>1332</v>
      </c>
      <c r="B616" s="4" t="s">
        <v>1333</v>
      </c>
      <c r="C616" s="4" t="s">
        <v>97</v>
      </c>
      <c r="D616" s="25" t="s">
        <v>97</v>
      </c>
      <c r="E616" s="4">
        <v>45</v>
      </c>
      <c r="F616" s="25">
        <v>45</v>
      </c>
      <c r="G616" s="4" t="s">
        <v>55</v>
      </c>
      <c r="H616" s="25" t="s">
        <v>55</v>
      </c>
      <c r="I616" s="4" t="s">
        <v>135</v>
      </c>
      <c r="J616" s="25" t="s">
        <v>135</v>
      </c>
      <c r="K616" s="4">
        <v>27</v>
      </c>
      <c r="L616" s="25">
        <v>27</v>
      </c>
      <c r="M616" s="4" t="s">
        <v>67</v>
      </c>
      <c r="N616" s="25" t="s">
        <v>67</v>
      </c>
      <c r="O616" s="4">
        <v>0</v>
      </c>
      <c r="P616" s="25">
        <v>0</v>
      </c>
      <c r="Q616" s="4" t="s">
        <v>51</v>
      </c>
      <c r="R616" s="25" t="s">
        <v>2120</v>
      </c>
      <c r="S616" s="4">
        <v>0.85</v>
      </c>
      <c r="T616" s="26">
        <v>0.85</v>
      </c>
    </row>
    <row r="617" spans="1:20" x14ac:dyDescent="0.3">
      <c r="A617" s="27" t="s">
        <v>1334</v>
      </c>
      <c r="B617" s="4" t="s">
        <v>1335</v>
      </c>
      <c r="C617" s="4" t="s">
        <v>37</v>
      </c>
      <c r="D617" s="25" t="s">
        <v>118</v>
      </c>
      <c r="E617" s="4">
        <v>57</v>
      </c>
      <c r="F617" s="25">
        <v>57</v>
      </c>
      <c r="G617" s="4" t="s">
        <v>64</v>
      </c>
      <c r="H617" s="25" t="s">
        <v>64</v>
      </c>
      <c r="I617" s="4" t="s">
        <v>39</v>
      </c>
      <c r="J617" s="25" t="s">
        <v>39</v>
      </c>
      <c r="K617" s="4">
        <v>26</v>
      </c>
      <c r="L617" s="25">
        <v>26</v>
      </c>
      <c r="M617" s="4" t="s">
        <v>32</v>
      </c>
      <c r="N617" s="25" t="s">
        <v>32</v>
      </c>
      <c r="O617" s="4">
        <v>2.4</v>
      </c>
      <c r="P617" s="25">
        <v>2.4</v>
      </c>
      <c r="Q617" s="4" t="s">
        <v>33</v>
      </c>
      <c r="R617" s="25" t="s">
        <v>33</v>
      </c>
      <c r="S617" s="4">
        <v>0.78</v>
      </c>
      <c r="T617" s="26">
        <v>0.78</v>
      </c>
    </row>
    <row r="618" spans="1:20" x14ac:dyDescent="0.3">
      <c r="A618" s="27" t="s">
        <v>1336</v>
      </c>
      <c r="B618" s="4" t="s">
        <v>1337</v>
      </c>
      <c r="C618" s="4" t="s">
        <v>118</v>
      </c>
      <c r="D618" s="25" t="s">
        <v>118</v>
      </c>
      <c r="E618" s="4">
        <v>38</v>
      </c>
      <c r="F618" s="25">
        <v>38</v>
      </c>
      <c r="G618" s="4" t="s">
        <v>79</v>
      </c>
      <c r="H618" s="25" t="s">
        <v>79</v>
      </c>
      <c r="I618" s="4" t="s">
        <v>21</v>
      </c>
      <c r="J618" s="25" t="s">
        <v>21</v>
      </c>
      <c r="K618" s="4">
        <v>19</v>
      </c>
      <c r="L618" s="25">
        <v>19</v>
      </c>
      <c r="M618" s="4" t="s">
        <v>86</v>
      </c>
      <c r="N618" s="25" t="s">
        <v>86</v>
      </c>
      <c r="O618" s="4">
        <v>0</v>
      </c>
      <c r="P618" s="25">
        <v>0</v>
      </c>
      <c r="Q618" s="4" t="s">
        <v>33</v>
      </c>
      <c r="R618" s="25" t="s">
        <v>33</v>
      </c>
      <c r="S618" s="4">
        <v>0.86</v>
      </c>
      <c r="T618" s="26">
        <v>0.86</v>
      </c>
    </row>
    <row r="619" spans="1:20" x14ac:dyDescent="0.3">
      <c r="A619" s="27" t="s">
        <v>1338</v>
      </c>
      <c r="B619" s="4" t="s">
        <v>1339</v>
      </c>
      <c r="C619" s="4" t="s">
        <v>28</v>
      </c>
      <c r="D619" s="25" t="s">
        <v>97</v>
      </c>
      <c r="E619" s="4">
        <v>42</v>
      </c>
      <c r="F619" s="25">
        <v>42</v>
      </c>
      <c r="G619" s="4" t="s">
        <v>145</v>
      </c>
      <c r="H619" s="25" t="s">
        <v>145</v>
      </c>
      <c r="I619" s="4" t="s">
        <v>110</v>
      </c>
      <c r="J619" s="25" t="s">
        <v>110</v>
      </c>
      <c r="K619" s="4">
        <v>24</v>
      </c>
      <c r="L619" s="25">
        <v>24</v>
      </c>
      <c r="M619" s="4" t="s">
        <v>70</v>
      </c>
      <c r="N619" s="25" t="s">
        <v>70</v>
      </c>
      <c r="P619" s="25" t="s">
        <v>2120</v>
      </c>
      <c r="Q619" s="4" t="s">
        <v>59</v>
      </c>
      <c r="R619" s="25" t="s">
        <v>59</v>
      </c>
      <c r="S619" s="4">
        <v>0.88</v>
      </c>
      <c r="T619" s="26">
        <v>0.88</v>
      </c>
    </row>
    <row r="620" spans="1:20" x14ac:dyDescent="0.3">
      <c r="A620" s="27" t="s">
        <v>1340</v>
      </c>
      <c r="B620" s="4" t="s">
        <v>1341</v>
      </c>
      <c r="C620" s="4" t="s">
        <v>97</v>
      </c>
      <c r="D620" s="25" t="s">
        <v>97</v>
      </c>
      <c r="E620" s="4">
        <v>30</v>
      </c>
      <c r="F620" s="25">
        <v>30</v>
      </c>
      <c r="G620" s="4" t="s">
        <v>175</v>
      </c>
      <c r="H620" s="25" t="s">
        <v>175</v>
      </c>
      <c r="I620" s="4" t="s">
        <v>110</v>
      </c>
      <c r="J620" s="25" t="s">
        <v>110</v>
      </c>
      <c r="K620" s="4">
        <v>7</v>
      </c>
      <c r="L620" s="25">
        <v>7</v>
      </c>
      <c r="M620" s="4" t="s">
        <v>52</v>
      </c>
      <c r="N620" s="25" t="s">
        <v>52</v>
      </c>
      <c r="O620" s="4">
        <v>3.3</v>
      </c>
      <c r="P620" s="25">
        <v>3.3</v>
      </c>
      <c r="Q620" s="4" t="s">
        <v>51</v>
      </c>
      <c r="R620" s="25" t="s">
        <v>2120</v>
      </c>
      <c r="S620" s="4">
        <v>0.68</v>
      </c>
      <c r="T620" s="26">
        <v>0.68</v>
      </c>
    </row>
    <row r="621" spans="1:20" x14ac:dyDescent="0.3">
      <c r="A621" s="27" t="s">
        <v>1342</v>
      </c>
      <c r="B621" s="4" t="s">
        <v>1343</v>
      </c>
      <c r="C621" s="4" t="s">
        <v>50</v>
      </c>
      <c r="D621" s="25" t="s">
        <v>97</v>
      </c>
      <c r="E621" s="4">
        <v>43</v>
      </c>
      <c r="F621" s="25">
        <v>43</v>
      </c>
      <c r="G621" s="4" t="s">
        <v>29</v>
      </c>
      <c r="H621" s="25" t="s">
        <v>29</v>
      </c>
      <c r="I621" s="4" t="s">
        <v>46</v>
      </c>
      <c r="J621" s="25" t="s">
        <v>46</v>
      </c>
      <c r="K621" s="4">
        <v>13</v>
      </c>
      <c r="L621" s="25">
        <v>13</v>
      </c>
      <c r="M621" s="4" t="s">
        <v>251</v>
      </c>
      <c r="N621" s="25" t="s">
        <v>251</v>
      </c>
      <c r="O621" s="4">
        <v>1.4</v>
      </c>
      <c r="P621" s="25">
        <v>1.4</v>
      </c>
      <c r="Q621" s="4" t="s">
        <v>33</v>
      </c>
      <c r="R621" s="25" t="s">
        <v>33</v>
      </c>
      <c r="S621" s="4">
        <v>0.97</v>
      </c>
      <c r="T621" s="26">
        <v>0.97</v>
      </c>
    </row>
    <row r="622" spans="1:20" x14ac:dyDescent="0.3">
      <c r="A622" s="27" t="s">
        <v>1344</v>
      </c>
      <c r="B622" s="4" t="s">
        <v>1345</v>
      </c>
      <c r="C622" s="4" t="s">
        <v>118</v>
      </c>
      <c r="D622" s="25" t="s">
        <v>118</v>
      </c>
      <c r="E622" s="4">
        <v>22</v>
      </c>
      <c r="F622" s="25">
        <v>22</v>
      </c>
      <c r="G622" s="4" t="s">
        <v>160</v>
      </c>
      <c r="H622" s="25" t="s">
        <v>160</v>
      </c>
      <c r="I622" s="4" t="s">
        <v>93</v>
      </c>
      <c r="J622" s="25" t="s">
        <v>93</v>
      </c>
      <c r="K622" s="4">
        <v>2</v>
      </c>
      <c r="L622" s="25">
        <v>2</v>
      </c>
      <c r="M622" s="4" t="s">
        <v>192</v>
      </c>
      <c r="N622" s="25" t="s">
        <v>192</v>
      </c>
      <c r="O622" s="4">
        <v>1.7</v>
      </c>
      <c r="P622" s="25">
        <v>1.7</v>
      </c>
      <c r="Q622" s="4" t="s">
        <v>181</v>
      </c>
      <c r="R622" s="25" t="s">
        <v>181</v>
      </c>
      <c r="S622" s="4">
        <v>0.91</v>
      </c>
      <c r="T622" s="26">
        <v>0.91</v>
      </c>
    </row>
    <row r="623" spans="1:20" x14ac:dyDescent="0.3">
      <c r="A623" s="27" t="s">
        <v>1346</v>
      </c>
      <c r="B623" s="4" t="s">
        <v>1347</v>
      </c>
      <c r="C623" s="4" t="s">
        <v>113</v>
      </c>
      <c r="D623" s="25" t="s">
        <v>118</v>
      </c>
      <c r="E623" s="4">
        <v>57</v>
      </c>
      <c r="F623" s="25">
        <v>57</v>
      </c>
      <c r="G623" s="4" t="s">
        <v>201</v>
      </c>
      <c r="H623" s="25" t="s">
        <v>201</v>
      </c>
      <c r="I623" s="4" t="s">
        <v>135</v>
      </c>
      <c r="J623" s="25" t="s">
        <v>135</v>
      </c>
      <c r="K623" s="4">
        <v>37</v>
      </c>
      <c r="L623" s="25">
        <v>37</v>
      </c>
      <c r="M623" s="4" t="s">
        <v>52</v>
      </c>
      <c r="N623" s="25" t="s">
        <v>52</v>
      </c>
      <c r="O623" s="4">
        <v>4.8</v>
      </c>
      <c r="P623" s="25">
        <v>4.8</v>
      </c>
      <c r="Q623" s="4" t="s">
        <v>59</v>
      </c>
      <c r="R623" s="25" t="s">
        <v>59</v>
      </c>
      <c r="T623" s="26" t="s">
        <v>2120</v>
      </c>
    </row>
    <row r="624" spans="1:20" x14ac:dyDescent="0.3">
      <c r="A624" s="27" t="s">
        <v>1348</v>
      </c>
      <c r="B624" s="4" t="s">
        <v>1349</v>
      </c>
      <c r="C624" s="4" t="s">
        <v>78</v>
      </c>
      <c r="D624" s="25" t="s">
        <v>118</v>
      </c>
      <c r="E624" s="4">
        <v>44</v>
      </c>
      <c r="F624" s="25">
        <v>44</v>
      </c>
      <c r="G624" s="4" t="s">
        <v>85</v>
      </c>
      <c r="H624" s="25" t="s">
        <v>85</v>
      </c>
      <c r="I624" s="4" t="s">
        <v>39</v>
      </c>
      <c r="J624" s="25" t="s">
        <v>39</v>
      </c>
      <c r="K624" s="4">
        <v>1</v>
      </c>
      <c r="L624" s="25">
        <v>1</v>
      </c>
      <c r="M624" s="4" t="s">
        <v>51</v>
      </c>
      <c r="N624" s="25" t="s">
        <v>2119</v>
      </c>
      <c r="O624" s="4">
        <v>4.8</v>
      </c>
      <c r="P624" s="25">
        <v>4.8</v>
      </c>
      <c r="Q624" s="4" t="s">
        <v>41</v>
      </c>
      <c r="R624" s="25" t="s">
        <v>41</v>
      </c>
      <c r="S624" s="4">
        <v>0.97</v>
      </c>
      <c r="T624" s="26">
        <v>0.97</v>
      </c>
    </row>
    <row r="625" spans="1:20" x14ac:dyDescent="0.3">
      <c r="A625" s="27" t="s">
        <v>1350</v>
      </c>
      <c r="B625" s="4" t="s">
        <v>1351</v>
      </c>
      <c r="C625" s="4" t="s">
        <v>50</v>
      </c>
      <c r="D625" s="25" t="s">
        <v>97</v>
      </c>
      <c r="E625" s="4">
        <v>46</v>
      </c>
      <c r="F625" s="25">
        <v>46</v>
      </c>
      <c r="G625" s="4" t="s">
        <v>197</v>
      </c>
      <c r="H625" s="25" t="s">
        <v>197</v>
      </c>
      <c r="I625" s="4" t="s">
        <v>110</v>
      </c>
      <c r="J625" s="25" t="s">
        <v>110</v>
      </c>
      <c r="K625" s="4">
        <v>5</v>
      </c>
      <c r="L625" s="25">
        <v>5</v>
      </c>
      <c r="M625" s="4" t="s">
        <v>130</v>
      </c>
      <c r="N625" s="25" t="s">
        <v>130</v>
      </c>
      <c r="O625" s="4">
        <v>2</v>
      </c>
      <c r="P625" s="25">
        <v>2</v>
      </c>
      <c r="Q625" s="4" t="s">
        <v>87</v>
      </c>
      <c r="R625" s="25" t="s">
        <v>87</v>
      </c>
      <c r="S625" s="4">
        <v>0.64</v>
      </c>
      <c r="T625" s="26">
        <v>0.64</v>
      </c>
    </row>
    <row r="626" spans="1:20" x14ac:dyDescent="0.3">
      <c r="A626" s="27" t="s">
        <v>1352</v>
      </c>
      <c r="B626" s="4" t="s">
        <v>1353</v>
      </c>
      <c r="C626" s="4" t="s">
        <v>118</v>
      </c>
      <c r="D626" s="25" t="s">
        <v>118</v>
      </c>
      <c r="F626" s="25" t="s">
        <v>2119</v>
      </c>
      <c r="G626" s="4" t="s">
        <v>212</v>
      </c>
      <c r="H626" s="25" t="s">
        <v>212</v>
      </c>
      <c r="I626" s="4" t="s">
        <v>21</v>
      </c>
      <c r="J626" s="25" t="s">
        <v>21</v>
      </c>
      <c r="K626" s="4">
        <v>1</v>
      </c>
      <c r="L626" s="25">
        <v>1</v>
      </c>
      <c r="M626" s="4" t="s">
        <v>119</v>
      </c>
      <c r="N626" s="25" t="s">
        <v>119</v>
      </c>
      <c r="O626" s="4">
        <v>2.8</v>
      </c>
      <c r="P626" s="25">
        <v>2.8</v>
      </c>
      <c r="Q626" s="4" t="s">
        <v>181</v>
      </c>
      <c r="R626" s="25" t="s">
        <v>181</v>
      </c>
      <c r="S626" s="4">
        <v>0.87</v>
      </c>
      <c r="T626" s="26">
        <v>0.87</v>
      </c>
    </row>
    <row r="627" spans="1:20" x14ac:dyDescent="0.3">
      <c r="A627" s="27" t="s">
        <v>1354</v>
      </c>
      <c r="B627" s="4" t="s">
        <v>1355</v>
      </c>
      <c r="C627" s="4" t="s">
        <v>97</v>
      </c>
      <c r="D627" s="25" t="s">
        <v>97</v>
      </c>
      <c r="E627" s="4">
        <v>34</v>
      </c>
      <c r="F627" s="25">
        <v>34</v>
      </c>
      <c r="G627" s="4" t="s">
        <v>29</v>
      </c>
      <c r="H627" s="25" t="s">
        <v>29</v>
      </c>
      <c r="I627" s="4" t="s">
        <v>66</v>
      </c>
      <c r="J627" s="25" t="s">
        <v>66</v>
      </c>
      <c r="K627" s="4">
        <v>2</v>
      </c>
      <c r="L627" s="25">
        <v>2</v>
      </c>
      <c r="M627" s="4" t="s">
        <v>22</v>
      </c>
      <c r="N627" s="25" t="s">
        <v>22</v>
      </c>
      <c r="O627" s="4">
        <v>0</v>
      </c>
      <c r="P627" s="25">
        <v>0</v>
      </c>
      <c r="Q627" s="4" t="s">
        <v>23</v>
      </c>
      <c r="R627" s="25" t="s">
        <v>23</v>
      </c>
      <c r="S627" s="4">
        <v>86</v>
      </c>
      <c r="T627" s="26">
        <v>86</v>
      </c>
    </row>
    <row r="628" spans="1:20" x14ac:dyDescent="0.3">
      <c r="A628" s="27" t="s">
        <v>1356</v>
      </c>
      <c r="B628" s="4" t="s">
        <v>1357</v>
      </c>
      <c r="C628" s="4" t="s">
        <v>45</v>
      </c>
      <c r="D628" s="25" t="s">
        <v>97</v>
      </c>
      <c r="E628" s="4">
        <v>46</v>
      </c>
      <c r="F628" s="25">
        <v>46</v>
      </c>
      <c r="G628" s="4" t="s">
        <v>19</v>
      </c>
      <c r="H628" s="25" t="s">
        <v>19</v>
      </c>
      <c r="I628" s="4" t="s">
        <v>31</v>
      </c>
      <c r="J628" s="25" t="s">
        <v>31</v>
      </c>
      <c r="L628" s="25" t="s">
        <v>2120</v>
      </c>
      <c r="M628" s="4" t="s">
        <v>251</v>
      </c>
      <c r="N628" s="25" t="s">
        <v>251</v>
      </c>
      <c r="O628" s="4">
        <v>4.4000000000000004</v>
      </c>
      <c r="P628" s="25">
        <v>4.4000000000000004</v>
      </c>
      <c r="Q628" s="4" t="s">
        <v>33</v>
      </c>
      <c r="R628" s="25" t="s">
        <v>33</v>
      </c>
      <c r="S628" s="4">
        <v>97</v>
      </c>
      <c r="T628" s="26">
        <v>97</v>
      </c>
    </row>
    <row r="629" spans="1:20" x14ac:dyDescent="0.3">
      <c r="A629" s="27" t="s">
        <v>1358</v>
      </c>
      <c r="B629" s="4" t="s">
        <v>1359</v>
      </c>
      <c r="C629" s="4" t="s">
        <v>18</v>
      </c>
      <c r="D629" s="25" t="s">
        <v>97</v>
      </c>
      <c r="E629" s="4">
        <v>22</v>
      </c>
      <c r="F629" s="25">
        <v>22</v>
      </c>
      <c r="G629" s="4" t="s">
        <v>156</v>
      </c>
      <c r="H629" s="25" t="s">
        <v>156</v>
      </c>
      <c r="I629" s="4" t="s">
        <v>21</v>
      </c>
      <c r="J629" s="25" t="s">
        <v>21</v>
      </c>
      <c r="K629" s="4">
        <v>0</v>
      </c>
      <c r="L629" s="25">
        <v>0</v>
      </c>
      <c r="M629" s="4" t="s">
        <v>130</v>
      </c>
      <c r="N629" s="25" t="s">
        <v>130</v>
      </c>
      <c r="O629" s="4">
        <v>4.9000000000000004</v>
      </c>
      <c r="P629" s="25">
        <v>4.9000000000000004</v>
      </c>
      <c r="Q629" s="4" t="s">
        <v>59</v>
      </c>
      <c r="R629" s="25" t="s">
        <v>59</v>
      </c>
      <c r="S629" s="4">
        <v>0.73</v>
      </c>
      <c r="T629" s="26">
        <v>0.73</v>
      </c>
    </row>
    <row r="630" spans="1:20" x14ac:dyDescent="0.3">
      <c r="A630" s="27" t="s">
        <v>1360</v>
      </c>
      <c r="B630" s="4" t="s">
        <v>1361</v>
      </c>
      <c r="C630" s="4" t="s">
        <v>50</v>
      </c>
      <c r="D630" s="25" t="s">
        <v>97</v>
      </c>
      <c r="E630" s="4">
        <v>23</v>
      </c>
      <c r="F630" s="25">
        <v>23</v>
      </c>
      <c r="G630" s="4" t="s">
        <v>175</v>
      </c>
      <c r="H630" s="25" t="s">
        <v>175</v>
      </c>
      <c r="I630" s="4" t="s">
        <v>57</v>
      </c>
      <c r="J630" s="25" t="s">
        <v>57</v>
      </c>
      <c r="K630" s="4">
        <v>0</v>
      </c>
      <c r="L630" s="25">
        <v>0</v>
      </c>
      <c r="M630" s="4" t="s">
        <v>67</v>
      </c>
      <c r="N630" s="25" t="s">
        <v>67</v>
      </c>
      <c r="O630" s="4">
        <v>2.2999999999999998</v>
      </c>
      <c r="P630" s="25">
        <v>2.2999999999999998</v>
      </c>
      <c r="Q630" s="4" t="s">
        <v>51</v>
      </c>
      <c r="R630" s="25" t="s">
        <v>2120</v>
      </c>
      <c r="S630" s="4">
        <v>0.6</v>
      </c>
      <c r="T630" s="26">
        <v>0.6</v>
      </c>
    </row>
    <row r="631" spans="1:20" x14ac:dyDescent="0.3">
      <c r="A631" s="27" t="s">
        <v>1362</v>
      </c>
      <c r="B631" s="4" t="s">
        <v>1363</v>
      </c>
      <c r="C631" s="4" t="s">
        <v>45</v>
      </c>
      <c r="D631" s="25" t="s">
        <v>97</v>
      </c>
      <c r="E631" s="4">
        <v>60</v>
      </c>
      <c r="F631" s="25">
        <v>60</v>
      </c>
      <c r="G631" s="4" t="s">
        <v>79</v>
      </c>
      <c r="H631" s="25" t="s">
        <v>79</v>
      </c>
      <c r="I631" s="4" t="s">
        <v>46</v>
      </c>
      <c r="J631" s="25" t="s">
        <v>46</v>
      </c>
      <c r="K631" s="4">
        <v>41</v>
      </c>
      <c r="L631" s="25">
        <v>41</v>
      </c>
      <c r="M631" s="4" t="s">
        <v>47</v>
      </c>
      <c r="N631" s="25" t="s">
        <v>47</v>
      </c>
      <c r="O631" s="4">
        <v>4.9000000000000004</v>
      </c>
      <c r="P631" s="25">
        <v>4.9000000000000004</v>
      </c>
      <c r="Q631" s="4" t="s">
        <v>33</v>
      </c>
      <c r="R631" s="25" t="s">
        <v>33</v>
      </c>
      <c r="S631" s="4">
        <v>66</v>
      </c>
      <c r="T631" s="26">
        <v>66</v>
      </c>
    </row>
    <row r="632" spans="1:20" x14ac:dyDescent="0.3">
      <c r="A632" s="27" t="s">
        <v>1364</v>
      </c>
      <c r="B632" s="4" t="s">
        <v>1365</v>
      </c>
      <c r="C632" s="4" t="s">
        <v>63</v>
      </c>
      <c r="D632" s="25" t="s">
        <v>118</v>
      </c>
      <c r="E632" s="4">
        <v>20</v>
      </c>
      <c r="F632" s="25">
        <v>20</v>
      </c>
      <c r="G632" s="4" t="s">
        <v>149</v>
      </c>
      <c r="H632" s="25" t="s">
        <v>149</v>
      </c>
      <c r="I632" s="4" t="s">
        <v>110</v>
      </c>
      <c r="J632" s="25" t="s">
        <v>110</v>
      </c>
      <c r="L632" s="25" t="s">
        <v>2120</v>
      </c>
      <c r="M632" s="4" t="s">
        <v>192</v>
      </c>
      <c r="N632" s="25" t="s">
        <v>192</v>
      </c>
      <c r="O632" s="4">
        <v>4.3</v>
      </c>
      <c r="P632" s="25">
        <v>4.3</v>
      </c>
      <c r="Q632" s="4" t="s">
        <v>23</v>
      </c>
      <c r="R632" s="25" t="s">
        <v>23</v>
      </c>
      <c r="S632" s="4">
        <v>0.9</v>
      </c>
      <c r="T632" s="26">
        <v>0.9</v>
      </c>
    </row>
    <row r="633" spans="1:20" x14ac:dyDescent="0.3">
      <c r="A633" s="27" t="s">
        <v>1366</v>
      </c>
      <c r="B633" s="4" t="s">
        <v>1367</v>
      </c>
      <c r="C633" s="4" t="s">
        <v>18</v>
      </c>
      <c r="D633" s="25" t="s">
        <v>97</v>
      </c>
      <c r="E633" s="4">
        <v>41</v>
      </c>
      <c r="F633" s="25">
        <v>41</v>
      </c>
      <c r="G633" s="4" t="s">
        <v>133</v>
      </c>
      <c r="H633" s="25" t="s">
        <v>133</v>
      </c>
      <c r="I633" s="4" t="s">
        <v>93</v>
      </c>
      <c r="J633" s="25" t="s">
        <v>93</v>
      </c>
      <c r="K633" s="4">
        <v>23</v>
      </c>
      <c r="L633" s="25">
        <v>23</v>
      </c>
      <c r="M633" s="4" t="s">
        <v>192</v>
      </c>
      <c r="N633" s="25" t="s">
        <v>192</v>
      </c>
      <c r="O633" s="4">
        <v>1.4</v>
      </c>
      <c r="P633" s="25">
        <v>1.4</v>
      </c>
      <c r="Q633" s="4" t="s">
        <v>23</v>
      </c>
      <c r="R633" s="25" t="s">
        <v>23</v>
      </c>
      <c r="T633" s="26" t="s">
        <v>2120</v>
      </c>
    </row>
    <row r="634" spans="1:20" x14ac:dyDescent="0.3">
      <c r="A634" s="27" t="s">
        <v>1368</v>
      </c>
      <c r="B634" s="4" t="s">
        <v>1369</v>
      </c>
      <c r="C634" s="4" t="s">
        <v>63</v>
      </c>
      <c r="D634" s="25" t="s">
        <v>118</v>
      </c>
      <c r="E634" s="4">
        <v>24</v>
      </c>
      <c r="F634" s="25">
        <v>24</v>
      </c>
      <c r="G634" s="4" t="s">
        <v>156</v>
      </c>
      <c r="H634" s="25" t="s">
        <v>156</v>
      </c>
      <c r="I634" s="4" t="s">
        <v>31</v>
      </c>
      <c r="J634" s="25" t="s">
        <v>31</v>
      </c>
      <c r="K634" s="4">
        <v>0</v>
      </c>
      <c r="L634" s="25">
        <v>0</v>
      </c>
      <c r="M634" s="4" t="s">
        <v>22</v>
      </c>
      <c r="N634" s="25" t="s">
        <v>22</v>
      </c>
      <c r="P634" s="25" t="s">
        <v>2120</v>
      </c>
      <c r="Q634" s="4" t="s">
        <v>181</v>
      </c>
      <c r="R634" s="25" t="s">
        <v>181</v>
      </c>
      <c r="T634" s="26" t="s">
        <v>2120</v>
      </c>
    </row>
    <row r="635" spans="1:20" x14ac:dyDescent="0.3">
      <c r="A635" s="27" t="s">
        <v>1370</v>
      </c>
      <c r="B635" s="4" t="s">
        <v>1371</v>
      </c>
      <c r="C635" s="4" t="s">
        <v>63</v>
      </c>
      <c r="D635" s="25" t="s">
        <v>118</v>
      </c>
      <c r="E635" s="4">
        <v>44</v>
      </c>
      <c r="F635" s="25">
        <v>44</v>
      </c>
      <c r="G635" s="4" t="s">
        <v>55</v>
      </c>
      <c r="H635" s="25" t="s">
        <v>55</v>
      </c>
      <c r="I635" s="4" t="s">
        <v>135</v>
      </c>
      <c r="J635" s="25" t="s">
        <v>135</v>
      </c>
      <c r="K635" s="4">
        <v>4</v>
      </c>
      <c r="L635" s="25">
        <v>4</v>
      </c>
      <c r="M635" s="4" t="s">
        <v>51</v>
      </c>
      <c r="N635" s="25" t="s">
        <v>2119</v>
      </c>
      <c r="O635" s="4">
        <v>1.3</v>
      </c>
      <c r="P635" s="25">
        <v>1.3</v>
      </c>
      <c r="Q635" s="4" t="s">
        <v>87</v>
      </c>
      <c r="R635" s="25" t="s">
        <v>87</v>
      </c>
      <c r="S635" s="4">
        <v>77</v>
      </c>
      <c r="T635" s="26">
        <v>77</v>
      </c>
    </row>
    <row r="636" spans="1:20" x14ac:dyDescent="0.3">
      <c r="A636" s="27" t="s">
        <v>1372</v>
      </c>
      <c r="B636" s="4" t="s">
        <v>1373</v>
      </c>
      <c r="C636" s="4" t="s">
        <v>78</v>
      </c>
      <c r="D636" s="25" t="s">
        <v>118</v>
      </c>
      <c r="E636" s="4">
        <v>52</v>
      </c>
      <c r="F636" s="25">
        <v>52</v>
      </c>
      <c r="G636" s="4" t="s">
        <v>197</v>
      </c>
      <c r="H636" s="25" t="s">
        <v>197</v>
      </c>
      <c r="I636" s="4" t="s">
        <v>93</v>
      </c>
      <c r="J636" s="25" t="s">
        <v>93</v>
      </c>
      <c r="K636" s="4">
        <v>4</v>
      </c>
      <c r="L636" s="25">
        <v>4</v>
      </c>
      <c r="M636" s="4" t="s">
        <v>103</v>
      </c>
      <c r="N636" s="25" t="s">
        <v>103</v>
      </c>
      <c r="O636" s="4">
        <v>2.2999999999999998</v>
      </c>
      <c r="P636" s="25">
        <v>2.2999999999999998</v>
      </c>
      <c r="Q636" s="4" t="s">
        <v>33</v>
      </c>
      <c r="R636" s="25" t="s">
        <v>33</v>
      </c>
      <c r="S636" s="4">
        <v>0.79</v>
      </c>
      <c r="T636" s="26">
        <v>0.79</v>
      </c>
    </row>
    <row r="637" spans="1:20" x14ac:dyDescent="0.3">
      <c r="A637" s="27" t="s">
        <v>1374</v>
      </c>
      <c r="B637" s="4" t="s">
        <v>1375</v>
      </c>
      <c r="C637" s="4" t="s">
        <v>113</v>
      </c>
      <c r="D637" s="25" t="s">
        <v>118</v>
      </c>
      <c r="E637" s="4">
        <v>35</v>
      </c>
      <c r="F637" s="25">
        <v>35</v>
      </c>
      <c r="G637" s="4" t="s">
        <v>212</v>
      </c>
      <c r="H637" s="25" t="s">
        <v>212</v>
      </c>
      <c r="I637" s="4" t="s">
        <v>135</v>
      </c>
      <c r="J637" s="25" t="s">
        <v>135</v>
      </c>
      <c r="K637" s="4">
        <v>13</v>
      </c>
      <c r="L637" s="25">
        <v>13</v>
      </c>
      <c r="M637" s="4" t="s">
        <v>86</v>
      </c>
      <c r="N637" s="25" t="s">
        <v>86</v>
      </c>
      <c r="O637" s="4">
        <v>3.6</v>
      </c>
      <c r="P637" s="25">
        <v>3.6</v>
      </c>
      <c r="Q637" s="4" t="s">
        <v>23</v>
      </c>
      <c r="R637" s="25" t="s">
        <v>23</v>
      </c>
      <c r="S637" s="4">
        <v>0.83</v>
      </c>
      <c r="T637" s="26">
        <v>0.83</v>
      </c>
    </row>
    <row r="638" spans="1:20" x14ac:dyDescent="0.3">
      <c r="A638" s="27" t="s">
        <v>1376</v>
      </c>
      <c r="B638" s="4" t="s">
        <v>1377</v>
      </c>
      <c r="C638" s="4" t="s">
        <v>97</v>
      </c>
      <c r="D638" s="25" t="s">
        <v>97</v>
      </c>
      <c r="E638" s="4">
        <v>24</v>
      </c>
      <c r="F638" s="25">
        <v>24</v>
      </c>
      <c r="G638" s="4" t="s">
        <v>55</v>
      </c>
      <c r="H638" s="25" t="s">
        <v>55</v>
      </c>
      <c r="I638" s="4" t="s">
        <v>110</v>
      </c>
      <c r="J638" s="25" t="s">
        <v>110</v>
      </c>
      <c r="K638" s="4">
        <v>2</v>
      </c>
      <c r="L638" s="25">
        <v>2</v>
      </c>
      <c r="M638" s="4" t="s">
        <v>81</v>
      </c>
      <c r="N638" s="25" t="s">
        <v>81</v>
      </c>
      <c r="P638" s="25" t="s">
        <v>2120</v>
      </c>
      <c r="Q638" s="4" t="s">
        <v>41</v>
      </c>
      <c r="R638" s="25" t="s">
        <v>41</v>
      </c>
      <c r="S638" s="4">
        <v>0.64</v>
      </c>
      <c r="T638" s="26">
        <v>0.64</v>
      </c>
    </row>
    <row r="639" spans="1:20" x14ac:dyDescent="0.3">
      <c r="A639" s="27" t="s">
        <v>1378</v>
      </c>
      <c r="B639" s="4" t="s">
        <v>1379</v>
      </c>
      <c r="C639" s="4" t="s">
        <v>28</v>
      </c>
      <c r="D639" s="25" t="s">
        <v>97</v>
      </c>
      <c r="E639" s="4">
        <v>46</v>
      </c>
      <c r="F639" s="25">
        <v>46</v>
      </c>
      <c r="G639" s="4" t="s">
        <v>29</v>
      </c>
      <c r="H639" s="25" t="s">
        <v>29</v>
      </c>
      <c r="I639" s="4" t="s">
        <v>98</v>
      </c>
      <c r="J639" s="25" t="s">
        <v>98</v>
      </c>
      <c r="K639" s="4">
        <v>25</v>
      </c>
      <c r="L639" s="25">
        <v>25</v>
      </c>
      <c r="M639" s="4" t="s">
        <v>251</v>
      </c>
      <c r="N639" s="25" t="s">
        <v>251</v>
      </c>
      <c r="O639" s="4">
        <v>1.3</v>
      </c>
      <c r="P639" s="25">
        <v>1.3</v>
      </c>
      <c r="Q639" s="4" t="s">
        <v>181</v>
      </c>
      <c r="R639" s="25" t="s">
        <v>181</v>
      </c>
      <c r="S639" s="4">
        <v>0.8</v>
      </c>
      <c r="T639" s="26">
        <v>0.8</v>
      </c>
    </row>
    <row r="640" spans="1:20" x14ac:dyDescent="0.3">
      <c r="A640" s="27" t="s">
        <v>1380</v>
      </c>
      <c r="B640" s="4" t="s">
        <v>1381</v>
      </c>
      <c r="C640" s="4" t="s">
        <v>113</v>
      </c>
      <c r="D640" s="25" t="s">
        <v>118</v>
      </c>
      <c r="E640" s="4">
        <v>57</v>
      </c>
      <c r="F640" s="25">
        <v>57</v>
      </c>
      <c r="G640" s="4" t="s">
        <v>201</v>
      </c>
      <c r="H640" s="25" t="s">
        <v>201</v>
      </c>
      <c r="I640" s="4" t="s">
        <v>31</v>
      </c>
      <c r="J640" s="25" t="s">
        <v>31</v>
      </c>
      <c r="K640" s="4">
        <v>18</v>
      </c>
      <c r="L640" s="25">
        <v>18</v>
      </c>
      <c r="M640" s="4" t="s">
        <v>130</v>
      </c>
      <c r="N640" s="25" t="s">
        <v>130</v>
      </c>
      <c r="O640" s="4">
        <v>1.1000000000000001</v>
      </c>
      <c r="P640" s="25">
        <v>1.1000000000000001</v>
      </c>
      <c r="Q640" s="4" t="s">
        <v>59</v>
      </c>
      <c r="R640" s="25" t="s">
        <v>59</v>
      </c>
      <c r="S640" s="4">
        <v>0.9</v>
      </c>
      <c r="T640" s="26">
        <v>0.9</v>
      </c>
    </row>
    <row r="641" spans="1:20" x14ac:dyDescent="0.3">
      <c r="A641" s="27" t="s">
        <v>1382</v>
      </c>
      <c r="B641" s="4" t="s">
        <v>1383</v>
      </c>
      <c r="C641" s="4" t="s">
        <v>45</v>
      </c>
      <c r="D641" s="25" t="s">
        <v>97</v>
      </c>
      <c r="E641" s="4">
        <v>49</v>
      </c>
      <c r="F641" s="25">
        <v>49</v>
      </c>
      <c r="G641" s="4" t="s">
        <v>201</v>
      </c>
      <c r="H641" s="25" t="s">
        <v>201</v>
      </c>
      <c r="I641" s="4" t="s">
        <v>46</v>
      </c>
      <c r="J641" s="25" t="s">
        <v>46</v>
      </c>
      <c r="K641" s="4">
        <v>24</v>
      </c>
      <c r="L641" s="25">
        <v>24</v>
      </c>
      <c r="M641" s="4" t="s">
        <v>81</v>
      </c>
      <c r="N641" s="25" t="s">
        <v>81</v>
      </c>
      <c r="O641" s="4">
        <v>0</v>
      </c>
      <c r="P641" s="25">
        <v>0</v>
      </c>
      <c r="Q641" s="4" t="s">
        <v>23</v>
      </c>
      <c r="R641" s="25" t="s">
        <v>23</v>
      </c>
      <c r="S641" s="4">
        <v>0.94</v>
      </c>
      <c r="T641" s="26">
        <v>0.94</v>
      </c>
    </row>
    <row r="642" spans="1:20" x14ac:dyDescent="0.3">
      <c r="A642" s="27" t="s">
        <v>1384</v>
      </c>
      <c r="B642" s="4" t="s">
        <v>1385</v>
      </c>
      <c r="C642" s="4" t="s">
        <v>78</v>
      </c>
      <c r="D642" s="25" t="s">
        <v>118</v>
      </c>
      <c r="E642" s="4">
        <v>41</v>
      </c>
      <c r="F642" s="25">
        <v>41</v>
      </c>
      <c r="G642" s="4" t="s">
        <v>106</v>
      </c>
      <c r="H642" s="25" t="s">
        <v>106</v>
      </c>
      <c r="I642" s="4" t="s">
        <v>57</v>
      </c>
      <c r="J642" s="25" t="s">
        <v>57</v>
      </c>
      <c r="K642" s="4">
        <v>7</v>
      </c>
      <c r="L642" s="25">
        <v>7</v>
      </c>
      <c r="M642" s="4" t="s">
        <v>86</v>
      </c>
      <c r="N642" s="25" t="s">
        <v>86</v>
      </c>
      <c r="O642" s="4">
        <v>1.8</v>
      </c>
      <c r="P642" s="25">
        <v>1.8</v>
      </c>
      <c r="Q642" s="4" t="s">
        <v>59</v>
      </c>
      <c r="R642" s="25" t="s">
        <v>59</v>
      </c>
      <c r="S642" s="4">
        <v>0.7</v>
      </c>
      <c r="T642" s="26">
        <v>0.7</v>
      </c>
    </row>
    <row r="643" spans="1:20" x14ac:dyDescent="0.3">
      <c r="A643" s="27" t="s">
        <v>1386</v>
      </c>
      <c r="B643" s="4" t="s">
        <v>1387</v>
      </c>
      <c r="C643" s="4" t="s">
        <v>37</v>
      </c>
      <c r="D643" s="25" t="s">
        <v>118</v>
      </c>
      <c r="E643" s="4">
        <v>22</v>
      </c>
      <c r="F643" s="25">
        <v>22</v>
      </c>
      <c r="G643" s="4" t="s">
        <v>201</v>
      </c>
      <c r="H643" s="25" t="s">
        <v>201</v>
      </c>
      <c r="I643" s="4" t="s">
        <v>135</v>
      </c>
      <c r="J643" s="25" t="s">
        <v>135</v>
      </c>
      <c r="K643" s="4">
        <v>1</v>
      </c>
      <c r="L643" s="25">
        <v>1</v>
      </c>
      <c r="M643" s="4" t="s">
        <v>336</v>
      </c>
      <c r="N643" s="25" t="s">
        <v>336</v>
      </c>
      <c r="P643" s="25" t="s">
        <v>2120</v>
      </c>
      <c r="Q643" s="4" t="s">
        <v>87</v>
      </c>
      <c r="R643" s="25" t="s">
        <v>87</v>
      </c>
      <c r="S643" s="4">
        <v>0.75</v>
      </c>
      <c r="T643" s="26">
        <v>0.75</v>
      </c>
    </row>
    <row r="644" spans="1:20" x14ac:dyDescent="0.3">
      <c r="A644" s="27" t="s">
        <v>1388</v>
      </c>
      <c r="B644" s="4" t="s">
        <v>1389</v>
      </c>
      <c r="C644" s="4" t="s">
        <v>37</v>
      </c>
      <c r="D644" s="25" t="s">
        <v>118</v>
      </c>
      <c r="E644" s="4">
        <v>50</v>
      </c>
      <c r="F644" s="25">
        <v>50</v>
      </c>
      <c r="G644" s="4" t="s">
        <v>29</v>
      </c>
      <c r="H644" s="25" t="s">
        <v>29</v>
      </c>
      <c r="I644" s="4" t="s">
        <v>21</v>
      </c>
      <c r="J644" s="25" t="s">
        <v>21</v>
      </c>
      <c r="K644" s="4">
        <v>17</v>
      </c>
      <c r="L644" s="25">
        <v>17</v>
      </c>
      <c r="M644" s="4" t="s">
        <v>103</v>
      </c>
      <c r="N644" s="25" t="s">
        <v>103</v>
      </c>
      <c r="O644" s="4">
        <v>3.3</v>
      </c>
      <c r="P644" s="25">
        <v>3.3</v>
      </c>
      <c r="Q644" s="4" t="s">
        <v>33</v>
      </c>
      <c r="R644" s="25" t="s">
        <v>33</v>
      </c>
      <c r="S644" s="4">
        <v>0.69</v>
      </c>
      <c r="T644" s="26">
        <v>0.69</v>
      </c>
    </row>
    <row r="645" spans="1:20" x14ac:dyDescent="0.3">
      <c r="A645" s="27" t="s">
        <v>1390</v>
      </c>
      <c r="B645" s="4" t="s">
        <v>1391</v>
      </c>
      <c r="C645" s="4" t="s">
        <v>37</v>
      </c>
      <c r="D645" s="25" t="s">
        <v>118</v>
      </c>
      <c r="E645" s="4">
        <v>57</v>
      </c>
      <c r="F645" s="25">
        <v>57</v>
      </c>
      <c r="G645" s="4" t="s">
        <v>38</v>
      </c>
      <c r="H645" s="25" t="s">
        <v>38</v>
      </c>
      <c r="I645" s="4" t="s">
        <v>39</v>
      </c>
      <c r="J645" s="25" t="s">
        <v>39</v>
      </c>
      <c r="K645" s="4">
        <v>4</v>
      </c>
      <c r="L645" s="25">
        <v>4</v>
      </c>
      <c r="M645" s="4" t="s">
        <v>130</v>
      </c>
      <c r="N645" s="25" t="s">
        <v>130</v>
      </c>
      <c r="O645" s="4">
        <v>4.2</v>
      </c>
      <c r="P645" s="25">
        <v>4.2</v>
      </c>
      <c r="Q645" s="4" t="s">
        <v>23</v>
      </c>
      <c r="R645" s="25" t="s">
        <v>23</v>
      </c>
      <c r="T645" s="26" t="s">
        <v>2120</v>
      </c>
    </row>
    <row r="646" spans="1:20" x14ac:dyDescent="0.3">
      <c r="A646" s="27" t="s">
        <v>1392</v>
      </c>
      <c r="B646" s="4" t="s">
        <v>1393</v>
      </c>
      <c r="C646" s="4" t="s">
        <v>28</v>
      </c>
      <c r="D646" s="25" t="s">
        <v>97</v>
      </c>
      <c r="E646" s="4">
        <v>47</v>
      </c>
      <c r="F646" s="25">
        <v>47</v>
      </c>
      <c r="G646" s="4" t="s">
        <v>201</v>
      </c>
      <c r="H646" s="25" t="s">
        <v>201</v>
      </c>
      <c r="I646" s="4" t="s">
        <v>57</v>
      </c>
      <c r="J646" s="25" t="s">
        <v>57</v>
      </c>
      <c r="K646" s="4">
        <v>29</v>
      </c>
      <c r="L646" s="25">
        <v>29</v>
      </c>
      <c r="M646" s="4" t="s">
        <v>81</v>
      </c>
      <c r="N646" s="25" t="s">
        <v>81</v>
      </c>
      <c r="P646" s="25" t="s">
        <v>2120</v>
      </c>
      <c r="Q646" s="4" t="s">
        <v>33</v>
      </c>
      <c r="R646" s="25" t="s">
        <v>33</v>
      </c>
      <c r="S646" s="4">
        <v>0.79</v>
      </c>
      <c r="T646" s="26">
        <v>0.79</v>
      </c>
    </row>
    <row r="647" spans="1:20" x14ac:dyDescent="0.3">
      <c r="A647" s="27" t="s">
        <v>1394</v>
      </c>
      <c r="B647" s="4" t="s">
        <v>1395</v>
      </c>
      <c r="C647" s="4" t="s">
        <v>113</v>
      </c>
      <c r="D647" s="25" t="s">
        <v>118</v>
      </c>
      <c r="E647" s="4">
        <v>24</v>
      </c>
      <c r="F647" s="25">
        <v>24</v>
      </c>
      <c r="G647" s="4" t="s">
        <v>175</v>
      </c>
      <c r="H647" s="25" t="s">
        <v>175</v>
      </c>
      <c r="I647" s="4" t="s">
        <v>66</v>
      </c>
      <c r="J647" s="25" t="s">
        <v>66</v>
      </c>
      <c r="K647" s="4">
        <v>2</v>
      </c>
      <c r="L647" s="25">
        <v>2</v>
      </c>
      <c r="M647" s="4" t="s">
        <v>251</v>
      </c>
      <c r="N647" s="25" t="s">
        <v>251</v>
      </c>
      <c r="O647" s="4">
        <v>3.8</v>
      </c>
      <c r="P647" s="25">
        <v>3.8</v>
      </c>
      <c r="Q647" s="4" t="s">
        <v>33</v>
      </c>
      <c r="R647" s="25" t="s">
        <v>33</v>
      </c>
      <c r="S647" s="4">
        <v>0.71</v>
      </c>
      <c r="T647" s="26">
        <v>0.71</v>
      </c>
    </row>
    <row r="648" spans="1:20" x14ac:dyDescent="0.3">
      <c r="A648" s="27" t="s">
        <v>1396</v>
      </c>
      <c r="B648" s="4" t="s">
        <v>1397</v>
      </c>
      <c r="C648" s="4" t="s">
        <v>37</v>
      </c>
      <c r="D648" s="25" t="s">
        <v>118</v>
      </c>
      <c r="F648" s="25" t="s">
        <v>2119</v>
      </c>
      <c r="G648" s="4" t="s">
        <v>114</v>
      </c>
      <c r="H648" s="25" t="s">
        <v>114</v>
      </c>
      <c r="I648" s="4" t="s">
        <v>98</v>
      </c>
      <c r="J648" s="25" t="s">
        <v>98</v>
      </c>
      <c r="K648" s="4">
        <v>9</v>
      </c>
      <c r="L648" s="25">
        <v>9</v>
      </c>
      <c r="M648" s="4" t="s">
        <v>22</v>
      </c>
      <c r="N648" s="25" t="s">
        <v>22</v>
      </c>
      <c r="O648" s="4">
        <v>4.8</v>
      </c>
      <c r="P648" s="25">
        <v>4.8</v>
      </c>
      <c r="Q648" s="4" t="s">
        <v>94</v>
      </c>
      <c r="R648" s="25" t="s">
        <v>94</v>
      </c>
      <c r="S648" s="4">
        <v>0.72</v>
      </c>
      <c r="T648" s="26">
        <v>0.72</v>
      </c>
    </row>
    <row r="649" spans="1:20" x14ac:dyDescent="0.3">
      <c r="A649" s="27" t="s">
        <v>1398</v>
      </c>
      <c r="B649" s="4" t="s">
        <v>1399</v>
      </c>
      <c r="C649" s="4" t="s">
        <v>28</v>
      </c>
      <c r="D649" s="25" t="s">
        <v>97</v>
      </c>
      <c r="E649" s="4">
        <v>50</v>
      </c>
      <c r="F649" s="25">
        <v>50</v>
      </c>
      <c r="G649" s="4" t="s">
        <v>38</v>
      </c>
      <c r="H649" s="25" t="s">
        <v>38</v>
      </c>
      <c r="I649" s="4" t="s">
        <v>110</v>
      </c>
      <c r="J649" s="25" t="s">
        <v>110</v>
      </c>
      <c r="K649" s="4">
        <v>10</v>
      </c>
      <c r="L649" s="25">
        <v>10</v>
      </c>
      <c r="M649" s="4" t="s">
        <v>251</v>
      </c>
      <c r="N649" s="25" t="s">
        <v>251</v>
      </c>
      <c r="O649" s="4">
        <v>4.3</v>
      </c>
      <c r="P649" s="25">
        <v>4.3</v>
      </c>
      <c r="Q649" s="4" t="s">
        <v>41</v>
      </c>
      <c r="R649" s="25" t="s">
        <v>41</v>
      </c>
      <c r="S649" s="4">
        <v>0.93</v>
      </c>
      <c r="T649" s="26">
        <v>0.93</v>
      </c>
    </row>
    <row r="650" spans="1:20" x14ac:dyDescent="0.3">
      <c r="A650" s="27" t="s">
        <v>1400</v>
      </c>
      <c r="B650" s="4" t="s">
        <v>1401</v>
      </c>
      <c r="C650" s="4" t="s">
        <v>113</v>
      </c>
      <c r="D650" s="25" t="s">
        <v>118</v>
      </c>
      <c r="E650" s="4">
        <v>46</v>
      </c>
      <c r="F650" s="25">
        <v>46</v>
      </c>
      <c r="G650" s="4" t="s">
        <v>128</v>
      </c>
      <c r="H650" s="25" t="s">
        <v>128</v>
      </c>
      <c r="I650" s="4" t="s">
        <v>135</v>
      </c>
      <c r="J650" s="25" t="s">
        <v>135</v>
      </c>
      <c r="K650" s="4">
        <v>20</v>
      </c>
      <c r="L650" s="25">
        <v>20</v>
      </c>
      <c r="M650" s="4" t="s">
        <v>51</v>
      </c>
      <c r="N650" s="25" t="s">
        <v>2119</v>
      </c>
      <c r="O650" s="4">
        <v>4.8</v>
      </c>
      <c r="P650" s="25">
        <v>4.8</v>
      </c>
      <c r="Q650" s="4" t="s">
        <v>33</v>
      </c>
      <c r="R650" s="25" t="s">
        <v>33</v>
      </c>
      <c r="S650" s="4">
        <v>0.82</v>
      </c>
      <c r="T650" s="26">
        <v>0.82</v>
      </c>
    </row>
    <row r="651" spans="1:20" x14ac:dyDescent="0.3">
      <c r="A651" s="27" t="s">
        <v>1402</v>
      </c>
      <c r="B651" s="4" t="s">
        <v>1403</v>
      </c>
      <c r="C651" s="4" t="s">
        <v>37</v>
      </c>
      <c r="D651" s="25" t="s">
        <v>118</v>
      </c>
      <c r="E651" s="4">
        <v>51</v>
      </c>
      <c r="F651" s="25">
        <v>51</v>
      </c>
      <c r="G651" s="4" t="s">
        <v>29</v>
      </c>
      <c r="H651" s="25" t="s">
        <v>29</v>
      </c>
      <c r="I651" s="4" t="s">
        <v>98</v>
      </c>
      <c r="J651" s="25" t="s">
        <v>98</v>
      </c>
      <c r="K651" s="4">
        <v>9</v>
      </c>
      <c r="L651" s="25">
        <v>9</v>
      </c>
      <c r="M651" s="4" t="s">
        <v>47</v>
      </c>
      <c r="N651" s="25" t="s">
        <v>47</v>
      </c>
      <c r="P651" s="25" t="s">
        <v>2120</v>
      </c>
      <c r="Q651" s="4" t="s">
        <v>41</v>
      </c>
      <c r="R651" s="25" t="s">
        <v>41</v>
      </c>
      <c r="S651" s="4">
        <v>60</v>
      </c>
      <c r="T651" s="26">
        <v>60</v>
      </c>
    </row>
    <row r="652" spans="1:20" x14ac:dyDescent="0.3">
      <c r="A652" s="27" t="s">
        <v>1404</v>
      </c>
      <c r="B652" s="4" t="s">
        <v>1405</v>
      </c>
      <c r="C652" s="4" t="s">
        <v>78</v>
      </c>
      <c r="D652" s="25" t="s">
        <v>118</v>
      </c>
      <c r="E652" s="4">
        <v>51</v>
      </c>
      <c r="F652" s="25">
        <v>51</v>
      </c>
      <c r="G652" s="4" t="s">
        <v>85</v>
      </c>
      <c r="H652" s="25" t="s">
        <v>85</v>
      </c>
      <c r="I652" s="4" t="s">
        <v>57</v>
      </c>
      <c r="J652" s="25" t="s">
        <v>57</v>
      </c>
      <c r="K652" s="4">
        <v>12</v>
      </c>
      <c r="L652" s="25">
        <v>12</v>
      </c>
      <c r="M652" s="4" t="s">
        <v>162</v>
      </c>
      <c r="N652" s="25" t="s">
        <v>162</v>
      </c>
      <c r="O652" s="4">
        <v>4</v>
      </c>
      <c r="P652" s="25">
        <v>4</v>
      </c>
      <c r="Q652" s="4" t="s">
        <v>23</v>
      </c>
      <c r="R652" s="25" t="s">
        <v>23</v>
      </c>
      <c r="S652" s="4">
        <v>93</v>
      </c>
      <c r="T652" s="26">
        <v>93</v>
      </c>
    </row>
    <row r="653" spans="1:20" x14ac:dyDescent="0.3">
      <c r="A653" s="27" t="s">
        <v>1406</v>
      </c>
      <c r="B653" s="4" t="s">
        <v>1407</v>
      </c>
      <c r="C653" s="4" t="s">
        <v>63</v>
      </c>
      <c r="D653" s="25" t="s">
        <v>118</v>
      </c>
      <c r="E653" s="4">
        <v>27</v>
      </c>
      <c r="F653" s="25">
        <v>27</v>
      </c>
      <c r="G653" s="4" t="s">
        <v>85</v>
      </c>
      <c r="H653" s="25" t="s">
        <v>85</v>
      </c>
      <c r="I653" s="4" t="s">
        <v>57</v>
      </c>
      <c r="J653" s="25" t="s">
        <v>57</v>
      </c>
      <c r="K653" s="4">
        <v>3</v>
      </c>
      <c r="L653" s="25">
        <v>3</v>
      </c>
      <c r="M653" s="4" t="s">
        <v>119</v>
      </c>
      <c r="N653" s="25" t="s">
        <v>119</v>
      </c>
      <c r="P653" s="25" t="s">
        <v>2120</v>
      </c>
      <c r="Q653" s="4" t="s">
        <v>59</v>
      </c>
      <c r="R653" s="25" t="s">
        <v>59</v>
      </c>
      <c r="T653" s="26" t="s">
        <v>2120</v>
      </c>
    </row>
    <row r="654" spans="1:20" x14ac:dyDescent="0.3">
      <c r="A654" s="27" t="s">
        <v>1408</v>
      </c>
      <c r="B654" s="4" t="s">
        <v>1409</v>
      </c>
      <c r="C654" s="4" t="s">
        <v>78</v>
      </c>
      <c r="D654" s="25" t="s">
        <v>118</v>
      </c>
      <c r="E654" s="4">
        <v>42</v>
      </c>
      <c r="F654" s="25">
        <v>42</v>
      </c>
      <c r="G654" s="4" t="s">
        <v>212</v>
      </c>
      <c r="H654" s="25" t="s">
        <v>212</v>
      </c>
      <c r="I654" s="4" t="s">
        <v>46</v>
      </c>
      <c r="J654" s="25" t="s">
        <v>46</v>
      </c>
      <c r="K654" s="4">
        <v>13</v>
      </c>
      <c r="L654" s="25">
        <v>13</v>
      </c>
      <c r="M654" s="4" t="s">
        <v>52</v>
      </c>
      <c r="N654" s="25" t="s">
        <v>52</v>
      </c>
      <c r="O654" s="4">
        <v>0</v>
      </c>
      <c r="P654" s="25">
        <v>0</v>
      </c>
      <c r="Q654" s="4" t="s">
        <v>59</v>
      </c>
      <c r="R654" s="25" t="s">
        <v>59</v>
      </c>
      <c r="S654" s="4">
        <v>0.74</v>
      </c>
      <c r="T654" s="26">
        <v>0.74</v>
      </c>
    </row>
    <row r="655" spans="1:20" x14ac:dyDescent="0.3">
      <c r="A655" s="27" t="s">
        <v>1410</v>
      </c>
      <c r="B655" s="4" t="s">
        <v>1411</v>
      </c>
      <c r="C655" s="4" t="s">
        <v>78</v>
      </c>
      <c r="D655" s="25" t="s">
        <v>118</v>
      </c>
      <c r="E655" s="4">
        <v>25</v>
      </c>
      <c r="F655" s="25">
        <v>25</v>
      </c>
      <c r="G655" s="4" t="s">
        <v>38</v>
      </c>
      <c r="H655" s="25" t="s">
        <v>38</v>
      </c>
      <c r="I655" s="4" t="s">
        <v>93</v>
      </c>
      <c r="J655" s="25" t="s">
        <v>93</v>
      </c>
      <c r="K655" s="4">
        <v>4</v>
      </c>
      <c r="L655" s="25">
        <v>4</v>
      </c>
      <c r="M655" s="4" t="s">
        <v>47</v>
      </c>
      <c r="N655" s="25" t="s">
        <v>47</v>
      </c>
      <c r="O655" s="4">
        <v>2.2999999999999998</v>
      </c>
      <c r="P655" s="25">
        <v>2.2999999999999998</v>
      </c>
      <c r="Q655" s="4" t="s">
        <v>87</v>
      </c>
      <c r="R655" s="25" t="s">
        <v>87</v>
      </c>
      <c r="S655" s="4">
        <v>73</v>
      </c>
      <c r="T655" s="26">
        <v>73</v>
      </c>
    </row>
    <row r="656" spans="1:20" x14ac:dyDescent="0.3">
      <c r="A656" s="27" t="s">
        <v>1412</v>
      </c>
      <c r="B656" s="4" t="s">
        <v>1413</v>
      </c>
      <c r="C656" s="4" t="s">
        <v>97</v>
      </c>
      <c r="D656" s="25" t="s">
        <v>97</v>
      </c>
      <c r="E656" s="4">
        <v>32</v>
      </c>
      <c r="F656" s="25">
        <v>32</v>
      </c>
      <c r="G656" s="4" t="s">
        <v>38</v>
      </c>
      <c r="H656" s="25" t="s">
        <v>38</v>
      </c>
      <c r="I656" s="4" t="s">
        <v>66</v>
      </c>
      <c r="J656" s="25" t="s">
        <v>66</v>
      </c>
      <c r="K656" s="4">
        <v>9</v>
      </c>
      <c r="L656" s="25">
        <v>9</v>
      </c>
      <c r="M656" s="4" t="s">
        <v>103</v>
      </c>
      <c r="N656" s="25" t="s">
        <v>103</v>
      </c>
      <c r="P656" s="25" t="s">
        <v>2120</v>
      </c>
      <c r="Q656" s="4" t="s">
        <v>41</v>
      </c>
      <c r="R656" s="25" t="s">
        <v>41</v>
      </c>
      <c r="S656" s="4">
        <v>0.96</v>
      </c>
      <c r="T656" s="26">
        <v>0.96</v>
      </c>
    </row>
    <row r="657" spans="1:20" x14ac:dyDescent="0.3">
      <c r="A657" s="27" t="s">
        <v>1414</v>
      </c>
      <c r="B657" s="4" t="s">
        <v>1415</v>
      </c>
      <c r="C657" s="4" t="s">
        <v>50</v>
      </c>
      <c r="D657" s="25" t="s">
        <v>97</v>
      </c>
      <c r="E657" s="4">
        <v>59</v>
      </c>
      <c r="F657" s="25">
        <v>59</v>
      </c>
      <c r="G657" s="4" t="s">
        <v>149</v>
      </c>
      <c r="H657" s="25" t="s">
        <v>149</v>
      </c>
      <c r="I657" s="4" t="s">
        <v>39</v>
      </c>
      <c r="J657" s="25" t="s">
        <v>39</v>
      </c>
      <c r="K657" s="4">
        <v>14</v>
      </c>
      <c r="L657" s="25">
        <v>14</v>
      </c>
      <c r="M657" s="4" t="s">
        <v>52</v>
      </c>
      <c r="N657" s="25" t="s">
        <v>52</v>
      </c>
      <c r="O657" s="4">
        <v>3.8</v>
      </c>
      <c r="P657" s="25">
        <v>3.8</v>
      </c>
      <c r="Q657" s="4" t="s">
        <v>51</v>
      </c>
      <c r="R657" s="25" t="s">
        <v>2120</v>
      </c>
      <c r="S657" s="4">
        <v>0.66</v>
      </c>
      <c r="T657" s="26">
        <v>0.66</v>
      </c>
    </row>
    <row r="658" spans="1:20" x14ac:dyDescent="0.3">
      <c r="A658" s="27" t="s">
        <v>1416</v>
      </c>
      <c r="B658" s="4" t="s">
        <v>1417</v>
      </c>
      <c r="C658" s="4" t="s">
        <v>28</v>
      </c>
      <c r="D658" s="25" t="s">
        <v>97</v>
      </c>
      <c r="E658" s="4">
        <v>59</v>
      </c>
      <c r="F658" s="25">
        <v>59</v>
      </c>
      <c r="G658" s="4" t="s">
        <v>156</v>
      </c>
      <c r="H658" s="25" t="s">
        <v>156</v>
      </c>
      <c r="I658" s="4" t="s">
        <v>98</v>
      </c>
      <c r="J658" s="25" t="s">
        <v>98</v>
      </c>
      <c r="K658" s="4">
        <v>37</v>
      </c>
      <c r="L658" s="25">
        <v>37</v>
      </c>
      <c r="M658" s="4" t="s">
        <v>52</v>
      </c>
      <c r="N658" s="25" t="s">
        <v>52</v>
      </c>
      <c r="O658" s="4">
        <v>4</v>
      </c>
      <c r="P658" s="25">
        <v>4</v>
      </c>
      <c r="Q658" s="4" t="s">
        <v>59</v>
      </c>
      <c r="R658" s="25" t="s">
        <v>59</v>
      </c>
      <c r="S658" s="4">
        <v>0.62</v>
      </c>
      <c r="T658" s="26">
        <v>0.62</v>
      </c>
    </row>
    <row r="659" spans="1:20" x14ac:dyDescent="0.3">
      <c r="A659" s="27" t="s">
        <v>1418</v>
      </c>
      <c r="B659" s="4" t="s">
        <v>1419</v>
      </c>
      <c r="C659" s="4" t="s">
        <v>118</v>
      </c>
      <c r="D659" s="25" t="s">
        <v>118</v>
      </c>
      <c r="E659" s="4">
        <v>29</v>
      </c>
      <c r="F659" s="25">
        <v>29</v>
      </c>
      <c r="G659" s="4" t="s">
        <v>38</v>
      </c>
      <c r="H659" s="25" t="s">
        <v>38</v>
      </c>
      <c r="I659" s="4" t="s">
        <v>39</v>
      </c>
      <c r="J659" s="25" t="s">
        <v>39</v>
      </c>
      <c r="K659" s="4">
        <v>2</v>
      </c>
      <c r="L659" s="25">
        <v>2</v>
      </c>
      <c r="M659" s="4" t="s">
        <v>67</v>
      </c>
      <c r="N659" s="25" t="s">
        <v>67</v>
      </c>
      <c r="O659" s="4">
        <v>2.2000000000000002</v>
      </c>
      <c r="P659" s="25">
        <v>2.2000000000000002</v>
      </c>
      <c r="Q659" s="4" t="s">
        <v>94</v>
      </c>
      <c r="R659" s="25" t="s">
        <v>94</v>
      </c>
      <c r="S659" s="4">
        <v>0.85</v>
      </c>
      <c r="T659" s="26">
        <v>0.85</v>
      </c>
    </row>
    <row r="660" spans="1:20" x14ac:dyDescent="0.3">
      <c r="A660" s="27" t="s">
        <v>1420</v>
      </c>
      <c r="B660" s="4" t="s">
        <v>1421</v>
      </c>
      <c r="C660" s="4" t="s">
        <v>78</v>
      </c>
      <c r="D660" s="25" t="s">
        <v>118</v>
      </c>
      <c r="E660" s="4">
        <v>58</v>
      </c>
      <c r="F660" s="25">
        <v>58</v>
      </c>
      <c r="G660" s="4" t="s">
        <v>197</v>
      </c>
      <c r="H660" s="25" t="s">
        <v>197</v>
      </c>
      <c r="I660" s="4" t="s">
        <v>57</v>
      </c>
      <c r="J660" s="25" t="s">
        <v>57</v>
      </c>
      <c r="K660" s="4">
        <v>11</v>
      </c>
      <c r="L660" s="25">
        <v>11</v>
      </c>
      <c r="M660" s="4" t="s">
        <v>22</v>
      </c>
      <c r="N660" s="25" t="s">
        <v>22</v>
      </c>
      <c r="O660" s="4">
        <v>4.3</v>
      </c>
      <c r="P660" s="25">
        <v>4.3</v>
      </c>
      <c r="Q660" s="4" t="s">
        <v>23</v>
      </c>
      <c r="R660" s="25" t="s">
        <v>23</v>
      </c>
      <c r="S660" s="4">
        <v>0.66</v>
      </c>
      <c r="T660" s="26">
        <v>0.66</v>
      </c>
    </row>
    <row r="661" spans="1:20" x14ac:dyDescent="0.3">
      <c r="A661" s="27" t="s">
        <v>1422</v>
      </c>
      <c r="B661" s="4" t="s">
        <v>1423</v>
      </c>
      <c r="C661" s="4" t="s">
        <v>18</v>
      </c>
      <c r="D661" s="25" t="s">
        <v>97</v>
      </c>
      <c r="E661" s="4">
        <v>56</v>
      </c>
      <c r="F661" s="25">
        <v>56</v>
      </c>
      <c r="G661" s="4" t="s">
        <v>149</v>
      </c>
      <c r="H661" s="25" t="s">
        <v>149</v>
      </c>
      <c r="I661" s="4" t="s">
        <v>98</v>
      </c>
      <c r="J661" s="25" t="s">
        <v>98</v>
      </c>
      <c r="K661" s="4">
        <v>19</v>
      </c>
      <c r="L661" s="25">
        <v>19</v>
      </c>
      <c r="M661" s="4" t="s">
        <v>162</v>
      </c>
      <c r="N661" s="25" t="s">
        <v>162</v>
      </c>
      <c r="O661" s="4">
        <v>0</v>
      </c>
      <c r="P661" s="25">
        <v>0</v>
      </c>
      <c r="Q661" s="4" t="s">
        <v>23</v>
      </c>
      <c r="R661" s="25" t="s">
        <v>23</v>
      </c>
      <c r="S661" s="4">
        <v>0.87</v>
      </c>
      <c r="T661" s="26">
        <v>0.87</v>
      </c>
    </row>
    <row r="662" spans="1:20" x14ac:dyDescent="0.3">
      <c r="A662" s="27" t="s">
        <v>1424</v>
      </c>
      <c r="B662" s="4" t="s">
        <v>1425</v>
      </c>
      <c r="C662" s="4" t="s">
        <v>45</v>
      </c>
      <c r="D662" s="25" t="s">
        <v>97</v>
      </c>
      <c r="E662" s="4">
        <v>36</v>
      </c>
      <c r="F662" s="25">
        <v>36</v>
      </c>
      <c r="G662" s="4" t="s">
        <v>73</v>
      </c>
      <c r="H662" s="25" t="s">
        <v>73</v>
      </c>
      <c r="I662" s="4" t="s">
        <v>135</v>
      </c>
      <c r="J662" s="25" t="s">
        <v>135</v>
      </c>
      <c r="K662" s="4">
        <v>9</v>
      </c>
      <c r="L662" s="25">
        <v>9</v>
      </c>
      <c r="M662" s="4" t="s">
        <v>162</v>
      </c>
      <c r="N662" s="25" t="s">
        <v>162</v>
      </c>
      <c r="O662" s="4">
        <v>0</v>
      </c>
      <c r="P662" s="25">
        <v>0</v>
      </c>
      <c r="Q662" s="4" t="s">
        <v>33</v>
      </c>
      <c r="R662" s="25" t="s">
        <v>33</v>
      </c>
      <c r="S662" s="4">
        <v>68</v>
      </c>
      <c r="T662" s="26">
        <v>68</v>
      </c>
    </row>
    <row r="663" spans="1:20" x14ac:dyDescent="0.3">
      <c r="A663" s="27" t="s">
        <v>1426</v>
      </c>
      <c r="B663" s="4" t="s">
        <v>1427</v>
      </c>
      <c r="C663" s="4" t="s">
        <v>97</v>
      </c>
      <c r="D663" s="25" t="s">
        <v>97</v>
      </c>
      <c r="E663" s="4">
        <v>52</v>
      </c>
      <c r="F663" s="25">
        <v>52</v>
      </c>
      <c r="G663" s="4" t="s">
        <v>149</v>
      </c>
      <c r="H663" s="25" t="s">
        <v>149</v>
      </c>
      <c r="I663" s="4" t="s">
        <v>93</v>
      </c>
      <c r="J663" s="25" t="s">
        <v>93</v>
      </c>
      <c r="K663" s="4">
        <v>16</v>
      </c>
      <c r="L663" s="25">
        <v>16</v>
      </c>
      <c r="M663" s="4" t="s">
        <v>22</v>
      </c>
      <c r="N663" s="25" t="s">
        <v>22</v>
      </c>
      <c r="O663" s="4">
        <v>4</v>
      </c>
      <c r="P663" s="25">
        <v>4</v>
      </c>
      <c r="Q663" s="4" t="s">
        <v>33</v>
      </c>
      <c r="R663" s="25" t="s">
        <v>33</v>
      </c>
      <c r="T663" s="26" t="s">
        <v>2120</v>
      </c>
    </row>
    <row r="664" spans="1:20" x14ac:dyDescent="0.3">
      <c r="A664" s="27" t="s">
        <v>1428</v>
      </c>
      <c r="B664" s="4" t="s">
        <v>1429</v>
      </c>
      <c r="C664" s="4" t="s">
        <v>97</v>
      </c>
      <c r="D664" s="25" t="s">
        <v>97</v>
      </c>
      <c r="E664" s="4">
        <v>42</v>
      </c>
      <c r="F664" s="25">
        <v>42</v>
      </c>
      <c r="G664" s="4" t="s">
        <v>55</v>
      </c>
      <c r="H664" s="25" t="s">
        <v>55</v>
      </c>
      <c r="I664" s="4" t="s">
        <v>31</v>
      </c>
      <c r="J664" s="25" t="s">
        <v>31</v>
      </c>
      <c r="K664" s="4">
        <v>8</v>
      </c>
      <c r="L664" s="25">
        <v>8</v>
      </c>
      <c r="M664" s="4" t="s">
        <v>119</v>
      </c>
      <c r="N664" s="25" t="s">
        <v>119</v>
      </c>
      <c r="P664" s="25" t="s">
        <v>2120</v>
      </c>
      <c r="Q664" s="4" t="s">
        <v>51</v>
      </c>
      <c r="R664" s="25" t="s">
        <v>2120</v>
      </c>
      <c r="T664" s="26" t="s">
        <v>2120</v>
      </c>
    </row>
    <row r="665" spans="1:20" x14ac:dyDescent="0.3">
      <c r="A665" s="27" t="s">
        <v>1430</v>
      </c>
      <c r="B665" s="4" t="s">
        <v>1431</v>
      </c>
      <c r="C665" s="4" t="s">
        <v>28</v>
      </c>
      <c r="D665" s="25" t="s">
        <v>97</v>
      </c>
      <c r="E665" s="4">
        <v>59</v>
      </c>
      <c r="F665" s="25">
        <v>59</v>
      </c>
      <c r="G665" s="4" t="s">
        <v>114</v>
      </c>
      <c r="H665" s="25" t="s">
        <v>114</v>
      </c>
      <c r="I665" s="4" t="s">
        <v>31</v>
      </c>
      <c r="J665" s="25" t="s">
        <v>31</v>
      </c>
      <c r="K665" s="4">
        <v>34</v>
      </c>
      <c r="L665" s="25">
        <v>34</v>
      </c>
      <c r="M665" s="4" t="s">
        <v>22</v>
      </c>
      <c r="N665" s="25" t="s">
        <v>22</v>
      </c>
      <c r="O665" s="4">
        <v>2</v>
      </c>
      <c r="P665" s="25">
        <v>2</v>
      </c>
      <c r="Q665" s="4" t="s">
        <v>33</v>
      </c>
      <c r="R665" s="25" t="s">
        <v>33</v>
      </c>
      <c r="S665" s="4">
        <v>0.79</v>
      </c>
      <c r="T665" s="26">
        <v>0.79</v>
      </c>
    </row>
    <row r="666" spans="1:20" x14ac:dyDescent="0.3">
      <c r="A666" s="27" t="s">
        <v>1432</v>
      </c>
      <c r="B666" s="4" t="s">
        <v>1433</v>
      </c>
      <c r="C666" s="4" t="s">
        <v>37</v>
      </c>
      <c r="D666" s="25" t="s">
        <v>118</v>
      </c>
      <c r="E666" s="4">
        <v>33</v>
      </c>
      <c r="F666" s="25">
        <v>33</v>
      </c>
      <c r="G666" s="4" t="s">
        <v>55</v>
      </c>
      <c r="H666" s="25" t="s">
        <v>55</v>
      </c>
      <c r="I666" s="4" t="s">
        <v>31</v>
      </c>
      <c r="J666" s="25" t="s">
        <v>31</v>
      </c>
      <c r="K666" s="4">
        <v>5</v>
      </c>
      <c r="L666" s="25">
        <v>5</v>
      </c>
      <c r="M666" s="4" t="s">
        <v>81</v>
      </c>
      <c r="N666" s="25" t="s">
        <v>81</v>
      </c>
      <c r="O666" s="4">
        <v>4.7</v>
      </c>
      <c r="P666" s="25">
        <v>4.7</v>
      </c>
      <c r="Q666" s="4" t="s">
        <v>33</v>
      </c>
      <c r="R666" s="25" t="s">
        <v>33</v>
      </c>
      <c r="S666" s="4">
        <v>0.88</v>
      </c>
      <c r="T666" s="26">
        <v>0.88</v>
      </c>
    </row>
    <row r="667" spans="1:20" x14ac:dyDescent="0.3">
      <c r="A667" s="27" t="s">
        <v>1434</v>
      </c>
      <c r="B667" s="4" t="s">
        <v>1435</v>
      </c>
      <c r="C667" s="4" t="s">
        <v>45</v>
      </c>
      <c r="D667" s="25" t="s">
        <v>97</v>
      </c>
      <c r="E667" s="4">
        <v>55</v>
      </c>
      <c r="F667" s="25">
        <v>55</v>
      </c>
      <c r="G667" s="4" t="s">
        <v>149</v>
      </c>
      <c r="H667" s="25" t="s">
        <v>149</v>
      </c>
      <c r="I667" s="4" t="s">
        <v>46</v>
      </c>
      <c r="J667" s="25" t="s">
        <v>46</v>
      </c>
      <c r="K667" s="4">
        <v>14</v>
      </c>
      <c r="L667" s="25">
        <v>14</v>
      </c>
      <c r="M667" s="4" t="s">
        <v>119</v>
      </c>
      <c r="N667" s="25" t="s">
        <v>119</v>
      </c>
      <c r="O667" s="4">
        <v>3.6</v>
      </c>
      <c r="P667" s="25">
        <v>3.6</v>
      </c>
      <c r="Q667" s="4" t="s">
        <v>33</v>
      </c>
      <c r="R667" s="25" t="s">
        <v>33</v>
      </c>
      <c r="S667" s="4">
        <v>0.81</v>
      </c>
      <c r="T667" s="26">
        <v>0.81</v>
      </c>
    </row>
    <row r="668" spans="1:20" x14ac:dyDescent="0.3">
      <c r="A668" s="27" t="s">
        <v>1436</v>
      </c>
      <c r="B668" s="4" t="s">
        <v>1437</v>
      </c>
      <c r="C668" s="4" t="s">
        <v>37</v>
      </c>
      <c r="D668" s="25" t="s">
        <v>118</v>
      </c>
      <c r="E668" s="4">
        <v>47</v>
      </c>
      <c r="F668" s="25">
        <v>47</v>
      </c>
      <c r="G668" s="4" t="s">
        <v>133</v>
      </c>
      <c r="H668" s="25" t="s">
        <v>133</v>
      </c>
      <c r="I668" s="4" t="s">
        <v>93</v>
      </c>
      <c r="J668" s="25" t="s">
        <v>93</v>
      </c>
      <c r="K668" s="4">
        <v>17</v>
      </c>
      <c r="L668" s="25">
        <v>17</v>
      </c>
      <c r="M668" s="4" t="s">
        <v>40</v>
      </c>
      <c r="N668" s="25" t="s">
        <v>40</v>
      </c>
      <c r="O668" s="4">
        <v>1.2</v>
      </c>
      <c r="P668" s="25">
        <v>1.2</v>
      </c>
      <c r="Q668" s="4" t="s">
        <v>41</v>
      </c>
      <c r="R668" s="25" t="s">
        <v>41</v>
      </c>
      <c r="T668" s="26" t="s">
        <v>2120</v>
      </c>
    </row>
    <row r="669" spans="1:20" x14ac:dyDescent="0.3">
      <c r="A669" s="27" t="s">
        <v>1438</v>
      </c>
      <c r="B669" s="4" t="s">
        <v>1439</v>
      </c>
      <c r="C669" s="4" t="s">
        <v>28</v>
      </c>
      <c r="D669" s="25" t="s">
        <v>97</v>
      </c>
      <c r="E669" s="4">
        <v>29</v>
      </c>
      <c r="F669" s="25">
        <v>29</v>
      </c>
      <c r="G669" s="4" t="s">
        <v>201</v>
      </c>
      <c r="H669" s="25" t="s">
        <v>201</v>
      </c>
      <c r="I669" s="4" t="s">
        <v>57</v>
      </c>
      <c r="J669" s="25" t="s">
        <v>57</v>
      </c>
      <c r="K669" s="4">
        <v>10</v>
      </c>
      <c r="L669" s="25">
        <v>10</v>
      </c>
      <c r="M669" s="4" t="s">
        <v>51</v>
      </c>
      <c r="N669" s="25" t="s">
        <v>2119</v>
      </c>
      <c r="O669" s="4">
        <v>4.4000000000000004</v>
      </c>
      <c r="P669" s="25">
        <v>4.4000000000000004</v>
      </c>
      <c r="Q669" s="4" t="s">
        <v>94</v>
      </c>
      <c r="R669" s="25" t="s">
        <v>94</v>
      </c>
      <c r="S669" s="4">
        <v>0.67</v>
      </c>
      <c r="T669" s="26">
        <v>0.67</v>
      </c>
    </row>
    <row r="670" spans="1:20" x14ac:dyDescent="0.3">
      <c r="A670" s="27" t="s">
        <v>1440</v>
      </c>
      <c r="B670" s="4" t="s">
        <v>1441</v>
      </c>
      <c r="C670" s="4" t="s">
        <v>97</v>
      </c>
      <c r="D670" s="25" t="s">
        <v>97</v>
      </c>
      <c r="E670" s="4">
        <v>30</v>
      </c>
      <c r="F670" s="25">
        <v>30</v>
      </c>
      <c r="G670" s="4" t="s">
        <v>85</v>
      </c>
      <c r="H670" s="25" t="s">
        <v>85</v>
      </c>
      <c r="I670" s="4" t="s">
        <v>110</v>
      </c>
      <c r="J670" s="25" t="s">
        <v>110</v>
      </c>
      <c r="K670" s="4">
        <v>8</v>
      </c>
      <c r="L670" s="25">
        <v>8</v>
      </c>
      <c r="M670" s="4" t="s">
        <v>22</v>
      </c>
      <c r="N670" s="25" t="s">
        <v>22</v>
      </c>
      <c r="O670" s="4">
        <v>1.4</v>
      </c>
      <c r="P670" s="25">
        <v>1.4</v>
      </c>
      <c r="Q670" s="4" t="s">
        <v>87</v>
      </c>
      <c r="R670" s="25" t="s">
        <v>87</v>
      </c>
      <c r="S670" s="4">
        <v>62</v>
      </c>
      <c r="T670" s="26">
        <v>62</v>
      </c>
    </row>
    <row r="671" spans="1:20" x14ac:dyDescent="0.3">
      <c r="A671" s="27" t="s">
        <v>1442</v>
      </c>
      <c r="B671" s="4" t="s">
        <v>1443</v>
      </c>
      <c r="C671" s="4" t="s">
        <v>28</v>
      </c>
      <c r="D671" s="25" t="s">
        <v>97</v>
      </c>
      <c r="E671" s="4">
        <v>25</v>
      </c>
      <c r="F671" s="25">
        <v>25</v>
      </c>
      <c r="G671" s="4" t="s">
        <v>149</v>
      </c>
      <c r="H671" s="25" t="s">
        <v>149</v>
      </c>
      <c r="I671" s="4" t="s">
        <v>110</v>
      </c>
      <c r="J671" s="25" t="s">
        <v>110</v>
      </c>
      <c r="K671" s="4">
        <v>1</v>
      </c>
      <c r="L671" s="25">
        <v>1</v>
      </c>
      <c r="M671" s="4" t="s">
        <v>130</v>
      </c>
      <c r="N671" s="25" t="s">
        <v>130</v>
      </c>
      <c r="O671" s="4">
        <v>3.2</v>
      </c>
      <c r="P671" s="25">
        <v>3.2</v>
      </c>
      <c r="Q671" s="4" t="s">
        <v>23</v>
      </c>
      <c r="R671" s="25" t="s">
        <v>23</v>
      </c>
      <c r="S671" s="4">
        <v>0.87</v>
      </c>
      <c r="T671" s="26">
        <v>0.87</v>
      </c>
    </row>
    <row r="672" spans="1:20" x14ac:dyDescent="0.3">
      <c r="A672" s="27" t="s">
        <v>1444</v>
      </c>
      <c r="B672" s="4" t="s">
        <v>1445</v>
      </c>
      <c r="C672" s="4" t="s">
        <v>50</v>
      </c>
      <c r="D672" s="25" t="s">
        <v>97</v>
      </c>
      <c r="E672" s="4">
        <v>28</v>
      </c>
      <c r="F672" s="25">
        <v>28</v>
      </c>
      <c r="G672" s="4" t="s">
        <v>160</v>
      </c>
      <c r="H672" s="25" t="s">
        <v>160</v>
      </c>
      <c r="I672" s="4" t="s">
        <v>98</v>
      </c>
      <c r="J672" s="25" t="s">
        <v>98</v>
      </c>
      <c r="K672" s="4">
        <v>10</v>
      </c>
      <c r="L672" s="25">
        <v>10</v>
      </c>
      <c r="M672" s="4" t="s">
        <v>51</v>
      </c>
      <c r="N672" s="25" t="s">
        <v>2119</v>
      </c>
      <c r="O672" s="4">
        <v>3.8</v>
      </c>
      <c r="P672" s="25">
        <v>3.8</v>
      </c>
      <c r="Q672" s="4" t="s">
        <v>87</v>
      </c>
      <c r="R672" s="25" t="s">
        <v>87</v>
      </c>
      <c r="S672" s="4">
        <v>0.98</v>
      </c>
      <c r="T672" s="26">
        <v>0.98</v>
      </c>
    </row>
    <row r="673" spans="1:20" x14ac:dyDescent="0.3">
      <c r="A673" s="27" t="s">
        <v>1446</v>
      </c>
      <c r="B673" s="4" t="s">
        <v>1447</v>
      </c>
      <c r="C673" s="4" t="s">
        <v>37</v>
      </c>
      <c r="D673" s="25" t="s">
        <v>118</v>
      </c>
      <c r="E673" s="4">
        <v>29</v>
      </c>
      <c r="F673" s="25">
        <v>29</v>
      </c>
      <c r="G673" s="4" t="s">
        <v>133</v>
      </c>
      <c r="H673" s="25" t="s">
        <v>133</v>
      </c>
      <c r="I673" s="4" t="s">
        <v>21</v>
      </c>
      <c r="J673" s="25" t="s">
        <v>21</v>
      </c>
      <c r="K673" s="4">
        <v>0</v>
      </c>
      <c r="L673" s="25">
        <v>0</v>
      </c>
      <c r="M673" s="4" t="s">
        <v>192</v>
      </c>
      <c r="N673" s="25" t="s">
        <v>192</v>
      </c>
      <c r="O673" s="4">
        <v>1.5</v>
      </c>
      <c r="P673" s="25">
        <v>1.5</v>
      </c>
      <c r="Q673" s="4" t="s">
        <v>74</v>
      </c>
      <c r="R673" s="25" t="s">
        <v>74</v>
      </c>
      <c r="S673" s="4">
        <v>0.64</v>
      </c>
      <c r="T673" s="26">
        <v>0.64</v>
      </c>
    </row>
    <row r="674" spans="1:20" x14ac:dyDescent="0.3">
      <c r="A674" s="27" t="s">
        <v>1448</v>
      </c>
      <c r="B674" s="4" t="s">
        <v>1449</v>
      </c>
      <c r="C674" s="4" t="s">
        <v>118</v>
      </c>
      <c r="D674" s="25" t="s">
        <v>118</v>
      </c>
      <c r="E674" s="4">
        <v>30</v>
      </c>
      <c r="F674" s="25">
        <v>30</v>
      </c>
      <c r="G674" s="4" t="s">
        <v>212</v>
      </c>
      <c r="H674" s="25" t="s">
        <v>212</v>
      </c>
      <c r="I674" s="4" t="s">
        <v>39</v>
      </c>
      <c r="J674" s="25" t="s">
        <v>39</v>
      </c>
      <c r="K674" s="4">
        <v>4</v>
      </c>
      <c r="L674" s="25">
        <v>4</v>
      </c>
      <c r="M674" s="4" t="s">
        <v>51</v>
      </c>
      <c r="N674" s="25" t="s">
        <v>2119</v>
      </c>
      <c r="O674" s="4">
        <v>2.8</v>
      </c>
      <c r="P674" s="25">
        <v>2.8</v>
      </c>
      <c r="Q674" s="4" t="s">
        <v>33</v>
      </c>
      <c r="R674" s="25" t="s">
        <v>33</v>
      </c>
      <c r="S674" s="4">
        <v>0.71</v>
      </c>
      <c r="T674" s="26">
        <v>0.71</v>
      </c>
    </row>
    <row r="675" spans="1:20" x14ac:dyDescent="0.3">
      <c r="A675" s="27" t="s">
        <v>1450</v>
      </c>
      <c r="B675" s="4" t="s">
        <v>1451</v>
      </c>
      <c r="C675" s="4" t="s">
        <v>37</v>
      </c>
      <c r="D675" s="25" t="s">
        <v>118</v>
      </c>
      <c r="E675" s="4">
        <v>47</v>
      </c>
      <c r="F675" s="25">
        <v>47</v>
      </c>
      <c r="G675" s="4" t="s">
        <v>160</v>
      </c>
      <c r="H675" s="25" t="s">
        <v>160</v>
      </c>
      <c r="I675" s="4" t="s">
        <v>57</v>
      </c>
      <c r="J675" s="25" t="s">
        <v>57</v>
      </c>
      <c r="K675" s="4">
        <v>2</v>
      </c>
      <c r="L675" s="25">
        <v>2</v>
      </c>
      <c r="M675" s="4" t="s">
        <v>40</v>
      </c>
      <c r="N675" s="25" t="s">
        <v>40</v>
      </c>
      <c r="O675" s="4">
        <v>2.7</v>
      </c>
      <c r="P675" s="25">
        <v>2.7</v>
      </c>
      <c r="Q675" s="4" t="s">
        <v>181</v>
      </c>
      <c r="R675" s="25" t="s">
        <v>181</v>
      </c>
      <c r="S675" s="4">
        <v>96</v>
      </c>
      <c r="T675" s="26">
        <v>96</v>
      </c>
    </row>
    <row r="676" spans="1:20" x14ac:dyDescent="0.3">
      <c r="A676" s="27" t="s">
        <v>1452</v>
      </c>
      <c r="B676" s="4" t="s">
        <v>1453</v>
      </c>
      <c r="C676" s="4" t="s">
        <v>78</v>
      </c>
      <c r="D676" s="25" t="s">
        <v>118</v>
      </c>
      <c r="E676" s="4">
        <v>34</v>
      </c>
      <c r="F676" s="25">
        <v>34</v>
      </c>
      <c r="G676" s="4" t="s">
        <v>29</v>
      </c>
      <c r="H676" s="25" t="s">
        <v>29</v>
      </c>
      <c r="I676" s="4" t="s">
        <v>21</v>
      </c>
      <c r="J676" s="25" t="s">
        <v>21</v>
      </c>
      <c r="K676" s="4">
        <v>10</v>
      </c>
      <c r="L676" s="25">
        <v>10</v>
      </c>
      <c r="M676" s="4" t="s">
        <v>58</v>
      </c>
      <c r="N676" s="25" t="s">
        <v>58</v>
      </c>
      <c r="O676" s="4">
        <v>3.9</v>
      </c>
      <c r="P676" s="25">
        <v>3.9</v>
      </c>
      <c r="Q676" s="4" t="s">
        <v>51</v>
      </c>
      <c r="R676" s="25" t="s">
        <v>2120</v>
      </c>
      <c r="T676" s="26" t="s">
        <v>2120</v>
      </c>
    </row>
    <row r="677" spans="1:20" x14ac:dyDescent="0.3">
      <c r="A677" s="27" t="s">
        <v>1454</v>
      </c>
      <c r="B677" s="4" t="s">
        <v>1455</v>
      </c>
      <c r="C677" s="4" t="s">
        <v>113</v>
      </c>
      <c r="D677" s="25" t="s">
        <v>118</v>
      </c>
      <c r="E677" s="4">
        <v>45</v>
      </c>
      <c r="F677" s="25">
        <v>45</v>
      </c>
      <c r="G677" s="4" t="s">
        <v>73</v>
      </c>
      <c r="H677" s="25" t="s">
        <v>73</v>
      </c>
      <c r="I677" s="4" t="s">
        <v>39</v>
      </c>
      <c r="J677" s="25" t="s">
        <v>39</v>
      </c>
      <c r="K677" s="4">
        <v>16</v>
      </c>
      <c r="L677" s="25">
        <v>16</v>
      </c>
      <c r="M677" s="4" t="s">
        <v>22</v>
      </c>
      <c r="N677" s="25" t="s">
        <v>22</v>
      </c>
      <c r="O677" s="4">
        <v>4.5999999999999996</v>
      </c>
      <c r="P677" s="25">
        <v>4.5999999999999996</v>
      </c>
      <c r="Q677" s="4" t="s">
        <v>41</v>
      </c>
      <c r="R677" s="25" t="s">
        <v>41</v>
      </c>
      <c r="S677" s="4">
        <v>0.78</v>
      </c>
      <c r="T677" s="26">
        <v>0.78</v>
      </c>
    </row>
    <row r="678" spans="1:20" x14ac:dyDescent="0.3">
      <c r="A678" s="27" t="s">
        <v>1456</v>
      </c>
      <c r="B678" s="4" t="s">
        <v>1457</v>
      </c>
      <c r="C678" s="4" t="s">
        <v>45</v>
      </c>
      <c r="D678" s="25" t="s">
        <v>97</v>
      </c>
      <c r="E678" s="4">
        <v>56</v>
      </c>
      <c r="F678" s="25">
        <v>56</v>
      </c>
      <c r="G678" s="4" t="s">
        <v>212</v>
      </c>
      <c r="H678" s="25" t="s">
        <v>212</v>
      </c>
      <c r="I678" s="4" t="s">
        <v>98</v>
      </c>
      <c r="J678" s="25" t="s">
        <v>98</v>
      </c>
      <c r="K678" s="4">
        <v>27</v>
      </c>
      <c r="L678" s="25">
        <v>27</v>
      </c>
      <c r="M678" s="4" t="s">
        <v>142</v>
      </c>
      <c r="N678" s="25" t="s">
        <v>142</v>
      </c>
      <c r="O678" s="4">
        <v>2.2000000000000002</v>
      </c>
      <c r="P678" s="25">
        <v>2.2000000000000002</v>
      </c>
      <c r="Q678" s="4" t="s">
        <v>59</v>
      </c>
      <c r="R678" s="25" t="s">
        <v>59</v>
      </c>
      <c r="S678" s="4">
        <v>0.7</v>
      </c>
      <c r="T678" s="26">
        <v>0.7</v>
      </c>
    </row>
    <row r="679" spans="1:20" x14ac:dyDescent="0.3">
      <c r="A679" s="27" t="s">
        <v>1458</v>
      </c>
      <c r="B679" s="4" t="s">
        <v>1459</v>
      </c>
      <c r="C679" s="4" t="s">
        <v>50</v>
      </c>
      <c r="D679" s="25" t="s">
        <v>97</v>
      </c>
      <c r="E679" s="4">
        <v>49</v>
      </c>
      <c r="F679" s="25">
        <v>49</v>
      </c>
      <c r="G679" s="4" t="s">
        <v>197</v>
      </c>
      <c r="H679" s="25" t="s">
        <v>197</v>
      </c>
      <c r="I679" s="4" t="s">
        <v>110</v>
      </c>
      <c r="J679" s="25" t="s">
        <v>110</v>
      </c>
      <c r="K679" s="4">
        <v>20</v>
      </c>
      <c r="L679" s="25">
        <v>20</v>
      </c>
      <c r="M679" s="4" t="s">
        <v>40</v>
      </c>
      <c r="N679" s="25" t="s">
        <v>40</v>
      </c>
      <c r="O679" s="4">
        <v>2.5</v>
      </c>
      <c r="P679" s="25">
        <v>2.5</v>
      </c>
      <c r="Q679" s="4" t="s">
        <v>23</v>
      </c>
      <c r="R679" s="25" t="s">
        <v>23</v>
      </c>
      <c r="S679" s="4">
        <v>0.82</v>
      </c>
      <c r="T679" s="26">
        <v>0.82</v>
      </c>
    </row>
    <row r="680" spans="1:20" x14ac:dyDescent="0.3">
      <c r="A680" s="27" t="s">
        <v>1460</v>
      </c>
      <c r="B680" s="4" t="s">
        <v>1461</v>
      </c>
      <c r="C680" s="4" t="s">
        <v>78</v>
      </c>
      <c r="D680" s="25" t="s">
        <v>118</v>
      </c>
      <c r="E680" s="4">
        <v>48</v>
      </c>
      <c r="F680" s="25">
        <v>48</v>
      </c>
      <c r="G680" s="4" t="s">
        <v>156</v>
      </c>
      <c r="H680" s="25" t="s">
        <v>156</v>
      </c>
      <c r="I680" s="4" t="s">
        <v>57</v>
      </c>
      <c r="J680" s="25" t="s">
        <v>57</v>
      </c>
      <c r="K680" s="4">
        <v>10</v>
      </c>
      <c r="L680" s="25">
        <v>10</v>
      </c>
      <c r="M680" s="4" t="s">
        <v>51</v>
      </c>
      <c r="N680" s="25" t="s">
        <v>2119</v>
      </c>
      <c r="O680" s="4">
        <v>3.1</v>
      </c>
      <c r="P680" s="25">
        <v>3.1</v>
      </c>
      <c r="Q680" s="4" t="s">
        <v>59</v>
      </c>
      <c r="R680" s="25" t="s">
        <v>59</v>
      </c>
      <c r="T680" s="26" t="s">
        <v>2120</v>
      </c>
    </row>
    <row r="681" spans="1:20" x14ac:dyDescent="0.3">
      <c r="A681" s="27" t="s">
        <v>1462</v>
      </c>
      <c r="B681" s="4" t="s">
        <v>1463</v>
      </c>
      <c r="C681" s="4" t="s">
        <v>50</v>
      </c>
      <c r="D681" s="25" t="s">
        <v>97</v>
      </c>
      <c r="E681" s="4">
        <v>29</v>
      </c>
      <c r="F681" s="25">
        <v>29</v>
      </c>
      <c r="G681" s="4" t="s">
        <v>133</v>
      </c>
      <c r="H681" s="25" t="s">
        <v>133</v>
      </c>
      <c r="I681" s="4" t="s">
        <v>39</v>
      </c>
      <c r="J681" s="25" t="s">
        <v>39</v>
      </c>
      <c r="K681" s="4">
        <v>0</v>
      </c>
      <c r="L681" s="25">
        <v>0</v>
      </c>
      <c r="M681" s="4" t="s">
        <v>142</v>
      </c>
      <c r="N681" s="25" t="s">
        <v>142</v>
      </c>
      <c r="P681" s="25" t="s">
        <v>2120</v>
      </c>
      <c r="Q681" s="4" t="s">
        <v>33</v>
      </c>
      <c r="R681" s="25" t="s">
        <v>33</v>
      </c>
      <c r="S681" s="4">
        <v>0.99</v>
      </c>
      <c r="T681" s="26">
        <v>0.99</v>
      </c>
    </row>
    <row r="682" spans="1:20" x14ac:dyDescent="0.3">
      <c r="A682" s="27" t="s">
        <v>1464</v>
      </c>
      <c r="B682" s="4" t="s">
        <v>1465</v>
      </c>
      <c r="C682" s="4" t="s">
        <v>97</v>
      </c>
      <c r="D682" s="25" t="s">
        <v>97</v>
      </c>
      <c r="E682" s="4">
        <v>49</v>
      </c>
      <c r="F682" s="25">
        <v>49</v>
      </c>
      <c r="G682" s="4" t="s">
        <v>55</v>
      </c>
      <c r="H682" s="25" t="s">
        <v>55</v>
      </c>
      <c r="I682" s="4" t="s">
        <v>46</v>
      </c>
      <c r="J682" s="25" t="s">
        <v>46</v>
      </c>
      <c r="K682" s="4">
        <v>11</v>
      </c>
      <c r="L682" s="25">
        <v>11</v>
      </c>
      <c r="M682" s="4" t="s">
        <v>103</v>
      </c>
      <c r="N682" s="25" t="s">
        <v>103</v>
      </c>
      <c r="O682" s="4">
        <v>3.8</v>
      </c>
      <c r="P682" s="25">
        <v>3.8</v>
      </c>
      <c r="Q682" s="4" t="s">
        <v>94</v>
      </c>
      <c r="R682" s="25" t="s">
        <v>94</v>
      </c>
      <c r="S682" s="4">
        <v>0.93</v>
      </c>
      <c r="T682" s="26">
        <v>0.93</v>
      </c>
    </row>
    <row r="683" spans="1:20" x14ac:dyDescent="0.3">
      <c r="A683" s="27" t="s">
        <v>1466</v>
      </c>
      <c r="B683" s="4" t="s">
        <v>1467</v>
      </c>
      <c r="C683" s="4" t="s">
        <v>28</v>
      </c>
      <c r="D683" s="25" t="s">
        <v>97</v>
      </c>
      <c r="E683" s="4">
        <v>22</v>
      </c>
      <c r="F683" s="25">
        <v>22</v>
      </c>
      <c r="G683" s="4" t="s">
        <v>197</v>
      </c>
      <c r="H683" s="25" t="s">
        <v>197</v>
      </c>
      <c r="I683" s="4" t="s">
        <v>21</v>
      </c>
      <c r="J683" s="25" t="s">
        <v>21</v>
      </c>
      <c r="K683" s="4">
        <v>1</v>
      </c>
      <c r="L683" s="25">
        <v>1</v>
      </c>
      <c r="M683" s="4" t="s">
        <v>22</v>
      </c>
      <c r="N683" s="25" t="s">
        <v>22</v>
      </c>
      <c r="O683" s="4">
        <v>4.8</v>
      </c>
      <c r="P683" s="25">
        <v>4.8</v>
      </c>
      <c r="Q683" s="4" t="s">
        <v>94</v>
      </c>
      <c r="R683" s="25" t="s">
        <v>94</v>
      </c>
      <c r="S683" s="4">
        <v>0.75</v>
      </c>
      <c r="T683" s="26">
        <v>0.75</v>
      </c>
    </row>
    <row r="684" spans="1:20" x14ac:dyDescent="0.3">
      <c r="A684" s="27" t="s">
        <v>1468</v>
      </c>
      <c r="B684" s="4" t="s">
        <v>1469</v>
      </c>
      <c r="C684" s="4" t="s">
        <v>63</v>
      </c>
      <c r="D684" s="25" t="s">
        <v>118</v>
      </c>
      <c r="E684" s="4">
        <v>52</v>
      </c>
      <c r="F684" s="25">
        <v>52</v>
      </c>
      <c r="G684" s="4" t="s">
        <v>201</v>
      </c>
      <c r="H684" s="25" t="s">
        <v>201</v>
      </c>
      <c r="I684" s="4" t="s">
        <v>39</v>
      </c>
      <c r="J684" s="25" t="s">
        <v>39</v>
      </c>
      <c r="K684" s="4">
        <v>30</v>
      </c>
      <c r="L684" s="25">
        <v>30</v>
      </c>
      <c r="M684" s="4" t="s">
        <v>32</v>
      </c>
      <c r="N684" s="25" t="s">
        <v>32</v>
      </c>
      <c r="O684" s="4">
        <v>2.5</v>
      </c>
      <c r="P684" s="25">
        <v>2.5</v>
      </c>
      <c r="Q684" s="4" t="s">
        <v>51</v>
      </c>
      <c r="R684" s="25" t="s">
        <v>2120</v>
      </c>
      <c r="S684" s="4">
        <v>61</v>
      </c>
      <c r="T684" s="26">
        <v>61</v>
      </c>
    </row>
    <row r="685" spans="1:20" x14ac:dyDescent="0.3">
      <c r="A685" s="27" t="s">
        <v>1470</v>
      </c>
      <c r="B685" s="4" t="s">
        <v>1471</v>
      </c>
      <c r="C685" s="4" t="s">
        <v>78</v>
      </c>
      <c r="D685" s="25" t="s">
        <v>118</v>
      </c>
      <c r="E685" s="4">
        <v>60</v>
      </c>
      <c r="F685" s="25">
        <v>60</v>
      </c>
      <c r="G685" s="4" t="s">
        <v>149</v>
      </c>
      <c r="H685" s="25" t="s">
        <v>149</v>
      </c>
      <c r="I685" s="4" t="s">
        <v>21</v>
      </c>
      <c r="J685" s="25" t="s">
        <v>21</v>
      </c>
      <c r="K685" s="4">
        <v>7</v>
      </c>
      <c r="L685" s="25">
        <v>7</v>
      </c>
      <c r="M685" s="4" t="s">
        <v>130</v>
      </c>
      <c r="N685" s="25" t="s">
        <v>130</v>
      </c>
      <c r="O685" s="4">
        <v>0</v>
      </c>
      <c r="P685" s="25">
        <v>0</v>
      </c>
      <c r="Q685" s="4" t="s">
        <v>181</v>
      </c>
      <c r="R685" s="25" t="s">
        <v>181</v>
      </c>
      <c r="S685" s="4">
        <v>0.97</v>
      </c>
      <c r="T685" s="26">
        <v>0.97</v>
      </c>
    </row>
    <row r="686" spans="1:20" x14ac:dyDescent="0.3">
      <c r="A686" s="27" t="s">
        <v>1472</v>
      </c>
      <c r="B686" s="4" t="s">
        <v>1473</v>
      </c>
      <c r="C686" s="4" t="s">
        <v>45</v>
      </c>
      <c r="D686" s="25" t="s">
        <v>97</v>
      </c>
      <c r="E686" s="4">
        <v>33</v>
      </c>
      <c r="F686" s="25">
        <v>33</v>
      </c>
      <c r="G686" s="4" t="s">
        <v>106</v>
      </c>
      <c r="H686" s="25" t="s">
        <v>106</v>
      </c>
      <c r="I686" s="4" t="s">
        <v>93</v>
      </c>
      <c r="J686" s="25" t="s">
        <v>93</v>
      </c>
      <c r="K686" s="4">
        <v>0</v>
      </c>
      <c r="L686" s="25">
        <v>0</v>
      </c>
      <c r="M686" s="4" t="s">
        <v>251</v>
      </c>
      <c r="N686" s="25" t="s">
        <v>251</v>
      </c>
      <c r="O686" s="4">
        <v>1.7</v>
      </c>
      <c r="P686" s="25">
        <v>1.7</v>
      </c>
      <c r="Q686" s="4" t="s">
        <v>33</v>
      </c>
      <c r="R686" s="25" t="s">
        <v>33</v>
      </c>
      <c r="S686" s="4">
        <v>95</v>
      </c>
      <c r="T686" s="26">
        <v>95</v>
      </c>
    </row>
    <row r="687" spans="1:20" x14ac:dyDescent="0.3">
      <c r="A687" s="27" t="s">
        <v>1474</v>
      </c>
      <c r="B687" s="4" t="s">
        <v>1475</v>
      </c>
      <c r="C687" s="4" t="s">
        <v>113</v>
      </c>
      <c r="D687" s="25" t="s">
        <v>118</v>
      </c>
      <c r="E687" s="4">
        <v>52</v>
      </c>
      <c r="F687" s="25">
        <v>52</v>
      </c>
      <c r="G687" s="4" t="s">
        <v>133</v>
      </c>
      <c r="H687" s="25" t="s">
        <v>133</v>
      </c>
      <c r="I687" s="4" t="s">
        <v>39</v>
      </c>
      <c r="J687" s="25" t="s">
        <v>39</v>
      </c>
      <c r="K687" s="4">
        <v>21</v>
      </c>
      <c r="L687" s="25">
        <v>21</v>
      </c>
      <c r="M687" s="4" t="s">
        <v>70</v>
      </c>
      <c r="N687" s="25" t="s">
        <v>70</v>
      </c>
      <c r="O687" s="4">
        <v>4</v>
      </c>
      <c r="P687" s="25">
        <v>4</v>
      </c>
      <c r="Q687" s="4" t="s">
        <v>51</v>
      </c>
      <c r="R687" s="25" t="s">
        <v>2120</v>
      </c>
      <c r="S687" s="4">
        <v>0.69</v>
      </c>
      <c r="T687" s="26">
        <v>0.69</v>
      </c>
    </row>
    <row r="688" spans="1:20" x14ac:dyDescent="0.3">
      <c r="A688" s="27" t="s">
        <v>1476</v>
      </c>
      <c r="B688" s="4" t="s">
        <v>1477</v>
      </c>
      <c r="C688" s="4" t="s">
        <v>18</v>
      </c>
      <c r="D688" s="25" t="s">
        <v>97</v>
      </c>
      <c r="E688" s="4">
        <v>25</v>
      </c>
      <c r="F688" s="25">
        <v>25</v>
      </c>
      <c r="G688" s="4" t="s">
        <v>38</v>
      </c>
      <c r="H688" s="25" t="s">
        <v>38</v>
      </c>
      <c r="I688" s="4" t="s">
        <v>110</v>
      </c>
      <c r="J688" s="25" t="s">
        <v>110</v>
      </c>
      <c r="K688" s="4">
        <v>7</v>
      </c>
      <c r="L688" s="25">
        <v>7</v>
      </c>
      <c r="M688" s="4" t="s">
        <v>32</v>
      </c>
      <c r="N688" s="25" t="s">
        <v>32</v>
      </c>
      <c r="O688" s="4">
        <v>1.9</v>
      </c>
      <c r="P688" s="25">
        <v>1.9</v>
      </c>
      <c r="Q688" s="4" t="s">
        <v>59</v>
      </c>
      <c r="R688" s="25" t="s">
        <v>59</v>
      </c>
      <c r="S688" s="4">
        <v>0.63</v>
      </c>
      <c r="T688" s="26">
        <v>0.63</v>
      </c>
    </row>
    <row r="689" spans="1:20" x14ac:dyDescent="0.3">
      <c r="A689" s="27" t="s">
        <v>1478</v>
      </c>
      <c r="B689" s="4" t="s">
        <v>1479</v>
      </c>
      <c r="C689" s="4" t="s">
        <v>113</v>
      </c>
      <c r="D689" s="25" t="s">
        <v>118</v>
      </c>
      <c r="E689" s="4">
        <v>33</v>
      </c>
      <c r="F689" s="25">
        <v>33</v>
      </c>
      <c r="G689" s="4" t="s">
        <v>106</v>
      </c>
      <c r="H689" s="25" t="s">
        <v>106</v>
      </c>
      <c r="I689" s="4" t="s">
        <v>98</v>
      </c>
      <c r="J689" s="25" t="s">
        <v>98</v>
      </c>
      <c r="L689" s="25" t="s">
        <v>2120</v>
      </c>
      <c r="M689" s="4" t="s">
        <v>130</v>
      </c>
      <c r="N689" s="25" t="s">
        <v>130</v>
      </c>
      <c r="O689" s="4">
        <v>4.4000000000000004</v>
      </c>
      <c r="P689" s="25">
        <v>4.4000000000000004</v>
      </c>
      <c r="Q689" s="4" t="s">
        <v>74</v>
      </c>
      <c r="R689" s="25" t="s">
        <v>74</v>
      </c>
      <c r="S689" s="4">
        <v>0.65</v>
      </c>
      <c r="T689" s="26">
        <v>0.65</v>
      </c>
    </row>
    <row r="690" spans="1:20" x14ac:dyDescent="0.3">
      <c r="A690" s="27" t="s">
        <v>1480</v>
      </c>
      <c r="B690" s="4" t="s">
        <v>1481</v>
      </c>
      <c r="C690" s="4" t="s">
        <v>18</v>
      </c>
      <c r="D690" s="25" t="s">
        <v>97</v>
      </c>
      <c r="E690" s="4">
        <v>33</v>
      </c>
      <c r="F690" s="25">
        <v>33</v>
      </c>
      <c r="G690" s="4" t="s">
        <v>197</v>
      </c>
      <c r="H690" s="25" t="s">
        <v>197</v>
      </c>
      <c r="I690" s="4" t="s">
        <v>31</v>
      </c>
      <c r="J690" s="25" t="s">
        <v>31</v>
      </c>
      <c r="L690" s="25" t="s">
        <v>2120</v>
      </c>
      <c r="M690" s="4" t="s">
        <v>51</v>
      </c>
      <c r="N690" s="25" t="s">
        <v>2119</v>
      </c>
      <c r="O690" s="4">
        <v>4.2</v>
      </c>
      <c r="P690" s="25">
        <v>4.2</v>
      </c>
      <c r="Q690" s="4" t="s">
        <v>94</v>
      </c>
      <c r="R690" s="25" t="s">
        <v>94</v>
      </c>
      <c r="S690" s="4">
        <v>0.9</v>
      </c>
      <c r="T690" s="26">
        <v>0.9</v>
      </c>
    </row>
    <row r="691" spans="1:20" x14ac:dyDescent="0.3">
      <c r="A691" s="27" t="s">
        <v>1482</v>
      </c>
      <c r="B691" s="4" t="s">
        <v>54</v>
      </c>
      <c r="C691" s="4" t="s">
        <v>97</v>
      </c>
      <c r="D691" s="25" t="s">
        <v>97</v>
      </c>
      <c r="E691" s="4">
        <v>52</v>
      </c>
      <c r="F691" s="25">
        <v>52</v>
      </c>
      <c r="G691" s="4" t="s">
        <v>149</v>
      </c>
      <c r="H691" s="25" t="s">
        <v>149</v>
      </c>
      <c r="I691" s="4" t="s">
        <v>93</v>
      </c>
      <c r="J691" s="25" t="s">
        <v>93</v>
      </c>
      <c r="K691" s="4">
        <v>25</v>
      </c>
      <c r="L691" s="25">
        <v>25</v>
      </c>
      <c r="M691" s="4" t="s">
        <v>22</v>
      </c>
      <c r="N691" s="25" t="s">
        <v>22</v>
      </c>
      <c r="O691" s="4">
        <v>4.8</v>
      </c>
      <c r="P691" s="25">
        <v>4.8</v>
      </c>
      <c r="Q691" s="4" t="s">
        <v>41</v>
      </c>
      <c r="R691" s="25" t="s">
        <v>41</v>
      </c>
      <c r="T691" s="26" t="s">
        <v>2120</v>
      </c>
    </row>
    <row r="692" spans="1:20" x14ac:dyDescent="0.3">
      <c r="A692" s="27" t="s">
        <v>1483</v>
      </c>
      <c r="B692" s="4" t="s">
        <v>1484</v>
      </c>
      <c r="C692" s="4" t="s">
        <v>18</v>
      </c>
      <c r="D692" s="25" t="s">
        <v>97</v>
      </c>
      <c r="E692" s="4">
        <v>20</v>
      </c>
      <c r="F692" s="25">
        <v>20</v>
      </c>
      <c r="G692" s="4" t="s">
        <v>64</v>
      </c>
      <c r="H692" s="25" t="s">
        <v>64</v>
      </c>
      <c r="I692" s="4" t="s">
        <v>46</v>
      </c>
      <c r="J692" s="25" t="s">
        <v>46</v>
      </c>
      <c r="K692" s="4">
        <v>1</v>
      </c>
      <c r="L692" s="25">
        <v>1</v>
      </c>
      <c r="M692" s="4" t="s">
        <v>130</v>
      </c>
      <c r="N692" s="25" t="s">
        <v>130</v>
      </c>
      <c r="O692" s="4">
        <v>2</v>
      </c>
      <c r="P692" s="25">
        <v>2</v>
      </c>
      <c r="Q692" s="4" t="s">
        <v>181</v>
      </c>
      <c r="R692" s="25" t="s">
        <v>181</v>
      </c>
      <c r="S692" s="4">
        <v>0.89</v>
      </c>
      <c r="T692" s="26">
        <v>0.89</v>
      </c>
    </row>
    <row r="693" spans="1:20" x14ac:dyDescent="0.3">
      <c r="A693" s="27" t="s">
        <v>1485</v>
      </c>
      <c r="B693" s="4" t="s">
        <v>1486</v>
      </c>
      <c r="C693" s="4" t="s">
        <v>28</v>
      </c>
      <c r="D693" s="25" t="s">
        <v>97</v>
      </c>
      <c r="E693" s="4">
        <v>43</v>
      </c>
      <c r="F693" s="25">
        <v>43</v>
      </c>
      <c r="G693" s="4" t="s">
        <v>145</v>
      </c>
      <c r="H693" s="25" t="s">
        <v>145</v>
      </c>
      <c r="I693" s="4" t="s">
        <v>66</v>
      </c>
      <c r="J693" s="25" t="s">
        <v>66</v>
      </c>
      <c r="K693" s="4">
        <v>7</v>
      </c>
      <c r="L693" s="25">
        <v>7</v>
      </c>
      <c r="M693" s="4" t="s">
        <v>119</v>
      </c>
      <c r="N693" s="25" t="s">
        <v>119</v>
      </c>
      <c r="P693" s="25" t="s">
        <v>2120</v>
      </c>
      <c r="Q693" s="4" t="s">
        <v>33</v>
      </c>
      <c r="R693" s="25" t="s">
        <v>33</v>
      </c>
      <c r="S693" s="4">
        <v>0.8</v>
      </c>
      <c r="T693" s="26">
        <v>0.8</v>
      </c>
    </row>
    <row r="694" spans="1:20" x14ac:dyDescent="0.3">
      <c r="A694" s="27" t="s">
        <v>1487</v>
      </c>
      <c r="B694" s="4" t="s">
        <v>1443</v>
      </c>
      <c r="C694" s="4" t="s">
        <v>50</v>
      </c>
      <c r="D694" s="25" t="s">
        <v>97</v>
      </c>
      <c r="E694" s="4">
        <v>31</v>
      </c>
      <c r="F694" s="25">
        <v>31</v>
      </c>
      <c r="G694" s="4" t="s">
        <v>156</v>
      </c>
      <c r="H694" s="25" t="s">
        <v>156</v>
      </c>
      <c r="I694" s="4" t="s">
        <v>31</v>
      </c>
      <c r="J694" s="25" t="s">
        <v>31</v>
      </c>
      <c r="L694" s="25" t="s">
        <v>2120</v>
      </c>
      <c r="M694" s="4" t="s">
        <v>40</v>
      </c>
      <c r="N694" s="25" t="s">
        <v>40</v>
      </c>
      <c r="O694" s="4">
        <v>1.4</v>
      </c>
      <c r="P694" s="25">
        <v>1.4</v>
      </c>
      <c r="Q694" s="4" t="s">
        <v>181</v>
      </c>
      <c r="R694" s="25" t="s">
        <v>181</v>
      </c>
      <c r="S694" s="4">
        <v>0.8</v>
      </c>
      <c r="T694" s="26">
        <v>0.8</v>
      </c>
    </row>
    <row r="695" spans="1:20" x14ac:dyDescent="0.3">
      <c r="A695" s="27" t="s">
        <v>1488</v>
      </c>
      <c r="B695" s="4" t="s">
        <v>1489</v>
      </c>
      <c r="C695" s="4" t="s">
        <v>28</v>
      </c>
      <c r="D695" s="25" t="s">
        <v>97</v>
      </c>
      <c r="E695" s="4">
        <v>29</v>
      </c>
      <c r="F695" s="25">
        <v>29</v>
      </c>
      <c r="G695" s="4" t="s">
        <v>38</v>
      </c>
      <c r="H695" s="25" t="s">
        <v>38</v>
      </c>
      <c r="I695" s="4" t="s">
        <v>66</v>
      </c>
      <c r="J695" s="25" t="s">
        <v>66</v>
      </c>
      <c r="K695" s="4">
        <v>6</v>
      </c>
      <c r="L695" s="25">
        <v>6</v>
      </c>
      <c r="M695" s="4" t="s">
        <v>22</v>
      </c>
      <c r="N695" s="25" t="s">
        <v>22</v>
      </c>
      <c r="O695" s="4">
        <v>1.8</v>
      </c>
      <c r="P695" s="25">
        <v>1.8</v>
      </c>
      <c r="Q695" s="4" t="s">
        <v>41</v>
      </c>
      <c r="R695" s="25" t="s">
        <v>41</v>
      </c>
      <c r="T695" s="26" t="s">
        <v>2120</v>
      </c>
    </row>
    <row r="696" spans="1:20" x14ac:dyDescent="0.3">
      <c r="A696" s="27" t="s">
        <v>1490</v>
      </c>
      <c r="B696" s="4" t="s">
        <v>861</v>
      </c>
      <c r="C696" s="4" t="s">
        <v>28</v>
      </c>
      <c r="D696" s="25" t="s">
        <v>97</v>
      </c>
      <c r="E696" s="4">
        <v>53</v>
      </c>
      <c r="F696" s="25">
        <v>53</v>
      </c>
      <c r="G696" s="4" t="s">
        <v>175</v>
      </c>
      <c r="H696" s="25" t="s">
        <v>175</v>
      </c>
      <c r="I696" s="4" t="s">
        <v>39</v>
      </c>
      <c r="J696" s="25" t="s">
        <v>39</v>
      </c>
      <c r="K696" s="4">
        <v>35</v>
      </c>
      <c r="L696" s="25">
        <v>35</v>
      </c>
      <c r="M696" s="4" t="s">
        <v>51</v>
      </c>
      <c r="N696" s="25" t="s">
        <v>2119</v>
      </c>
      <c r="O696" s="4">
        <v>0</v>
      </c>
      <c r="P696" s="25">
        <v>0</v>
      </c>
      <c r="Q696" s="4" t="s">
        <v>33</v>
      </c>
      <c r="R696" s="25" t="s">
        <v>33</v>
      </c>
      <c r="S696" s="4">
        <v>0.67</v>
      </c>
      <c r="T696" s="26">
        <v>0.67</v>
      </c>
    </row>
    <row r="697" spans="1:20" x14ac:dyDescent="0.3">
      <c r="A697" s="27" t="s">
        <v>1491</v>
      </c>
      <c r="B697" s="4" t="s">
        <v>1492</v>
      </c>
      <c r="C697" s="4" t="s">
        <v>37</v>
      </c>
      <c r="D697" s="25" t="s">
        <v>118</v>
      </c>
      <c r="E697" s="4">
        <v>38</v>
      </c>
      <c r="F697" s="25">
        <v>38</v>
      </c>
      <c r="G697" s="4" t="s">
        <v>114</v>
      </c>
      <c r="H697" s="25" t="s">
        <v>114</v>
      </c>
      <c r="I697" s="4" t="s">
        <v>31</v>
      </c>
      <c r="J697" s="25" t="s">
        <v>31</v>
      </c>
      <c r="K697" s="4">
        <v>1</v>
      </c>
      <c r="L697" s="25">
        <v>1</v>
      </c>
      <c r="M697" s="4" t="s">
        <v>70</v>
      </c>
      <c r="N697" s="25" t="s">
        <v>70</v>
      </c>
      <c r="O697" s="4">
        <v>0</v>
      </c>
      <c r="P697" s="25">
        <v>0</v>
      </c>
      <c r="Q697" s="4" t="s">
        <v>23</v>
      </c>
      <c r="R697" s="25" t="s">
        <v>23</v>
      </c>
      <c r="S697" s="4">
        <v>0.96</v>
      </c>
      <c r="T697" s="26">
        <v>0.96</v>
      </c>
    </row>
    <row r="698" spans="1:20" x14ac:dyDescent="0.3">
      <c r="A698" s="27" t="s">
        <v>1493</v>
      </c>
      <c r="B698" s="4" t="s">
        <v>1494</v>
      </c>
      <c r="C698" s="4" t="s">
        <v>118</v>
      </c>
      <c r="D698" s="25" t="s">
        <v>118</v>
      </c>
      <c r="E698" s="4">
        <v>29</v>
      </c>
      <c r="F698" s="25">
        <v>29</v>
      </c>
      <c r="G698" s="4" t="s">
        <v>212</v>
      </c>
      <c r="H698" s="25" t="s">
        <v>212</v>
      </c>
      <c r="I698" s="4" t="s">
        <v>39</v>
      </c>
      <c r="J698" s="25" t="s">
        <v>39</v>
      </c>
      <c r="L698" s="25" t="s">
        <v>2120</v>
      </c>
      <c r="M698" s="4" t="s">
        <v>162</v>
      </c>
      <c r="N698" s="25" t="s">
        <v>162</v>
      </c>
      <c r="O698" s="4">
        <v>0</v>
      </c>
      <c r="P698" s="25">
        <v>0</v>
      </c>
      <c r="Q698" s="4" t="s">
        <v>23</v>
      </c>
      <c r="R698" s="25" t="s">
        <v>23</v>
      </c>
      <c r="S698" s="4">
        <v>0.9</v>
      </c>
      <c r="T698" s="26">
        <v>0.9</v>
      </c>
    </row>
    <row r="699" spans="1:20" x14ac:dyDescent="0.3">
      <c r="A699" s="27" t="s">
        <v>1495</v>
      </c>
      <c r="B699" s="4" t="s">
        <v>1496</v>
      </c>
      <c r="C699" s="4" t="s">
        <v>113</v>
      </c>
      <c r="D699" s="25" t="s">
        <v>118</v>
      </c>
      <c r="E699" s="4">
        <v>42</v>
      </c>
      <c r="F699" s="25">
        <v>42</v>
      </c>
      <c r="G699" s="4" t="s">
        <v>133</v>
      </c>
      <c r="H699" s="25" t="s">
        <v>133</v>
      </c>
      <c r="I699" s="4" t="s">
        <v>93</v>
      </c>
      <c r="J699" s="25" t="s">
        <v>93</v>
      </c>
      <c r="K699" s="4">
        <v>0</v>
      </c>
      <c r="L699" s="25">
        <v>0</v>
      </c>
      <c r="M699" s="4" t="s">
        <v>51</v>
      </c>
      <c r="N699" s="25" t="s">
        <v>2119</v>
      </c>
      <c r="O699" s="4">
        <v>3.9</v>
      </c>
      <c r="P699" s="25">
        <v>3.9</v>
      </c>
      <c r="Q699" s="4" t="s">
        <v>59</v>
      </c>
      <c r="R699" s="25" t="s">
        <v>59</v>
      </c>
      <c r="S699" s="4">
        <v>0.62</v>
      </c>
      <c r="T699" s="26">
        <v>0.62</v>
      </c>
    </row>
    <row r="700" spans="1:20" x14ac:dyDescent="0.3">
      <c r="A700" s="27" t="s">
        <v>1497</v>
      </c>
      <c r="B700" s="4" t="s">
        <v>1498</v>
      </c>
      <c r="C700" s="4" t="s">
        <v>18</v>
      </c>
      <c r="D700" s="25" t="s">
        <v>97</v>
      </c>
      <c r="E700" s="4">
        <v>54</v>
      </c>
      <c r="F700" s="25">
        <v>54</v>
      </c>
      <c r="G700" s="4" t="s">
        <v>73</v>
      </c>
      <c r="H700" s="25" t="s">
        <v>73</v>
      </c>
      <c r="I700" s="4" t="s">
        <v>135</v>
      </c>
      <c r="J700" s="25" t="s">
        <v>135</v>
      </c>
      <c r="K700" s="4">
        <v>9</v>
      </c>
      <c r="L700" s="25">
        <v>9</v>
      </c>
      <c r="M700" s="4" t="s">
        <v>22</v>
      </c>
      <c r="N700" s="25" t="s">
        <v>22</v>
      </c>
      <c r="P700" s="25" t="s">
        <v>2120</v>
      </c>
      <c r="Q700" s="4" t="s">
        <v>41</v>
      </c>
      <c r="R700" s="25" t="s">
        <v>41</v>
      </c>
      <c r="S700" s="4">
        <v>0.72</v>
      </c>
      <c r="T700" s="26">
        <v>0.72</v>
      </c>
    </row>
    <row r="701" spans="1:20" x14ac:dyDescent="0.3">
      <c r="A701" s="27" t="s">
        <v>1499</v>
      </c>
      <c r="B701" s="4" t="s">
        <v>1500</v>
      </c>
      <c r="C701" s="4" t="s">
        <v>78</v>
      </c>
      <c r="D701" s="25" t="s">
        <v>118</v>
      </c>
      <c r="E701" s="4">
        <v>56</v>
      </c>
      <c r="F701" s="25">
        <v>56</v>
      </c>
      <c r="G701" s="4" t="s">
        <v>197</v>
      </c>
      <c r="H701" s="25" t="s">
        <v>197</v>
      </c>
      <c r="I701" s="4" t="s">
        <v>93</v>
      </c>
      <c r="J701" s="25" t="s">
        <v>93</v>
      </c>
      <c r="K701" s="4">
        <v>18</v>
      </c>
      <c r="L701" s="25">
        <v>18</v>
      </c>
      <c r="M701" s="4" t="s">
        <v>119</v>
      </c>
      <c r="N701" s="25" t="s">
        <v>119</v>
      </c>
      <c r="O701" s="4">
        <v>4.4000000000000004</v>
      </c>
      <c r="P701" s="25">
        <v>4.4000000000000004</v>
      </c>
      <c r="Q701" s="4" t="s">
        <v>94</v>
      </c>
      <c r="R701" s="25" t="s">
        <v>94</v>
      </c>
      <c r="S701" s="4">
        <v>0.83</v>
      </c>
      <c r="T701" s="26">
        <v>0.83</v>
      </c>
    </row>
    <row r="702" spans="1:20" x14ac:dyDescent="0.3">
      <c r="A702" s="27" t="s">
        <v>1501</v>
      </c>
      <c r="B702" s="4" t="s">
        <v>1502</v>
      </c>
      <c r="C702" s="4" t="s">
        <v>18</v>
      </c>
      <c r="D702" s="25" t="s">
        <v>97</v>
      </c>
      <c r="E702" s="4">
        <v>47</v>
      </c>
      <c r="F702" s="25">
        <v>47</v>
      </c>
      <c r="G702" s="4" t="s">
        <v>79</v>
      </c>
      <c r="H702" s="25" t="s">
        <v>79</v>
      </c>
      <c r="I702" s="4" t="s">
        <v>39</v>
      </c>
      <c r="J702" s="25" t="s">
        <v>39</v>
      </c>
      <c r="K702" s="4">
        <v>22</v>
      </c>
      <c r="L702" s="25">
        <v>22</v>
      </c>
      <c r="M702" s="4" t="s">
        <v>22</v>
      </c>
      <c r="N702" s="25" t="s">
        <v>22</v>
      </c>
      <c r="O702" s="4">
        <v>4.4000000000000004</v>
      </c>
      <c r="P702" s="25">
        <v>4.4000000000000004</v>
      </c>
      <c r="Q702" s="4" t="s">
        <v>181</v>
      </c>
      <c r="R702" s="25" t="s">
        <v>181</v>
      </c>
      <c r="S702" s="4">
        <v>0.7</v>
      </c>
      <c r="T702" s="26">
        <v>0.7</v>
      </c>
    </row>
    <row r="703" spans="1:20" x14ac:dyDescent="0.3">
      <c r="A703" s="27" t="s">
        <v>1503</v>
      </c>
      <c r="B703" s="4" t="s">
        <v>1504</v>
      </c>
      <c r="C703" s="4" t="s">
        <v>63</v>
      </c>
      <c r="D703" s="25" t="s">
        <v>118</v>
      </c>
      <c r="E703" s="4">
        <v>45</v>
      </c>
      <c r="F703" s="25">
        <v>45</v>
      </c>
      <c r="G703" s="4" t="s">
        <v>145</v>
      </c>
      <c r="H703" s="25" t="s">
        <v>145</v>
      </c>
      <c r="I703" s="4" t="s">
        <v>21</v>
      </c>
      <c r="J703" s="25" t="s">
        <v>21</v>
      </c>
      <c r="K703" s="4">
        <v>25</v>
      </c>
      <c r="L703" s="25">
        <v>25</v>
      </c>
      <c r="M703" s="4" t="s">
        <v>40</v>
      </c>
      <c r="N703" s="25" t="s">
        <v>40</v>
      </c>
      <c r="O703" s="4">
        <v>0</v>
      </c>
      <c r="P703" s="25">
        <v>0</v>
      </c>
      <c r="Q703" s="4" t="s">
        <v>181</v>
      </c>
      <c r="R703" s="25" t="s">
        <v>181</v>
      </c>
      <c r="S703" s="4">
        <v>99</v>
      </c>
      <c r="T703" s="26">
        <v>99</v>
      </c>
    </row>
    <row r="704" spans="1:20" x14ac:dyDescent="0.3">
      <c r="A704" s="27" t="s">
        <v>1505</v>
      </c>
      <c r="B704" s="4" t="s">
        <v>1506</v>
      </c>
      <c r="C704" s="4" t="s">
        <v>113</v>
      </c>
      <c r="D704" s="25" t="s">
        <v>118</v>
      </c>
      <c r="E704" s="4">
        <v>45</v>
      </c>
      <c r="F704" s="25">
        <v>45</v>
      </c>
      <c r="G704" s="4" t="s">
        <v>197</v>
      </c>
      <c r="H704" s="25" t="s">
        <v>197</v>
      </c>
      <c r="I704" s="4" t="s">
        <v>66</v>
      </c>
      <c r="J704" s="25" t="s">
        <v>66</v>
      </c>
      <c r="K704" s="4">
        <v>6</v>
      </c>
      <c r="L704" s="25">
        <v>6</v>
      </c>
      <c r="M704" s="4" t="s">
        <v>40</v>
      </c>
      <c r="N704" s="25" t="s">
        <v>40</v>
      </c>
      <c r="O704" s="4">
        <v>1.4</v>
      </c>
      <c r="P704" s="25">
        <v>1.4</v>
      </c>
      <c r="Q704" s="4" t="s">
        <v>51</v>
      </c>
      <c r="R704" s="25" t="s">
        <v>2120</v>
      </c>
      <c r="S704" s="4">
        <v>97</v>
      </c>
      <c r="T704" s="26">
        <v>97</v>
      </c>
    </row>
    <row r="705" spans="1:20" x14ac:dyDescent="0.3">
      <c r="A705" s="27" t="s">
        <v>1507</v>
      </c>
      <c r="B705" s="4" t="s">
        <v>1508</v>
      </c>
      <c r="C705" s="4" t="s">
        <v>113</v>
      </c>
      <c r="D705" s="25" t="s">
        <v>118</v>
      </c>
      <c r="E705" s="4">
        <v>35</v>
      </c>
      <c r="F705" s="25">
        <v>35</v>
      </c>
      <c r="G705" s="4" t="s">
        <v>149</v>
      </c>
      <c r="H705" s="25" t="s">
        <v>149</v>
      </c>
      <c r="I705" s="4" t="s">
        <v>135</v>
      </c>
      <c r="J705" s="25" t="s">
        <v>135</v>
      </c>
      <c r="K705" s="4">
        <v>10</v>
      </c>
      <c r="L705" s="25">
        <v>10</v>
      </c>
      <c r="M705" s="4" t="s">
        <v>162</v>
      </c>
      <c r="N705" s="25" t="s">
        <v>162</v>
      </c>
      <c r="O705" s="4">
        <v>3.2</v>
      </c>
      <c r="P705" s="25">
        <v>3.2</v>
      </c>
      <c r="Q705" s="4" t="s">
        <v>74</v>
      </c>
      <c r="R705" s="25" t="s">
        <v>74</v>
      </c>
      <c r="S705" s="4">
        <v>0.77</v>
      </c>
      <c r="T705" s="26">
        <v>0.77</v>
      </c>
    </row>
    <row r="706" spans="1:20" x14ac:dyDescent="0.3">
      <c r="A706" s="27" t="s">
        <v>1509</v>
      </c>
      <c r="B706" s="4" t="s">
        <v>1510</v>
      </c>
      <c r="C706" s="4" t="s">
        <v>37</v>
      </c>
      <c r="D706" s="25" t="s">
        <v>118</v>
      </c>
      <c r="E706" s="4">
        <v>51</v>
      </c>
      <c r="F706" s="25">
        <v>51</v>
      </c>
      <c r="G706" s="4" t="s">
        <v>149</v>
      </c>
      <c r="H706" s="25" t="s">
        <v>149</v>
      </c>
      <c r="I706" s="4" t="s">
        <v>110</v>
      </c>
      <c r="J706" s="25" t="s">
        <v>110</v>
      </c>
      <c r="K706" s="4">
        <v>4</v>
      </c>
      <c r="L706" s="25">
        <v>4</v>
      </c>
      <c r="M706" s="4" t="s">
        <v>119</v>
      </c>
      <c r="N706" s="25" t="s">
        <v>119</v>
      </c>
      <c r="O706" s="4">
        <v>2</v>
      </c>
      <c r="P706" s="25">
        <v>2</v>
      </c>
      <c r="Q706" s="4" t="s">
        <v>181</v>
      </c>
      <c r="R706" s="25" t="s">
        <v>181</v>
      </c>
      <c r="S706" s="4">
        <v>0.92</v>
      </c>
      <c r="T706" s="26">
        <v>0.92</v>
      </c>
    </row>
    <row r="707" spans="1:20" x14ac:dyDescent="0.3">
      <c r="A707" s="27" t="s">
        <v>1511</v>
      </c>
      <c r="B707" s="4" t="s">
        <v>1512</v>
      </c>
      <c r="C707" s="4" t="s">
        <v>45</v>
      </c>
      <c r="D707" s="25" t="s">
        <v>97</v>
      </c>
      <c r="E707" s="4">
        <v>34</v>
      </c>
      <c r="F707" s="25">
        <v>34</v>
      </c>
      <c r="G707" s="4" t="s">
        <v>212</v>
      </c>
      <c r="H707" s="25" t="s">
        <v>212</v>
      </c>
      <c r="I707" s="4" t="s">
        <v>31</v>
      </c>
      <c r="J707" s="25" t="s">
        <v>31</v>
      </c>
      <c r="K707" s="4">
        <v>11</v>
      </c>
      <c r="L707" s="25">
        <v>11</v>
      </c>
      <c r="M707" s="4" t="s">
        <v>40</v>
      </c>
      <c r="N707" s="25" t="s">
        <v>40</v>
      </c>
      <c r="O707" s="4">
        <v>3.3</v>
      </c>
      <c r="P707" s="25">
        <v>3.3</v>
      </c>
      <c r="Q707" s="4" t="s">
        <v>87</v>
      </c>
      <c r="R707" s="25" t="s">
        <v>87</v>
      </c>
      <c r="S707" s="4">
        <v>0.76</v>
      </c>
      <c r="T707" s="26">
        <v>0.76</v>
      </c>
    </row>
    <row r="708" spans="1:20" x14ac:dyDescent="0.3">
      <c r="A708" s="27" t="s">
        <v>1513</v>
      </c>
      <c r="B708" s="4" t="s">
        <v>1514</v>
      </c>
      <c r="C708" s="4" t="s">
        <v>28</v>
      </c>
      <c r="D708" s="25" t="s">
        <v>97</v>
      </c>
      <c r="E708" s="4">
        <v>51</v>
      </c>
      <c r="F708" s="25">
        <v>51</v>
      </c>
      <c r="G708" s="4" t="s">
        <v>64</v>
      </c>
      <c r="H708" s="25" t="s">
        <v>64</v>
      </c>
      <c r="I708" s="4" t="s">
        <v>39</v>
      </c>
      <c r="J708" s="25" t="s">
        <v>39</v>
      </c>
      <c r="K708" s="4">
        <v>1</v>
      </c>
      <c r="L708" s="25">
        <v>1</v>
      </c>
      <c r="M708" s="4" t="s">
        <v>81</v>
      </c>
      <c r="N708" s="25" t="s">
        <v>81</v>
      </c>
      <c r="O708" s="4">
        <v>0</v>
      </c>
      <c r="P708" s="25">
        <v>0</v>
      </c>
      <c r="Q708" s="4" t="s">
        <v>94</v>
      </c>
      <c r="R708" s="25" t="s">
        <v>94</v>
      </c>
      <c r="S708" s="4">
        <v>0.97</v>
      </c>
      <c r="T708" s="26">
        <v>0.97</v>
      </c>
    </row>
    <row r="709" spans="1:20" x14ac:dyDescent="0.3">
      <c r="A709" s="27" t="s">
        <v>1515</v>
      </c>
      <c r="B709" s="4" t="s">
        <v>1516</v>
      </c>
      <c r="C709" s="4" t="s">
        <v>113</v>
      </c>
      <c r="D709" s="25" t="s">
        <v>118</v>
      </c>
      <c r="E709" s="4">
        <v>58</v>
      </c>
      <c r="F709" s="25">
        <v>58</v>
      </c>
      <c r="G709" s="4" t="s">
        <v>160</v>
      </c>
      <c r="H709" s="25" t="s">
        <v>160</v>
      </c>
      <c r="I709" s="4" t="s">
        <v>39</v>
      </c>
      <c r="J709" s="25" t="s">
        <v>39</v>
      </c>
      <c r="K709" s="4">
        <v>35</v>
      </c>
      <c r="L709" s="25">
        <v>35</v>
      </c>
      <c r="M709" s="4" t="s">
        <v>32</v>
      </c>
      <c r="N709" s="25" t="s">
        <v>32</v>
      </c>
      <c r="O709" s="4">
        <v>2.2999999999999998</v>
      </c>
      <c r="P709" s="25">
        <v>2.2999999999999998</v>
      </c>
      <c r="Q709" s="4" t="s">
        <v>94</v>
      </c>
      <c r="R709" s="25" t="s">
        <v>94</v>
      </c>
      <c r="T709" s="26" t="s">
        <v>2120</v>
      </c>
    </row>
    <row r="710" spans="1:20" x14ac:dyDescent="0.3">
      <c r="A710" s="27" t="s">
        <v>1517</v>
      </c>
      <c r="B710" s="4" t="s">
        <v>1518</v>
      </c>
      <c r="C710" s="4" t="s">
        <v>18</v>
      </c>
      <c r="D710" s="25" t="s">
        <v>97</v>
      </c>
      <c r="E710" s="4">
        <v>36</v>
      </c>
      <c r="F710" s="25">
        <v>36</v>
      </c>
      <c r="G710" s="4" t="s">
        <v>55</v>
      </c>
      <c r="H710" s="25" t="s">
        <v>55</v>
      </c>
      <c r="I710" s="4" t="s">
        <v>46</v>
      </c>
      <c r="J710" s="25" t="s">
        <v>46</v>
      </c>
      <c r="K710" s="4">
        <v>17</v>
      </c>
      <c r="L710" s="25">
        <v>17</v>
      </c>
      <c r="M710" s="4" t="s">
        <v>142</v>
      </c>
      <c r="N710" s="25" t="s">
        <v>142</v>
      </c>
      <c r="O710" s="4">
        <v>0</v>
      </c>
      <c r="P710" s="25">
        <v>0</v>
      </c>
      <c r="Q710" s="4" t="s">
        <v>33</v>
      </c>
      <c r="R710" s="25" t="s">
        <v>33</v>
      </c>
      <c r="S710" s="4">
        <v>99</v>
      </c>
      <c r="T710" s="26">
        <v>99</v>
      </c>
    </row>
    <row r="711" spans="1:20" x14ac:dyDescent="0.3">
      <c r="A711" s="27" t="s">
        <v>1519</v>
      </c>
      <c r="B711" s="4" t="s">
        <v>1520</v>
      </c>
      <c r="C711" s="4" t="s">
        <v>78</v>
      </c>
      <c r="D711" s="25" t="s">
        <v>118</v>
      </c>
      <c r="F711" s="25" t="s">
        <v>2119</v>
      </c>
      <c r="G711" s="4" t="s">
        <v>145</v>
      </c>
      <c r="H711" s="25" t="s">
        <v>145</v>
      </c>
      <c r="I711" s="4" t="s">
        <v>57</v>
      </c>
      <c r="J711" s="25" t="s">
        <v>57</v>
      </c>
      <c r="K711" s="4">
        <v>12</v>
      </c>
      <c r="L711" s="25">
        <v>12</v>
      </c>
      <c r="M711" s="4" t="s">
        <v>52</v>
      </c>
      <c r="N711" s="25" t="s">
        <v>52</v>
      </c>
      <c r="O711" s="4">
        <v>2.6</v>
      </c>
      <c r="P711" s="25">
        <v>2.6</v>
      </c>
      <c r="Q711" s="4" t="s">
        <v>94</v>
      </c>
      <c r="R711" s="25" t="s">
        <v>94</v>
      </c>
      <c r="T711" s="26" t="s">
        <v>2120</v>
      </c>
    </row>
    <row r="712" spans="1:20" x14ac:dyDescent="0.3">
      <c r="A712" s="27" t="s">
        <v>1521</v>
      </c>
      <c r="B712" s="4" t="s">
        <v>1522</v>
      </c>
      <c r="C712" s="4" t="s">
        <v>113</v>
      </c>
      <c r="D712" s="25" t="s">
        <v>118</v>
      </c>
      <c r="E712" s="4">
        <v>56</v>
      </c>
      <c r="F712" s="25">
        <v>56</v>
      </c>
      <c r="G712" s="4" t="s">
        <v>175</v>
      </c>
      <c r="H712" s="25" t="s">
        <v>175</v>
      </c>
      <c r="I712" s="4" t="s">
        <v>135</v>
      </c>
      <c r="J712" s="25" t="s">
        <v>135</v>
      </c>
      <c r="K712" s="4">
        <v>30</v>
      </c>
      <c r="L712" s="25">
        <v>30</v>
      </c>
      <c r="M712" s="4" t="s">
        <v>86</v>
      </c>
      <c r="N712" s="25" t="s">
        <v>86</v>
      </c>
      <c r="O712" s="4">
        <v>3.3</v>
      </c>
      <c r="P712" s="25">
        <v>3.3</v>
      </c>
      <c r="Q712" s="4" t="s">
        <v>87</v>
      </c>
      <c r="R712" s="25" t="s">
        <v>87</v>
      </c>
      <c r="S712" s="4">
        <v>0.82</v>
      </c>
      <c r="T712" s="26">
        <v>0.82</v>
      </c>
    </row>
    <row r="713" spans="1:20" x14ac:dyDescent="0.3">
      <c r="A713" s="27" t="s">
        <v>1523</v>
      </c>
      <c r="B713" s="4" t="s">
        <v>1524</v>
      </c>
      <c r="C713" s="4" t="s">
        <v>18</v>
      </c>
      <c r="D713" s="25" t="s">
        <v>97</v>
      </c>
      <c r="E713" s="4">
        <v>58</v>
      </c>
      <c r="F713" s="25">
        <v>58</v>
      </c>
      <c r="G713" s="4" t="s">
        <v>149</v>
      </c>
      <c r="H713" s="25" t="s">
        <v>149</v>
      </c>
      <c r="I713" s="4" t="s">
        <v>98</v>
      </c>
      <c r="J713" s="25" t="s">
        <v>98</v>
      </c>
      <c r="K713" s="4">
        <v>20</v>
      </c>
      <c r="L713" s="25">
        <v>20</v>
      </c>
      <c r="M713" s="4" t="s">
        <v>103</v>
      </c>
      <c r="N713" s="25" t="s">
        <v>103</v>
      </c>
      <c r="O713" s="4">
        <v>3.6</v>
      </c>
      <c r="P713" s="25">
        <v>3.6</v>
      </c>
      <c r="Q713" s="4" t="s">
        <v>87</v>
      </c>
      <c r="R713" s="25" t="s">
        <v>87</v>
      </c>
      <c r="S713" s="4">
        <v>0.78</v>
      </c>
      <c r="T713" s="26">
        <v>0.78</v>
      </c>
    </row>
    <row r="714" spans="1:20" x14ac:dyDescent="0.3">
      <c r="A714" s="27" t="s">
        <v>1525</v>
      </c>
      <c r="B714" s="4" t="s">
        <v>1526</v>
      </c>
      <c r="C714" s="4" t="s">
        <v>18</v>
      </c>
      <c r="D714" s="25" t="s">
        <v>97</v>
      </c>
      <c r="E714" s="4">
        <v>58</v>
      </c>
      <c r="F714" s="25">
        <v>58</v>
      </c>
      <c r="G714" s="4" t="s">
        <v>73</v>
      </c>
      <c r="H714" s="25" t="s">
        <v>73</v>
      </c>
      <c r="I714" s="4" t="s">
        <v>98</v>
      </c>
      <c r="J714" s="25" t="s">
        <v>98</v>
      </c>
      <c r="K714" s="4">
        <v>22</v>
      </c>
      <c r="L714" s="25">
        <v>22</v>
      </c>
      <c r="M714" s="4" t="s">
        <v>22</v>
      </c>
      <c r="N714" s="25" t="s">
        <v>22</v>
      </c>
      <c r="O714" s="4">
        <v>3.7</v>
      </c>
      <c r="P714" s="25">
        <v>3.7</v>
      </c>
      <c r="Q714" s="4" t="s">
        <v>23</v>
      </c>
      <c r="R714" s="25" t="s">
        <v>23</v>
      </c>
      <c r="T714" s="26" t="s">
        <v>2120</v>
      </c>
    </row>
    <row r="715" spans="1:20" x14ac:dyDescent="0.3">
      <c r="A715" s="27" t="s">
        <v>1527</v>
      </c>
      <c r="B715" s="4" t="s">
        <v>1528</v>
      </c>
      <c r="C715" s="4" t="s">
        <v>45</v>
      </c>
      <c r="D715" s="25" t="s">
        <v>97</v>
      </c>
      <c r="E715" s="4">
        <v>54</v>
      </c>
      <c r="F715" s="25">
        <v>54</v>
      </c>
      <c r="G715" s="4" t="s">
        <v>85</v>
      </c>
      <c r="H715" s="25" t="s">
        <v>85</v>
      </c>
      <c r="I715" s="4" t="s">
        <v>57</v>
      </c>
      <c r="J715" s="25" t="s">
        <v>57</v>
      </c>
      <c r="K715" s="4">
        <v>32</v>
      </c>
      <c r="L715" s="25">
        <v>32</v>
      </c>
      <c r="M715" s="4" t="s">
        <v>142</v>
      </c>
      <c r="N715" s="25" t="s">
        <v>142</v>
      </c>
      <c r="O715" s="4">
        <v>3.4</v>
      </c>
      <c r="P715" s="25">
        <v>3.4</v>
      </c>
      <c r="Q715" s="4" t="s">
        <v>181</v>
      </c>
      <c r="R715" s="25" t="s">
        <v>181</v>
      </c>
      <c r="T715" s="26" t="s">
        <v>2120</v>
      </c>
    </row>
    <row r="716" spans="1:20" x14ac:dyDescent="0.3">
      <c r="A716" s="27" t="s">
        <v>1529</v>
      </c>
      <c r="B716" s="4" t="s">
        <v>1530</v>
      </c>
      <c r="C716" s="4" t="s">
        <v>37</v>
      </c>
      <c r="D716" s="25" t="s">
        <v>118</v>
      </c>
      <c r="E716" s="4">
        <v>53</v>
      </c>
      <c r="F716" s="25">
        <v>53</v>
      </c>
      <c r="G716" s="4" t="s">
        <v>29</v>
      </c>
      <c r="H716" s="25" t="s">
        <v>29</v>
      </c>
      <c r="I716" s="4" t="s">
        <v>93</v>
      </c>
      <c r="J716" s="25" t="s">
        <v>93</v>
      </c>
      <c r="K716" s="4">
        <v>9</v>
      </c>
      <c r="L716" s="25">
        <v>9</v>
      </c>
      <c r="M716" s="4" t="s">
        <v>40</v>
      </c>
      <c r="N716" s="25" t="s">
        <v>40</v>
      </c>
      <c r="O716" s="4">
        <v>4</v>
      </c>
      <c r="P716" s="25">
        <v>4</v>
      </c>
      <c r="Q716" s="4" t="s">
        <v>94</v>
      </c>
      <c r="R716" s="25" t="s">
        <v>94</v>
      </c>
      <c r="S716" s="4">
        <v>0.72</v>
      </c>
      <c r="T716" s="26">
        <v>0.72</v>
      </c>
    </row>
    <row r="717" spans="1:20" x14ac:dyDescent="0.3">
      <c r="A717" s="27" t="s">
        <v>1531</v>
      </c>
      <c r="B717" s="4" t="s">
        <v>1532</v>
      </c>
      <c r="C717" s="4" t="s">
        <v>97</v>
      </c>
      <c r="D717" s="25" t="s">
        <v>97</v>
      </c>
      <c r="E717" s="4">
        <v>43</v>
      </c>
      <c r="F717" s="25">
        <v>43</v>
      </c>
      <c r="G717" s="4" t="s">
        <v>29</v>
      </c>
      <c r="H717" s="25" t="s">
        <v>29</v>
      </c>
      <c r="I717" s="4" t="s">
        <v>46</v>
      </c>
      <c r="J717" s="25" t="s">
        <v>46</v>
      </c>
      <c r="K717" s="4">
        <v>22</v>
      </c>
      <c r="L717" s="25">
        <v>22</v>
      </c>
      <c r="M717" s="4" t="s">
        <v>86</v>
      </c>
      <c r="N717" s="25" t="s">
        <v>86</v>
      </c>
      <c r="O717" s="4">
        <v>4.5</v>
      </c>
      <c r="P717" s="25">
        <v>4.5</v>
      </c>
      <c r="Q717" s="4" t="s">
        <v>51</v>
      </c>
      <c r="R717" s="25" t="s">
        <v>2120</v>
      </c>
      <c r="T717" s="26" t="s">
        <v>2120</v>
      </c>
    </row>
    <row r="718" spans="1:20" x14ac:dyDescent="0.3">
      <c r="A718" s="27" t="s">
        <v>1533</v>
      </c>
      <c r="B718" s="4" t="s">
        <v>1534</v>
      </c>
      <c r="C718" s="4" t="s">
        <v>113</v>
      </c>
      <c r="D718" s="25" t="s">
        <v>118</v>
      </c>
      <c r="E718" s="4">
        <v>44</v>
      </c>
      <c r="F718" s="25">
        <v>44</v>
      </c>
      <c r="G718" s="4" t="s">
        <v>133</v>
      </c>
      <c r="H718" s="25" t="s">
        <v>133</v>
      </c>
      <c r="I718" s="4" t="s">
        <v>135</v>
      </c>
      <c r="J718" s="25" t="s">
        <v>135</v>
      </c>
      <c r="K718" s="4">
        <v>1</v>
      </c>
      <c r="L718" s="25">
        <v>1</v>
      </c>
      <c r="M718" s="4" t="s">
        <v>103</v>
      </c>
      <c r="N718" s="25" t="s">
        <v>103</v>
      </c>
      <c r="O718" s="4">
        <v>4.3</v>
      </c>
      <c r="P718" s="25">
        <v>4.3</v>
      </c>
      <c r="Q718" s="4" t="s">
        <v>33</v>
      </c>
      <c r="R718" s="25" t="s">
        <v>33</v>
      </c>
      <c r="T718" s="26" t="s">
        <v>2120</v>
      </c>
    </row>
    <row r="719" spans="1:20" x14ac:dyDescent="0.3">
      <c r="A719" s="27" t="s">
        <v>1535</v>
      </c>
      <c r="B719" s="4" t="s">
        <v>1536</v>
      </c>
      <c r="C719" s="4" t="s">
        <v>113</v>
      </c>
      <c r="D719" s="25" t="s">
        <v>118</v>
      </c>
      <c r="E719" s="4">
        <v>34</v>
      </c>
      <c r="F719" s="25">
        <v>34</v>
      </c>
      <c r="G719" s="4" t="s">
        <v>149</v>
      </c>
      <c r="H719" s="25" t="s">
        <v>149</v>
      </c>
      <c r="I719" s="4" t="s">
        <v>98</v>
      </c>
      <c r="J719" s="25" t="s">
        <v>98</v>
      </c>
      <c r="K719" s="4">
        <v>4</v>
      </c>
      <c r="L719" s="25">
        <v>4</v>
      </c>
      <c r="M719" s="4" t="s">
        <v>103</v>
      </c>
      <c r="N719" s="25" t="s">
        <v>103</v>
      </c>
      <c r="O719" s="4">
        <v>4</v>
      </c>
      <c r="P719" s="25">
        <v>4</v>
      </c>
      <c r="Q719" s="4" t="s">
        <v>33</v>
      </c>
      <c r="R719" s="25" t="s">
        <v>33</v>
      </c>
      <c r="T719" s="26" t="s">
        <v>2120</v>
      </c>
    </row>
    <row r="720" spans="1:20" x14ac:dyDescent="0.3">
      <c r="A720" s="27" t="s">
        <v>1537</v>
      </c>
      <c r="B720" s="4" t="s">
        <v>1538</v>
      </c>
      <c r="C720" s="4" t="s">
        <v>50</v>
      </c>
      <c r="D720" s="25" t="s">
        <v>97</v>
      </c>
      <c r="E720" s="4">
        <v>27</v>
      </c>
      <c r="F720" s="25">
        <v>27</v>
      </c>
      <c r="G720" s="4" t="s">
        <v>128</v>
      </c>
      <c r="H720" s="25" t="s">
        <v>128</v>
      </c>
      <c r="I720" s="4" t="s">
        <v>31</v>
      </c>
      <c r="J720" s="25" t="s">
        <v>31</v>
      </c>
      <c r="K720" s="4">
        <v>8</v>
      </c>
      <c r="L720" s="25">
        <v>8</v>
      </c>
      <c r="M720" s="4" t="s">
        <v>81</v>
      </c>
      <c r="N720" s="25" t="s">
        <v>81</v>
      </c>
      <c r="O720" s="4">
        <v>1.6</v>
      </c>
      <c r="P720" s="25">
        <v>1.6</v>
      </c>
      <c r="Q720" s="4" t="s">
        <v>87</v>
      </c>
      <c r="R720" s="25" t="s">
        <v>87</v>
      </c>
      <c r="T720" s="26" t="s">
        <v>2120</v>
      </c>
    </row>
    <row r="721" spans="1:20" x14ac:dyDescent="0.3">
      <c r="A721" s="27" t="s">
        <v>1539</v>
      </c>
      <c r="B721" s="4" t="s">
        <v>1540</v>
      </c>
      <c r="C721" s="4" t="s">
        <v>63</v>
      </c>
      <c r="D721" s="25" t="s">
        <v>118</v>
      </c>
      <c r="E721" s="4">
        <v>50</v>
      </c>
      <c r="F721" s="25">
        <v>50</v>
      </c>
      <c r="G721" s="4" t="s">
        <v>106</v>
      </c>
      <c r="H721" s="25" t="s">
        <v>106</v>
      </c>
      <c r="I721" s="4" t="s">
        <v>66</v>
      </c>
      <c r="J721" s="25" t="s">
        <v>66</v>
      </c>
      <c r="K721" s="4">
        <v>3</v>
      </c>
      <c r="L721" s="25">
        <v>3</v>
      </c>
      <c r="M721" s="4" t="s">
        <v>22</v>
      </c>
      <c r="N721" s="25" t="s">
        <v>22</v>
      </c>
      <c r="O721" s="4">
        <v>0</v>
      </c>
      <c r="P721" s="25">
        <v>0</v>
      </c>
      <c r="Q721" s="4" t="s">
        <v>94</v>
      </c>
      <c r="R721" s="25" t="s">
        <v>94</v>
      </c>
      <c r="T721" s="26" t="s">
        <v>2120</v>
      </c>
    </row>
    <row r="722" spans="1:20" x14ac:dyDescent="0.3">
      <c r="A722" s="27" t="s">
        <v>1541</v>
      </c>
      <c r="B722" s="4" t="s">
        <v>1542</v>
      </c>
      <c r="C722" s="4" t="s">
        <v>50</v>
      </c>
      <c r="D722" s="25" t="s">
        <v>97</v>
      </c>
      <c r="E722" s="4">
        <v>52</v>
      </c>
      <c r="F722" s="25">
        <v>52</v>
      </c>
      <c r="G722" s="4" t="s">
        <v>133</v>
      </c>
      <c r="H722" s="25" t="s">
        <v>133</v>
      </c>
      <c r="I722" s="4" t="s">
        <v>93</v>
      </c>
      <c r="J722" s="25" t="s">
        <v>93</v>
      </c>
      <c r="K722" s="4">
        <v>30</v>
      </c>
      <c r="L722" s="25">
        <v>30</v>
      </c>
      <c r="M722" s="4" t="s">
        <v>103</v>
      </c>
      <c r="N722" s="25" t="s">
        <v>103</v>
      </c>
      <c r="P722" s="25" t="s">
        <v>2120</v>
      </c>
      <c r="Q722" s="4" t="s">
        <v>181</v>
      </c>
      <c r="R722" s="25" t="s">
        <v>181</v>
      </c>
      <c r="S722" s="4">
        <v>0.94</v>
      </c>
      <c r="T722" s="26">
        <v>0.94</v>
      </c>
    </row>
    <row r="723" spans="1:20" x14ac:dyDescent="0.3">
      <c r="A723" s="27" t="s">
        <v>1543</v>
      </c>
      <c r="B723" s="4" t="s">
        <v>1544</v>
      </c>
      <c r="C723" s="4" t="s">
        <v>78</v>
      </c>
      <c r="D723" s="25" t="s">
        <v>118</v>
      </c>
      <c r="E723" s="4">
        <v>57</v>
      </c>
      <c r="F723" s="25">
        <v>57</v>
      </c>
      <c r="G723" s="4" t="s">
        <v>212</v>
      </c>
      <c r="H723" s="25" t="s">
        <v>212</v>
      </c>
      <c r="I723" s="4" t="s">
        <v>21</v>
      </c>
      <c r="J723" s="25" t="s">
        <v>21</v>
      </c>
      <c r="K723" s="4">
        <v>11</v>
      </c>
      <c r="L723" s="25">
        <v>11</v>
      </c>
      <c r="M723" s="4" t="s">
        <v>336</v>
      </c>
      <c r="N723" s="25" t="s">
        <v>336</v>
      </c>
      <c r="O723" s="4">
        <v>4.9000000000000004</v>
      </c>
      <c r="P723" s="25">
        <v>4.9000000000000004</v>
      </c>
      <c r="Q723" s="4" t="s">
        <v>94</v>
      </c>
      <c r="R723" s="25" t="s">
        <v>94</v>
      </c>
      <c r="T723" s="26" t="s">
        <v>2120</v>
      </c>
    </row>
    <row r="724" spans="1:20" x14ac:dyDescent="0.3">
      <c r="A724" s="27" t="s">
        <v>1545</v>
      </c>
      <c r="B724" s="4" t="s">
        <v>1546</v>
      </c>
      <c r="C724" s="4" t="s">
        <v>50</v>
      </c>
      <c r="D724" s="25" t="s">
        <v>97</v>
      </c>
      <c r="E724" s="4">
        <v>53</v>
      </c>
      <c r="F724" s="25">
        <v>53</v>
      </c>
      <c r="G724" s="4" t="s">
        <v>201</v>
      </c>
      <c r="H724" s="25" t="s">
        <v>201</v>
      </c>
      <c r="I724" s="4" t="s">
        <v>110</v>
      </c>
      <c r="J724" s="25" t="s">
        <v>110</v>
      </c>
      <c r="K724" s="4">
        <v>8</v>
      </c>
      <c r="L724" s="25">
        <v>8</v>
      </c>
      <c r="M724" s="4" t="s">
        <v>162</v>
      </c>
      <c r="N724" s="25" t="s">
        <v>162</v>
      </c>
      <c r="O724" s="4">
        <v>2.8</v>
      </c>
      <c r="P724" s="25">
        <v>2.8</v>
      </c>
      <c r="Q724" s="4" t="s">
        <v>74</v>
      </c>
      <c r="R724" s="25" t="s">
        <v>74</v>
      </c>
      <c r="T724" s="26" t="s">
        <v>2120</v>
      </c>
    </row>
    <row r="725" spans="1:20" x14ac:dyDescent="0.3">
      <c r="A725" s="27" t="s">
        <v>1547</v>
      </c>
      <c r="B725" s="4" t="s">
        <v>1548</v>
      </c>
      <c r="C725" s="4" t="s">
        <v>63</v>
      </c>
      <c r="D725" s="25" t="s">
        <v>118</v>
      </c>
      <c r="E725" s="4">
        <v>51</v>
      </c>
      <c r="F725" s="25">
        <v>51</v>
      </c>
      <c r="G725" s="4" t="s">
        <v>79</v>
      </c>
      <c r="H725" s="25" t="s">
        <v>79</v>
      </c>
      <c r="I725" s="4" t="s">
        <v>93</v>
      </c>
      <c r="J725" s="25" t="s">
        <v>93</v>
      </c>
      <c r="K725" s="4">
        <v>11</v>
      </c>
      <c r="L725" s="25">
        <v>11</v>
      </c>
      <c r="M725" s="4" t="s">
        <v>130</v>
      </c>
      <c r="N725" s="25" t="s">
        <v>130</v>
      </c>
      <c r="O725" s="4">
        <v>3.6</v>
      </c>
      <c r="P725" s="25">
        <v>3.6</v>
      </c>
      <c r="Q725" s="4" t="s">
        <v>94</v>
      </c>
      <c r="R725" s="25" t="s">
        <v>94</v>
      </c>
      <c r="S725" s="4">
        <v>0.77</v>
      </c>
      <c r="T725" s="26">
        <v>0.77</v>
      </c>
    </row>
    <row r="726" spans="1:20" x14ac:dyDescent="0.3">
      <c r="A726" s="27" t="s">
        <v>1549</v>
      </c>
      <c r="B726" s="4" t="s">
        <v>1550</v>
      </c>
      <c r="C726" s="4" t="s">
        <v>28</v>
      </c>
      <c r="D726" s="25" t="s">
        <v>97</v>
      </c>
      <c r="E726" s="4">
        <v>37</v>
      </c>
      <c r="F726" s="25">
        <v>37</v>
      </c>
      <c r="G726" s="4" t="s">
        <v>149</v>
      </c>
      <c r="H726" s="25" t="s">
        <v>149</v>
      </c>
      <c r="I726" s="4" t="s">
        <v>98</v>
      </c>
      <c r="J726" s="25" t="s">
        <v>98</v>
      </c>
      <c r="K726" s="4">
        <v>9</v>
      </c>
      <c r="L726" s="25">
        <v>9</v>
      </c>
      <c r="M726" s="4" t="s">
        <v>81</v>
      </c>
      <c r="N726" s="25" t="s">
        <v>81</v>
      </c>
      <c r="P726" s="25" t="s">
        <v>2120</v>
      </c>
      <c r="Q726" s="4" t="s">
        <v>87</v>
      </c>
      <c r="R726" s="25" t="s">
        <v>87</v>
      </c>
      <c r="S726" s="4">
        <v>84</v>
      </c>
      <c r="T726" s="26">
        <v>84</v>
      </c>
    </row>
    <row r="727" spans="1:20" x14ac:dyDescent="0.3">
      <c r="A727" s="27" t="s">
        <v>1551</v>
      </c>
      <c r="B727" s="4" t="s">
        <v>1552</v>
      </c>
      <c r="C727" s="4" t="s">
        <v>78</v>
      </c>
      <c r="D727" s="25" t="s">
        <v>118</v>
      </c>
      <c r="E727" s="4">
        <v>40</v>
      </c>
      <c r="F727" s="25">
        <v>40</v>
      </c>
      <c r="G727" s="4" t="s">
        <v>212</v>
      </c>
      <c r="H727" s="25" t="s">
        <v>212</v>
      </c>
      <c r="I727" s="4" t="s">
        <v>46</v>
      </c>
      <c r="J727" s="25" t="s">
        <v>46</v>
      </c>
      <c r="K727" s="4">
        <v>7</v>
      </c>
      <c r="L727" s="25">
        <v>7</v>
      </c>
      <c r="M727" s="4" t="s">
        <v>86</v>
      </c>
      <c r="N727" s="25" t="s">
        <v>86</v>
      </c>
      <c r="O727" s="4">
        <v>4.5</v>
      </c>
      <c r="P727" s="25">
        <v>4.5</v>
      </c>
      <c r="Q727" s="4" t="s">
        <v>51</v>
      </c>
      <c r="R727" s="25" t="s">
        <v>2120</v>
      </c>
      <c r="S727" s="4">
        <v>79</v>
      </c>
      <c r="T727" s="26">
        <v>79</v>
      </c>
    </row>
    <row r="728" spans="1:20" x14ac:dyDescent="0.3">
      <c r="A728" s="27" t="s">
        <v>1553</v>
      </c>
      <c r="B728" s="4" t="s">
        <v>1554</v>
      </c>
      <c r="C728" s="4" t="s">
        <v>63</v>
      </c>
      <c r="D728" s="25" t="s">
        <v>118</v>
      </c>
      <c r="E728" s="4">
        <v>60</v>
      </c>
      <c r="F728" s="25">
        <v>60</v>
      </c>
      <c r="G728" s="4" t="s">
        <v>106</v>
      </c>
      <c r="H728" s="25" t="s">
        <v>106</v>
      </c>
      <c r="I728" s="4" t="s">
        <v>66</v>
      </c>
      <c r="J728" s="25" t="s">
        <v>66</v>
      </c>
      <c r="K728" s="4">
        <v>24</v>
      </c>
      <c r="L728" s="25">
        <v>24</v>
      </c>
      <c r="M728" s="4" t="s">
        <v>70</v>
      </c>
      <c r="N728" s="25" t="s">
        <v>70</v>
      </c>
      <c r="O728" s="4">
        <v>3.1</v>
      </c>
      <c r="P728" s="25">
        <v>3.1</v>
      </c>
      <c r="Q728" s="4" t="s">
        <v>23</v>
      </c>
      <c r="R728" s="25" t="s">
        <v>23</v>
      </c>
      <c r="S728" s="4">
        <v>0.69</v>
      </c>
      <c r="T728" s="26">
        <v>0.69</v>
      </c>
    </row>
    <row r="729" spans="1:20" x14ac:dyDescent="0.3">
      <c r="A729" s="27" t="s">
        <v>1555</v>
      </c>
      <c r="B729" s="4" t="s">
        <v>1556</v>
      </c>
      <c r="C729" s="4" t="s">
        <v>113</v>
      </c>
      <c r="D729" s="25" t="s">
        <v>118</v>
      </c>
      <c r="E729" s="4">
        <v>60</v>
      </c>
      <c r="F729" s="25">
        <v>60</v>
      </c>
      <c r="G729" s="4" t="s">
        <v>156</v>
      </c>
      <c r="H729" s="25" t="s">
        <v>156</v>
      </c>
      <c r="I729" s="4" t="s">
        <v>93</v>
      </c>
      <c r="J729" s="25" t="s">
        <v>93</v>
      </c>
      <c r="K729" s="4">
        <v>0</v>
      </c>
      <c r="L729" s="25">
        <v>0</v>
      </c>
      <c r="M729" s="4" t="s">
        <v>86</v>
      </c>
      <c r="N729" s="25" t="s">
        <v>86</v>
      </c>
      <c r="O729" s="4">
        <v>4.9000000000000004</v>
      </c>
      <c r="P729" s="25">
        <v>4.9000000000000004</v>
      </c>
      <c r="Q729" s="4" t="s">
        <v>94</v>
      </c>
      <c r="R729" s="25" t="s">
        <v>94</v>
      </c>
      <c r="S729" s="4">
        <v>0.68</v>
      </c>
      <c r="T729" s="26">
        <v>0.68</v>
      </c>
    </row>
    <row r="730" spans="1:20" x14ac:dyDescent="0.3">
      <c r="A730" s="27" t="s">
        <v>1557</v>
      </c>
      <c r="B730" s="4" t="s">
        <v>1558</v>
      </c>
      <c r="C730" s="4" t="s">
        <v>97</v>
      </c>
      <c r="D730" s="25" t="s">
        <v>97</v>
      </c>
      <c r="E730" s="4">
        <v>53</v>
      </c>
      <c r="F730" s="25">
        <v>53</v>
      </c>
      <c r="G730" s="4" t="s">
        <v>133</v>
      </c>
      <c r="H730" s="25" t="s">
        <v>133</v>
      </c>
      <c r="I730" s="4" t="s">
        <v>93</v>
      </c>
      <c r="J730" s="25" t="s">
        <v>93</v>
      </c>
      <c r="K730" s="4">
        <v>21</v>
      </c>
      <c r="L730" s="25">
        <v>21</v>
      </c>
      <c r="M730" s="4" t="s">
        <v>58</v>
      </c>
      <c r="N730" s="25" t="s">
        <v>58</v>
      </c>
      <c r="O730" s="4">
        <v>4.2</v>
      </c>
      <c r="P730" s="25">
        <v>4.2</v>
      </c>
      <c r="Q730" s="4" t="s">
        <v>33</v>
      </c>
      <c r="R730" s="25" t="s">
        <v>33</v>
      </c>
      <c r="S730" s="4">
        <v>73</v>
      </c>
      <c r="T730" s="26">
        <v>73</v>
      </c>
    </row>
    <row r="731" spans="1:20" x14ac:dyDescent="0.3">
      <c r="A731" s="27" t="s">
        <v>1559</v>
      </c>
      <c r="B731" s="4" t="s">
        <v>1560</v>
      </c>
      <c r="C731" s="4" t="s">
        <v>97</v>
      </c>
      <c r="D731" s="25" t="s">
        <v>97</v>
      </c>
      <c r="E731" s="4">
        <v>20</v>
      </c>
      <c r="F731" s="25">
        <v>20</v>
      </c>
      <c r="G731" s="4" t="s">
        <v>201</v>
      </c>
      <c r="H731" s="25" t="s">
        <v>201</v>
      </c>
      <c r="I731" s="4" t="s">
        <v>21</v>
      </c>
      <c r="J731" s="25" t="s">
        <v>21</v>
      </c>
      <c r="K731" s="4">
        <v>0</v>
      </c>
      <c r="L731" s="25">
        <v>0</v>
      </c>
      <c r="M731" s="4" t="s">
        <v>103</v>
      </c>
      <c r="N731" s="25" t="s">
        <v>103</v>
      </c>
      <c r="O731" s="4">
        <v>3.2</v>
      </c>
      <c r="P731" s="25">
        <v>3.2</v>
      </c>
      <c r="Q731" s="4" t="s">
        <v>33</v>
      </c>
      <c r="R731" s="25" t="s">
        <v>33</v>
      </c>
      <c r="S731" s="4">
        <v>0.74</v>
      </c>
      <c r="T731" s="26">
        <v>0.74</v>
      </c>
    </row>
    <row r="732" spans="1:20" x14ac:dyDescent="0.3">
      <c r="A732" s="27" t="s">
        <v>1561</v>
      </c>
      <c r="B732" s="4" t="s">
        <v>1562</v>
      </c>
      <c r="C732" s="4" t="s">
        <v>78</v>
      </c>
      <c r="D732" s="25" t="s">
        <v>118</v>
      </c>
      <c r="E732" s="4">
        <v>42</v>
      </c>
      <c r="F732" s="25">
        <v>42</v>
      </c>
      <c r="G732" s="4" t="s">
        <v>145</v>
      </c>
      <c r="H732" s="25" t="s">
        <v>145</v>
      </c>
      <c r="I732" s="4" t="s">
        <v>46</v>
      </c>
      <c r="J732" s="25" t="s">
        <v>46</v>
      </c>
      <c r="K732" s="4">
        <v>7</v>
      </c>
      <c r="L732" s="25">
        <v>7</v>
      </c>
      <c r="M732" s="4" t="s">
        <v>336</v>
      </c>
      <c r="N732" s="25" t="s">
        <v>336</v>
      </c>
      <c r="P732" s="25" t="s">
        <v>2120</v>
      </c>
      <c r="Q732" s="4" t="s">
        <v>59</v>
      </c>
      <c r="R732" s="25" t="s">
        <v>59</v>
      </c>
      <c r="S732" s="4">
        <v>1</v>
      </c>
      <c r="T732" s="26">
        <v>1</v>
      </c>
    </row>
    <row r="733" spans="1:20" x14ac:dyDescent="0.3">
      <c r="A733" s="27" t="s">
        <v>1563</v>
      </c>
      <c r="B733" s="4" t="s">
        <v>1564</v>
      </c>
      <c r="C733" s="4" t="s">
        <v>113</v>
      </c>
      <c r="D733" s="25" t="s">
        <v>118</v>
      </c>
      <c r="E733" s="4">
        <v>21</v>
      </c>
      <c r="F733" s="25">
        <v>21</v>
      </c>
      <c r="G733" s="4" t="s">
        <v>85</v>
      </c>
      <c r="H733" s="25" t="s">
        <v>85</v>
      </c>
      <c r="I733" s="4" t="s">
        <v>31</v>
      </c>
      <c r="J733" s="25" t="s">
        <v>31</v>
      </c>
      <c r="K733" s="4">
        <v>3</v>
      </c>
      <c r="L733" s="25">
        <v>3</v>
      </c>
      <c r="M733" s="4" t="s">
        <v>86</v>
      </c>
      <c r="N733" s="25" t="s">
        <v>86</v>
      </c>
      <c r="O733" s="4">
        <v>0</v>
      </c>
      <c r="P733" s="25">
        <v>0</v>
      </c>
      <c r="Q733" s="4" t="s">
        <v>23</v>
      </c>
      <c r="R733" s="25" t="s">
        <v>23</v>
      </c>
      <c r="S733" s="4">
        <v>0.87</v>
      </c>
      <c r="T733" s="26">
        <v>0.87</v>
      </c>
    </row>
    <row r="734" spans="1:20" x14ac:dyDescent="0.3">
      <c r="A734" s="27" t="s">
        <v>1565</v>
      </c>
      <c r="B734" s="4" t="s">
        <v>1566</v>
      </c>
      <c r="C734" s="4" t="s">
        <v>63</v>
      </c>
      <c r="D734" s="25" t="s">
        <v>118</v>
      </c>
      <c r="E734" s="4">
        <v>39</v>
      </c>
      <c r="F734" s="25">
        <v>39</v>
      </c>
      <c r="G734" s="4" t="s">
        <v>38</v>
      </c>
      <c r="H734" s="25" t="s">
        <v>38</v>
      </c>
      <c r="I734" s="4" t="s">
        <v>46</v>
      </c>
      <c r="J734" s="25" t="s">
        <v>46</v>
      </c>
      <c r="K734" s="4">
        <v>21</v>
      </c>
      <c r="L734" s="25">
        <v>21</v>
      </c>
      <c r="M734" s="4" t="s">
        <v>22</v>
      </c>
      <c r="N734" s="25" t="s">
        <v>22</v>
      </c>
      <c r="O734" s="4">
        <v>2.2000000000000002</v>
      </c>
      <c r="P734" s="25">
        <v>2.2000000000000002</v>
      </c>
      <c r="Q734" s="4" t="s">
        <v>23</v>
      </c>
      <c r="R734" s="25" t="s">
        <v>23</v>
      </c>
      <c r="S734" s="4">
        <v>0.79</v>
      </c>
      <c r="T734" s="26">
        <v>0.79</v>
      </c>
    </row>
    <row r="735" spans="1:20" x14ac:dyDescent="0.3">
      <c r="A735" s="27" t="s">
        <v>1567</v>
      </c>
      <c r="B735" s="4" t="s">
        <v>1568</v>
      </c>
      <c r="C735" s="4" t="s">
        <v>63</v>
      </c>
      <c r="D735" s="25" t="s">
        <v>118</v>
      </c>
      <c r="E735" s="4">
        <v>32</v>
      </c>
      <c r="F735" s="25">
        <v>32</v>
      </c>
      <c r="G735" s="4" t="s">
        <v>114</v>
      </c>
      <c r="H735" s="25" t="s">
        <v>114</v>
      </c>
      <c r="I735" s="4" t="s">
        <v>21</v>
      </c>
      <c r="J735" s="25" t="s">
        <v>21</v>
      </c>
      <c r="L735" s="25" t="s">
        <v>2120</v>
      </c>
      <c r="M735" s="4" t="s">
        <v>52</v>
      </c>
      <c r="N735" s="25" t="s">
        <v>52</v>
      </c>
      <c r="O735" s="4">
        <v>1.5</v>
      </c>
      <c r="P735" s="25">
        <v>1.5</v>
      </c>
      <c r="Q735" s="4" t="s">
        <v>23</v>
      </c>
      <c r="R735" s="25" t="s">
        <v>23</v>
      </c>
      <c r="S735" s="4">
        <v>0.68</v>
      </c>
      <c r="T735" s="26">
        <v>0.68</v>
      </c>
    </row>
    <row r="736" spans="1:20" x14ac:dyDescent="0.3">
      <c r="A736" s="27" t="s">
        <v>1569</v>
      </c>
      <c r="B736" s="4" t="s">
        <v>1570</v>
      </c>
      <c r="C736" s="4" t="s">
        <v>113</v>
      </c>
      <c r="D736" s="25" t="s">
        <v>118</v>
      </c>
      <c r="E736" s="4">
        <v>35</v>
      </c>
      <c r="F736" s="25">
        <v>35</v>
      </c>
      <c r="G736" s="4" t="s">
        <v>38</v>
      </c>
      <c r="H736" s="25" t="s">
        <v>38</v>
      </c>
      <c r="I736" s="4" t="s">
        <v>66</v>
      </c>
      <c r="J736" s="25" t="s">
        <v>66</v>
      </c>
      <c r="L736" s="25" t="s">
        <v>2120</v>
      </c>
      <c r="M736" s="4" t="s">
        <v>32</v>
      </c>
      <c r="N736" s="25" t="s">
        <v>32</v>
      </c>
      <c r="P736" s="25" t="s">
        <v>2120</v>
      </c>
      <c r="Q736" s="4" t="s">
        <v>23</v>
      </c>
      <c r="R736" s="25" t="s">
        <v>23</v>
      </c>
      <c r="S736" s="4">
        <v>0.84</v>
      </c>
      <c r="T736" s="26">
        <v>0.84</v>
      </c>
    </row>
    <row r="737" spans="1:20" x14ac:dyDescent="0.3">
      <c r="A737" s="27" t="s">
        <v>1571</v>
      </c>
      <c r="B737" s="4" t="s">
        <v>1572</v>
      </c>
      <c r="C737" s="4" t="s">
        <v>18</v>
      </c>
      <c r="D737" s="25" t="s">
        <v>97</v>
      </c>
      <c r="E737" s="4">
        <v>35</v>
      </c>
      <c r="F737" s="25">
        <v>35</v>
      </c>
      <c r="G737" s="4" t="s">
        <v>156</v>
      </c>
      <c r="H737" s="25" t="s">
        <v>156</v>
      </c>
      <c r="I737" s="4" t="s">
        <v>93</v>
      </c>
      <c r="J737" s="25" t="s">
        <v>93</v>
      </c>
      <c r="K737" s="4">
        <v>17</v>
      </c>
      <c r="L737" s="25">
        <v>17</v>
      </c>
      <c r="M737" s="4" t="s">
        <v>40</v>
      </c>
      <c r="N737" s="25" t="s">
        <v>40</v>
      </c>
      <c r="O737" s="4">
        <v>3.1</v>
      </c>
      <c r="P737" s="25">
        <v>3.1</v>
      </c>
      <c r="Q737" s="4" t="s">
        <v>23</v>
      </c>
      <c r="R737" s="25" t="s">
        <v>23</v>
      </c>
      <c r="S737" s="4">
        <v>0.71</v>
      </c>
      <c r="T737" s="26">
        <v>0.71</v>
      </c>
    </row>
    <row r="738" spans="1:20" x14ac:dyDescent="0.3">
      <c r="A738" s="27" t="s">
        <v>1573</v>
      </c>
      <c r="B738" s="4" t="s">
        <v>1574</v>
      </c>
      <c r="C738" s="4" t="s">
        <v>28</v>
      </c>
      <c r="D738" s="25" t="s">
        <v>97</v>
      </c>
      <c r="E738" s="4">
        <v>23</v>
      </c>
      <c r="F738" s="25">
        <v>23</v>
      </c>
      <c r="G738" s="4" t="s">
        <v>91</v>
      </c>
      <c r="H738" s="25" t="s">
        <v>91</v>
      </c>
      <c r="I738" s="4" t="s">
        <v>93</v>
      </c>
      <c r="J738" s="25" t="s">
        <v>93</v>
      </c>
      <c r="K738" s="4">
        <v>0</v>
      </c>
      <c r="L738" s="25">
        <v>0</v>
      </c>
      <c r="M738" s="4" t="s">
        <v>103</v>
      </c>
      <c r="N738" s="25" t="s">
        <v>103</v>
      </c>
      <c r="O738" s="4">
        <v>0</v>
      </c>
      <c r="P738" s="25">
        <v>0</v>
      </c>
      <c r="Q738" s="4" t="s">
        <v>181</v>
      </c>
      <c r="R738" s="25" t="s">
        <v>181</v>
      </c>
      <c r="S738" s="4">
        <v>0.92</v>
      </c>
      <c r="T738" s="26">
        <v>0.92</v>
      </c>
    </row>
    <row r="739" spans="1:20" x14ac:dyDescent="0.3">
      <c r="A739" s="27" t="s">
        <v>1575</v>
      </c>
      <c r="B739" s="4" t="s">
        <v>1576</v>
      </c>
      <c r="C739" s="4" t="s">
        <v>113</v>
      </c>
      <c r="D739" s="25" t="s">
        <v>118</v>
      </c>
      <c r="E739" s="4">
        <v>26</v>
      </c>
      <c r="F739" s="25">
        <v>26</v>
      </c>
      <c r="G739" s="4" t="s">
        <v>55</v>
      </c>
      <c r="H739" s="25" t="s">
        <v>55</v>
      </c>
      <c r="I739" s="4" t="s">
        <v>57</v>
      </c>
      <c r="J739" s="25" t="s">
        <v>57</v>
      </c>
      <c r="K739" s="4">
        <v>6</v>
      </c>
      <c r="L739" s="25">
        <v>6</v>
      </c>
      <c r="M739" s="4" t="s">
        <v>32</v>
      </c>
      <c r="N739" s="25" t="s">
        <v>32</v>
      </c>
      <c r="P739" s="25" t="s">
        <v>2120</v>
      </c>
      <c r="Q739" s="4" t="s">
        <v>181</v>
      </c>
      <c r="R739" s="25" t="s">
        <v>181</v>
      </c>
      <c r="S739" s="4">
        <v>0.69</v>
      </c>
      <c r="T739" s="26">
        <v>0.69</v>
      </c>
    </row>
    <row r="740" spans="1:20" x14ac:dyDescent="0.3">
      <c r="A740" s="27" t="s">
        <v>1577</v>
      </c>
      <c r="B740" s="4" t="s">
        <v>1578</v>
      </c>
      <c r="C740" s="4" t="s">
        <v>45</v>
      </c>
      <c r="D740" s="25" t="s">
        <v>97</v>
      </c>
      <c r="E740" s="4">
        <v>34</v>
      </c>
      <c r="F740" s="25">
        <v>34</v>
      </c>
      <c r="G740" s="4" t="s">
        <v>149</v>
      </c>
      <c r="H740" s="25" t="s">
        <v>149</v>
      </c>
      <c r="I740" s="4" t="s">
        <v>135</v>
      </c>
      <c r="J740" s="25" t="s">
        <v>135</v>
      </c>
      <c r="K740" s="4">
        <v>3</v>
      </c>
      <c r="L740" s="25">
        <v>3</v>
      </c>
      <c r="M740" s="4" t="s">
        <v>51</v>
      </c>
      <c r="N740" s="25" t="s">
        <v>2119</v>
      </c>
      <c r="O740" s="4">
        <v>0</v>
      </c>
      <c r="P740" s="25">
        <v>0</v>
      </c>
      <c r="Q740" s="4" t="s">
        <v>33</v>
      </c>
      <c r="R740" s="25" t="s">
        <v>33</v>
      </c>
      <c r="S740" s="4">
        <v>0.71</v>
      </c>
      <c r="T740" s="26">
        <v>0.71</v>
      </c>
    </row>
    <row r="741" spans="1:20" x14ac:dyDescent="0.3">
      <c r="A741" s="27" t="s">
        <v>1579</v>
      </c>
      <c r="B741" s="4" t="s">
        <v>1580</v>
      </c>
      <c r="C741" s="4" t="s">
        <v>97</v>
      </c>
      <c r="D741" s="25" t="s">
        <v>97</v>
      </c>
      <c r="E741" s="4">
        <v>34</v>
      </c>
      <c r="F741" s="25">
        <v>34</v>
      </c>
      <c r="G741" s="4" t="s">
        <v>38</v>
      </c>
      <c r="H741" s="25" t="s">
        <v>38</v>
      </c>
      <c r="I741" s="4" t="s">
        <v>21</v>
      </c>
      <c r="J741" s="25" t="s">
        <v>21</v>
      </c>
      <c r="K741" s="4">
        <v>3</v>
      </c>
      <c r="L741" s="25">
        <v>3</v>
      </c>
      <c r="M741" s="4" t="s">
        <v>51</v>
      </c>
      <c r="N741" s="25" t="s">
        <v>2119</v>
      </c>
      <c r="P741" s="25" t="s">
        <v>2120</v>
      </c>
      <c r="Q741" s="4" t="s">
        <v>59</v>
      </c>
      <c r="R741" s="25" t="s">
        <v>59</v>
      </c>
      <c r="S741" s="4">
        <v>0.77</v>
      </c>
      <c r="T741" s="26">
        <v>0.77</v>
      </c>
    </row>
    <row r="742" spans="1:20" x14ac:dyDescent="0.3">
      <c r="A742" s="27" t="s">
        <v>1581</v>
      </c>
      <c r="B742" s="4" t="s">
        <v>1582</v>
      </c>
      <c r="C742" s="4" t="s">
        <v>63</v>
      </c>
      <c r="D742" s="25" t="s">
        <v>118</v>
      </c>
      <c r="E742" s="4">
        <v>57</v>
      </c>
      <c r="F742" s="25">
        <v>57</v>
      </c>
      <c r="G742" s="4" t="s">
        <v>19</v>
      </c>
      <c r="H742" s="25" t="s">
        <v>19</v>
      </c>
      <c r="I742" s="4" t="s">
        <v>46</v>
      </c>
      <c r="J742" s="25" t="s">
        <v>46</v>
      </c>
      <c r="K742" s="4">
        <v>31</v>
      </c>
      <c r="L742" s="25">
        <v>31</v>
      </c>
      <c r="M742" s="4" t="s">
        <v>40</v>
      </c>
      <c r="N742" s="25" t="s">
        <v>40</v>
      </c>
      <c r="O742" s="4">
        <v>3</v>
      </c>
      <c r="P742" s="25">
        <v>3</v>
      </c>
      <c r="Q742" s="4" t="s">
        <v>74</v>
      </c>
      <c r="R742" s="25" t="s">
        <v>74</v>
      </c>
      <c r="S742" s="4">
        <v>0.87</v>
      </c>
      <c r="T742" s="26">
        <v>0.87</v>
      </c>
    </row>
    <row r="743" spans="1:20" x14ac:dyDescent="0.3">
      <c r="A743" s="27" t="s">
        <v>1583</v>
      </c>
      <c r="B743" s="4" t="s">
        <v>1584</v>
      </c>
      <c r="C743" s="4" t="s">
        <v>78</v>
      </c>
      <c r="D743" s="25" t="s">
        <v>118</v>
      </c>
      <c r="E743" s="4">
        <v>46</v>
      </c>
      <c r="F743" s="25">
        <v>46</v>
      </c>
      <c r="G743" s="4" t="s">
        <v>149</v>
      </c>
      <c r="H743" s="25" t="s">
        <v>149</v>
      </c>
      <c r="I743" s="4" t="s">
        <v>46</v>
      </c>
      <c r="J743" s="25" t="s">
        <v>46</v>
      </c>
      <c r="K743" s="4">
        <v>5</v>
      </c>
      <c r="L743" s="25">
        <v>5</v>
      </c>
      <c r="M743" s="4" t="s">
        <v>58</v>
      </c>
      <c r="N743" s="25" t="s">
        <v>58</v>
      </c>
      <c r="O743" s="4">
        <v>2.6</v>
      </c>
      <c r="P743" s="25">
        <v>2.6</v>
      </c>
      <c r="Q743" s="4" t="s">
        <v>181</v>
      </c>
      <c r="R743" s="25" t="s">
        <v>181</v>
      </c>
      <c r="S743" s="4">
        <v>0.76</v>
      </c>
      <c r="T743" s="26">
        <v>0.76</v>
      </c>
    </row>
    <row r="744" spans="1:20" x14ac:dyDescent="0.3">
      <c r="A744" s="27" t="s">
        <v>1585</v>
      </c>
      <c r="B744" s="4" t="s">
        <v>1586</v>
      </c>
      <c r="C744" s="4" t="s">
        <v>37</v>
      </c>
      <c r="D744" s="25" t="s">
        <v>118</v>
      </c>
      <c r="E744" s="4">
        <v>55</v>
      </c>
      <c r="F744" s="25">
        <v>55</v>
      </c>
      <c r="G744" s="4" t="s">
        <v>114</v>
      </c>
      <c r="H744" s="25" t="s">
        <v>114</v>
      </c>
      <c r="I744" s="4" t="s">
        <v>57</v>
      </c>
      <c r="J744" s="25" t="s">
        <v>57</v>
      </c>
      <c r="K744" s="4">
        <v>37</v>
      </c>
      <c r="L744" s="25">
        <v>37</v>
      </c>
      <c r="M744" s="4" t="s">
        <v>67</v>
      </c>
      <c r="N744" s="25" t="s">
        <v>67</v>
      </c>
      <c r="O744" s="4">
        <v>4.0999999999999996</v>
      </c>
      <c r="P744" s="25">
        <v>4.0999999999999996</v>
      </c>
      <c r="Q744" s="4" t="s">
        <v>181</v>
      </c>
      <c r="R744" s="25" t="s">
        <v>181</v>
      </c>
      <c r="T744" s="26" t="s">
        <v>2120</v>
      </c>
    </row>
    <row r="745" spans="1:20" x14ac:dyDescent="0.3">
      <c r="A745" s="27" t="s">
        <v>1587</v>
      </c>
      <c r="B745" s="4" t="s">
        <v>1588</v>
      </c>
      <c r="C745" s="4" t="s">
        <v>28</v>
      </c>
      <c r="D745" s="25" t="s">
        <v>97</v>
      </c>
      <c r="E745" s="4">
        <v>32</v>
      </c>
      <c r="F745" s="25">
        <v>32</v>
      </c>
      <c r="G745" s="4" t="s">
        <v>29</v>
      </c>
      <c r="H745" s="25" t="s">
        <v>29</v>
      </c>
      <c r="I745" s="4" t="s">
        <v>110</v>
      </c>
      <c r="J745" s="25" t="s">
        <v>110</v>
      </c>
      <c r="K745" s="4">
        <v>10</v>
      </c>
      <c r="L745" s="25">
        <v>10</v>
      </c>
      <c r="M745" s="4" t="s">
        <v>119</v>
      </c>
      <c r="N745" s="25" t="s">
        <v>119</v>
      </c>
      <c r="O745" s="4">
        <v>1.5</v>
      </c>
      <c r="P745" s="25">
        <v>1.5</v>
      </c>
      <c r="Q745" s="4" t="s">
        <v>59</v>
      </c>
      <c r="R745" s="25" t="s">
        <v>59</v>
      </c>
      <c r="S745" s="4">
        <v>0.65</v>
      </c>
      <c r="T745" s="26">
        <v>0.65</v>
      </c>
    </row>
    <row r="746" spans="1:20" x14ac:dyDescent="0.3">
      <c r="A746" s="27" t="s">
        <v>1589</v>
      </c>
      <c r="B746" s="4" t="s">
        <v>1590</v>
      </c>
      <c r="C746" s="4" t="s">
        <v>113</v>
      </c>
      <c r="D746" s="25" t="s">
        <v>118</v>
      </c>
      <c r="E746" s="4">
        <v>53</v>
      </c>
      <c r="F746" s="25">
        <v>53</v>
      </c>
      <c r="G746" s="4" t="s">
        <v>64</v>
      </c>
      <c r="H746" s="25" t="s">
        <v>64</v>
      </c>
      <c r="I746" s="4" t="s">
        <v>57</v>
      </c>
      <c r="J746" s="25" t="s">
        <v>57</v>
      </c>
      <c r="K746" s="4">
        <v>28</v>
      </c>
      <c r="L746" s="25">
        <v>28</v>
      </c>
      <c r="M746" s="4" t="s">
        <v>119</v>
      </c>
      <c r="N746" s="25" t="s">
        <v>119</v>
      </c>
      <c r="O746" s="4">
        <v>2.9</v>
      </c>
      <c r="P746" s="25">
        <v>2.9</v>
      </c>
      <c r="Q746" s="4" t="s">
        <v>87</v>
      </c>
      <c r="R746" s="25" t="s">
        <v>87</v>
      </c>
      <c r="S746" s="4">
        <v>0.82</v>
      </c>
      <c r="T746" s="26">
        <v>0.82</v>
      </c>
    </row>
    <row r="747" spans="1:20" x14ac:dyDescent="0.3">
      <c r="A747" s="27" t="s">
        <v>1591</v>
      </c>
      <c r="B747" s="4" t="s">
        <v>1592</v>
      </c>
      <c r="C747" s="4" t="s">
        <v>37</v>
      </c>
      <c r="D747" s="25" t="s">
        <v>118</v>
      </c>
      <c r="E747" s="4">
        <v>59</v>
      </c>
      <c r="F747" s="25">
        <v>59</v>
      </c>
      <c r="G747" s="4" t="s">
        <v>201</v>
      </c>
      <c r="H747" s="25" t="s">
        <v>201</v>
      </c>
      <c r="I747" s="4" t="s">
        <v>57</v>
      </c>
      <c r="J747" s="25" t="s">
        <v>57</v>
      </c>
      <c r="K747" s="4">
        <v>0</v>
      </c>
      <c r="L747" s="25">
        <v>0</v>
      </c>
      <c r="M747" s="4" t="s">
        <v>22</v>
      </c>
      <c r="N747" s="25" t="s">
        <v>22</v>
      </c>
      <c r="O747" s="4">
        <v>0</v>
      </c>
      <c r="P747" s="25">
        <v>0</v>
      </c>
      <c r="Q747" s="4" t="s">
        <v>94</v>
      </c>
      <c r="R747" s="25" t="s">
        <v>94</v>
      </c>
      <c r="S747" s="4">
        <v>87</v>
      </c>
      <c r="T747" s="26">
        <v>87</v>
      </c>
    </row>
    <row r="748" spans="1:20" x14ac:dyDescent="0.3">
      <c r="A748" s="27" t="s">
        <v>1593</v>
      </c>
      <c r="B748" s="4" t="s">
        <v>1594</v>
      </c>
      <c r="C748" s="4" t="s">
        <v>45</v>
      </c>
      <c r="D748" s="25" t="s">
        <v>97</v>
      </c>
      <c r="E748" s="4">
        <v>44</v>
      </c>
      <c r="F748" s="25">
        <v>44</v>
      </c>
      <c r="G748" s="4" t="s">
        <v>55</v>
      </c>
      <c r="H748" s="25" t="s">
        <v>55</v>
      </c>
      <c r="I748" s="4" t="s">
        <v>135</v>
      </c>
      <c r="J748" s="25" t="s">
        <v>135</v>
      </c>
      <c r="K748" s="4">
        <v>19</v>
      </c>
      <c r="L748" s="25">
        <v>19</v>
      </c>
      <c r="M748" s="4" t="s">
        <v>47</v>
      </c>
      <c r="N748" s="25" t="s">
        <v>47</v>
      </c>
      <c r="O748" s="4">
        <v>4.9000000000000004</v>
      </c>
      <c r="P748" s="25">
        <v>4.9000000000000004</v>
      </c>
      <c r="Q748" s="4" t="s">
        <v>41</v>
      </c>
      <c r="R748" s="25" t="s">
        <v>41</v>
      </c>
      <c r="S748" s="4">
        <v>1</v>
      </c>
      <c r="T748" s="26">
        <v>1</v>
      </c>
    </row>
    <row r="749" spans="1:20" x14ac:dyDescent="0.3">
      <c r="A749" s="27" t="s">
        <v>1595</v>
      </c>
      <c r="B749" s="4" t="s">
        <v>1596</v>
      </c>
      <c r="C749" s="4" t="s">
        <v>118</v>
      </c>
      <c r="D749" s="25" t="s">
        <v>118</v>
      </c>
      <c r="E749" s="4">
        <v>35</v>
      </c>
      <c r="F749" s="25">
        <v>35</v>
      </c>
      <c r="G749" s="4" t="s">
        <v>160</v>
      </c>
      <c r="H749" s="25" t="s">
        <v>160</v>
      </c>
      <c r="I749" s="4" t="s">
        <v>21</v>
      </c>
      <c r="J749" s="25" t="s">
        <v>21</v>
      </c>
      <c r="K749" s="4">
        <v>9</v>
      </c>
      <c r="L749" s="25">
        <v>9</v>
      </c>
      <c r="M749" s="4" t="s">
        <v>119</v>
      </c>
      <c r="N749" s="25" t="s">
        <v>119</v>
      </c>
      <c r="O749" s="4">
        <v>3</v>
      </c>
      <c r="P749" s="25">
        <v>3</v>
      </c>
      <c r="Q749" s="4" t="s">
        <v>41</v>
      </c>
      <c r="R749" s="25" t="s">
        <v>41</v>
      </c>
      <c r="S749" s="4">
        <v>71</v>
      </c>
      <c r="T749" s="26">
        <v>71</v>
      </c>
    </row>
    <row r="750" spans="1:20" x14ac:dyDescent="0.3">
      <c r="A750" s="27" t="s">
        <v>1597</v>
      </c>
      <c r="B750" s="4" t="s">
        <v>1598</v>
      </c>
      <c r="C750" s="4" t="s">
        <v>18</v>
      </c>
      <c r="D750" s="25" t="s">
        <v>97</v>
      </c>
      <c r="E750" s="4">
        <v>42</v>
      </c>
      <c r="F750" s="25">
        <v>42</v>
      </c>
      <c r="G750" s="4" t="s">
        <v>197</v>
      </c>
      <c r="H750" s="25" t="s">
        <v>197</v>
      </c>
      <c r="I750" s="4" t="s">
        <v>135</v>
      </c>
      <c r="J750" s="25" t="s">
        <v>135</v>
      </c>
      <c r="K750" s="4">
        <v>5</v>
      </c>
      <c r="L750" s="25">
        <v>5</v>
      </c>
      <c r="M750" s="4" t="s">
        <v>52</v>
      </c>
      <c r="N750" s="25" t="s">
        <v>52</v>
      </c>
      <c r="O750" s="4">
        <v>4.9000000000000004</v>
      </c>
      <c r="P750" s="25">
        <v>4.9000000000000004</v>
      </c>
      <c r="Q750" s="4" t="s">
        <v>33</v>
      </c>
      <c r="R750" s="25" t="s">
        <v>33</v>
      </c>
      <c r="S750" s="4">
        <v>87</v>
      </c>
      <c r="T750" s="26">
        <v>87</v>
      </c>
    </row>
    <row r="751" spans="1:20" x14ac:dyDescent="0.3">
      <c r="A751" s="27" t="s">
        <v>1599</v>
      </c>
      <c r="B751" s="4" t="s">
        <v>1600</v>
      </c>
      <c r="C751" s="4" t="s">
        <v>18</v>
      </c>
      <c r="D751" s="25" t="s">
        <v>97</v>
      </c>
      <c r="E751" s="4">
        <v>58</v>
      </c>
      <c r="F751" s="25">
        <v>58</v>
      </c>
      <c r="G751" s="4" t="s">
        <v>133</v>
      </c>
      <c r="H751" s="25" t="s">
        <v>133</v>
      </c>
      <c r="I751" s="4" t="s">
        <v>21</v>
      </c>
      <c r="J751" s="25" t="s">
        <v>21</v>
      </c>
      <c r="K751" s="4">
        <v>0</v>
      </c>
      <c r="L751" s="25">
        <v>0</v>
      </c>
      <c r="M751" s="4" t="s">
        <v>130</v>
      </c>
      <c r="N751" s="25" t="s">
        <v>130</v>
      </c>
      <c r="O751" s="4">
        <v>4.5999999999999996</v>
      </c>
      <c r="P751" s="25">
        <v>4.5999999999999996</v>
      </c>
      <c r="Q751" s="4" t="s">
        <v>23</v>
      </c>
      <c r="R751" s="25" t="s">
        <v>23</v>
      </c>
      <c r="S751" s="4">
        <v>70</v>
      </c>
      <c r="T751" s="26">
        <v>70</v>
      </c>
    </row>
    <row r="752" spans="1:20" x14ac:dyDescent="0.3">
      <c r="A752" s="27" t="s">
        <v>1601</v>
      </c>
      <c r="B752" s="4" t="s">
        <v>1602</v>
      </c>
      <c r="C752" s="4" t="s">
        <v>78</v>
      </c>
      <c r="D752" s="25" t="s">
        <v>118</v>
      </c>
      <c r="E752" s="4">
        <v>41</v>
      </c>
      <c r="F752" s="25">
        <v>41</v>
      </c>
      <c r="G752" s="4" t="s">
        <v>55</v>
      </c>
      <c r="H752" s="25" t="s">
        <v>55</v>
      </c>
      <c r="I752" s="4" t="s">
        <v>57</v>
      </c>
      <c r="J752" s="25" t="s">
        <v>57</v>
      </c>
      <c r="K752" s="4">
        <v>21</v>
      </c>
      <c r="L752" s="25">
        <v>21</v>
      </c>
      <c r="M752" s="4" t="s">
        <v>32</v>
      </c>
      <c r="N752" s="25" t="s">
        <v>32</v>
      </c>
      <c r="O752" s="4">
        <v>2.2000000000000002</v>
      </c>
      <c r="P752" s="25">
        <v>2.2000000000000002</v>
      </c>
      <c r="Q752" s="4" t="s">
        <v>33</v>
      </c>
      <c r="R752" s="25" t="s">
        <v>33</v>
      </c>
      <c r="S752" s="4">
        <v>0.83</v>
      </c>
      <c r="T752" s="26">
        <v>0.83</v>
      </c>
    </row>
    <row r="753" spans="1:20" x14ac:dyDescent="0.3">
      <c r="A753" s="27" t="s">
        <v>1603</v>
      </c>
      <c r="B753" s="4" t="s">
        <v>1604</v>
      </c>
      <c r="C753" s="4" t="s">
        <v>50</v>
      </c>
      <c r="D753" s="25" t="s">
        <v>97</v>
      </c>
      <c r="F753" s="25" t="s">
        <v>2119</v>
      </c>
      <c r="G753" s="4" t="s">
        <v>91</v>
      </c>
      <c r="H753" s="25" t="s">
        <v>91</v>
      </c>
      <c r="I753" s="4" t="s">
        <v>46</v>
      </c>
      <c r="J753" s="25" t="s">
        <v>46</v>
      </c>
      <c r="K753" s="4">
        <v>0</v>
      </c>
      <c r="L753" s="25">
        <v>0</v>
      </c>
      <c r="M753" s="4" t="s">
        <v>86</v>
      </c>
      <c r="N753" s="25" t="s">
        <v>86</v>
      </c>
      <c r="P753" s="25" t="s">
        <v>2120</v>
      </c>
      <c r="Q753" s="4" t="s">
        <v>94</v>
      </c>
      <c r="R753" s="25" t="s">
        <v>94</v>
      </c>
      <c r="S753" s="4">
        <v>0.74</v>
      </c>
      <c r="T753" s="26">
        <v>0.74</v>
      </c>
    </row>
    <row r="754" spans="1:20" x14ac:dyDescent="0.3">
      <c r="A754" s="27" t="s">
        <v>1605</v>
      </c>
      <c r="B754" s="4" t="s">
        <v>1606</v>
      </c>
      <c r="C754" s="4" t="s">
        <v>28</v>
      </c>
      <c r="D754" s="25" t="s">
        <v>97</v>
      </c>
      <c r="E754" s="4">
        <v>23</v>
      </c>
      <c r="F754" s="25">
        <v>23</v>
      </c>
      <c r="G754" s="4" t="s">
        <v>149</v>
      </c>
      <c r="H754" s="25" t="s">
        <v>149</v>
      </c>
      <c r="I754" s="4" t="s">
        <v>21</v>
      </c>
      <c r="J754" s="25" t="s">
        <v>21</v>
      </c>
      <c r="K754" s="4">
        <v>0</v>
      </c>
      <c r="L754" s="25">
        <v>0</v>
      </c>
      <c r="M754" s="4" t="s">
        <v>52</v>
      </c>
      <c r="N754" s="25" t="s">
        <v>52</v>
      </c>
      <c r="O754" s="4">
        <v>1.1000000000000001</v>
      </c>
      <c r="P754" s="25">
        <v>1.1000000000000001</v>
      </c>
      <c r="Q754" s="4" t="s">
        <v>87</v>
      </c>
      <c r="R754" s="25" t="s">
        <v>87</v>
      </c>
      <c r="S754" s="4">
        <v>0.86</v>
      </c>
      <c r="T754" s="26">
        <v>0.86</v>
      </c>
    </row>
    <row r="755" spans="1:20" x14ac:dyDescent="0.3">
      <c r="A755" s="27" t="s">
        <v>1607</v>
      </c>
      <c r="B755" s="4" t="s">
        <v>1608</v>
      </c>
      <c r="C755" s="4" t="s">
        <v>113</v>
      </c>
      <c r="D755" s="25" t="s">
        <v>118</v>
      </c>
      <c r="E755" s="4">
        <v>51</v>
      </c>
      <c r="F755" s="25">
        <v>51</v>
      </c>
      <c r="G755" s="4" t="s">
        <v>197</v>
      </c>
      <c r="H755" s="25" t="s">
        <v>197</v>
      </c>
      <c r="I755" s="4" t="s">
        <v>21</v>
      </c>
      <c r="J755" s="25" t="s">
        <v>21</v>
      </c>
      <c r="K755" s="4">
        <v>17</v>
      </c>
      <c r="L755" s="25">
        <v>17</v>
      </c>
      <c r="M755" s="4" t="s">
        <v>86</v>
      </c>
      <c r="N755" s="25" t="s">
        <v>86</v>
      </c>
      <c r="O755" s="4">
        <v>4.5</v>
      </c>
      <c r="P755" s="25">
        <v>4.5</v>
      </c>
      <c r="Q755" s="4" t="s">
        <v>33</v>
      </c>
      <c r="R755" s="25" t="s">
        <v>33</v>
      </c>
      <c r="S755" s="4">
        <v>0.72</v>
      </c>
      <c r="T755" s="26">
        <v>0.72</v>
      </c>
    </row>
    <row r="756" spans="1:20" x14ac:dyDescent="0.3">
      <c r="A756" s="27" t="s">
        <v>1609</v>
      </c>
      <c r="B756" s="4" t="s">
        <v>1610</v>
      </c>
      <c r="C756" s="4" t="s">
        <v>28</v>
      </c>
      <c r="D756" s="25" t="s">
        <v>97</v>
      </c>
      <c r="E756" s="4">
        <v>42</v>
      </c>
      <c r="F756" s="25">
        <v>42</v>
      </c>
      <c r="G756" s="4" t="s">
        <v>156</v>
      </c>
      <c r="H756" s="25" t="s">
        <v>156</v>
      </c>
      <c r="I756" s="4" t="s">
        <v>57</v>
      </c>
      <c r="J756" s="25" t="s">
        <v>57</v>
      </c>
      <c r="K756" s="4">
        <v>21</v>
      </c>
      <c r="L756" s="25">
        <v>21</v>
      </c>
      <c r="M756" s="4" t="s">
        <v>51</v>
      </c>
      <c r="N756" s="25" t="s">
        <v>2119</v>
      </c>
      <c r="O756" s="4">
        <v>2.5</v>
      </c>
      <c r="P756" s="25">
        <v>2.5</v>
      </c>
      <c r="Q756" s="4" t="s">
        <v>74</v>
      </c>
      <c r="R756" s="25" t="s">
        <v>74</v>
      </c>
      <c r="S756" s="4">
        <v>0.73</v>
      </c>
      <c r="T756" s="26">
        <v>0.73</v>
      </c>
    </row>
    <row r="757" spans="1:20" x14ac:dyDescent="0.3">
      <c r="A757" s="27" t="s">
        <v>1611</v>
      </c>
      <c r="B757" s="4" t="s">
        <v>1612</v>
      </c>
      <c r="C757" s="4" t="s">
        <v>78</v>
      </c>
      <c r="D757" s="25" t="s">
        <v>118</v>
      </c>
      <c r="E757" s="4">
        <v>26</v>
      </c>
      <c r="F757" s="25">
        <v>26</v>
      </c>
      <c r="G757" s="4" t="s">
        <v>106</v>
      </c>
      <c r="H757" s="25" t="s">
        <v>106</v>
      </c>
      <c r="I757" s="4" t="s">
        <v>66</v>
      </c>
      <c r="J757" s="25" t="s">
        <v>66</v>
      </c>
      <c r="K757" s="4">
        <v>7</v>
      </c>
      <c r="L757" s="25">
        <v>7</v>
      </c>
      <c r="M757" s="4" t="s">
        <v>67</v>
      </c>
      <c r="N757" s="25" t="s">
        <v>67</v>
      </c>
      <c r="O757" s="4">
        <v>2.9</v>
      </c>
      <c r="P757" s="25">
        <v>2.9</v>
      </c>
      <c r="Q757" s="4" t="s">
        <v>23</v>
      </c>
      <c r="R757" s="25" t="s">
        <v>23</v>
      </c>
      <c r="S757" s="4">
        <v>0.78</v>
      </c>
      <c r="T757" s="26">
        <v>0.78</v>
      </c>
    </row>
    <row r="758" spans="1:20" x14ac:dyDescent="0.3">
      <c r="A758" s="27" t="s">
        <v>1613</v>
      </c>
      <c r="B758" s="4" t="s">
        <v>1614</v>
      </c>
      <c r="C758" s="4" t="s">
        <v>18</v>
      </c>
      <c r="D758" s="25" t="s">
        <v>97</v>
      </c>
      <c r="E758" s="4">
        <v>49</v>
      </c>
      <c r="F758" s="25">
        <v>49</v>
      </c>
      <c r="G758" s="4" t="s">
        <v>64</v>
      </c>
      <c r="H758" s="25" t="s">
        <v>64</v>
      </c>
      <c r="I758" s="4" t="s">
        <v>57</v>
      </c>
      <c r="J758" s="25" t="s">
        <v>57</v>
      </c>
      <c r="K758" s="4">
        <v>22</v>
      </c>
      <c r="L758" s="25">
        <v>22</v>
      </c>
      <c r="M758" s="4" t="s">
        <v>103</v>
      </c>
      <c r="N758" s="25" t="s">
        <v>103</v>
      </c>
      <c r="O758" s="4">
        <v>0</v>
      </c>
      <c r="P758" s="25">
        <v>0</v>
      </c>
      <c r="Q758" s="4" t="s">
        <v>74</v>
      </c>
      <c r="R758" s="25" t="s">
        <v>74</v>
      </c>
      <c r="T758" s="26" t="s">
        <v>2120</v>
      </c>
    </row>
    <row r="759" spans="1:20" x14ac:dyDescent="0.3">
      <c r="A759" s="27" t="s">
        <v>1615</v>
      </c>
      <c r="B759" s="4" t="s">
        <v>1616</v>
      </c>
      <c r="C759" s="4" t="s">
        <v>50</v>
      </c>
      <c r="D759" s="25" t="s">
        <v>97</v>
      </c>
      <c r="E759" s="4">
        <v>37</v>
      </c>
      <c r="F759" s="25">
        <v>37</v>
      </c>
      <c r="G759" s="4" t="s">
        <v>19</v>
      </c>
      <c r="H759" s="25" t="s">
        <v>19</v>
      </c>
      <c r="I759" s="4" t="s">
        <v>110</v>
      </c>
      <c r="J759" s="25" t="s">
        <v>110</v>
      </c>
      <c r="L759" s="25" t="s">
        <v>2120</v>
      </c>
      <c r="M759" s="4" t="s">
        <v>67</v>
      </c>
      <c r="N759" s="25" t="s">
        <v>67</v>
      </c>
      <c r="O759" s="4">
        <v>3.5</v>
      </c>
      <c r="P759" s="25">
        <v>3.5</v>
      </c>
      <c r="Q759" s="4" t="s">
        <v>41</v>
      </c>
      <c r="R759" s="25" t="s">
        <v>41</v>
      </c>
      <c r="S759" s="4">
        <v>0.75</v>
      </c>
      <c r="T759" s="26">
        <v>0.75</v>
      </c>
    </row>
    <row r="760" spans="1:20" x14ac:dyDescent="0.3">
      <c r="A760" s="27" t="s">
        <v>1617</v>
      </c>
      <c r="B760" s="4" t="s">
        <v>1618</v>
      </c>
      <c r="C760" s="4" t="s">
        <v>113</v>
      </c>
      <c r="D760" s="25" t="s">
        <v>118</v>
      </c>
      <c r="E760" s="4">
        <v>31</v>
      </c>
      <c r="F760" s="25">
        <v>31</v>
      </c>
      <c r="G760" s="4" t="s">
        <v>29</v>
      </c>
      <c r="H760" s="25" t="s">
        <v>29</v>
      </c>
      <c r="I760" s="4" t="s">
        <v>57</v>
      </c>
      <c r="J760" s="25" t="s">
        <v>57</v>
      </c>
      <c r="K760" s="4">
        <v>1</v>
      </c>
      <c r="L760" s="25">
        <v>1</v>
      </c>
      <c r="M760" s="4" t="s">
        <v>86</v>
      </c>
      <c r="N760" s="25" t="s">
        <v>86</v>
      </c>
      <c r="O760" s="4">
        <v>4.5</v>
      </c>
      <c r="P760" s="25">
        <v>4.5</v>
      </c>
      <c r="Q760" s="4" t="s">
        <v>23</v>
      </c>
      <c r="R760" s="25" t="s">
        <v>23</v>
      </c>
      <c r="S760" s="4">
        <v>0.96</v>
      </c>
      <c r="T760" s="26">
        <v>0.96</v>
      </c>
    </row>
    <row r="761" spans="1:20" x14ac:dyDescent="0.3">
      <c r="A761" s="27" t="s">
        <v>1619</v>
      </c>
      <c r="B761" s="4" t="s">
        <v>1620</v>
      </c>
      <c r="C761" s="4" t="s">
        <v>78</v>
      </c>
      <c r="D761" s="25" t="s">
        <v>118</v>
      </c>
      <c r="E761" s="4">
        <v>51</v>
      </c>
      <c r="F761" s="25">
        <v>51</v>
      </c>
      <c r="G761" s="4" t="s">
        <v>133</v>
      </c>
      <c r="H761" s="25" t="s">
        <v>133</v>
      </c>
      <c r="I761" s="4" t="s">
        <v>31</v>
      </c>
      <c r="J761" s="25" t="s">
        <v>31</v>
      </c>
      <c r="K761" s="4">
        <v>5</v>
      </c>
      <c r="L761" s="25">
        <v>5</v>
      </c>
      <c r="M761" s="4" t="s">
        <v>70</v>
      </c>
      <c r="N761" s="25" t="s">
        <v>70</v>
      </c>
      <c r="O761" s="4">
        <v>1.7</v>
      </c>
      <c r="P761" s="25">
        <v>1.7</v>
      </c>
      <c r="Q761" s="4" t="s">
        <v>87</v>
      </c>
      <c r="R761" s="25" t="s">
        <v>87</v>
      </c>
      <c r="S761" s="4">
        <v>0.61</v>
      </c>
      <c r="T761" s="26">
        <v>0.61</v>
      </c>
    </row>
    <row r="762" spans="1:20" x14ac:dyDescent="0.3">
      <c r="A762" s="27" t="s">
        <v>1621</v>
      </c>
      <c r="B762" s="4" t="s">
        <v>1622</v>
      </c>
      <c r="C762" s="4" t="s">
        <v>63</v>
      </c>
      <c r="D762" s="25" t="s">
        <v>118</v>
      </c>
      <c r="E762" s="4">
        <v>60</v>
      </c>
      <c r="F762" s="25">
        <v>60</v>
      </c>
      <c r="G762" s="4" t="s">
        <v>197</v>
      </c>
      <c r="H762" s="25" t="s">
        <v>197</v>
      </c>
      <c r="I762" s="4" t="s">
        <v>110</v>
      </c>
      <c r="J762" s="25" t="s">
        <v>110</v>
      </c>
      <c r="K762" s="4">
        <v>40</v>
      </c>
      <c r="L762" s="25">
        <v>40</v>
      </c>
      <c r="M762" s="4" t="s">
        <v>40</v>
      </c>
      <c r="N762" s="25" t="s">
        <v>40</v>
      </c>
      <c r="O762" s="4">
        <v>4.5999999999999996</v>
      </c>
      <c r="P762" s="25">
        <v>4.5999999999999996</v>
      </c>
      <c r="Q762" s="4" t="s">
        <v>74</v>
      </c>
      <c r="R762" s="25" t="s">
        <v>74</v>
      </c>
      <c r="S762" s="4">
        <v>1</v>
      </c>
      <c r="T762" s="26">
        <v>1</v>
      </c>
    </row>
    <row r="763" spans="1:20" x14ac:dyDescent="0.3">
      <c r="A763" s="27" t="s">
        <v>1623</v>
      </c>
      <c r="B763" s="4" t="s">
        <v>1624</v>
      </c>
      <c r="C763" s="4" t="s">
        <v>113</v>
      </c>
      <c r="D763" s="25" t="s">
        <v>118</v>
      </c>
      <c r="E763" s="4">
        <v>51</v>
      </c>
      <c r="F763" s="25">
        <v>51</v>
      </c>
      <c r="G763" s="4" t="s">
        <v>149</v>
      </c>
      <c r="H763" s="25" t="s">
        <v>149</v>
      </c>
      <c r="I763" s="4" t="s">
        <v>21</v>
      </c>
      <c r="J763" s="25" t="s">
        <v>21</v>
      </c>
      <c r="K763" s="4">
        <v>19</v>
      </c>
      <c r="L763" s="25">
        <v>19</v>
      </c>
      <c r="M763" s="4" t="s">
        <v>40</v>
      </c>
      <c r="N763" s="25" t="s">
        <v>40</v>
      </c>
      <c r="P763" s="25" t="s">
        <v>2120</v>
      </c>
      <c r="Q763" s="4" t="s">
        <v>94</v>
      </c>
      <c r="R763" s="25" t="s">
        <v>94</v>
      </c>
      <c r="S763" s="4">
        <v>0.82</v>
      </c>
      <c r="T763" s="26">
        <v>0.82</v>
      </c>
    </row>
    <row r="764" spans="1:20" x14ac:dyDescent="0.3">
      <c r="A764" s="27" t="s">
        <v>1625</v>
      </c>
      <c r="B764" s="4" t="s">
        <v>1626</v>
      </c>
      <c r="C764" s="4" t="s">
        <v>63</v>
      </c>
      <c r="D764" s="25" t="s">
        <v>118</v>
      </c>
      <c r="E764" s="4">
        <v>37</v>
      </c>
      <c r="F764" s="25">
        <v>37</v>
      </c>
      <c r="G764" s="4" t="s">
        <v>38</v>
      </c>
      <c r="H764" s="25" t="s">
        <v>38</v>
      </c>
      <c r="I764" s="4" t="s">
        <v>39</v>
      </c>
      <c r="J764" s="25" t="s">
        <v>39</v>
      </c>
      <c r="K764" s="4">
        <v>12</v>
      </c>
      <c r="L764" s="25">
        <v>12</v>
      </c>
      <c r="M764" s="4" t="s">
        <v>51</v>
      </c>
      <c r="N764" s="25" t="s">
        <v>2119</v>
      </c>
      <c r="O764" s="4">
        <v>4.9000000000000004</v>
      </c>
      <c r="P764" s="25">
        <v>4.9000000000000004</v>
      </c>
      <c r="Q764" s="4" t="s">
        <v>33</v>
      </c>
      <c r="R764" s="25" t="s">
        <v>33</v>
      </c>
      <c r="S764" s="4">
        <v>0.8</v>
      </c>
      <c r="T764" s="26">
        <v>0.8</v>
      </c>
    </row>
    <row r="765" spans="1:20" x14ac:dyDescent="0.3">
      <c r="A765" s="27" t="s">
        <v>1627</v>
      </c>
      <c r="B765" s="4" t="s">
        <v>1628</v>
      </c>
      <c r="C765" s="4" t="s">
        <v>37</v>
      </c>
      <c r="D765" s="25" t="s">
        <v>118</v>
      </c>
      <c r="E765" s="4">
        <v>52</v>
      </c>
      <c r="F765" s="25">
        <v>52</v>
      </c>
      <c r="G765" s="4" t="s">
        <v>114</v>
      </c>
      <c r="H765" s="25" t="s">
        <v>114</v>
      </c>
      <c r="I765" s="4" t="s">
        <v>21</v>
      </c>
      <c r="J765" s="25" t="s">
        <v>21</v>
      </c>
      <c r="K765" s="4">
        <v>7</v>
      </c>
      <c r="L765" s="25">
        <v>7</v>
      </c>
      <c r="M765" s="4" t="s">
        <v>86</v>
      </c>
      <c r="N765" s="25" t="s">
        <v>86</v>
      </c>
      <c r="O765" s="4">
        <v>2.2000000000000002</v>
      </c>
      <c r="P765" s="25">
        <v>2.2000000000000002</v>
      </c>
      <c r="Q765" s="4" t="s">
        <v>51</v>
      </c>
      <c r="R765" s="25" t="s">
        <v>2120</v>
      </c>
      <c r="S765" s="4">
        <v>0.96</v>
      </c>
      <c r="T765" s="26">
        <v>0.96</v>
      </c>
    </row>
    <row r="766" spans="1:20" x14ac:dyDescent="0.3">
      <c r="A766" s="27" t="s">
        <v>1629</v>
      </c>
      <c r="B766" s="4" t="s">
        <v>1630</v>
      </c>
      <c r="C766" s="4" t="s">
        <v>63</v>
      </c>
      <c r="D766" s="25" t="s">
        <v>118</v>
      </c>
      <c r="E766" s="4">
        <v>27</v>
      </c>
      <c r="F766" s="25">
        <v>27</v>
      </c>
      <c r="G766" s="4" t="s">
        <v>64</v>
      </c>
      <c r="H766" s="25" t="s">
        <v>64</v>
      </c>
      <c r="I766" s="4" t="s">
        <v>21</v>
      </c>
      <c r="J766" s="25" t="s">
        <v>21</v>
      </c>
      <c r="K766" s="4">
        <v>4</v>
      </c>
      <c r="L766" s="25">
        <v>4</v>
      </c>
      <c r="M766" s="4" t="s">
        <v>162</v>
      </c>
      <c r="N766" s="25" t="s">
        <v>162</v>
      </c>
      <c r="P766" s="25" t="s">
        <v>2120</v>
      </c>
      <c r="Q766" s="4" t="s">
        <v>23</v>
      </c>
      <c r="R766" s="25" t="s">
        <v>23</v>
      </c>
      <c r="S766" s="4">
        <v>0.63</v>
      </c>
      <c r="T766" s="26">
        <v>0.63</v>
      </c>
    </row>
    <row r="767" spans="1:20" x14ac:dyDescent="0.3">
      <c r="A767" s="27" t="s">
        <v>1631</v>
      </c>
      <c r="B767" s="4" t="s">
        <v>1632</v>
      </c>
      <c r="C767" s="4" t="s">
        <v>63</v>
      </c>
      <c r="D767" s="25" t="s">
        <v>118</v>
      </c>
      <c r="E767" s="4">
        <v>48</v>
      </c>
      <c r="F767" s="25">
        <v>48</v>
      </c>
      <c r="G767" s="4" t="s">
        <v>29</v>
      </c>
      <c r="H767" s="25" t="s">
        <v>29</v>
      </c>
      <c r="I767" s="4" t="s">
        <v>39</v>
      </c>
      <c r="J767" s="25" t="s">
        <v>39</v>
      </c>
      <c r="K767" s="4">
        <v>24</v>
      </c>
      <c r="L767" s="25">
        <v>24</v>
      </c>
      <c r="M767" s="4" t="s">
        <v>47</v>
      </c>
      <c r="N767" s="25" t="s">
        <v>47</v>
      </c>
      <c r="O767" s="4">
        <v>2.2000000000000002</v>
      </c>
      <c r="P767" s="25">
        <v>2.2000000000000002</v>
      </c>
      <c r="Q767" s="4" t="s">
        <v>23</v>
      </c>
      <c r="R767" s="25" t="s">
        <v>23</v>
      </c>
      <c r="S767" s="4">
        <v>0.67</v>
      </c>
      <c r="T767" s="26">
        <v>0.67</v>
      </c>
    </row>
    <row r="768" spans="1:20" x14ac:dyDescent="0.3">
      <c r="A768" s="27" t="s">
        <v>1633</v>
      </c>
      <c r="B768" s="4" t="s">
        <v>1634</v>
      </c>
      <c r="C768" s="4" t="s">
        <v>45</v>
      </c>
      <c r="D768" s="25" t="s">
        <v>97</v>
      </c>
      <c r="E768" s="4">
        <v>22</v>
      </c>
      <c r="F768" s="25">
        <v>22</v>
      </c>
      <c r="G768" s="4" t="s">
        <v>106</v>
      </c>
      <c r="H768" s="25" t="s">
        <v>106</v>
      </c>
      <c r="I768" s="4" t="s">
        <v>66</v>
      </c>
      <c r="J768" s="25" t="s">
        <v>66</v>
      </c>
      <c r="K768" s="4">
        <v>1</v>
      </c>
      <c r="L768" s="25">
        <v>1</v>
      </c>
      <c r="M768" s="4" t="s">
        <v>130</v>
      </c>
      <c r="N768" s="25" t="s">
        <v>130</v>
      </c>
      <c r="O768" s="4">
        <v>3.3</v>
      </c>
      <c r="P768" s="25">
        <v>3.3</v>
      </c>
      <c r="Q768" s="4" t="s">
        <v>33</v>
      </c>
      <c r="R768" s="25" t="s">
        <v>33</v>
      </c>
      <c r="S768" s="4">
        <v>0.61</v>
      </c>
      <c r="T768" s="26">
        <v>0.61</v>
      </c>
    </row>
    <row r="769" spans="1:20" x14ac:dyDescent="0.3">
      <c r="A769" s="27" t="s">
        <v>1635</v>
      </c>
      <c r="B769" s="4" t="s">
        <v>1636</v>
      </c>
      <c r="C769" s="4" t="s">
        <v>28</v>
      </c>
      <c r="D769" s="25" t="s">
        <v>97</v>
      </c>
      <c r="E769" s="4">
        <v>48</v>
      </c>
      <c r="F769" s="25">
        <v>48</v>
      </c>
      <c r="G769" s="4" t="s">
        <v>38</v>
      </c>
      <c r="H769" s="25" t="s">
        <v>38</v>
      </c>
      <c r="I769" s="4" t="s">
        <v>31</v>
      </c>
      <c r="J769" s="25" t="s">
        <v>31</v>
      </c>
      <c r="K769" s="4">
        <v>28</v>
      </c>
      <c r="L769" s="25">
        <v>28</v>
      </c>
      <c r="M769" s="4" t="s">
        <v>130</v>
      </c>
      <c r="N769" s="25" t="s">
        <v>130</v>
      </c>
      <c r="O769" s="4">
        <v>4.9000000000000004</v>
      </c>
      <c r="P769" s="25">
        <v>4.9000000000000004</v>
      </c>
      <c r="Q769" s="4" t="s">
        <v>23</v>
      </c>
      <c r="R769" s="25" t="s">
        <v>23</v>
      </c>
      <c r="S769" s="4">
        <v>0.77</v>
      </c>
      <c r="T769" s="26">
        <v>0.77</v>
      </c>
    </row>
    <row r="770" spans="1:20" x14ac:dyDescent="0.3">
      <c r="A770" s="27" t="s">
        <v>1637</v>
      </c>
      <c r="B770" s="4" t="s">
        <v>1638</v>
      </c>
      <c r="C770" s="4" t="s">
        <v>45</v>
      </c>
      <c r="D770" s="25" t="s">
        <v>97</v>
      </c>
      <c r="E770" s="4">
        <v>54</v>
      </c>
      <c r="F770" s="25">
        <v>54</v>
      </c>
      <c r="G770" s="4" t="s">
        <v>73</v>
      </c>
      <c r="H770" s="25" t="s">
        <v>73</v>
      </c>
      <c r="I770" s="4" t="s">
        <v>31</v>
      </c>
      <c r="J770" s="25" t="s">
        <v>31</v>
      </c>
      <c r="K770" s="4">
        <v>19</v>
      </c>
      <c r="L770" s="25">
        <v>19</v>
      </c>
      <c r="M770" s="4" t="s">
        <v>103</v>
      </c>
      <c r="N770" s="25" t="s">
        <v>103</v>
      </c>
      <c r="O770" s="4">
        <v>0</v>
      </c>
      <c r="P770" s="25">
        <v>0</v>
      </c>
      <c r="Q770" s="4" t="s">
        <v>51</v>
      </c>
      <c r="R770" s="25" t="s">
        <v>2120</v>
      </c>
      <c r="T770" s="26" t="s">
        <v>2120</v>
      </c>
    </row>
    <row r="771" spans="1:20" x14ac:dyDescent="0.3">
      <c r="A771" s="27" t="s">
        <v>1639</v>
      </c>
      <c r="B771" s="4" t="s">
        <v>1640</v>
      </c>
      <c r="C771" s="4" t="s">
        <v>97</v>
      </c>
      <c r="D771" s="25" t="s">
        <v>97</v>
      </c>
      <c r="E771" s="4">
        <v>52</v>
      </c>
      <c r="F771" s="25">
        <v>52</v>
      </c>
      <c r="G771" s="4" t="s">
        <v>133</v>
      </c>
      <c r="H771" s="25" t="s">
        <v>133</v>
      </c>
      <c r="I771" s="4" t="s">
        <v>66</v>
      </c>
      <c r="J771" s="25" t="s">
        <v>66</v>
      </c>
      <c r="K771" s="4">
        <v>4</v>
      </c>
      <c r="L771" s="25">
        <v>4</v>
      </c>
      <c r="M771" s="4" t="s">
        <v>40</v>
      </c>
      <c r="N771" s="25" t="s">
        <v>40</v>
      </c>
      <c r="P771" s="25" t="s">
        <v>2120</v>
      </c>
      <c r="Q771" s="4" t="s">
        <v>41</v>
      </c>
      <c r="R771" s="25" t="s">
        <v>41</v>
      </c>
      <c r="S771" s="4">
        <v>0.84</v>
      </c>
      <c r="T771" s="26">
        <v>0.84</v>
      </c>
    </row>
    <row r="772" spans="1:20" x14ac:dyDescent="0.3">
      <c r="A772" s="27" t="s">
        <v>1641</v>
      </c>
      <c r="B772" s="4" t="s">
        <v>1642</v>
      </c>
      <c r="C772" s="4" t="s">
        <v>50</v>
      </c>
      <c r="D772" s="25" t="s">
        <v>97</v>
      </c>
      <c r="E772" s="4">
        <v>39</v>
      </c>
      <c r="F772" s="25">
        <v>39</v>
      </c>
      <c r="G772" s="4" t="s">
        <v>79</v>
      </c>
      <c r="H772" s="25" t="s">
        <v>79</v>
      </c>
      <c r="I772" s="4" t="s">
        <v>46</v>
      </c>
      <c r="J772" s="25" t="s">
        <v>46</v>
      </c>
      <c r="K772" s="4">
        <v>20</v>
      </c>
      <c r="L772" s="25">
        <v>20</v>
      </c>
      <c r="M772" s="4" t="s">
        <v>32</v>
      </c>
      <c r="N772" s="25" t="s">
        <v>32</v>
      </c>
      <c r="P772" s="25" t="s">
        <v>2120</v>
      </c>
      <c r="Q772" s="4" t="s">
        <v>94</v>
      </c>
      <c r="R772" s="25" t="s">
        <v>94</v>
      </c>
      <c r="S772" s="4">
        <v>0.89</v>
      </c>
      <c r="T772" s="26">
        <v>0.89</v>
      </c>
    </row>
    <row r="773" spans="1:20" x14ac:dyDescent="0.3">
      <c r="A773" s="27" t="s">
        <v>1643</v>
      </c>
      <c r="B773" s="4" t="s">
        <v>1644</v>
      </c>
      <c r="C773" s="4" t="s">
        <v>18</v>
      </c>
      <c r="D773" s="25" t="s">
        <v>97</v>
      </c>
      <c r="E773" s="4">
        <v>54</v>
      </c>
      <c r="F773" s="25">
        <v>54</v>
      </c>
      <c r="G773" s="4" t="s">
        <v>145</v>
      </c>
      <c r="H773" s="25" t="s">
        <v>145</v>
      </c>
      <c r="I773" s="4" t="s">
        <v>31</v>
      </c>
      <c r="J773" s="25" t="s">
        <v>31</v>
      </c>
      <c r="K773" s="4">
        <v>19</v>
      </c>
      <c r="L773" s="25">
        <v>19</v>
      </c>
      <c r="M773" s="4" t="s">
        <v>130</v>
      </c>
      <c r="N773" s="25" t="s">
        <v>130</v>
      </c>
      <c r="O773" s="4">
        <v>4</v>
      </c>
      <c r="P773" s="25">
        <v>4</v>
      </c>
      <c r="Q773" s="4" t="s">
        <v>51</v>
      </c>
      <c r="R773" s="25" t="s">
        <v>2120</v>
      </c>
      <c r="S773" s="4">
        <v>0.9</v>
      </c>
      <c r="T773" s="26">
        <v>0.9</v>
      </c>
    </row>
    <row r="774" spans="1:20" x14ac:dyDescent="0.3">
      <c r="A774" s="27" t="s">
        <v>1645</v>
      </c>
      <c r="B774" s="4" t="s">
        <v>1646</v>
      </c>
      <c r="C774" s="4" t="s">
        <v>97</v>
      </c>
      <c r="D774" s="25" t="s">
        <v>97</v>
      </c>
      <c r="E774" s="4">
        <v>22</v>
      </c>
      <c r="F774" s="25">
        <v>22</v>
      </c>
      <c r="G774" s="4" t="s">
        <v>73</v>
      </c>
      <c r="H774" s="25" t="s">
        <v>73</v>
      </c>
      <c r="I774" s="4" t="s">
        <v>98</v>
      </c>
      <c r="J774" s="25" t="s">
        <v>98</v>
      </c>
      <c r="K774" s="4">
        <v>1</v>
      </c>
      <c r="L774" s="25">
        <v>1</v>
      </c>
      <c r="M774" s="4" t="s">
        <v>162</v>
      </c>
      <c r="N774" s="25" t="s">
        <v>162</v>
      </c>
      <c r="O774" s="4">
        <v>4.8</v>
      </c>
      <c r="P774" s="25">
        <v>4.8</v>
      </c>
      <c r="Q774" s="4" t="s">
        <v>59</v>
      </c>
      <c r="R774" s="25" t="s">
        <v>59</v>
      </c>
      <c r="S774" s="4">
        <v>0.87</v>
      </c>
      <c r="T774" s="26">
        <v>0.87</v>
      </c>
    </row>
    <row r="775" spans="1:20" x14ac:dyDescent="0.3">
      <c r="A775" s="27" t="s">
        <v>1647</v>
      </c>
      <c r="B775" s="4" t="s">
        <v>1648</v>
      </c>
      <c r="C775" s="4" t="s">
        <v>28</v>
      </c>
      <c r="D775" s="25" t="s">
        <v>97</v>
      </c>
      <c r="E775" s="4">
        <v>29</v>
      </c>
      <c r="F775" s="25">
        <v>29</v>
      </c>
      <c r="G775" s="4" t="s">
        <v>175</v>
      </c>
      <c r="H775" s="25" t="s">
        <v>175</v>
      </c>
      <c r="I775" s="4" t="s">
        <v>31</v>
      </c>
      <c r="J775" s="25" t="s">
        <v>31</v>
      </c>
      <c r="K775" s="4">
        <v>8</v>
      </c>
      <c r="L775" s="25">
        <v>8</v>
      </c>
      <c r="M775" s="4" t="s">
        <v>40</v>
      </c>
      <c r="N775" s="25" t="s">
        <v>40</v>
      </c>
      <c r="O775" s="4">
        <v>0</v>
      </c>
      <c r="P775" s="25">
        <v>0</v>
      </c>
      <c r="Q775" s="4" t="s">
        <v>23</v>
      </c>
      <c r="R775" s="25" t="s">
        <v>23</v>
      </c>
      <c r="S775" s="4">
        <v>0.77</v>
      </c>
      <c r="T775" s="26">
        <v>0.77</v>
      </c>
    </row>
    <row r="776" spans="1:20" x14ac:dyDescent="0.3">
      <c r="A776" s="27" t="s">
        <v>1649</v>
      </c>
      <c r="B776" s="4" t="s">
        <v>1650</v>
      </c>
      <c r="C776" s="4" t="s">
        <v>113</v>
      </c>
      <c r="D776" s="25" t="s">
        <v>118</v>
      </c>
      <c r="E776" s="4">
        <v>23</v>
      </c>
      <c r="F776" s="25">
        <v>23</v>
      </c>
      <c r="G776" s="4" t="s">
        <v>212</v>
      </c>
      <c r="H776" s="25" t="s">
        <v>212</v>
      </c>
      <c r="I776" s="4" t="s">
        <v>110</v>
      </c>
      <c r="J776" s="25" t="s">
        <v>110</v>
      </c>
      <c r="K776" s="4">
        <v>3</v>
      </c>
      <c r="L776" s="25">
        <v>3</v>
      </c>
      <c r="M776" s="4" t="s">
        <v>130</v>
      </c>
      <c r="N776" s="25" t="s">
        <v>130</v>
      </c>
      <c r="O776" s="4">
        <v>1.6</v>
      </c>
      <c r="P776" s="25">
        <v>1.6</v>
      </c>
      <c r="Q776" s="4" t="s">
        <v>94</v>
      </c>
      <c r="R776" s="25" t="s">
        <v>94</v>
      </c>
      <c r="S776" s="4">
        <v>0.72</v>
      </c>
      <c r="T776" s="26">
        <v>0.72</v>
      </c>
    </row>
    <row r="777" spans="1:20" x14ac:dyDescent="0.3">
      <c r="A777" s="27" t="s">
        <v>1651</v>
      </c>
      <c r="B777" s="4" t="s">
        <v>1652</v>
      </c>
      <c r="C777" s="4" t="s">
        <v>45</v>
      </c>
      <c r="D777" s="25" t="s">
        <v>97</v>
      </c>
      <c r="E777" s="4">
        <v>58</v>
      </c>
      <c r="F777" s="25">
        <v>58</v>
      </c>
      <c r="G777" s="4" t="s">
        <v>201</v>
      </c>
      <c r="H777" s="25" t="s">
        <v>201</v>
      </c>
      <c r="I777" s="4" t="s">
        <v>110</v>
      </c>
      <c r="J777" s="25" t="s">
        <v>110</v>
      </c>
      <c r="K777" s="4">
        <v>30</v>
      </c>
      <c r="L777" s="25">
        <v>30</v>
      </c>
      <c r="M777" s="4" t="s">
        <v>40</v>
      </c>
      <c r="N777" s="25" t="s">
        <v>40</v>
      </c>
      <c r="O777" s="4">
        <v>1.3</v>
      </c>
      <c r="P777" s="25">
        <v>1.3</v>
      </c>
      <c r="Q777" s="4" t="s">
        <v>87</v>
      </c>
      <c r="R777" s="25" t="s">
        <v>87</v>
      </c>
      <c r="S777" s="4">
        <v>0.87</v>
      </c>
      <c r="T777" s="26">
        <v>0.87</v>
      </c>
    </row>
    <row r="778" spans="1:20" x14ac:dyDescent="0.3">
      <c r="A778" s="27" t="s">
        <v>1653</v>
      </c>
      <c r="B778" s="4" t="s">
        <v>1654</v>
      </c>
      <c r="C778" s="4" t="s">
        <v>18</v>
      </c>
      <c r="D778" s="25" t="s">
        <v>97</v>
      </c>
      <c r="E778" s="4">
        <v>56</v>
      </c>
      <c r="F778" s="25">
        <v>56</v>
      </c>
      <c r="G778" s="4" t="s">
        <v>197</v>
      </c>
      <c r="H778" s="25" t="s">
        <v>197</v>
      </c>
      <c r="I778" s="4" t="s">
        <v>21</v>
      </c>
      <c r="J778" s="25" t="s">
        <v>21</v>
      </c>
      <c r="K778" s="4">
        <v>3</v>
      </c>
      <c r="L778" s="25">
        <v>3</v>
      </c>
      <c r="M778" s="4" t="s">
        <v>86</v>
      </c>
      <c r="N778" s="25" t="s">
        <v>86</v>
      </c>
      <c r="O778" s="4">
        <v>4.0999999999999996</v>
      </c>
      <c r="P778" s="25">
        <v>4.0999999999999996</v>
      </c>
      <c r="Q778" s="4" t="s">
        <v>74</v>
      </c>
      <c r="R778" s="25" t="s">
        <v>74</v>
      </c>
      <c r="S778" s="4">
        <v>0.89</v>
      </c>
      <c r="T778" s="26">
        <v>0.89</v>
      </c>
    </row>
    <row r="779" spans="1:20" x14ac:dyDescent="0.3">
      <c r="A779" s="27" t="s">
        <v>1655</v>
      </c>
      <c r="B779" s="4" t="s">
        <v>1656</v>
      </c>
      <c r="C779" s="4" t="s">
        <v>113</v>
      </c>
      <c r="D779" s="25" t="s">
        <v>118</v>
      </c>
      <c r="E779" s="4">
        <v>48</v>
      </c>
      <c r="F779" s="25">
        <v>48</v>
      </c>
      <c r="G779" s="4" t="s">
        <v>79</v>
      </c>
      <c r="H779" s="25" t="s">
        <v>79</v>
      </c>
      <c r="I779" s="4" t="s">
        <v>46</v>
      </c>
      <c r="J779" s="25" t="s">
        <v>46</v>
      </c>
      <c r="K779" s="4">
        <v>19</v>
      </c>
      <c r="L779" s="25">
        <v>19</v>
      </c>
      <c r="M779" s="4" t="s">
        <v>86</v>
      </c>
      <c r="N779" s="25" t="s">
        <v>86</v>
      </c>
      <c r="O779" s="4">
        <v>1.5</v>
      </c>
      <c r="P779" s="25">
        <v>1.5</v>
      </c>
      <c r="Q779" s="4" t="s">
        <v>23</v>
      </c>
      <c r="R779" s="25" t="s">
        <v>23</v>
      </c>
      <c r="S779" s="4">
        <v>0.87</v>
      </c>
      <c r="T779" s="26">
        <v>0.87</v>
      </c>
    </row>
    <row r="780" spans="1:20" x14ac:dyDescent="0.3">
      <c r="A780" s="27" t="s">
        <v>1657</v>
      </c>
      <c r="B780" s="4" t="s">
        <v>1658</v>
      </c>
      <c r="C780" s="4" t="s">
        <v>97</v>
      </c>
      <c r="D780" s="25" t="s">
        <v>97</v>
      </c>
      <c r="E780" s="4">
        <v>31</v>
      </c>
      <c r="F780" s="25">
        <v>31</v>
      </c>
      <c r="G780" s="4" t="s">
        <v>145</v>
      </c>
      <c r="H780" s="25" t="s">
        <v>145</v>
      </c>
      <c r="I780" s="4" t="s">
        <v>31</v>
      </c>
      <c r="J780" s="25" t="s">
        <v>31</v>
      </c>
      <c r="K780" s="4">
        <v>11</v>
      </c>
      <c r="L780" s="25">
        <v>11</v>
      </c>
      <c r="M780" s="4" t="s">
        <v>70</v>
      </c>
      <c r="N780" s="25" t="s">
        <v>70</v>
      </c>
      <c r="O780" s="4">
        <v>4.3</v>
      </c>
      <c r="P780" s="25">
        <v>4.3</v>
      </c>
      <c r="Q780" s="4" t="s">
        <v>94</v>
      </c>
      <c r="R780" s="25" t="s">
        <v>94</v>
      </c>
      <c r="S780" s="4">
        <v>0.76</v>
      </c>
      <c r="T780" s="26">
        <v>0.76</v>
      </c>
    </row>
    <row r="781" spans="1:20" x14ac:dyDescent="0.3">
      <c r="A781" s="27" t="s">
        <v>1659</v>
      </c>
      <c r="B781" s="4" t="s">
        <v>1660</v>
      </c>
      <c r="C781" s="4" t="s">
        <v>113</v>
      </c>
      <c r="D781" s="25" t="s">
        <v>118</v>
      </c>
      <c r="E781" s="4">
        <v>44</v>
      </c>
      <c r="F781" s="25">
        <v>44</v>
      </c>
      <c r="G781" s="4" t="s">
        <v>29</v>
      </c>
      <c r="H781" s="25" t="s">
        <v>29</v>
      </c>
      <c r="I781" s="4" t="s">
        <v>135</v>
      </c>
      <c r="J781" s="25" t="s">
        <v>135</v>
      </c>
      <c r="K781" s="4">
        <v>26</v>
      </c>
      <c r="L781" s="25">
        <v>26</v>
      </c>
      <c r="M781" s="4" t="s">
        <v>40</v>
      </c>
      <c r="N781" s="25" t="s">
        <v>40</v>
      </c>
      <c r="O781" s="4">
        <v>1.6</v>
      </c>
      <c r="P781" s="25">
        <v>1.6</v>
      </c>
      <c r="Q781" s="4" t="s">
        <v>51</v>
      </c>
      <c r="R781" s="25" t="s">
        <v>2120</v>
      </c>
      <c r="S781" s="4">
        <v>1</v>
      </c>
      <c r="T781" s="26">
        <v>1</v>
      </c>
    </row>
    <row r="782" spans="1:20" x14ac:dyDescent="0.3">
      <c r="A782" s="27" t="s">
        <v>1661</v>
      </c>
      <c r="B782" s="4" t="s">
        <v>1662</v>
      </c>
      <c r="C782" s="4" t="s">
        <v>45</v>
      </c>
      <c r="D782" s="25" t="s">
        <v>97</v>
      </c>
      <c r="E782" s="4">
        <v>42</v>
      </c>
      <c r="F782" s="25">
        <v>42</v>
      </c>
      <c r="G782" s="4" t="s">
        <v>160</v>
      </c>
      <c r="H782" s="25" t="s">
        <v>160</v>
      </c>
      <c r="I782" s="4" t="s">
        <v>31</v>
      </c>
      <c r="J782" s="25" t="s">
        <v>31</v>
      </c>
      <c r="K782" s="4">
        <v>10</v>
      </c>
      <c r="L782" s="25">
        <v>10</v>
      </c>
      <c r="M782" s="4" t="s">
        <v>22</v>
      </c>
      <c r="N782" s="25" t="s">
        <v>22</v>
      </c>
      <c r="O782" s="4">
        <v>3.7</v>
      </c>
      <c r="P782" s="25">
        <v>3.7</v>
      </c>
      <c r="Q782" s="4" t="s">
        <v>94</v>
      </c>
      <c r="R782" s="25" t="s">
        <v>94</v>
      </c>
      <c r="S782" s="4">
        <v>0.94</v>
      </c>
      <c r="T782" s="26">
        <v>0.94</v>
      </c>
    </row>
    <row r="783" spans="1:20" x14ac:dyDescent="0.3">
      <c r="A783" s="27" t="s">
        <v>1663</v>
      </c>
      <c r="B783" s="4" t="s">
        <v>1664</v>
      </c>
      <c r="C783" s="4" t="s">
        <v>118</v>
      </c>
      <c r="D783" s="25" t="s">
        <v>118</v>
      </c>
      <c r="E783" s="4">
        <v>59</v>
      </c>
      <c r="F783" s="25">
        <v>59</v>
      </c>
      <c r="G783" s="4" t="s">
        <v>73</v>
      </c>
      <c r="H783" s="25" t="s">
        <v>73</v>
      </c>
      <c r="I783" s="4" t="s">
        <v>98</v>
      </c>
      <c r="J783" s="25" t="s">
        <v>98</v>
      </c>
      <c r="K783" s="4">
        <v>17</v>
      </c>
      <c r="L783" s="25">
        <v>17</v>
      </c>
      <c r="M783" s="4" t="s">
        <v>40</v>
      </c>
      <c r="N783" s="25" t="s">
        <v>40</v>
      </c>
      <c r="O783" s="4">
        <v>1.4</v>
      </c>
      <c r="P783" s="25">
        <v>1.4</v>
      </c>
      <c r="Q783" s="4" t="s">
        <v>87</v>
      </c>
      <c r="R783" s="25" t="s">
        <v>87</v>
      </c>
      <c r="T783" s="26" t="s">
        <v>2120</v>
      </c>
    </row>
    <row r="784" spans="1:20" x14ac:dyDescent="0.3">
      <c r="A784" s="27" t="s">
        <v>1665</v>
      </c>
      <c r="B784" s="4" t="s">
        <v>1666</v>
      </c>
      <c r="C784" s="4" t="s">
        <v>45</v>
      </c>
      <c r="D784" s="25" t="s">
        <v>97</v>
      </c>
      <c r="F784" s="25" t="s">
        <v>2119</v>
      </c>
      <c r="G784" s="4" t="s">
        <v>91</v>
      </c>
      <c r="H784" s="25" t="s">
        <v>91</v>
      </c>
      <c r="I784" s="4" t="s">
        <v>21</v>
      </c>
      <c r="J784" s="25" t="s">
        <v>21</v>
      </c>
      <c r="K784" s="4">
        <v>9</v>
      </c>
      <c r="L784" s="25">
        <v>9</v>
      </c>
      <c r="M784" s="4" t="s">
        <v>251</v>
      </c>
      <c r="N784" s="25" t="s">
        <v>251</v>
      </c>
      <c r="O784" s="4">
        <v>4.5</v>
      </c>
      <c r="P784" s="25">
        <v>4.5</v>
      </c>
      <c r="Q784" s="4" t="s">
        <v>94</v>
      </c>
      <c r="R784" s="25" t="s">
        <v>94</v>
      </c>
      <c r="S784" s="4">
        <v>83</v>
      </c>
      <c r="T784" s="26">
        <v>83</v>
      </c>
    </row>
    <row r="785" spans="1:20" x14ac:dyDescent="0.3">
      <c r="A785" s="27" t="s">
        <v>1667</v>
      </c>
      <c r="B785" s="4" t="s">
        <v>1668</v>
      </c>
      <c r="C785" s="4" t="s">
        <v>113</v>
      </c>
      <c r="D785" s="25" t="s">
        <v>118</v>
      </c>
      <c r="E785" s="4">
        <v>21</v>
      </c>
      <c r="F785" s="25">
        <v>21</v>
      </c>
      <c r="G785" s="4" t="s">
        <v>197</v>
      </c>
      <c r="H785" s="25" t="s">
        <v>197</v>
      </c>
      <c r="I785" s="4" t="s">
        <v>66</v>
      </c>
      <c r="J785" s="25" t="s">
        <v>66</v>
      </c>
      <c r="K785" s="4">
        <v>0</v>
      </c>
      <c r="L785" s="25">
        <v>0</v>
      </c>
      <c r="M785" s="4" t="s">
        <v>70</v>
      </c>
      <c r="N785" s="25" t="s">
        <v>70</v>
      </c>
      <c r="O785" s="4">
        <v>3.7</v>
      </c>
      <c r="P785" s="25">
        <v>3.7</v>
      </c>
      <c r="Q785" s="4" t="s">
        <v>23</v>
      </c>
      <c r="R785" s="25" t="s">
        <v>23</v>
      </c>
      <c r="S785" s="4">
        <v>0.74</v>
      </c>
      <c r="T785" s="26">
        <v>0.74</v>
      </c>
    </row>
    <row r="786" spans="1:20" x14ac:dyDescent="0.3">
      <c r="A786" s="27" t="s">
        <v>1669</v>
      </c>
      <c r="B786" s="4" t="s">
        <v>1670</v>
      </c>
      <c r="C786" s="4" t="s">
        <v>118</v>
      </c>
      <c r="D786" s="25" t="s">
        <v>118</v>
      </c>
      <c r="E786" s="4">
        <v>53</v>
      </c>
      <c r="F786" s="25">
        <v>53</v>
      </c>
      <c r="G786" s="4" t="s">
        <v>85</v>
      </c>
      <c r="H786" s="25" t="s">
        <v>85</v>
      </c>
      <c r="I786" s="4" t="s">
        <v>110</v>
      </c>
      <c r="J786" s="25" t="s">
        <v>110</v>
      </c>
      <c r="K786" s="4">
        <v>5</v>
      </c>
      <c r="L786" s="25">
        <v>5</v>
      </c>
      <c r="M786" s="4" t="s">
        <v>103</v>
      </c>
      <c r="N786" s="25" t="s">
        <v>103</v>
      </c>
      <c r="O786" s="4">
        <v>1.1000000000000001</v>
      </c>
      <c r="P786" s="25">
        <v>1.1000000000000001</v>
      </c>
      <c r="Q786" s="4" t="s">
        <v>23</v>
      </c>
      <c r="R786" s="25" t="s">
        <v>23</v>
      </c>
      <c r="S786" s="4">
        <v>92</v>
      </c>
      <c r="T786" s="26">
        <v>92</v>
      </c>
    </row>
    <row r="787" spans="1:20" x14ac:dyDescent="0.3">
      <c r="A787" s="27" t="s">
        <v>1671</v>
      </c>
      <c r="B787" s="4" t="s">
        <v>1672</v>
      </c>
      <c r="C787" s="4" t="s">
        <v>113</v>
      </c>
      <c r="D787" s="25" t="s">
        <v>118</v>
      </c>
      <c r="E787" s="4">
        <v>35</v>
      </c>
      <c r="F787" s="25">
        <v>35</v>
      </c>
      <c r="G787" s="4" t="s">
        <v>91</v>
      </c>
      <c r="H787" s="25" t="s">
        <v>91</v>
      </c>
      <c r="I787" s="4" t="s">
        <v>31</v>
      </c>
      <c r="J787" s="25" t="s">
        <v>31</v>
      </c>
      <c r="K787" s="4">
        <v>15</v>
      </c>
      <c r="L787" s="25">
        <v>15</v>
      </c>
      <c r="M787" s="4" t="s">
        <v>51</v>
      </c>
      <c r="N787" s="25" t="s">
        <v>2119</v>
      </c>
      <c r="O787" s="4">
        <v>3.7</v>
      </c>
      <c r="P787" s="25">
        <v>3.7</v>
      </c>
      <c r="Q787" s="4" t="s">
        <v>59</v>
      </c>
      <c r="R787" s="25" t="s">
        <v>59</v>
      </c>
      <c r="S787" s="4">
        <v>0.66</v>
      </c>
      <c r="T787" s="26">
        <v>0.66</v>
      </c>
    </row>
    <row r="788" spans="1:20" x14ac:dyDescent="0.3">
      <c r="A788" s="27" t="s">
        <v>1673</v>
      </c>
      <c r="B788" s="4" t="s">
        <v>1674</v>
      </c>
      <c r="C788" s="4" t="s">
        <v>97</v>
      </c>
      <c r="D788" s="25" t="s">
        <v>97</v>
      </c>
      <c r="E788" s="4">
        <v>25</v>
      </c>
      <c r="F788" s="25">
        <v>25</v>
      </c>
      <c r="G788" s="4" t="s">
        <v>128</v>
      </c>
      <c r="H788" s="25" t="s">
        <v>128</v>
      </c>
      <c r="I788" s="4" t="s">
        <v>135</v>
      </c>
      <c r="J788" s="25" t="s">
        <v>135</v>
      </c>
      <c r="K788" s="4">
        <v>3</v>
      </c>
      <c r="L788" s="25">
        <v>3</v>
      </c>
      <c r="M788" s="4" t="s">
        <v>81</v>
      </c>
      <c r="N788" s="25" t="s">
        <v>81</v>
      </c>
      <c r="O788" s="4">
        <v>3.2</v>
      </c>
      <c r="P788" s="25">
        <v>3.2</v>
      </c>
      <c r="Q788" s="4" t="s">
        <v>74</v>
      </c>
      <c r="R788" s="25" t="s">
        <v>74</v>
      </c>
      <c r="S788" s="4">
        <v>0.74</v>
      </c>
      <c r="T788" s="26">
        <v>0.74</v>
      </c>
    </row>
    <row r="789" spans="1:20" x14ac:dyDescent="0.3">
      <c r="A789" s="27" t="s">
        <v>1675</v>
      </c>
      <c r="B789" s="4" t="s">
        <v>1676</v>
      </c>
      <c r="C789" s="4" t="s">
        <v>50</v>
      </c>
      <c r="D789" s="25" t="s">
        <v>97</v>
      </c>
      <c r="E789" s="4">
        <v>23</v>
      </c>
      <c r="F789" s="25">
        <v>23</v>
      </c>
      <c r="G789" s="4" t="s">
        <v>19</v>
      </c>
      <c r="H789" s="25" t="s">
        <v>19</v>
      </c>
      <c r="I789" s="4" t="s">
        <v>93</v>
      </c>
      <c r="J789" s="25" t="s">
        <v>93</v>
      </c>
      <c r="K789" s="4">
        <v>1</v>
      </c>
      <c r="L789" s="25">
        <v>1</v>
      </c>
      <c r="M789" s="4" t="s">
        <v>52</v>
      </c>
      <c r="N789" s="25" t="s">
        <v>52</v>
      </c>
      <c r="O789" s="4">
        <v>5</v>
      </c>
      <c r="P789" s="25">
        <v>5</v>
      </c>
      <c r="Q789" s="4" t="s">
        <v>41</v>
      </c>
      <c r="R789" s="25" t="s">
        <v>41</v>
      </c>
      <c r="S789" s="4">
        <v>0.97</v>
      </c>
      <c r="T789" s="26">
        <v>0.97</v>
      </c>
    </row>
    <row r="790" spans="1:20" x14ac:dyDescent="0.3">
      <c r="A790" s="27" t="s">
        <v>1677</v>
      </c>
      <c r="B790" s="4" t="s">
        <v>1678</v>
      </c>
      <c r="C790" s="4" t="s">
        <v>45</v>
      </c>
      <c r="D790" s="25" t="s">
        <v>97</v>
      </c>
      <c r="E790" s="4">
        <v>56</v>
      </c>
      <c r="F790" s="25">
        <v>56</v>
      </c>
      <c r="G790" s="4" t="s">
        <v>160</v>
      </c>
      <c r="H790" s="25" t="s">
        <v>160</v>
      </c>
      <c r="I790" s="4" t="s">
        <v>39</v>
      </c>
      <c r="J790" s="25" t="s">
        <v>39</v>
      </c>
      <c r="K790" s="4">
        <v>13</v>
      </c>
      <c r="L790" s="25">
        <v>13</v>
      </c>
      <c r="M790" s="4" t="s">
        <v>52</v>
      </c>
      <c r="N790" s="25" t="s">
        <v>52</v>
      </c>
      <c r="O790" s="4">
        <v>0</v>
      </c>
      <c r="P790" s="25">
        <v>0</v>
      </c>
      <c r="Q790" s="4" t="s">
        <v>51</v>
      </c>
      <c r="R790" s="25" t="s">
        <v>2120</v>
      </c>
      <c r="S790" s="4">
        <v>77</v>
      </c>
      <c r="T790" s="26">
        <v>77</v>
      </c>
    </row>
    <row r="791" spans="1:20" x14ac:dyDescent="0.3">
      <c r="A791" s="27" t="s">
        <v>1679</v>
      </c>
      <c r="B791" s="4" t="s">
        <v>1680</v>
      </c>
      <c r="C791" s="4" t="s">
        <v>50</v>
      </c>
      <c r="D791" s="25" t="s">
        <v>97</v>
      </c>
      <c r="E791" s="4">
        <v>31</v>
      </c>
      <c r="F791" s="25">
        <v>31</v>
      </c>
      <c r="G791" s="4" t="s">
        <v>201</v>
      </c>
      <c r="H791" s="25" t="s">
        <v>201</v>
      </c>
      <c r="I791" s="4" t="s">
        <v>93</v>
      </c>
      <c r="J791" s="25" t="s">
        <v>93</v>
      </c>
      <c r="K791" s="4">
        <v>6</v>
      </c>
      <c r="L791" s="25">
        <v>6</v>
      </c>
      <c r="M791" s="4" t="s">
        <v>51</v>
      </c>
      <c r="N791" s="25" t="s">
        <v>2119</v>
      </c>
      <c r="O791" s="4">
        <v>3.5</v>
      </c>
      <c r="P791" s="25">
        <v>3.5</v>
      </c>
      <c r="Q791" s="4" t="s">
        <v>181</v>
      </c>
      <c r="R791" s="25" t="s">
        <v>181</v>
      </c>
      <c r="S791" s="4">
        <v>0.86</v>
      </c>
      <c r="T791" s="26">
        <v>0.86</v>
      </c>
    </row>
    <row r="792" spans="1:20" x14ac:dyDescent="0.3">
      <c r="A792" s="27" t="s">
        <v>1681</v>
      </c>
      <c r="B792" s="4" t="s">
        <v>1682</v>
      </c>
      <c r="C792" s="4" t="s">
        <v>113</v>
      </c>
      <c r="D792" s="25" t="s">
        <v>118</v>
      </c>
      <c r="E792" s="4">
        <v>24</v>
      </c>
      <c r="F792" s="25">
        <v>24</v>
      </c>
      <c r="G792" s="4" t="s">
        <v>73</v>
      </c>
      <c r="H792" s="25" t="s">
        <v>73</v>
      </c>
      <c r="I792" s="4" t="s">
        <v>98</v>
      </c>
      <c r="J792" s="25" t="s">
        <v>98</v>
      </c>
      <c r="K792" s="4">
        <v>4</v>
      </c>
      <c r="L792" s="25">
        <v>4</v>
      </c>
      <c r="M792" s="4" t="s">
        <v>40</v>
      </c>
      <c r="N792" s="25" t="s">
        <v>40</v>
      </c>
      <c r="O792" s="4">
        <v>3.1</v>
      </c>
      <c r="P792" s="25">
        <v>3.1</v>
      </c>
      <c r="Q792" s="4" t="s">
        <v>59</v>
      </c>
      <c r="R792" s="25" t="s">
        <v>59</v>
      </c>
      <c r="S792" s="4">
        <v>0.95</v>
      </c>
      <c r="T792" s="26">
        <v>0.95</v>
      </c>
    </row>
    <row r="793" spans="1:20" x14ac:dyDescent="0.3">
      <c r="A793" s="27" t="s">
        <v>1683</v>
      </c>
      <c r="B793" s="4" t="s">
        <v>1684</v>
      </c>
      <c r="C793" s="4" t="s">
        <v>28</v>
      </c>
      <c r="D793" s="25" t="s">
        <v>97</v>
      </c>
      <c r="E793" s="4">
        <v>35</v>
      </c>
      <c r="F793" s="25">
        <v>35</v>
      </c>
      <c r="G793" s="4" t="s">
        <v>128</v>
      </c>
      <c r="H793" s="25" t="s">
        <v>128</v>
      </c>
      <c r="I793" s="4" t="s">
        <v>98</v>
      </c>
      <c r="J793" s="25" t="s">
        <v>98</v>
      </c>
      <c r="K793" s="4">
        <v>7</v>
      </c>
      <c r="L793" s="25">
        <v>7</v>
      </c>
      <c r="M793" s="4" t="s">
        <v>51</v>
      </c>
      <c r="N793" s="25" t="s">
        <v>2119</v>
      </c>
      <c r="O793" s="4">
        <v>3.9</v>
      </c>
      <c r="P793" s="25">
        <v>3.9</v>
      </c>
      <c r="Q793" s="4" t="s">
        <v>23</v>
      </c>
      <c r="R793" s="25" t="s">
        <v>23</v>
      </c>
      <c r="S793" s="4">
        <v>0.72</v>
      </c>
      <c r="T793" s="26">
        <v>0.72</v>
      </c>
    </row>
    <row r="794" spans="1:20" x14ac:dyDescent="0.3">
      <c r="A794" s="27" t="s">
        <v>1685</v>
      </c>
      <c r="B794" s="4" t="s">
        <v>1686</v>
      </c>
      <c r="C794" s="4" t="s">
        <v>28</v>
      </c>
      <c r="D794" s="25" t="s">
        <v>97</v>
      </c>
      <c r="E794" s="4">
        <v>20</v>
      </c>
      <c r="F794" s="25">
        <v>20</v>
      </c>
      <c r="G794" s="4" t="s">
        <v>212</v>
      </c>
      <c r="H794" s="25" t="s">
        <v>212</v>
      </c>
      <c r="I794" s="4" t="s">
        <v>57</v>
      </c>
      <c r="J794" s="25" t="s">
        <v>57</v>
      </c>
      <c r="K794" s="4">
        <v>1</v>
      </c>
      <c r="L794" s="25">
        <v>1</v>
      </c>
      <c r="M794" s="4" t="s">
        <v>51</v>
      </c>
      <c r="N794" s="25" t="s">
        <v>2119</v>
      </c>
      <c r="O794" s="4">
        <v>3.5</v>
      </c>
      <c r="P794" s="25">
        <v>3.5</v>
      </c>
      <c r="Q794" s="4" t="s">
        <v>23</v>
      </c>
      <c r="R794" s="25" t="s">
        <v>23</v>
      </c>
      <c r="S794" s="4">
        <v>0.71</v>
      </c>
      <c r="T794" s="26">
        <v>0.71</v>
      </c>
    </row>
    <row r="795" spans="1:20" x14ac:dyDescent="0.3">
      <c r="A795" s="27" t="s">
        <v>1687</v>
      </c>
      <c r="B795" s="4" t="s">
        <v>1688</v>
      </c>
      <c r="C795" s="4" t="s">
        <v>118</v>
      </c>
      <c r="D795" s="25" t="s">
        <v>118</v>
      </c>
      <c r="E795" s="4">
        <v>26</v>
      </c>
      <c r="F795" s="25">
        <v>26</v>
      </c>
      <c r="G795" s="4" t="s">
        <v>29</v>
      </c>
      <c r="H795" s="25" t="s">
        <v>29</v>
      </c>
      <c r="I795" s="4" t="s">
        <v>66</v>
      </c>
      <c r="J795" s="25" t="s">
        <v>66</v>
      </c>
      <c r="K795" s="4">
        <v>5</v>
      </c>
      <c r="L795" s="25">
        <v>5</v>
      </c>
      <c r="M795" s="4" t="s">
        <v>251</v>
      </c>
      <c r="N795" s="25" t="s">
        <v>251</v>
      </c>
      <c r="O795" s="4">
        <v>2.5</v>
      </c>
      <c r="P795" s="25">
        <v>2.5</v>
      </c>
      <c r="Q795" s="4" t="s">
        <v>74</v>
      </c>
      <c r="R795" s="25" t="s">
        <v>74</v>
      </c>
      <c r="S795" s="4">
        <v>0.93</v>
      </c>
      <c r="T795" s="26">
        <v>0.93</v>
      </c>
    </row>
    <row r="796" spans="1:20" x14ac:dyDescent="0.3">
      <c r="A796" s="27" t="s">
        <v>1689</v>
      </c>
      <c r="B796" s="4" t="s">
        <v>1690</v>
      </c>
      <c r="C796" s="4" t="s">
        <v>113</v>
      </c>
      <c r="D796" s="25" t="s">
        <v>118</v>
      </c>
      <c r="E796" s="4">
        <v>54</v>
      </c>
      <c r="F796" s="25">
        <v>54</v>
      </c>
      <c r="G796" s="4" t="s">
        <v>85</v>
      </c>
      <c r="H796" s="25" t="s">
        <v>85</v>
      </c>
      <c r="I796" s="4" t="s">
        <v>110</v>
      </c>
      <c r="J796" s="25" t="s">
        <v>110</v>
      </c>
      <c r="K796" s="4">
        <v>29</v>
      </c>
      <c r="L796" s="25">
        <v>29</v>
      </c>
      <c r="M796" s="4" t="s">
        <v>70</v>
      </c>
      <c r="N796" s="25" t="s">
        <v>70</v>
      </c>
      <c r="O796" s="4">
        <v>3.1</v>
      </c>
      <c r="P796" s="25">
        <v>3.1</v>
      </c>
      <c r="Q796" s="4" t="s">
        <v>33</v>
      </c>
      <c r="R796" s="25" t="s">
        <v>33</v>
      </c>
      <c r="T796" s="26" t="s">
        <v>2120</v>
      </c>
    </row>
    <row r="797" spans="1:20" x14ac:dyDescent="0.3">
      <c r="A797" s="27" t="s">
        <v>1691</v>
      </c>
      <c r="B797" s="4" t="s">
        <v>1692</v>
      </c>
      <c r="C797" s="4" t="s">
        <v>63</v>
      </c>
      <c r="D797" s="25" t="s">
        <v>118</v>
      </c>
      <c r="E797" s="4">
        <v>53</v>
      </c>
      <c r="F797" s="25">
        <v>53</v>
      </c>
      <c r="G797" s="4" t="s">
        <v>145</v>
      </c>
      <c r="H797" s="25" t="s">
        <v>145</v>
      </c>
      <c r="I797" s="4" t="s">
        <v>98</v>
      </c>
      <c r="J797" s="25" t="s">
        <v>98</v>
      </c>
      <c r="K797" s="4">
        <v>12</v>
      </c>
      <c r="L797" s="25">
        <v>12</v>
      </c>
      <c r="M797" s="4" t="s">
        <v>22</v>
      </c>
      <c r="N797" s="25" t="s">
        <v>22</v>
      </c>
      <c r="O797" s="4">
        <v>4.7</v>
      </c>
      <c r="P797" s="25">
        <v>4.7</v>
      </c>
      <c r="Q797" s="4" t="s">
        <v>33</v>
      </c>
      <c r="R797" s="25" t="s">
        <v>33</v>
      </c>
      <c r="S797" s="4">
        <v>0.87</v>
      </c>
      <c r="T797" s="26">
        <v>0.87</v>
      </c>
    </row>
    <row r="798" spans="1:20" x14ac:dyDescent="0.3">
      <c r="A798" s="27" t="s">
        <v>1693</v>
      </c>
      <c r="B798" s="4" t="s">
        <v>1694</v>
      </c>
      <c r="C798" s="4" t="s">
        <v>97</v>
      </c>
      <c r="D798" s="25" t="s">
        <v>97</v>
      </c>
      <c r="E798" s="4">
        <v>33</v>
      </c>
      <c r="F798" s="25">
        <v>33</v>
      </c>
      <c r="G798" s="4" t="s">
        <v>149</v>
      </c>
      <c r="H798" s="25" t="s">
        <v>149</v>
      </c>
      <c r="I798" s="4" t="s">
        <v>110</v>
      </c>
      <c r="J798" s="25" t="s">
        <v>110</v>
      </c>
      <c r="K798" s="4">
        <v>4</v>
      </c>
      <c r="L798" s="25">
        <v>4</v>
      </c>
      <c r="M798" s="4" t="s">
        <v>51</v>
      </c>
      <c r="N798" s="25" t="s">
        <v>2119</v>
      </c>
      <c r="O798" s="4">
        <v>1.9</v>
      </c>
      <c r="P798" s="25">
        <v>1.9</v>
      </c>
      <c r="Q798" s="4" t="s">
        <v>59</v>
      </c>
      <c r="R798" s="25" t="s">
        <v>59</v>
      </c>
      <c r="S798" s="4">
        <v>73</v>
      </c>
      <c r="T798" s="26">
        <v>73</v>
      </c>
    </row>
    <row r="799" spans="1:20" x14ac:dyDescent="0.3">
      <c r="A799" s="27" t="s">
        <v>1695</v>
      </c>
      <c r="B799" s="4" t="s">
        <v>1696</v>
      </c>
      <c r="C799" s="4" t="s">
        <v>63</v>
      </c>
      <c r="D799" s="25" t="s">
        <v>118</v>
      </c>
      <c r="E799" s="4">
        <v>43</v>
      </c>
      <c r="F799" s="25">
        <v>43</v>
      </c>
      <c r="G799" s="4" t="s">
        <v>55</v>
      </c>
      <c r="H799" s="25" t="s">
        <v>55</v>
      </c>
      <c r="I799" s="4" t="s">
        <v>46</v>
      </c>
      <c r="J799" s="25" t="s">
        <v>46</v>
      </c>
      <c r="K799" s="4">
        <v>12</v>
      </c>
      <c r="L799" s="25">
        <v>12</v>
      </c>
      <c r="M799" s="4" t="s">
        <v>51</v>
      </c>
      <c r="N799" s="25" t="s">
        <v>2119</v>
      </c>
      <c r="O799" s="4">
        <v>1.6</v>
      </c>
      <c r="P799" s="25">
        <v>1.6</v>
      </c>
      <c r="Q799" s="4" t="s">
        <v>33</v>
      </c>
      <c r="R799" s="25" t="s">
        <v>33</v>
      </c>
      <c r="S799" s="4">
        <v>0.74</v>
      </c>
      <c r="T799" s="26">
        <v>0.74</v>
      </c>
    </row>
    <row r="800" spans="1:20" x14ac:dyDescent="0.3">
      <c r="A800" s="27" t="s">
        <v>1697</v>
      </c>
      <c r="B800" s="4" t="s">
        <v>1698</v>
      </c>
      <c r="C800" s="4" t="s">
        <v>113</v>
      </c>
      <c r="D800" s="25" t="s">
        <v>118</v>
      </c>
      <c r="E800" s="4">
        <v>37</v>
      </c>
      <c r="F800" s="25">
        <v>37</v>
      </c>
      <c r="G800" s="4" t="s">
        <v>149</v>
      </c>
      <c r="H800" s="25" t="s">
        <v>149</v>
      </c>
      <c r="I800" s="4" t="s">
        <v>110</v>
      </c>
      <c r="J800" s="25" t="s">
        <v>110</v>
      </c>
      <c r="K800" s="4">
        <v>3</v>
      </c>
      <c r="L800" s="25">
        <v>3</v>
      </c>
      <c r="M800" s="4" t="s">
        <v>162</v>
      </c>
      <c r="N800" s="25" t="s">
        <v>162</v>
      </c>
      <c r="O800" s="4">
        <v>2.5</v>
      </c>
      <c r="P800" s="25">
        <v>2.5</v>
      </c>
      <c r="Q800" s="4" t="s">
        <v>41</v>
      </c>
      <c r="R800" s="25" t="s">
        <v>41</v>
      </c>
      <c r="S800" s="4">
        <v>0.62</v>
      </c>
      <c r="T800" s="26">
        <v>0.62</v>
      </c>
    </row>
    <row r="801" spans="1:20" x14ac:dyDescent="0.3">
      <c r="A801" s="27" t="s">
        <v>1699</v>
      </c>
      <c r="B801" s="4" t="s">
        <v>1700</v>
      </c>
      <c r="C801" s="4" t="s">
        <v>50</v>
      </c>
      <c r="D801" s="25" t="s">
        <v>97</v>
      </c>
      <c r="E801" s="4">
        <v>58</v>
      </c>
      <c r="F801" s="25">
        <v>58</v>
      </c>
      <c r="G801" s="4" t="s">
        <v>156</v>
      </c>
      <c r="H801" s="25" t="s">
        <v>156</v>
      </c>
      <c r="I801" s="4" t="s">
        <v>66</v>
      </c>
      <c r="J801" s="25" t="s">
        <v>66</v>
      </c>
      <c r="K801" s="4">
        <v>15</v>
      </c>
      <c r="L801" s="25">
        <v>15</v>
      </c>
      <c r="M801" s="4" t="s">
        <v>162</v>
      </c>
      <c r="N801" s="25" t="s">
        <v>162</v>
      </c>
      <c r="O801" s="4">
        <v>3.5</v>
      </c>
      <c r="P801" s="25">
        <v>3.5</v>
      </c>
      <c r="Q801" s="4" t="s">
        <v>51</v>
      </c>
      <c r="R801" s="25" t="s">
        <v>2120</v>
      </c>
      <c r="S801" s="4">
        <v>0.98</v>
      </c>
      <c r="T801" s="26">
        <v>0.98</v>
      </c>
    </row>
    <row r="802" spans="1:20" x14ac:dyDescent="0.3">
      <c r="A802" s="27" t="s">
        <v>1701</v>
      </c>
      <c r="B802" s="4" t="s">
        <v>1702</v>
      </c>
      <c r="C802" s="4" t="s">
        <v>28</v>
      </c>
      <c r="D802" s="25" t="s">
        <v>97</v>
      </c>
      <c r="E802" s="4">
        <v>39</v>
      </c>
      <c r="F802" s="25">
        <v>39</v>
      </c>
      <c r="G802" s="4" t="s">
        <v>212</v>
      </c>
      <c r="H802" s="25" t="s">
        <v>212</v>
      </c>
      <c r="I802" s="4" t="s">
        <v>31</v>
      </c>
      <c r="J802" s="25" t="s">
        <v>31</v>
      </c>
      <c r="K802" s="4">
        <v>15</v>
      </c>
      <c r="L802" s="25">
        <v>15</v>
      </c>
      <c r="M802" s="4" t="s">
        <v>40</v>
      </c>
      <c r="N802" s="25" t="s">
        <v>40</v>
      </c>
      <c r="P802" s="25" t="s">
        <v>2120</v>
      </c>
      <c r="Q802" s="4" t="s">
        <v>23</v>
      </c>
      <c r="R802" s="25" t="s">
        <v>23</v>
      </c>
      <c r="S802" s="4">
        <v>0.8</v>
      </c>
      <c r="T802" s="26">
        <v>0.8</v>
      </c>
    </row>
    <row r="803" spans="1:20" x14ac:dyDescent="0.3">
      <c r="A803" s="27" t="s">
        <v>1703</v>
      </c>
      <c r="B803" s="4" t="s">
        <v>1704</v>
      </c>
      <c r="C803" s="4" t="s">
        <v>37</v>
      </c>
      <c r="D803" s="25" t="s">
        <v>118</v>
      </c>
      <c r="E803" s="4">
        <v>43</v>
      </c>
      <c r="F803" s="25">
        <v>43</v>
      </c>
      <c r="G803" s="4" t="s">
        <v>79</v>
      </c>
      <c r="H803" s="25" t="s">
        <v>79</v>
      </c>
      <c r="I803" s="4" t="s">
        <v>39</v>
      </c>
      <c r="J803" s="25" t="s">
        <v>39</v>
      </c>
      <c r="K803" s="4">
        <v>13</v>
      </c>
      <c r="L803" s="25">
        <v>13</v>
      </c>
      <c r="M803" s="4" t="s">
        <v>336</v>
      </c>
      <c r="N803" s="25" t="s">
        <v>336</v>
      </c>
      <c r="O803" s="4">
        <v>1.2</v>
      </c>
      <c r="P803" s="25">
        <v>1.2</v>
      </c>
      <c r="Q803" s="4" t="s">
        <v>94</v>
      </c>
      <c r="R803" s="25" t="s">
        <v>94</v>
      </c>
      <c r="S803" s="4">
        <v>69</v>
      </c>
      <c r="T803" s="26">
        <v>69</v>
      </c>
    </row>
    <row r="804" spans="1:20" x14ac:dyDescent="0.3">
      <c r="A804" s="27" t="s">
        <v>1705</v>
      </c>
      <c r="B804" s="4" t="s">
        <v>1706</v>
      </c>
      <c r="C804" s="4" t="s">
        <v>97</v>
      </c>
      <c r="D804" s="25" t="s">
        <v>97</v>
      </c>
      <c r="E804" s="4">
        <v>40</v>
      </c>
      <c r="F804" s="25">
        <v>40</v>
      </c>
      <c r="G804" s="4" t="s">
        <v>212</v>
      </c>
      <c r="H804" s="25" t="s">
        <v>212</v>
      </c>
      <c r="I804" s="4" t="s">
        <v>21</v>
      </c>
      <c r="J804" s="25" t="s">
        <v>21</v>
      </c>
      <c r="K804" s="4">
        <v>20</v>
      </c>
      <c r="L804" s="25">
        <v>20</v>
      </c>
      <c r="M804" s="4" t="s">
        <v>130</v>
      </c>
      <c r="N804" s="25" t="s">
        <v>130</v>
      </c>
      <c r="P804" s="25" t="s">
        <v>2120</v>
      </c>
      <c r="Q804" s="4" t="s">
        <v>59</v>
      </c>
      <c r="R804" s="25" t="s">
        <v>59</v>
      </c>
      <c r="S804" s="4">
        <v>90</v>
      </c>
      <c r="T804" s="26">
        <v>90</v>
      </c>
    </row>
    <row r="805" spans="1:20" x14ac:dyDescent="0.3">
      <c r="A805" s="27" t="s">
        <v>1707</v>
      </c>
      <c r="B805" s="4" t="s">
        <v>1708</v>
      </c>
      <c r="C805" s="4" t="s">
        <v>18</v>
      </c>
      <c r="D805" s="25" t="s">
        <v>97</v>
      </c>
      <c r="E805" s="4">
        <v>51</v>
      </c>
      <c r="F805" s="25">
        <v>51</v>
      </c>
      <c r="G805" s="4" t="s">
        <v>85</v>
      </c>
      <c r="H805" s="25" t="s">
        <v>85</v>
      </c>
      <c r="I805" s="4" t="s">
        <v>135</v>
      </c>
      <c r="J805" s="25" t="s">
        <v>135</v>
      </c>
      <c r="K805" s="4">
        <v>30</v>
      </c>
      <c r="L805" s="25">
        <v>30</v>
      </c>
      <c r="M805" s="4" t="s">
        <v>103</v>
      </c>
      <c r="N805" s="25" t="s">
        <v>103</v>
      </c>
      <c r="P805" s="25" t="s">
        <v>2120</v>
      </c>
      <c r="Q805" s="4" t="s">
        <v>74</v>
      </c>
      <c r="R805" s="25" t="s">
        <v>74</v>
      </c>
      <c r="S805" s="4">
        <v>0.74</v>
      </c>
      <c r="T805" s="26">
        <v>0.74</v>
      </c>
    </row>
    <row r="806" spans="1:20" x14ac:dyDescent="0.3">
      <c r="A806" s="27" t="s">
        <v>1709</v>
      </c>
      <c r="B806" s="4" t="s">
        <v>1710</v>
      </c>
      <c r="C806" s="4" t="s">
        <v>37</v>
      </c>
      <c r="D806" s="25" t="s">
        <v>118</v>
      </c>
      <c r="E806" s="4">
        <v>23</v>
      </c>
      <c r="F806" s="25">
        <v>23</v>
      </c>
      <c r="G806" s="4" t="s">
        <v>38</v>
      </c>
      <c r="H806" s="25" t="s">
        <v>38</v>
      </c>
      <c r="I806" s="4" t="s">
        <v>57</v>
      </c>
      <c r="J806" s="25" t="s">
        <v>57</v>
      </c>
      <c r="K806" s="4">
        <v>4</v>
      </c>
      <c r="L806" s="25">
        <v>4</v>
      </c>
      <c r="M806" s="4" t="s">
        <v>40</v>
      </c>
      <c r="N806" s="25" t="s">
        <v>40</v>
      </c>
      <c r="O806" s="4">
        <v>4.5</v>
      </c>
      <c r="P806" s="25">
        <v>4.5</v>
      </c>
      <c r="Q806" s="4" t="s">
        <v>41</v>
      </c>
      <c r="R806" s="25" t="s">
        <v>41</v>
      </c>
      <c r="S806" s="4">
        <v>0.98</v>
      </c>
      <c r="T806" s="26">
        <v>0.98</v>
      </c>
    </row>
    <row r="807" spans="1:20" x14ac:dyDescent="0.3">
      <c r="A807" s="27" t="s">
        <v>1711</v>
      </c>
      <c r="B807" s="4" t="s">
        <v>1712</v>
      </c>
      <c r="C807" s="4" t="s">
        <v>18</v>
      </c>
      <c r="D807" s="25" t="s">
        <v>97</v>
      </c>
      <c r="E807" s="4">
        <v>31</v>
      </c>
      <c r="F807" s="25">
        <v>31</v>
      </c>
      <c r="G807" s="4" t="s">
        <v>64</v>
      </c>
      <c r="H807" s="25" t="s">
        <v>64</v>
      </c>
      <c r="I807" s="4" t="s">
        <v>39</v>
      </c>
      <c r="J807" s="25" t="s">
        <v>39</v>
      </c>
      <c r="L807" s="25" t="s">
        <v>2120</v>
      </c>
      <c r="M807" s="4" t="s">
        <v>336</v>
      </c>
      <c r="N807" s="25" t="s">
        <v>336</v>
      </c>
      <c r="P807" s="25" t="s">
        <v>2120</v>
      </c>
      <c r="Q807" s="4" t="s">
        <v>94</v>
      </c>
      <c r="R807" s="25" t="s">
        <v>94</v>
      </c>
      <c r="S807" s="4">
        <v>0.84</v>
      </c>
      <c r="T807" s="26">
        <v>0.84</v>
      </c>
    </row>
    <row r="808" spans="1:20" x14ac:dyDescent="0.3">
      <c r="A808" s="27" t="s">
        <v>1713</v>
      </c>
      <c r="B808" s="4" t="s">
        <v>1714</v>
      </c>
      <c r="C808" s="4" t="s">
        <v>28</v>
      </c>
      <c r="D808" s="25" t="s">
        <v>97</v>
      </c>
      <c r="E808" s="4">
        <v>44</v>
      </c>
      <c r="F808" s="25">
        <v>44</v>
      </c>
      <c r="G808" s="4" t="s">
        <v>145</v>
      </c>
      <c r="H808" s="25" t="s">
        <v>145</v>
      </c>
      <c r="I808" s="4" t="s">
        <v>46</v>
      </c>
      <c r="J808" s="25" t="s">
        <v>46</v>
      </c>
      <c r="K808" s="4">
        <v>3</v>
      </c>
      <c r="L808" s="25">
        <v>3</v>
      </c>
      <c r="M808" s="4" t="s">
        <v>142</v>
      </c>
      <c r="N808" s="25" t="s">
        <v>142</v>
      </c>
      <c r="O808" s="4">
        <v>5</v>
      </c>
      <c r="P808" s="25">
        <v>5</v>
      </c>
      <c r="Q808" s="4" t="s">
        <v>87</v>
      </c>
      <c r="R808" s="25" t="s">
        <v>87</v>
      </c>
      <c r="S808" s="4">
        <v>0.75</v>
      </c>
      <c r="T808" s="26">
        <v>0.75</v>
      </c>
    </row>
    <row r="809" spans="1:20" x14ac:dyDescent="0.3">
      <c r="A809" s="27" t="s">
        <v>1715</v>
      </c>
      <c r="B809" s="4" t="s">
        <v>1716</v>
      </c>
      <c r="C809" s="4" t="s">
        <v>118</v>
      </c>
      <c r="D809" s="25" t="s">
        <v>118</v>
      </c>
      <c r="E809" s="4">
        <v>56</v>
      </c>
      <c r="F809" s="25">
        <v>56</v>
      </c>
      <c r="G809" s="4" t="s">
        <v>38</v>
      </c>
      <c r="H809" s="25" t="s">
        <v>38</v>
      </c>
      <c r="I809" s="4" t="s">
        <v>31</v>
      </c>
      <c r="J809" s="25" t="s">
        <v>31</v>
      </c>
      <c r="K809" s="4">
        <v>23</v>
      </c>
      <c r="L809" s="25">
        <v>23</v>
      </c>
      <c r="M809" s="4" t="s">
        <v>103</v>
      </c>
      <c r="N809" s="25" t="s">
        <v>103</v>
      </c>
      <c r="O809" s="4">
        <v>3.9</v>
      </c>
      <c r="P809" s="25">
        <v>3.9</v>
      </c>
      <c r="Q809" s="4" t="s">
        <v>33</v>
      </c>
      <c r="R809" s="25" t="s">
        <v>33</v>
      </c>
      <c r="T809" s="26" t="s">
        <v>2120</v>
      </c>
    </row>
    <row r="810" spans="1:20" x14ac:dyDescent="0.3">
      <c r="A810" s="27" t="s">
        <v>1717</v>
      </c>
      <c r="B810" s="4" t="s">
        <v>1718</v>
      </c>
      <c r="C810" s="4" t="s">
        <v>28</v>
      </c>
      <c r="D810" s="25" t="s">
        <v>97</v>
      </c>
      <c r="E810" s="4">
        <v>48</v>
      </c>
      <c r="F810" s="25">
        <v>48</v>
      </c>
      <c r="G810" s="4" t="s">
        <v>29</v>
      </c>
      <c r="H810" s="25" t="s">
        <v>29</v>
      </c>
      <c r="I810" s="4" t="s">
        <v>98</v>
      </c>
      <c r="J810" s="25" t="s">
        <v>98</v>
      </c>
      <c r="K810" s="4">
        <v>5</v>
      </c>
      <c r="L810" s="25">
        <v>5</v>
      </c>
      <c r="M810" s="4" t="s">
        <v>251</v>
      </c>
      <c r="N810" s="25" t="s">
        <v>251</v>
      </c>
      <c r="O810" s="4">
        <v>1.8</v>
      </c>
      <c r="P810" s="25">
        <v>1.8</v>
      </c>
      <c r="Q810" s="4" t="s">
        <v>74</v>
      </c>
      <c r="R810" s="25" t="s">
        <v>74</v>
      </c>
      <c r="S810" s="4">
        <v>0.97</v>
      </c>
      <c r="T810" s="26">
        <v>0.97</v>
      </c>
    </row>
    <row r="811" spans="1:20" x14ac:dyDescent="0.3">
      <c r="A811" s="27" t="s">
        <v>1719</v>
      </c>
      <c r="B811" s="4" t="s">
        <v>1720</v>
      </c>
      <c r="C811" s="4" t="s">
        <v>18</v>
      </c>
      <c r="D811" s="25" t="s">
        <v>97</v>
      </c>
      <c r="E811" s="4">
        <v>46</v>
      </c>
      <c r="F811" s="25">
        <v>46</v>
      </c>
      <c r="G811" s="4" t="s">
        <v>145</v>
      </c>
      <c r="H811" s="25" t="s">
        <v>145</v>
      </c>
      <c r="I811" s="4" t="s">
        <v>46</v>
      </c>
      <c r="J811" s="25" t="s">
        <v>46</v>
      </c>
      <c r="K811" s="4">
        <v>28</v>
      </c>
      <c r="L811" s="25">
        <v>28</v>
      </c>
      <c r="M811" s="4" t="s">
        <v>52</v>
      </c>
      <c r="N811" s="25" t="s">
        <v>52</v>
      </c>
      <c r="O811" s="4">
        <v>4.2</v>
      </c>
      <c r="P811" s="25">
        <v>4.2</v>
      </c>
      <c r="Q811" s="4" t="s">
        <v>74</v>
      </c>
      <c r="R811" s="25" t="s">
        <v>74</v>
      </c>
      <c r="T811" s="26" t="s">
        <v>2120</v>
      </c>
    </row>
    <row r="812" spans="1:20" x14ac:dyDescent="0.3">
      <c r="A812" s="27" t="s">
        <v>1721</v>
      </c>
      <c r="B812" s="4" t="s">
        <v>1722</v>
      </c>
      <c r="C812" s="4" t="s">
        <v>113</v>
      </c>
      <c r="D812" s="25" t="s">
        <v>118</v>
      </c>
      <c r="E812" s="4">
        <v>21</v>
      </c>
      <c r="F812" s="25">
        <v>21</v>
      </c>
      <c r="G812" s="4" t="s">
        <v>160</v>
      </c>
      <c r="H812" s="25" t="s">
        <v>160</v>
      </c>
      <c r="I812" s="4" t="s">
        <v>57</v>
      </c>
      <c r="J812" s="25" t="s">
        <v>57</v>
      </c>
      <c r="K812" s="4">
        <v>0</v>
      </c>
      <c r="L812" s="25">
        <v>0</v>
      </c>
      <c r="M812" s="4" t="s">
        <v>162</v>
      </c>
      <c r="N812" s="25" t="s">
        <v>162</v>
      </c>
      <c r="O812" s="4">
        <v>2.6</v>
      </c>
      <c r="P812" s="25">
        <v>2.6</v>
      </c>
      <c r="Q812" s="4" t="s">
        <v>181</v>
      </c>
      <c r="R812" s="25" t="s">
        <v>181</v>
      </c>
      <c r="S812" s="4">
        <v>0.64</v>
      </c>
      <c r="T812" s="26">
        <v>0.64</v>
      </c>
    </row>
    <row r="813" spans="1:20" x14ac:dyDescent="0.3">
      <c r="A813" s="27" t="s">
        <v>1723</v>
      </c>
      <c r="B813" s="4" t="s">
        <v>1724</v>
      </c>
      <c r="C813" s="4" t="s">
        <v>63</v>
      </c>
      <c r="D813" s="25" t="s">
        <v>118</v>
      </c>
      <c r="E813" s="4">
        <v>52</v>
      </c>
      <c r="F813" s="25">
        <v>52</v>
      </c>
      <c r="G813" s="4" t="s">
        <v>145</v>
      </c>
      <c r="H813" s="25" t="s">
        <v>145</v>
      </c>
      <c r="I813" s="4" t="s">
        <v>66</v>
      </c>
      <c r="J813" s="25" t="s">
        <v>66</v>
      </c>
      <c r="K813" s="4">
        <v>30</v>
      </c>
      <c r="L813" s="25">
        <v>30</v>
      </c>
      <c r="M813" s="4" t="s">
        <v>52</v>
      </c>
      <c r="N813" s="25" t="s">
        <v>52</v>
      </c>
      <c r="O813" s="4">
        <v>2</v>
      </c>
      <c r="P813" s="25">
        <v>2</v>
      </c>
      <c r="Q813" s="4" t="s">
        <v>33</v>
      </c>
      <c r="R813" s="25" t="s">
        <v>33</v>
      </c>
      <c r="S813" s="4">
        <v>0.68</v>
      </c>
      <c r="T813" s="26">
        <v>0.68</v>
      </c>
    </row>
    <row r="814" spans="1:20" x14ac:dyDescent="0.3">
      <c r="A814" s="27" t="s">
        <v>1725</v>
      </c>
      <c r="B814" s="4" t="s">
        <v>1726</v>
      </c>
      <c r="C814" s="4" t="s">
        <v>18</v>
      </c>
      <c r="D814" s="25" t="s">
        <v>97</v>
      </c>
      <c r="E814" s="4">
        <v>39</v>
      </c>
      <c r="F814" s="25">
        <v>39</v>
      </c>
      <c r="G814" s="4" t="s">
        <v>145</v>
      </c>
      <c r="H814" s="25" t="s">
        <v>145</v>
      </c>
      <c r="I814" s="4" t="s">
        <v>39</v>
      </c>
      <c r="J814" s="25" t="s">
        <v>39</v>
      </c>
      <c r="K814" s="4">
        <v>20</v>
      </c>
      <c r="L814" s="25">
        <v>20</v>
      </c>
      <c r="M814" s="4" t="s">
        <v>192</v>
      </c>
      <c r="N814" s="25" t="s">
        <v>192</v>
      </c>
      <c r="O814" s="4">
        <v>2.7</v>
      </c>
      <c r="P814" s="25">
        <v>2.7</v>
      </c>
      <c r="Q814" s="4" t="s">
        <v>33</v>
      </c>
      <c r="R814" s="25" t="s">
        <v>33</v>
      </c>
      <c r="S814" s="4">
        <v>0.67</v>
      </c>
      <c r="T814" s="26">
        <v>0.67</v>
      </c>
    </row>
    <row r="815" spans="1:20" x14ac:dyDescent="0.3">
      <c r="A815" s="27" t="s">
        <v>1727</v>
      </c>
      <c r="B815" s="4" t="s">
        <v>1728</v>
      </c>
      <c r="C815" s="4" t="s">
        <v>18</v>
      </c>
      <c r="D815" s="25" t="s">
        <v>97</v>
      </c>
      <c r="E815" s="4">
        <v>31</v>
      </c>
      <c r="F815" s="25">
        <v>31</v>
      </c>
      <c r="G815" s="4" t="s">
        <v>29</v>
      </c>
      <c r="H815" s="25" t="s">
        <v>29</v>
      </c>
      <c r="I815" s="4" t="s">
        <v>31</v>
      </c>
      <c r="J815" s="25" t="s">
        <v>31</v>
      </c>
      <c r="K815" s="4">
        <v>0</v>
      </c>
      <c r="L815" s="25">
        <v>0</v>
      </c>
      <c r="M815" s="4" t="s">
        <v>52</v>
      </c>
      <c r="N815" s="25" t="s">
        <v>52</v>
      </c>
      <c r="O815" s="4">
        <v>2.2999999999999998</v>
      </c>
      <c r="P815" s="25">
        <v>2.2999999999999998</v>
      </c>
      <c r="Q815" s="4" t="s">
        <v>181</v>
      </c>
      <c r="R815" s="25" t="s">
        <v>181</v>
      </c>
      <c r="S815" s="4">
        <v>0.79</v>
      </c>
      <c r="T815" s="26">
        <v>0.79</v>
      </c>
    </row>
    <row r="816" spans="1:20" x14ac:dyDescent="0.3">
      <c r="A816" s="27" t="s">
        <v>1729</v>
      </c>
      <c r="B816" s="4" t="s">
        <v>1730</v>
      </c>
      <c r="C816" s="4" t="s">
        <v>63</v>
      </c>
      <c r="D816" s="25" t="s">
        <v>118</v>
      </c>
      <c r="E816" s="4">
        <v>22</v>
      </c>
      <c r="F816" s="25">
        <v>22</v>
      </c>
      <c r="G816" s="4" t="s">
        <v>133</v>
      </c>
      <c r="H816" s="25" t="s">
        <v>133</v>
      </c>
      <c r="I816" s="4" t="s">
        <v>93</v>
      </c>
      <c r="J816" s="25" t="s">
        <v>93</v>
      </c>
      <c r="K816" s="4">
        <v>4</v>
      </c>
      <c r="L816" s="25">
        <v>4</v>
      </c>
      <c r="M816" s="4" t="s">
        <v>47</v>
      </c>
      <c r="N816" s="25" t="s">
        <v>47</v>
      </c>
      <c r="O816" s="4">
        <v>3.8</v>
      </c>
      <c r="P816" s="25">
        <v>3.8</v>
      </c>
      <c r="Q816" s="4" t="s">
        <v>74</v>
      </c>
      <c r="R816" s="25" t="s">
        <v>74</v>
      </c>
      <c r="S816" s="4">
        <v>1</v>
      </c>
      <c r="T816" s="26">
        <v>1</v>
      </c>
    </row>
    <row r="817" spans="1:20" x14ac:dyDescent="0.3">
      <c r="A817" s="27" t="s">
        <v>1731</v>
      </c>
      <c r="B817" s="4" t="s">
        <v>1732</v>
      </c>
      <c r="C817" s="4" t="s">
        <v>18</v>
      </c>
      <c r="D817" s="25" t="s">
        <v>97</v>
      </c>
      <c r="E817" s="4">
        <v>38</v>
      </c>
      <c r="F817" s="25">
        <v>38</v>
      </c>
      <c r="G817" s="4" t="s">
        <v>85</v>
      </c>
      <c r="H817" s="25" t="s">
        <v>85</v>
      </c>
      <c r="I817" s="4" t="s">
        <v>93</v>
      </c>
      <c r="J817" s="25" t="s">
        <v>93</v>
      </c>
      <c r="K817" s="4">
        <v>10</v>
      </c>
      <c r="L817" s="25">
        <v>10</v>
      </c>
      <c r="M817" s="4" t="s">
        <v>86</v>
      </c>
      <c r="N817" s="25" t="s">
        <v>86</v>
      </c>
      <c r="P817" s="25" t="s">
        <v>2120</v>
      </c>
      <c r="Q817" s="4" t="s">
        <v>41</v>
      </c>
      <c r="R817" s="25" t="s">
        <v>41</v>
      </c>
      <c r="S817" s="4">
        <v>0.66</v>
      </c>
      <c r="T817" s="26">
        <v>0.66</v>
      </c>
    </row>
    <row r="818" spans="1:20" x14ac:dyDescent="0.3">
      <c r="A818" s="27" t="s">
        <v>1733</v>
      </c>
      <c r="B818" s="4" t="s">
        <v>1734</v>
      </c>
      <c r="C818" s="4" t="s">
        <v>118</v>
      </c>
      <c r="D818" s="25" t="s">
        <v>118</v>
      </c>
      <c r="E818" s="4">
        <v>44</v>
      </c>
      <c r="F818" s="25">
        <v>44</v>
      </c>
      <c r="G818" s="4" t="s">
        <v>91</v>
      </c>
      <c r="H818" s="25" t="s">
        <v>91</v>
      </c>
      <c r="I818" s="4" t="s">
        <v>39</v>
      </c>
      <c r="J818" s="25" t="s">
        <v>39</v>
      </c>
      <c r="K818" s="4">
        <v>24</v>
      </c>
      <c r="L818" s="25">
        <v>24</v>
      </c>
      <c r="M818" s="4" t="s">
        <v>67</v>
      </c>
      <c r="N818" s="25" t="s">
        <v>67</v>
      </c>
      <c r="O818" s="4">
        <v>4.5999999999999996</v>
      </c>
      <c r="P818" s="25">
        <v>4.5999999999999996</v>
      </c>
      <c r="Q818" s="4" t="s">
        <v>181</v>
      </c>
      <c r="R818" s="25" t="s">
        <v>181</v>
      </c>
      <c r="S818" s="4">
        <v>0.97</v>
      </c>
      <c r="T818" s="26">
        <v>0.97</v>
      </c>
    </row>
    <row r="819" spans="1:20" x14ac:dyDescent="0.3">
      <c r="A819" s="27" t="s">
        <v>1735</v>
      </c>
      <c r="B819" s="4" t="s">
        <v>1736</v>
      </c>
      <c r="C819" s="4" t="s">
        <v>113</v>
      </c>
      <c r="D819" s="25" t="s">
        <v>118</v>
      </c>
      <c r="E819" s="4">
        <v>53</v>
      </c>
      <c r="F819" s="25">
        <v>53</v>
      </c>
      <c r="G819" s="4" t="s">
        <v>64</v>
      </c>
      <c r="H819" s="25" t="s">
        <v>64</v>
      </c>
      <c r="I819" s="4" t="s">
        <v>135</v>
      </c>
      <c r="J819" s="25" t="s">
        <v>135</v>
      </c>
      <c r="K819" s="4">
        <v>21</v>
      </c>
      <c r="L819" s="25">
        <v>21</v>
      </c>
      <c r="M819" s="4" t="s">
        <v>22</v>
      </c>
      <c r="N819" s="25" t="s">
        <v>22</v>
      </c>
      <c r="O819" s="4">
        <v>3.4</v>
      </c>
      <c r="P819" s="25">
        <v>3.4</v>
      </c>
      <c r="Q819" s="4" t="s">
        <v>23</v>
      </c>
      <c r="R819" s="25" t="s">
        <v>23</v>
      </c>
      <c r="S819" s="4">
        <v>0.62</v>
      </c>
      <c r="T819" s="26">
        <v>0.62</v>
      </c>
    </row>
    <row r="820" spans="1:20" x14ac:dyDescent="0.3">
      <c r="A820" s="27" t="s">
        <v>1737</v>
      </c>
      <c r="B820" s="4" t="s">
        <v>1738</v>
      </c>
      <c r="C820" s="4" t="s">
        <v>118</v>
      </c>
      <c r="D820" s="25" t="s">
        <v>118</v>
      </c>
      <c r="E820" s="4">
        <v>22</v>
      </c>
      <c r="F820" s="25">
        <v>22</v>
      </c>
      <c r="G820" s="4" t="s">
        <v>197</v>
      </c>
      <c r="H820" s="25" t="s">
        <v>197</v>
      </c>
      <c r="I820" s="4" t="s">
        <v>66</v>
      </c>
      <c r="J820" s="25" t="s">
        <v>66</v>
      </c>
      <c r="K820" s="4">
        <v>2</v>
      </c>
      <c r="L820" s="25">
        <v>2</v>
      </c>
      <c r="M820" s="4" t="s">
        <v>336</v>
      </c>
      <c r="N820" s="25" t="s">
        <v>336</v>
      </c>
      <c r="P820" s="25" t="s">
        <v>2120</v>
      </c>
      <c r="Q820" s="4" t="s">
        <v>181</v>
      </c>
      <c r="R820" s="25" t="s">
        <v>181</v>
      </c>
      <c r="T820" s="26" t="s">
        <v>2120</v>
      </c>
    </row>
    <row r="821" spans="1:20" x14ac:dyDescent="0.3">
      <c r="A821" s="27" t="s">
        <v>1739</v>
      </c>
      <c r="B821" s="4" t="s">
        <v>1740</v>
      </c>
      <c r="C821" s="4" t="s">
        <v>97</v>
      </c>
      <c r="D821" s="25" t="s">
        <v>97</v>
      </c>
      <c r="E821" s="4">
        <v>40</v>
      </c>
      <c r="F821" s="25">
        <v>40</v>
      </c>
      <c r="G821" s="4" t="s">
        <v>114</v>
      </c>
      <c r="H821" s="25" t="s">
        <v>114</v>
      </c>
      <c r="I821" s="4" t="s">
        <v>21</v>
      </c>
      <c r="J821" s="25" t="s">
        <v>21</v>
      </c>
      <c r="K821" s="4">
        <v>14</v>
      </c>
      <c r="L821" s="25">
        <v>14</v>
      </c>
      <c r="M821" s="4" t="s">
        <v>103</v>
      </c>
      <c r="N821" s="25" t="s">
        <v>103</v>
      </c>
      <c r="O821" s="4">
        <v>0</v>
      </c>
      <c r="P821" s="25">
        <v>0</v>
      </c>
      <c r="Q821" s="4" t="s">
        <v>33</v>
      </c>
      <c r="R821" s="25" t="s">
        <v>33</v>
      </c>
      <c r="S821" s="4">
        <v>0.79</v>
      </c>
      <c r="T821" s="26">
        <v>0.79</v>
      </c>
    </row>
    <row r="822" spans="1:20" x14ac:dyDescent="0.3">
      <c r="A822" s="27" t="s">
        <v>1741</v>
      </c>
      <c r="B822" s="4" t="s">
        <v>1742</v>
      </c>
      <c r="C822" s="4" t="s">
        <v>50</v>
      </c>
      <c r="D822" s="25" t="s">
        <v>97</v>
      </c>
      <c r="E822" s="4">
        <v>49</v>
      </c>
      <c r="F822" s="25">
        <v>49</v>
      </c>
      <c r="G822" s="4" t="s">
        <v>197</v>
      </c>
      <c r="H822" s="25" t="s">
        <v>197</v>
      </c>
      <c r="I822" s="4" t="s">
        <v>31</v>
      </c>
      <c r="J822" s="25" t="s">
        <v>31</v>
      </c>
      <c r="K822" s="4">
        <v>15</v>
      </c>
      <c r="L822" s="25">
        <v>15</v>
      </c>
      <c r="M822" s="4" t="s">
        <v>86</v>
      </c>
      <c r="N822" s="25" t="s">
        <v>86</v>
      </c>
      <c r="O822" s="4">
        <v>3.9</v>
      </c>
      <c r="P822" s="25">
        <v>3.9</v>
      </c>
      <c r="Q822" s="4" t="s">
        <v>59</v>
      </c>
      <c r="R822" s="25" t="s">
        <v>59</v>
      </c>
      <c r="S822" s="4">
        <v>0.86</v>
      </c>
      <c r="T822" s="26">
        <v>0.86</v>
      </c>
    </row>
    <row r="823" spans="1:20" x14ac:dyDescent="0.3">
      <c r="A823" s="27" t="s">
        <v>1743</v>
      </c>
      <c r="B823" s="4" t="s">
        <v>1744</v>
      </c>
      <c r="C823" s="4" t="s">
        <v>78</v>
      </c>
      <c r="D823" s="25" t="s">
        <v>118</v>
      </c>
      <c r="E823" s="4">
        <v>30</v>
      </c>
      <c r="F823" s="25">
        <v>30</v>
      </c>
      <c r="G823" s="4" t="s">
        <v>29</v>
      </c>
      <c r="H823" s="25" t="s">
        <v>29</v>
      </c>
      <c r="I823" s="4" t="s">
        <v>93</v>
      </c>
      <c r="J823" s="25" t="s">
        <v>93</v>
      </c>
      <c r="K823" s="4">
        <v>11</v>
      </c>
      <c r="L823" s="25">
        <v>11</v>
      </c>
      <c r="M823" s="4" t="s">
        <v>58</v>
      </c>
      <c r="N823" s="25" t="s">
        <v>58</v>
      </c>
      <c r="O823" s="4">
        <v>4.2</v>
      </c>
      <c r="P823" s="25">
        <v>4.2</v>
      </c>
      <c r="Q823" s="4" t="s">
        <v>23</v>
      </c>
      <c r="R823" s="25" t="s">
        <v>23</v>
      </c>
      <c r="S823" s="4">
        <v>0.65</v>
      </c>
      <c r="T823" s="26">
        <v>0.65</v>
      </c>
    </row>
    <row r="824" spans="1:20" x14ac:dyDescent="0.3">
      <c r="A824" s="27" t="s">
        <v>1745</v>
      </c>
      <c r="B824" s="4" t="s">
        <v>1746</v>
      </c>
      <c r="C824" s="4" t="s">
        <v>50</v>
      </c>
      <c r="D824" s="25" t="s">
        <v>97</v>
      </c>
      <c r="E824" s="4">
        <v>37</v>
      </c>
      <c r="F824" s="25">
        <v>37</v>
      </c>
      <c r="G824" s="4" t="s">
        <v>106</v>
      </c>
      <c r="H824" s="25" t="s">
        <v>106</v>
      </c>
      <c r="I824" s="4" t="s">
        <v>57</v>
      </c>
      <c r="J824" s="25" t="s">
        <v>57</v>
      </c>
      <c r="K824" s="4">
        <v>6</v>
      </c>
      <c r="L824" s="25">
        <v>6</v>
      </c>
      <c r="M824" s="4" t="s">
        <v>162</v>
      </c>
      <c r="N824" s="25" t="s">
        <v>162</v>
      </c>
      <c r="P824" s="25" t="s">
        <v>2120</v>
      </c>
      <c r="Q824" s="4" t="s">
        <v>51</v>
      </c>
      <c r="R824" s="25" t="s">
        <v>2120</v>
      </c>
      <c r="S824" s="4">
        <v>0.99</v>
      </c>
      <c r="T824" s="26">
        <v>0.99</v>
      </c>
    </row>
    <row r="825" spans="1:20" x14ac:dyDescent="0.3">
      <c r="A825" s="27" t="s">
        <v>1747</v>
      </c>
      <c r="B825" s="4" t="s">
        <v>1748</v>
      </c>
      <c r="C825" s="4" t="s">
        <v>37</v>
      </c>
      <c r="D825" s="25" t="s">
        <v>118</v>
      </c>
      <c r="E825" s="4">
        <v>21</v>
      </c>
      <c r="F825" s="25">
        <v>21</v>
      </c>
      <c r="G825" s="4" t="s">
        <v>160</v>
      </c>
      <c r="H825" s="25" t="s">
        <v>160</v>
      </c>
      <c r="I825" s="4" t="s">
        <v>39</v>
      </c>
      <c r="J825" s="25" t="s">
        <v>39</v>
      </c>
      <c r="K825" s="4">
        <v>2</v>
      </c>
      <c r="L825" s="25">
        <v>2</v>
      </c>
      <c r="M825" s="4" t="s">
        <v>22</v>
      </c>
      <c r="N825" s="25" t="s">
        <v>22</v>
      </c>
      <c r="O825" s="4">
        <v>3.6</v>
      </c>
      <c r="P825" s="25">
        <v>3.6</v>
      </c>
      <c r="Q825" s="4" t="s">
        <v>59</v>
      </c>
      <c r="R825" s="25" t="s">
        <v>59</v>
      </c>
      <c r="S825" s="4">
        <v>85</v>
      </c>
      <c r="T825" s="26">
        <v>85</v>
      </c>
    </row>
    <row r="826" spans="1:20" x14ac:dyDescent="0.3">
      <c r="A826" s="27" t="s">
        <v>1749</v>
      </c>
      <c r="B826" s="4" t="s">
        <v>1750</v>
      </c>
      <c r="C826" s="4" t="s">
        <v>118</v>
      </c>
      <c r="D826" s="25" t="s">
        <v>118</v>
      </c>
      <c r="E826" s="4">
        <v>20</v>
      </c>
      <c r="F826" s="25">
        <v>20</v>
      </c>
      <c r="G826" s="4" t="s">
        <v>133</v>
      </c>
      <c r="H826" s="25" t="s">
        <v>133</v>
      </c>
      <c r="I826" s="4" t="s">
        <v>57</v>
      </c>
      <c r="J826" s="25" t="s">
        <v>57</v>
      </c>
      <c r="K826" s="4">
        <v>1</v>
      </c>
      <c r="L826" s="25">
        <v>1</v>
      </c>
      <c r="M826" s="4" t="s">
        <v>119</v>
      </c>
      <c r="N826" s="25" t="s">
        <v>119</v>
      </c>
      <c r="P826" s="25" t="s">
        <v>2120</v>
      </c>
      <c r="Q826" s="4" t="s">
        <v>87</v>
      </c>
      <c r="R826" s="25" t="s">
        <v>87</v>
      </c>
      <c r="S826" s="4">
        <v>0.81</v>
      </c>
      <c r="T826" s="26">
        <v>0.81</v>
      </c>
    </row>
    <row r="827" spans="1:20" x14ac:dyDescent="0.3">
      <c r="A827" s="27" t="s">
        <v>1751</v>
      </c>
      <c r="B827" s="4" t="s">
        <v>1752</v>
      </c>
      <c r="C827" s="4" t="s">
        <v>37</v>
      </c>
      <c r="D827" s="25" t="s">
        <v>118</v>
      </c>
      <c r="E827" s="4">
        <v>20</v>
      </c>
      <c r="F827" s="25">
        <v>20</v>
      </c>
      <c r="G827" s="4" t="s">
        <v>197</v>
      </c>
      <c r="H827" s="25" t="s">
        <v>197</v>
      </c>
      <c r="I827" s="4" t="s">
        <v>66</v>
      </c>
      <c r="J827" s="25" t="s">
        <v>66</v>
      </c>
      <c r="K827" s="4">
        <v>2</v>
      </c>
      <c r="L827" s="25">
        <v>2</v>
      </c>
      <c r="M827" s="4" t="s">
        <v>47</v>
      </c>
      <c r="N827" s="25" t="s">
        <v>47</v>
      </c>
      <c r="O827" s="4">
        <v>2.1</v>
      </c>
      <c r="P827" s="25">
        <v>2.1</v>
      </c>
      <c r="Q827" s="4" t="s">
        <v>41</v>
      </c>
      <c r="R827" s="25" t="s">
        <v>41</v>
      </c>
      <c r="S827" s="4">
        <v>0.64</v>
      </c>
      <c r="T827" s="26">
        <v>0.64</v>
      </c>
    </row>
    <row r="828" spans="1:20" x14ac:dyDescent="0.3">
      <c r="A828" s="27" t="s">
        <v>1753</v>
      </c>
      <c r="B828" s="4" t="s">
        <v>1754</v>
      </c>
      <c r="C828" s="4" t="s">
        <v>78</v>
      </c>
      <c r="D828" s="25" t="s">
        <v>118</v>
      </c>
      <c r="E828" s="4">
        <v>20</v>
      </c>
      <c r="F828" s="25">
        <v>20</v>
      </c>
      <c r="G828" s="4" t="s">
        <v>91</v>
      </c>
      <c r="H828" s="25" t="s">
        <v>91</v>
      </c>
      <c r="I828" s="4" t="s">
        <v>135</v>
      </c>
      <c r="J828" s="25" t="s">
        <v>135</v>
      </c>
      <c r="K828" s="4">
        <v>2</v>
      </c>
      <c r="L828" s="25">
        <v>2</v>
      </c>
      <c r="M828" s="4" t="s">
        <v>162</v>
      </c>
      <c r="N828" s="25" t="s">
        <v>162</v>
      </c>
      <c r="O828" s="4">
        <v>3.9</v>
      </c>
      <c r="P828" s="25">
        <v>3.9</v>
      </c>
      <c r="Q828" s="4" t="s">
        <v>59</v>
      </c>
      <c r="R828" s="25" t="s">
        <v>59</v>
      </c>
      <c r="S828" s="4">
        <v>0.84</v>
      </c>
      <c r="T828" s="26">
        <v>0.84</v>
      </c>
    </row>
    <row r="829" spans="1:20" x14ac:dyDescent="0.3">
      <c r="A829" s="27" t="s">
        <v>1755</v>
      </c>
      <c r="B829" s="4" t="s">
        <v>1756</v>
      </c>
      <c r="C829" s="4" t="s">
        <v>18</v>
      </c>
      <c r="D829" s="25" t="s">
        <v>97</v>
      </c>
      <c r="E829" s="4">
        <v>26</v>
      </c>
      <c r="F829" s="25">
        <v>26</v>
      </c>
      <c r="G829" s="4" t="s">
        <v>145</v>
      </c>
      <c r="H829" s="25" t="s">
        <v>145</v>
      </c>
      <c r="I829" s="4" t="s">
        <v>135</v>
      </c>
      <c r="J829" s="25" t="s">
        <v>135</v>
      </c>
      <c r="K829" s="4">
        <v>2</v>
      </c>
      <c r="L829" s="25">
        <v>2</v>
      </c>
      <c r="M829" s="4" t="s">
        <v>86</v>
      </c>
      <c r="N829" s="25" t="s">
        <v>86</v>
      </c>
      <c r="O829" s="4">
        <v>0</v>
      </c>
      <c r="P829" s="25">
        <v>0</v>
      </c>
      <c r="Q829" s="4" t="s">
        <v>51</v>
      </c>
      <c r="R829" s="25" t="s">
        <v>2120</v>
      </c>
      <c r="S829" s="4">
        <v>0.66</v>
      </c>
      <c r="T829" s="26">
        <v>0.66</v>
      </c>
    </row>
    <row r="830" spans="1:20" x14ac:dyDescent="0.3">
      <c r="A830" s="27" t="s">
        <v>1757</v>
      </c>
      <c r="B830" s="4" t="s">
        <v>1758</v>
      </c>
      <c r="C830" s="4" t="s">
        <v>50</v>
      </c>
      <c r="D830" s="25" t="s">
        <v>97</v>
      </c>
      <c r="E830" s="4">
        <v>50</v>
      </c>
      <c r="F830" s="25">
        <v>50</v>
      </c>
      <c r="G830" s="4" t="s">
        <v>133</v>
      </c>
      <c r="H830" s="25" t="s">
        <v>133</v>
      </c>
      <c r="I830" s="4" t="s">
        <v>46</v>
      </c>
      <c r="J830" s="25" t="s">
        <v>46</v>
      </c>
      <c r="K830" s="4">
        <v>12</v>
      </c>
      <c r="L830" s="25">
        <v>12</v>
      </c>
      <c r="M830" s="4" t="s">
        <v>192</v>
      </c>
      <c r="N830" s="25" t="s">
        <v>192</v>
      </c>
      <c r="O830" s="4">
        <v>0</v>
      </c>
      <c r="P830" s="25">
        <v>0</v>
      </c>
      <c r="Q830" s="4" t="s">
        <v>59</v>
      </c>
      <c r="R830" s="25" t="s">
        <v>59</v>
      </c>
      <c r="S830" s="4">
        <v>75</v>
      </c>
      <c r="T830" s="26">
        <v>75</v>
      </c>
    </row>
    <row r="831" spans="1:20" x14ac:dyDescent="0.3">
      <c r="A831" s="27" t="s">
        <v>1759</v>
      </c>
      <c r="B831" s="4" t="s">
        <v>1760</v>
      </c>
      <c r="C831" s="4" t="s">
        <v>118</v>
      </c>
      <c r="D831" s="25" t="s">
        <v>118</v>
      </c>
      <c r="E831" s="4">
        <v>50</v>
      </c>
      <c r="F831" s="25">
        <v>50</v>
      </c>
      <c r="G831" s="4" t="s">
        <v>212</v>
      </c>
      <c r="H831" s="25" t="s">
        <v>212</v>
      </c>
      <c r="I831" s="4" t="s">
        <v>57</v>
      </c>
      <c r="J831" s="25" t="s">
        <v>57</v>
      </c>
      <c r="K831" s="4">
        <v>28</v>
      </c>
      <c r="L831" s="25">
        <v>28</v>
      </c>
      <c r="M831" s="4" t="s">
        <v>52</v>
      </c>
      <c r="N831" s="25" t="s">
        <v>52</v>
      </c>
      <c r="O831" s="4">
        <v>1.8</v>
      </c>
      <c r="P831" s="25">
        <v>1.8</v>
      </c>
      <c r="Q831" s="4" t="s">
        <v>51</v>
      </c>
      <c r="R831" s="25" t="s">
        <v>2120</v>
      </c>
      <c r="T831" s="26" t="s">
        <v>2120</v>
      </c>
    </row>
    <row r="832" spans="1:20" x14ac:dyDescent="0.3">
      <c r="A832" s="27" t="s">
        <v>1761</v>
      </c>
      <c r="B832" s="4" t="s">
        <v>1762</v>
      </c>
      <c r="C832" s="4" t="s">
        <v>97</v>
      </c>
      <c r="D832" s="25" t="s">
        <v>97</v>
      </c>
      <c r="E832" s="4">
        <v>54</v>
      </c>
      <c r="F832" s="25">
        <v>54</v>
      </c>
      <c r="G832" s="4" t="s">
        <v>64</v>
      </c>
      <c r="H832" s="25" t="s">
        <v>64</v>
      </c>
      <c r="I832" s="4" t="s">
        <v>57</v>
      </c>
      <c r="J832" s="25" t="s">
        <v>57</v>
      </c>
      <c r="K832" s="4">
        <v>4</v>
      </c>
      <c r="L832" s="25">
        <v>4</v>
      </c>
      <c r="M832" s="4" t="s">
        <v>162</v>
      </c>
      <c r="N832" s="25" t="s">
        <v>162</v>
      </c>
      <c r="O832" s="4">
        <v>1.1000000000000001</v>
      </c>
      <c r="P832" s="25">
        <v>1.1000000000000001</v>
      </c>
      <c r="Q832" s="4" t="s">
        <v>33</v>
      </c>
      <c r="R832" s="25" t="s">
        <v>33</v>
      </c>
      <c r="S832" s="4">
        <v>0.63</v>
      </c>
      <c r="T832" s="26">
        <v>0.63</v>
      </c>
    </row>
    <row r="833" spans="1:20" x14ac:dyDescent="0.3">
      <c r="A833" s="27" t="s">
        <v>1763</v>
      </c>
      <c r="B833" s="4" t="s">
        <v>1764</v>
      </c>
      <c r="C833" s="4" t="s">
        <v>37</v>
      </c>
      <c r="D833" s="25" t="s">
        <v>118</v>
      </c>
      <c r="E833" s="4">
        <v>54</v>
      </c>
      <c r="F833" s="25">
        <v>54</v>
      </c>
      <c r="G833" s="4" t="s">
        <v>212</v>
      </c>
      <c r="H833" s="25" t="s">
        <v>212</v>
      </c>
      <c r="I833" s="4" t="s">
        <v>21</v>
      </c>
      <c r="J833" s="25" t="s">
        <v>21</v>
      </c>
      <c r="K833" s="4">
        <v>3</v>
      </c>
      <c r="L833" s="25">
        <v>3</v>
      </c>
      <c r="M833" s="4" t="s">
        <v>162</v>
      </c>
      <c r="N833" s="25" t="s">
        <v>162</v>
      </c>
      <c r="O833" s="4">
        <v>1.6</v>
      </c>
      <c r="P833" s="25">
        <v>1.6</v>
      </c>
      <c r="Q833" s="4" t="s">
        <v>94</v>
      </c>
      <c r="R833" s="25" t="s">
        <v>94</v>
      </c>
      <c r="S833" s="4">
        <v>0.7</v>
      </c>
      <c r="T833" s="26">
        <v>0.7</v>
      </c>
    </row>
    <row r="834" spans="1:20" x14ac:dyDescent="0.3">
      <c r="A834" s="27" t="s">
        <v>1765</v>
      </c>
      <c r="B834" s="4" t="s">
        <v>1766</v>
      </c>
      <c r="C834" s="4" t="s">
        <v>97</v>
      </c>
      <c r="D834" s="25" t="s">
        <v>97</v>
      </c>
      <c r="E834" s="4">
        <v>34</v>
      </c>
      <c r="F834" s="25">
        <v>34</v>
      </c>
      <c r="G834" s="4" t="s">
        <v>160</v>
      </c>
      <c r="H834" s="25" t="s">
        <v>160</v>
      </c>
      <c r="I834" s="4" t="s">
        <v>135</v>
      </c>
      <c r="J834" s="25" t="s">
        <v>135</v>
      </c>
      <c r="K834" s="4">
        <v>4</v>
      </c>
      <c r="L834" s="25">
        <v>4</v>
      </c>
      <c r="M834" s="4" t="s">
        <v>58</v>
      </c>
      <c r="N834" s="25" t="s">
        <v>58</v>
      </c>
      <c r="O834" s="4">
        <v>3.1</v>
      </c>
      <c r="P834" s="25">
        <v>3.1</v>
      </c>
      <c r="Q834" s="4" t="s">
        <v>51</v>
      </c>
      <c r="R834" s="25" t="s">
        <v>2120</v>
      </c>
      <c r="S834" s="4">
        <v>0.9</v>
      </c>
      <c r="T834" s="26">
        <v>0.9</v>
      </c>
    </row>
    <row r="835" spans="1:20" x14ac:dyDescent="0.3">
      <c r="A835" s="27" t="s">
        <v>1767</v>
      </c>
      <c r="B835" s="4" t="s">
        <v>1768</v>
      </c>
      <c r="C835" s="4" t="s">
        <v>97</v>
      </c>
      <c r="D835" s="25" t="s">
        <v>97</v>
      </c>
      <c r="E835" s="4">
        <v>20</v>
      </c>
      <c r="F835" s="25">
        <v>20</v>
      </c>
      <c r="G835" s="4" t="s">
        <v>19</v>
      </c>
      <c r="H835" s="25" t="s">
        <v>19</v>
      </c>
      <c r="I835" s="4" t="s">
        <v>110</v>
      </c>
      <c r="J835" s="25" t="s">
        <v>110</v>
      </c>
      <c r="K835" s="4">
        <v>1</v>
      </c>
      <c r="L835" s="25">
        <v>1</v>
      </c>
      <c r="M835" s="4" t="s">
        <v>40</v>
      </c>
      <c r="N835" s="25" t="s">
        <v>40</v>
      </c>
      <c r="O835" s="4">
        <v>3.4</v>
      </c>
      <c r="P835" s="25">
        <v>3.4</v>
      </c>
      <c r="Q835" s="4" t="s">
        <v>33</v>
      </c>
      <c r="R835" s="25" t="s">
        <v>33</v>
      </c>
      <c r="S835" s="4">
        <v>79</v>
      </c>
      <c r="T835" s="26">
        <v>79</v>
      </c>
    </row>
    <row r="836" spans="1:20" x14ac:dyDescent="0.3">
      <c r="A836" s="27" t="s">
        <v>1769</v>
      </c>
      <c r="B836" s="4" t="s">
        <v>1770</v>
      </c>
      <c r="C836" s="4" t="s">
        <v>37</v>
      </c>
      <c r="D836" s="25" t="s">
        <v>118</v>
      </c>
      <c r="E836" s="4">
        <v>29</v>
      </c>
      <c r="F836" s="25">
        <v>29</v>
      </c>
      <c r="G836" s="4" t="s">
        <v>38</v>
      </c>
      <c r="H836" s="25" t="s">
        <v>38</v>
      </c>
      <c r="I836" s="4" t="s">
        <v>57</v>
      </c>
      <c r="J836" s="25" t="s">
        <v>57</v>
      </c>
      <c r="K836" s="4">
        <v>8</v>
      </c>
      <c r="L836" s="25">
        <v>8</v>
      </c>
      <c r="M836" s="4" t="s">
        <v>86</v>
      </c>
      <c r="N836" s="25" t="s">
        <v>86</v>
      </c>
      <c r="O836" s="4">
        <v>3.1</v>
      </c>
      <c r="P836" s="25">
        <v>3.1</v>
      </c>
      <c r="Q836" s="4" t="s">
        <v>41</v>
      </c>
      <c r="R836" s="25" t="s">
        <v>41</v>
      </c>
      <c r="S836" s="4">
        <v>0.6</v>
      </c>
      <c r="T836" s="26">
        <v>0.6</v>
      </c>
    </row>
    <row r="837" spans="1:20" x14ac:dyDescent="0.3">
      <c r="A837" s="27" t="s">
        <v>1771</v>
      </c>
      <c r="B837" s="4" t="s">
        <v>1772</v>
      </c>
      <c r="C837" s="4" t="s">
        <v>50</v>
      </c>
      <c r="D837" s="25" t="s">
        <v>97</v>
      </c>
      <c r="E837" s="4">
        <v>57</v>
      </c>
      <c r="F837" s="25">
        <v>57</v>
      </c>
      <c r="G837" s="4" t="s">
        <v>85</v>
      </c>
      <c r="H837" s="25" t="s">
        <v>85</v>
      </c>
      <c r="I837" s="4" t="s">
        <v>110</v>
      </c>
      <c r="J837" s="25" t="s">
        <v>110</v>
      </c>
      <c r="K837" s="4">
        <v>11</v>
      </c>
      <c r="L837" s="25">
        <v>11</v>
      </c>
      <c r="M837" s="4" t="s">
        <v>67</v>
      </c>
      <c r="N837" s="25" t="s">
        <v>67</v>
      </c>
      <c r="O837" s="4">
        <v>2.2999999999999998</v>
      </c>
      <c r="P837" s="25">
        <v>2.2999999999999998</v>
      </c>
      <c r="Q837" s="4" t="s">
        <v>23</v>
      </c>
      <c r="R837" s="25" t="s">
        <v>23</v>
      </c>
      <c r="T837" s="26" t="s">
        <v>2120</v>
      </c>
    </row>
    <row r="838" spans="1:20" x14ac:dyDescent="0.3">
      <c r="A838" s="27" t="s">
        <v>1773</v>
      </c>
      <c r="B838" s="4" t="s">
        <v>1774</v>
      </c>
      <c r="C838" s="4" t="s">
        <v>45</v>
      </c>
      <c r="D838" s="25" t="s">
        <v>97</v>
      </c>
      <c r="E838" s="4">
        <v>36</v>
      </c>
      <c r="F838" s="25">
        <v>36</v>
      </c>
      <c r="G838" s="4" t="s">
        <v>55</v>
      </c>
      <c r="H838" s="25" t="s">
        <v>55</v>
      </c>
      <c r="I838" s="4" t="s">
        <v>57</v>
      </c>
      <c r="J838" s="25" t="s">
        <v>57</v>
      </c>
      <c r="K838" s="4">
        <v>8</v>
      </c>
      <c r="L838" s="25">
        <v>8</v>
      </c>
      <c r="M838" s="4" t="s">
        <v>70</v>
      </c>
      <c r="N838" s="25" t="s">
        <v>70</v>
      </c>
      <c r="P838" s="25" t="s">
        <v>2120</v>
      </c>
      <c r="Q838" s="4" t="s">
        <v>41</v>
      </c>
      <c r="R838" s="25" t="s">
        <v>41</v>
      </c>
      <c r="S838" s="4">
        <v>0.8</v>
      </c>
      <c r="T838" s="26">
        <v>0.8</v>
      </c>
    </row>
    <row r="839" spans="1:20" x14ac:dyDescent="0.3">
      <c r="A839" s="27" t="s">
        <v>1775</v>
      </c>
      <c r="B839" s="4" t="s">
        <v>1776</v>
      </c>
      <c r="C839" s="4" t="s">
        <v>118</v>
      </c>
      <c r="D839" s="25" t="s">
        <v>118</v>
      </c>
      <c r="E839" s="4">
        <v>51</v>
      </c>
      <c r="F839" s="25">
        <v>51</v>
      </c>
      <c r="G839" s="4" t="s">
        <v>133</v>
      </c>
      <c r="H839" s="25" t="s">
        <v>133</v>
      </c>
      <c r="I839" s="4" t="s">
        <v>46</v>
      </c>
      <c r="J839" s="25" t="s">
        <v>46</v>
      </c>
      <c r="K839" s="4">
        <v>32</v>
      </c>
      <c r="L839" s="25">
        <v>32</v>
      </c>
      <c r="M839" s="4" t="s">
        <v>81</v>
      </c>
      <c r="N839" s="25" t="s">
        <v>81</v>
      </c>
      <c r="O839" s="4">
        <v>3.2</v>
      </c>
      <c r="P839" s="25">
        <v>3.2</v>
      </c>
      <c r="Q839" s="4" t="s">
        <v>23</v>
      </c>
      <c r="R839" s="25" t="s">
        <v>23</v>
      </c>
      <c r="S839" s="4">
        <v>88</v>
      </c>
      <c r="T839" s="26">
        <v>88</v>
      </c>
    </row>
    <row r="840" spans="1:20" x14ac:dyDescent="0.3">
      <c r="A840" s="27" t="s">
        <v>1777</v>
      </c>
      <c r="B840" s="4" t="s">
        <v>1778</v>
      </c>
      <c r="C840" s="4" t="s">
        <v>63</v>
      </c>
      <c r="D840" s="25" t="s">
        <v>118</v>
      </c>
      <c r="E840" s="4">
        <v>44</v>
      </c>
      <c r="F840" s="25">
        <v>44</v>
      </c>
      <c r="G840" s="4" t="s">
        <v>114</v>
      </c>
      <c r="H840" s="25" t="s">
        <v>114</v>
      </c>
      <c r="I840" s="4" t="s">
        <v>93</v>
      </c>
      <c r="J840" s="25" t="s">
        <v>93</v>
      </c>
      <c r="K840" s="4">
        <v>4</v>
      </c>
      <c r="L840" s="25">
        <v>4</v>
      </c>
      <c r="M840" s="4" t="s">
        <v>130</v>
      </c>
      <c r="N840" s="25" t="s">
        <v>130</v>
      </c>
      <c r="O840" s="4">
        <v>0</v>
      </c>
      <c r="P840" s="25">
        <v>0</v>
      </c>
      <c r="Q840" s="4" t="s">
        <v>41</v>
      </c>
      <c r="R840" s="25" t="s">
        <v>41</v>
      </c>
      <c r="S840" s="4">
        <v>0.8</v>
      </c>
      <c r="T840" s="26">
        <v>0.8</v>
      </c>
    </row>
    <row r="841" spans="1:20" x14ac:dyDescent="0.3">
      <c r="A841" s="27" t="s">
        <v>1779</v>
      </c>
      <c r="B841" s="4" t="s">
        <v>1780</v>
      </c>
      <c r="C841" s="4" t="s">
        <v>118</v>
      </c>
      <c r="D841" s="25" t="s">
        <v>118</v>
      </c>
      <c r="E841" s="4">
        <v>58</v>
      </c>
      <c r="F841" s="25">
        <v>58</v>
      </c>
      <c r="G841" s="4" t="s">
        <v>212</v>
      </c>
      <c r="H841" s="25" t="s">
        <v>212</v>
      </c>
      <c r="I841" s="4" t="s">
        <v>98</v>
      </c>
      <c r="J841" s="25" t="s">
        <v>98</v>
      </c>
      <c r="K841" s="4">
        <v>33</v>
      </c>
      <c r="L841" s="25">
        <v>33</v>
      </c>
      <c r="M841" s="4" t="s">
        <v>52</v>
      </c>
      <c r="N841" s="25" t="s">
        <v>52</v>
      </c>
      <c r="O841" s="4">
        <v>3.3</v>
      </c>
      <c r="P841" s="25">
        <v>3.3</v>
      </c>
      <c r="Q841" s="4" t="s">
        <v>94</v>
      </c>
      <c r="R841" s="25" t="s">
        <v>94</v>
      </c>
      <c r="S841" s="4">
        <v>0.71</v>
      </c>
      <c r="T841" s="26">
        <v>0.71</v>
      </c>
    </row>
    <row r="842" spans="1:20" x14ac:dyDescent="0.3">
      <c r="A842" s="27" t="s">
        <v>1781</v>
      </c>
      <c r="B842" s="4" t="s">
        <v>1782</v>
      </c>
      <c r="C842" s="4" t="s">
        <v>18</v>
      </c>
      <c r="D842" s="25" t="s">
        <v>97</v>
      </c>
      <c r="E842" s="4">
        <v>38</v>
      </c>
      <c r="F842" s="25">
        <v>38</v>
      </c>
      <c r="G842" s="4" t="s">
        <v>175</v>
      </c>
      <c r="H842" s="25" t="s">
        <v>175</v>
      </c>
      <c r="I842" s="4" t="s">
        <v>31</v>
      </c>
      <c r="J842" s="25" t="s">
        <v>31</v>
      </c>
      <c r="K842" s="4">
        <v>14</v>
      </c>
      <c r="L842" s="25">
        <v>14</v>
      </c>
      <c r="M842" s="4" t="s">
        <v>51</v>
      </c>
      <c r="N842" s="25" t="s">
        <v>2119</v>
      </c>
      <c r="O842" s="4">
        <v>1.1000000000000001</v>
      </c>
      <c r="P842" s="25">
        <v>1.1000000000000001</v>
      </c>
      <c r="Q842" s="4" t="s">
        <v>33</v>
      </c>
      <c r="R842" s="25" t="s">
        <v>33</v>
      </c>
      <c r="S842" s="4">
        <v>0.76</v>
      </c>
      <c r="T842" s="26">
        <v>0.76</v>
      </c>
    </row>
    <row r="843" spans="1:20" x14ac:dyDescent="0.3">
      <c r="A843" s="27" t="s">
        <v>1783</v>
      </c>
      <c r="B843" s="4" t="s">
        <v>1784</v>
      </c>
      <c r="C843" s="4" t="s">
        <v>113</v>
      </c>
      <c r="D843" s="25" t="s">
        <v>118</v>
      </c>
      <c r="E843" s="4">
        <v>24</v>
      </c>
      <c r="F843" s="25">
        <v>24</v>
      </c>
      <c r="G843" s="4" t="s">
        <v>73</v>
      </c>
      <c r="H843" s="25" t="s">
        <v>73</v>
      </c>
      <c r="I843" s="4" t="s">
        <v>93</v>
      </c>
      <c r="J843" s="25" t="s">
        <v>93</v>
      </c>
      <c r="K843" s="4">
        <v>6</v>
      </c>
      <c r="L843" s="25">
        <v>6</v>
      </c>
      <c r="M843" s="4" t="s">
        <v>130</v>
      </c>
      <c r="N843" s="25" t="s">
        <v>130</v>
      </c>
      <c r="O843" s="4">
        <v>4.5999999999999996</v>
      </c>
      <c r="P843" s="25">
        <v>4.5999999999999996</v>
      </c>
      <c r="Q843" s="4" t="s">
        <v>33</v>
      </c>
      <c r="R843" s="25" t="s">
        <v>33</v>
      </c>
      <c r="S843" s="4">
        <v>0.93</v>
      </c>
      <c r="T843" s="26">
        <v>0.93</v>
      </c>
    </row>
    <row r="844" spans="1:20" x14ac:dyDescent="0.3">
      <c r="A844" s="27" t="s">
        <v>1785</v>
      </c>
      <c r="B844" s="4" t="s">
        <v>1786</v>
      </c>
      <c r="C844" s="4" t="s">
        <v>45</v>
      </c>
      <c r="D844" s="25" t="s">
        <v>97</v>
      </c>
      <c r="E844" s="4">
        <v>30</v>
      </c>
      <c r="F844" s="25">
        <v>30</v>
      </c>
      <c r="G844" s="4" t="s">
        <v>79</v>
      </c>
      <c r="H844" s="25" t="s">
        <v>79</v>
      </c>
      <c r="I844" s="4" t="s">
        <v>21</v>
      </c>
      <c r="J844" s="25" t="s">
        <v>21</v>
      </c>
      <c r="K844" s="4">
        <v>5</v>
      </c>
      <c r="L844" s="25">
        <v>5</v>
      </c>
      <c r="M844" s="4" t="s">
        <v>130</v>
      </c>
      <c r="N844" s="25" t="s">
        <v>130</v>
      </c>
      <c r="P844" s="25" t="s">
        <v>2120</v>
      </c>
      <c r="Q844" s="4" t="s">
        <v>23</v>
      </c>
      <c r="R844" s="25" t="s">
        <v>23</v>
      </c>
      <c r="T844" s="26" t="s">
        <v>2120</v>
      </c>
    </row>
    <row r="845" spans="1:20" x14ac:dyDescent="0.3">
      <c r="A845" s="27" t="s">
        <v>1787</v>
      </c>
      <c r="B845" s="4" t="s">
        <v>1788</v>
      </c>
      <c r="C845" s="4" t="s">
        <v>78</v>
      </c>
      <c r="D845" s="25" t="s">
        <v>118</v>
      </c>
      <c r="E845" s="4">
        <v>25</v>
      </c>
      <c r="F845" s="25">
        <v>25</v>
      </c>
      <c r="G845" s="4" t="s">
        <v>64</v>
      </c>
      <c r="H845" s="25" t="s">
        <v>64</v>
      </c>
      <c r="I845" s="4" t="s">
        <v>98</v>
      </c>
      <c r="J845" s="25" t="s">
        <v>98</v>
      </c>
      <c r="K845" s="4">
        <v>3</v>
      </c>
      <c r="L845" s="25">
        <v>3</v>
      </c>
      <c r="M845" s="4" t="s">
        <v>103</v>
      </c>
      <c r="N845" s="25" t="s">
        <v>103</v>
      </c>
      <c r="P845" s="25" t="s">
        <v>2120</v>
      </c>
      <c r="Q845" s="4" t="s">
        <v>23</v>
      </c>
      <c r="R845" s="25" t="s">
        <v>23</v>
      </c>
      <c r="S845" s="4">
        <v>0.83</v>
      </c>
      <c r="T845" s="26">
        <v>0.83</v>
      </c>
    </row>
    <row r="846" spans="1:20" x14ac:dyDescent="0.3">
      <c r="A846" s="27" t="s">
        <v>1789</v>
      </c>
      <c r="B846" s="4" t="s">
        <v>1790</v>
      </c>
      <c r="C846" s="4" t="s">
        <v>113</v>
      </c>
      <c r="D846" s="25" t="s">
        <v>118</v>
      </c>
      <c r="E846" s="4">
        <v>54</v>
      </c>
      <c r="F846" s="25">
        <v>54</v>
      </c>
      <c r="G846" s="4" t="s">
        <v>64</v>
      </c>
      <c r="H846" s="25" t="s">
        <v>64</v>
      </c>
      <c r="I846" s="4" t="s">
        <v>31</v>
      </c>
      <c r="J846" s="25" t="s">
        <v>31</v>
      </c>
      <c r="K846" s="4">
        <v>17</v>
      </c>
      <c r="L846" s="25">
        <v>17</v>
      </c>
      <c r="M846" s="4" t="s">
        <v>251</v>
      </c>
      <c r="N846" s="25" t="s">
        <v>251</v>
      </c>
      <c r="O846" s="4">
        <v>0</v>
      </c>
      <c r="P846" s="25">
        <v>0</v>
      </c>
      <c r="Q846" s="4" t="s">
        <v>23</v>
      </c>
      <c r="R846" s="25" t="s">
        <v>23</v>
      </c>
      <c r="S846" s="4">
        <v>0.71</v>
      </c>
      <c r="T846" s="26">
        <v>0.71</v>
      </c>
    </row>
    <row r="847" spans="1:20" x14ac:dyDescent="0.3">
      <c r="A847" s="27" t="s">
        <v>1791</v>
      </c>
      <c r="B847" s="4" t="s">
        <v>1792</v>
      </c>
      <c r="C847" s="4" t="s">
        <v>37</v>
      </c>
      <c r="D847" s="25" t="s">
        <v>118</v>
      </c>
      <c r="E847" s="4">
        <v>54</v>
      </c>
      <c r="F847" s="25">
        <v>54</v>
      </c>
      <c r="G847" s="4" t="s">
        <v>19</v>
      </c>
      <c r="H847" s="25" t="s">
        <v>19</v>
      </c>
      <c r="I847" s="4" t="s">
        <v>98</v>
      </c>
      <c r="J847" s="25" t="s">
        <v>98</v>
      </c>
      <c r="K847" s="4">
        <v>9</v>
      </c>
      <c r="L847" s="25">
        <v>9</v>
      </c>
      <c r="M847" s="4" t="s">
        <v>336</v>
      </c>
      <c r="N847" s="25" t="s">
        <v>336</v>
      </c>
      <c r="O847" s="4">
        <v>0</v>
      </c>
      <c r="P847" s="25">
        <v>0</v>
      </c>
      <c r="Q847" s="4" t="s">
        <v>87</v>
      </c>
      <c r="R847" s="25" t="s">
        <v>87</v>
      </c>
      <c r="S847" s="4">
        <v>0.96</v>
      </c>
      <c r="T847" s="26">
        <v>0.96</v>
      </c>
    </row>
    <row r="848" spans="1:20" x14ac:dyDescent="0.3">
      <c r="A848" s="27" t="s">
        <v>1793</v>
      </c>
      <c r="B848" s="4" t="s">
        <v>1794</v>
      </c>
      <c r="C848" s="4" t="s">
        <v>45</v>
      </c>
      <c r="D848" s="25" t="s">
        <v>97</v>
      </c>
      <c r="E848" s="4">
        <v>53</v>
      </c>
      <c r="F848" s="25">
        <v>53</v>
      </c>
      <c r="G848" s="4" t="s">
        <v>156</v>
      </c>
      <c r="H848" s="25" t="s">
        <v>156</v>
      </c>
      <c r="I848" s="4" t="s">
        <v>39</v>
      </c>
      <c r="J848" s="25" t="s">
        <v>39</v>
      </c>
      <c r="K848" s="4">
        <v>16</v>
      </c>
      <c r="L848" s="25">
        <v>16</v>
      </c>
      <c r="M848" s="4" t="s">
        <v>86</v>
      </c>
      <c r="N848" s="25" t="s">
        <v>86</v>
      </c>
      <c r="O848" s="4">
        <v>0</v>
      </c>
      <c r="P848" s="25">
        <v>0</v>
      </c>
      <c r="Q848" s="4" t="s">
        <v>181</v>
      </c>
      <c r="R848" s="25" t="s">
        <v>181</v>
      </c>
      <c r="T848" s="26" t="s">
        <v>2120</v>
      </c>
    </row>
    <row r="849" spans="1:20" x14ac:dyDescent="0.3">
      <c r="A849" s="27" t="s">
        <v>1795</v>
      </c>
      <c r="B849" s="4" t="s">
        <v>1796</v>
      </c>
      <c r="C849" s="4" t="s">
        <v>37</v>
      </c>
      <c r="D849" s="25" t="s">
        <v>118</v>
      </c>
      <c r="E849" s="4">
        <v>22</v>
      </c>
      <c r="F849" s="25">
        <v>22</v>
      </c>
      <c r="G849" s="4" t="s">
        <v>145</v>
      </c>
      <c r="H849" s="25" t="s">
        <v>145</v>
      </c>
      <c r="I849" s="4" t="s">
        <v>57</v>
      </c>
      <c r="J849" s="25" t="s">
        <v>57</v>
      </c>
      <c r="K849" s="4">
        <v>3</v>
      </c>
      <c r="L849" s="25">
        <v>3</v>
      </c>
      <c r="M849" s="4" t="s">
        <v>103</v>
      </c>
      <c r="N849" s="25" t="s">
        <v>103</v>
      </c>
      <c r="O849" s="4">
        <v>3.4</v>
      </c>
      <c r="P849" s="25">
        <v>3.4</v>
      </c>
      <c r="Q849" s="4" t="s">
        <v>94</v>
      </c>
      <c r="R849" s="25" t="s">
        <v>94</v>
      </c>
      <c r="S849" s="4">
        <v>0.65</v>
      </c>
      <c r="T849" s="26">
        <v>0.65</v>
      </c>
    </row>
    <row r="850" spans="1:20" x14ac:dyDescent="0.3">
      <c r="A850" s="27" t="s">
        <v>1797</v>
      </c>
      <c r="B850" s="4" t="s">
        <v>1798</v>
      </c>
      <c r="C850" s="4" t="s">
        <v>50</v>
      </c>
      <c r="D850" s="25" t="s">
        <v>97</v>
      </c>
      <c r="E850" s="4">
        <v>23</v>
      </c>
      <c r="F850" s="25">
        <v>23</v>
      </c>
      <c r="G850" s="4" t="s">
        <v>201</v>
      </c>
      <c r="H850" s="25" t="s">
        <v>201</v>
      </c>
      <c r="I850" s="4" t="s">
        <v>66</v>
      </c>
      <c r="J850" s="25" t="s">
        <v>66</v>
      </c>
      <c r="K850" s="4">
        <v>2</v>
      </c>
      <c r="L850" s="25">
        <v>2</v>
      </c>
      <c r="M850" s="4" t="s">
        <v>336</v>
      </c>
      <c r="N850" s="25" t="s">
        <v>336</v>
      </c>
      <c r="O850" s="4">
        <v>1.3</v>
      </c>
      <c r="P850" s="25">
        <v>1.3</v>
      </c>
      <c r="Q850" s="4" t="s">
        <v>41</v>
      </c>
      <c r="R850" s="25" t="s">
        <v>41</v>
      </c>
      <c r="T850" s="26" t="s">
        <v>2120</v>
      </c>
    </row>
    <row r="851" spans="1:20" x14ac:dyDescent="0.3">
      <c r="A851" s="27" t="s">
        <v>1799</v>
      </c>
      <c r="B851" s="4" t="s">
        <v>1800</v>
      </c>
      <c r="C851" s="4" t="s">
        <v>28</v>
      </c>
      <c r="D851" s="25" t="s">
        <v>97</v>
      </c>
      <c r="E851" s="4">
        <v>47</v>
      </c>
      <c r="F851" s="25">
        <v>47</v>
      </c>
      <c r="G851" s="4" t="s">
        <v>156</v>
      </c>
      <c r="H851" s="25" t="s">
        <v>156</v>
      </c>
      <c r="I851" s="4" t="s">
        <v>98</v>
      </c>
      <c r="J851" s="25" t="s">
        <v>98</v>
      </c>
      <c r="K851" s="4">
        <v>16</v>
      </c>
      <c r="L851" s="25">
        <v>16</v>
      </c>
      <c r="M851" s="4" t="s">
        <v>40</v>
      </c>
      <c r="N851" s="25" t="s">
        <v>40</v>
      </c>
      <c r="O851" s="4">
        <v>1.9</v>
      </c>
      <c r="P851" s="25">
        <v>1.9</v>
      </c>
      <c r="Q851" s="4" t="s">
        <v>23</v>
      </c>
      <c r="R851" s="25" t="s">
        <v>23</v>
      </c>
      <c r="S851" s="4">
        <v>0.71</v>
      </c>
      <c r="T851" s="26">
        <v>0.71</v>
      </c>
    </row>
    <row r="852" spans="1:20" x14ac:dyDescent="0.3">
      <c r="A852" s="27" t="s">
        <v>1801</v>
      </c>
      <c r="B852" s="4" t="s">
        <v>1802</v>
      </c>
      <c r="C852" s="4" t="s">
        <v>118</v>
      </c>
      <c r="D852" s="25" t="s">
        <v>118</v>
      </c>
      <c r="E852" s="4">
        <v>24</v>
      </c>
      <c r="F852" s="25">
        <v>24</v>
      </c>
      <c r="G852" s="4" t="s">
        <v>156</v>
      </c>
      <c r="H852" s="25" t="s">
        <v>156</v>
      </c>
      <c r="I852" s="4" t="s">
        <v>46</v>
      </c>
      <c r="J852" s="25" t="s">
        <v>46</v>
      </c>
      <c r="K852" s="4">
        <v>6</v>
      </c>
      <c r="L852" s="25">
        <v>6</v>
      </c>
      <c r="M852" s="4" t="s">
        <v>40</v>
      </c>
      <c r="N852" s="25" t="s">
        <v>40</v>
      </c>
      <c r="O852" s="4">
        <v>1.4</v>
      </c>
      <c r="P852" s="25">
        <v>1.4</v>
      </c>
      <c r="Q852" s="4" t="s">
        <v>94</v>
      </c>
      <c r="R852" s="25" t="s">
        <v>94</v>
      </c>
      <c r="S852" s="4">
        <v>63</v>
      </c>
      <c r="T852" s="26">
        <v>63</v>
      </c>
    </row>
    <row r="853" spans="1:20" x14ac:dyDescent="0.3">
      <c r="A853" s="27" t="s">
        <v>1803</v>
      </c>
      <c r="B853" s="4" t="s">
        <v>1804</v>
      </c>
      <c r="C853" s="4" t="s">
        <v>18</v>
      </c>
      <c r="D853" s="25" t="s">
        <v>97</v>
      </c>
      <c r="E853" s="4">
        <v>57</v>
      </c>
      <c r="F853" s="25">
        <v>57</v>
      </c>
      <c r="G853" s="4" t="s">
        <v>114</v>
      </c>
      <c r="H853" s="25" t="s">
        <v>114</v>
      </c>
      <c r="I853" s="4" t="s">
        <v>93</v>
      </c>
      <c r="J853" s="25" t="s">
        <v>93</v>
      </c>
      <c r="K853" s="4">
        <v>10</v>
      </c>
      <c r="L853" s="25">
        <v>10</v>
      </c>
      <c r="M853" s="4" t="s">
        <v>251</v>
      </c>
      <c r="N853" s="25" t="s">
        <v>251</v>
      </c>
      <c r="O853" s="4">
        <v>4.3</v>
      </c>
      <c r="P853" s="25">
        <v>4.3</v>
      </c>
      <c r="Q853" s="4" t="s">
        <v>59</v>
      </c>
      <c r="R853" s="25" t="s">
        <v>59</v>
      </c>
      <c r="T853" s="26" t="s">
        <v>2120</v>
      </c>
    </row>
    <row r="854" spans="1:20" x14ac:dyDescent="0.3">
      <c r="A854" s="27" t="s">
        <v>1805</v>
      </c>
      <c r="B854" s="4" t="s">
        <v>1806</v>
      </c>
      <c r="C854" s="4" t="s">
        <v>118</v>
      </c>
      <c r="D854" s="25" t="s">
        <v>118</v>
      </c>
      <c r="E854" s="4">
        <v>48</v>
      </c>
      <c r="F854" s="25">
        <v>48</v>
      </c>
      <c r="G854" s="4" t="s">
        <v>212</v>
      </c>
      <c r="H854" s="25" t="s">
        <v>212</v>
      </c>
      <c r="I854" s="4" t="s">
        <v>39</v>
      </c>
      <c r="J854" s="25" t="s">
        <v>39</v>
      </c>
      <c r="K854" s="4">
        <v>16</v>
      </c>
      <c r="L854" s="25">
        <v>16</v>
      </c>
      <c r="M854" s="4" t="s">
        <v>58</v>
      </c>
      <c r="N854" s="25" t="s">
        <v>58</v>
      </c>
      <c r="P854" s="25" t="s">
        <v>2120</v>
      </c>
      <c r="Q854" s="4" t="s">
        <v>181</v>
      </c>
      <c r="R854" s="25" t="s">
        <v>181</v>
      </c>
      <c r="S854" s="4">
        <v>0.97</v>
      </c>
      <c r="T854" s="26">
        <v>0.97</v>
      </c>
    </row>
    <row r="855" spans="1:20" x14ac:dyDescent="0.3">
      <c r="A855" s="27" t="s">
        <v>1807</v>
      </c>
      <c r="B855" s="4" t="s">
        <v>1808</v>
      </c>
      <c r="C855" s="4" t="s">
        <v>97</v>
      </c>
      <c r="D855" s="25" t="s">
        <v>97</v>
      </c>
      <c r="E855" s="4">
        <v>21</v>
      </c>
      <c r="F855" s="25">
        <v>21</v>
      </c>
      <c r="G855" s="4" t="s">
        <v>79</v>
      </c>
      <c r="H855" s="25" t="s">
        <v>79</v>
      </c>
      <c r="I855" s="4" t="s">
        <v>93</v>
      </c>
      <c r="J855" s="25" t="s">
        <v>93</v>
      </c>
      <c r="K855" s="4">
        <v>0</v>
      </c>
      <c r="L855" s="25">
        <v>0</v>
      </c>
      <c r="M855" s="4" t="s">
        <v>251</v>
      </c>
      <c r="N855" s="25" t="s">
        <v>251</v>
      </c>
      <c r="O855" s="4">
        <v>4.3</v>
      </c>
      <c r="P855" s="25">
        <v>4.3</v>
      </c>
      <c r="Q855" s="4" t="s">
        <v>23</v>
      </c>
      <c r="R855" s="25" t="s">
        <v>23</v>
      </c>
      <c r="T855" s="26" t="s">
        <v>2120</v>
      </c>
    </row>
    <row r="856" spans="1:20" x14ac:dyDescent="0.3">
      <c r="A856" s="27" t="s">
        <v>1809</v>
      </c>
      <c r="B856" s="4" t="s">
        <v>1810</v>
      </c>
      <c r="C856" s="4" t="s">
        <v>63</v>
      </c>
      <c r="D856" s="25" t="s">
        <v>118</v>
      </c>
      <c r="E856" s="4">
        <v>33</v>
      </c>
      <c r="F856" s="25">
        <v>33</v>
      </c>
      <c r="G856" s="4" t="s">
        <v>106</v>
      </c>
      <c r="H856" s="25" t="s">
        <v>106</v>
      </c>
      <c r="I856" s="4" t="s">
        <v>57</v>
      </c>
      <c r="J856" s="25" t="s">
        <v>57</v>
      </c>
      <c r="K856" s="4">
        <v>13</v>
      </c>
      <c r="L856" s="25">
        <v>13</v>
      </c>
      <c r="M856" s="4" t="s">
        <v>67</v>
      </c>
      <c r="N856" s="25" t="s">
        <v>67</v>
      </c>
      <c r="O856" s="4">
        <v>0</v>
      </c>
      <c r="P856" s="25">
        <v>0</v>
      </c>
      <c r="Q856" s="4" t="s">
        <v>74</v>
      </c>
      <c r="R856" s="25" t="s">
        <v>74</v>
      </c>
      <c r="T856" s="26" t="s">
        <v>2120</v>
      </c>
    </row>
    <row r="857" spans="1:20" x14ac:dyDescent="0.3">
      <c r="A857" s="27" t="s">
        <v>1811</v>
      </c>
      <c r="B857" s="4" t="s">
        <v>1812</v>
      </c>
      <c r="C857" s="4" t="s">
        <v>118</v>
      </c>
      <c r="D857" s="25" t="s">
        <v>118</v>
      </c>
      <c r="E857" s="4">
        <v>41</v>
      </c>
      <c r="F857" s="25">
        <v>41</v>
      </c>
      <c r="G857" s="4" t="s">
        <v>79</v>
      </c>
      <c r="H857" s="25" t="s">
        <v>79</v>
      </c>
      <c r="I857" s="4" t="s">
        <v>110</v>
      </c>
      <c r="J857" s="25" t="s">
        <v>110</v>
      </c>
      <c r="K857" s="4">
        <v>12</v>
      </c>
      <c r="L857" s="25">
        <v>12</v>
      </c>
      <c r="M857" s="4" t="s">
        <v>51</v>
      </c>
      <c r="N857" s="25" t="s">
        <v>2119</v>
      </c>
      <c r="O857" s="4">
        <v>1.3</v>
      </c>
      <c r="P857" s="25">
        <v>1.3</v>
      </c>
      <c r="Q857" s="4" t="s">
        <v>23</v>
      </c>
      <c r="R857" s="25" t="s">
        <v>23</v>
      </c>
      <c r="S857" s="4">
        <v>0.85</v>
      </c>
      <c r="T857" s="26">
        <v>0.85</v>
      </c>
    </row>
    <row r="858" spans="1:20" x14ac:dyDescent="0.3">
      <c r="A858" s="27" t="s">
        <v>1813</v>
      </c>
      <c r="B858" s="4" t="s">
        <v>1814</v>
      </c>
      <c r="C858" s="4" t="s">
        <v>78</v>
      </c>
      <c r="D858" s="25" t="s">
        <v>118</v>
      </c>
      <c r="E858" s="4">
        <v>40</v>
      </c>
      <c r="F858" s="25">
        <v>40</v>
      </c>
      <c r="G858" s="4" t="s">
        <v>29</v>
      </c>
      <c r="H858" s="25" t="s">
        <v>29</v>
      </c>
      <c r="I858" s="4" t="s">
        <v>98</v>
      </c>
      <c r="J858" s="25" t="s">
        <v>98</v>
      </c>
      <c r="K858" s="4">
        <v>13</v>
      </c>
      <c r="L858" s="25">
        <v>13</v>
      </c>
      <c r="M858" s="4" t="s">
        <v>119</v>
      </c>
      <c r="N858" s="25" t="s">
        <v>119</v>
      </c>
      <c r="O858" s="4">
        <v>2.9</v>
      </c>
      <c r="P858" s="25">
        <v>2.9</v>
      </c>
      <c r="Q858" s="4" t="s">
        <v>181</v>
      </c>
      <c r="R858" s="25" t="s">
        <v>181</v>
      </c>
      <c r="S858" s="4">
        <v>0.82</v>
      </c>
      <c r="T858" s="26">
        <v>0.82</v>
      </c>
    </row>
    <row r="859" spans="1:20" x14ac:dyDescent="0.3">
      <c r="A859" s="27" t="s">
        <v>1815</v>
      </c>
      <c r="B859" s="4" t="s">
        <v>1816</v>
      </c>
      <c r="C859" s="4" t="s">
        <v>18</v>
      </c>
      <c r="D859" s="25" t="s">
        <v>97</v>
      </c>
      <c r="E859" s="4">
        <v>40</v>
      </c>
      <c r="F859" s="25">
        <v>40</v>
      </c>
      <c r="G859" s="4" t="s">
        <v>201</v>
      </c>
      <c r="H859" s="25" t="s">
        <v>201</v>
      </c>
      <c r="I859" s="4" t="s">
        <v>39</v>
      </c>
      <c r="J859" s="25" t="s">
        <v>39</v>
      </c>
      <c r="K859" s="4">
        <v>22</v>
      </c>
      <c r="L859" s="25">
        <v>22</v>
      </c>
      <c r="M859" s="4" t="s">
        <v>70</v>
      </c>
      <c r="N859" s="25" t="s">
        <v>70</v>
      </c>
      <c r="O859" s="4">
        <v>4.3</v>
      </c>
      <c r="P859" s="25">
        <v>4.3</v>
      </c>
      <c r="Q859" s="4" t="s">
        <v>23</v>
      </c>
      <c r="R859" s="25" t="s">
        <v>23</v>
      </c>
      <c r="S859" s="4">
        <v>0.95</v>
      </c>
      <c r="T859" s="26">
        <v>0.95</v>
      </c>
    </row>
    <row r="860" spans="1:20" x14ac:dyDescent="0.3">
      <c r="A860" s="27" t="s">
        <v>1817</v>
      </c>
      <c r="B860" s="4" t="s">
        <v>1818</v>
      </c>
      <c r="C860" s="4" t="s">
        <v>97</v>
      </c>
      <c r="D860" s="25" t="s">
        <v>97</v>
      </c>
      <c r="E860" s="4">
        <v>20</v>
      </c>
      <c r="F860" s="25">
        <v>20</v>
      </c>
      <c r="G860" s="4" t="s">
        <v>73</v>
      </c>
      <c r="H860" s="25" t="s">
        <v>73</v>
      </c>
      <c r="I860" s="4" t="s">
        <v>39</v>
      </c>
      <c r="J860" s="25" t="s">
        <v>39</v>
      </c>
      <c r="K860" s="4">
        <v>1</v>
      </c>
      <c r="L860" s="25">
        <v>1</v>
      </c>
      <c r="M860" s="4" t="s">
        <v>51</v>
      </c>
      <c r="N860" s="25" t="s">
        <v>2119</v>
      </c>
      <c r="O860" s="4">
        <v>2.7</v>
      </c>
      <c r="P860" s="25">
        <v>2.7</v>
      </c>
      <c r="Q860" s="4" t="s">
        <v>23</v>
      </c>
      <c r="R860" s="25" t="s">
        <v>23</v>
      </c>
      <c r="S860" s="4">
        <v>94</v>
      </c>
      <c r="T860" s="26">
        <v>94</v>
      </c>
    </row>
    <row r="861" spans="1:20" x14ac:dyDescent="0.3">
      <c r="A861" s="27" t="s">
        <v>1819</v>
      </c>
      <c r="B861" s="4" t="s">
        <v>1820</v>
      </c>
      <c r="C861" s="4" t="s">
        <v>45</v>
      </c>
      <c r="D861" s="25" t="s">
        <v>97</v>
      </c>
      <c r="E861" s="4">
        <v>42</v>
      </c>
      <c r="F861" s="25">
        <v>42</v>
      </c>
      <c r="G861" s="4" t="s">
        <v>201</v>
      </c>
      <c r="H861" s="25" t="s">
        <v>201</v>
      </c>
      <c r="I861" s="4" t="s">
        <v>46</v>
      </c>
      <c r="J861" s="25" t="s">
        <v>46</v>
      </c>
      <c r="L861" s="25" t="s">
        <v>2120</v>
      </c>
      <c r="M861" s="4" t="s">
        <v>81</v>
      </c>
      <c r="N861" s="25" t="s">
        <v>81</v>
      </c>
      <c r="O861" s="4">
        <v>4.2</v>
      </c>
      <c r="P861" s="25">
        <v>4.2</v>
      </c>
      <c r="Q861" s="4" t="s">
        <v>51</v>
      </c>
      <c r="R861" s="25" t="s">
        <v>2120</v>
      </c>
      <c r="S861" s="4">
        <v>0.96</v>
      </c>
      <c r="T861" s="26">
        <v>0.96</v>
      </c>
    </row>
    <row r="862" spans="1:20" x14ac:dyDescent="0.3">
      <c r="A862" s="27" t="s">
        <v>1821</v>
      </c>
      <c r="B862" s="4" t="s">
        <v>1822</v>
      </c>
      <c r="C862" s="4" t="s">
        <v>63</v>
      </c>
      <c r="D862" s="25" t="s">
        <v>118</v>
      </c>
      <c r="E862" s="4">
        <v>32</v>
      </c>
      <c r="F862" s="25">
        <v>32</v>
      </c>
      <c r="G862" s="4" t="s">
        <v>149</v>
      </c>
      <c r="H862" s="25" t="s">
        <v>149</v>
      </c>
      <c r="I862" s="4" t="s">
        <v>21</v>
      </c>
      <c r="J862" s="25" t="s">
        <v>21</v>
      </c>
      <c r="K862" s="4">
        <v>12</v>
      </c>
      <c r="L862" s="25">
        <v>12</v>
      </c>
      <c r="M862" s="4" t="s">
        <v>86</v>
      </c>
      <c r="N862" s="25" t="s">
        <v>86</v>
      </c>
      <c r="O862" s="4">
        <v>0</v>
      </c>
      <c r="P862" s="25">
        <v>0</v>
      </c>
      <c r="Q862" s="4" t="s">
        <v>87</v>
      </c>
      <c r="R862" s="25" t="s">
        <v>87</v>
      </c>
      <c r="S862" s="4">
        <v>0.63</v>
      </c>
      <c r="T862" s="26">
        <v>0.63</v>
      </c>
    </row>
    <row r="863" spans="1:20" x14ac:dyDescent="0.3">
      <c r="A863" s="27" t="s">
        <v>1823</v>
      </c>
      <c r="B863" s="4" t="s">
        <v>1824</v>
      </c>
      <c r="C863" s="4" t="s">
        <v>118</v>
      </c>
      <c r="D863" s="25" t="s">
        <v>118</v>
      </c>
      <c r="E863" s="4">
        <v>60</v>
      </c>
      <c r="F863" s="25">
        <v>60</v>
      </c>
      <c r="G863" s="4" t="s">
        <v>106</v>
      </c>
      <c r="H863" s="25" t="s">
        <v>106</v>
      </c>
      <c r="I863" s="4" t="s">
        <v>57</v>
      </c>
      <c r="J863" s="25" t="s">
        <v>57</v>
      </c>
      <c r="L863" s="25" t="s">
        <v>2120</v>
      </c>
      <c r="M863" s="4" t="s">
        <v>162</v>
      </c>
      <c r="N863" s="25" t="s">
        <v>162</v>
      </c>
      <c r="O863" s="4">
        <v>2.2000000000000002</v>
      </c>
      <c r="P863" s="25">
        <v>2.2000000000000002</v>
      </c>
      <c r="Q863" s="4" t="s">
        <v>59</v>
      </c>
      <c r="R863" s="25" t="s">
        <v>59</v>
      </c>
      <c r="S863" s="4">
        <v>0.6</v>
      </c>
      <c r="T863" s="26">
        <v>0.6</v>
      </c>
    </row>
    <row r="864" spans="1:20" x14ac:dyDescent="0.3">
      <c r="A864" s="27" t="s">
        <v>1825</v>
      </c>
      <c r="B864" s="4" t="s">
        <v>1826</v>
      </c>
      <c r="C864" s="4" t="s">
        <v>113</v>
      </c>
      <c r="D864" s="25" t="s">
        <v>118</v>
      </c>
      <c r="E864" s="4">
        <v>46</v>
      </c>
      <c r="F864" s="25">
        <v>46</v>
      </c>
      <c r="G864" s="4" t="s">
        <v>160</v>
      </c>
      <c r="H864" s="25" t="s">
        <v>160</v>
      </c>
      <c r="I864" s="4" t="s">
        <v>135</v>
      </c>
      <c r="J864" s="25" t="s">
        <v>135</v>
      </c>
      <c r="K864" s="4">
        <v>12</v>
      </c>
      <c r="L864" s="25">
        <v>12</v>
      </c>
      <c r="M864" s="4" t="s">
        <v>40</v>
      </c>
      <c r="N864" s="25" t="s">
        <v>40</v>
      </c>
      <c r="O864" s="4">
        <v>4.7</v>
      </c>
      <c r="P864" s="25">
        <v>4.7</v>
      </c>
      <c r="Q864" s="4" t="s">
        <v>87</v>
      </c>
      <c r="R864" s="25" t="s">
        <v>87</v>
      </c>
      <c r="S864" s="4">
        <v>0.77</v>
      </c>
      <c r="T864" s="26">
        <v>0.77</v>
      </c>
    </row>
    <row r="865" spans="1:20" x14ac:dyDescent="0.3">
      <c r="A865" s="27" t="s">
        <v>1827</v>
      </c>
      <c r="B865" s="4" t="s">
        <v>1828</v>
      </c>
      <c r="C865" s="4" t="s">
        <v>37</v>
      </c>
      <c r="D865" s="25" t="s">
        <v>118</v>
      </c>
      <c r="E865" s="4">
        <v>29</v>
      </c>
      <c r="F865" s="25">
        <v>29</v>
      </c>
      <c r="G865" s="4" t="s">
        <v>197</v>
      </c>
      <c r="H865" s="25" t="s">
        <v>197</v>
      </c>
      <c r="I865" s="4" t="s">
        <v>110</v>
      </c>
      <c r="J865" s="25" t="s">
        <v>110</v>
      </c>
      <c r="K865" s="4">
        <v>0</v>
      </c>
      <c r="L865" s="25">
        <v>0</v>
      </c>
      <c r="M865" s="4" t="s">
        <v>52</v>
      </c>
      <c r="N865" s="25" t="s">
        <v>52</v>
      </c>
      <c r="O865" s="4">
        <v>0</v>
      </c>
      <c r="P865" s="25">
        <v>0</v>
      </c>
      <c r="Q865" s="4" t="s">
        <v>23</v>
      </c>
      <c r="R865" s="25" t="s">
        <v>23</v>
      </c>
      <c r="S865" s="4">
        <v>0.63</v>
      </c>
      <c r="T865" s="26">
        <v>0.63</v>
      </c>
    </row>
    <row r="866" spans="1:20" x14ac:dyDescent="0.3">
      <c r="A866" s="27" t="s">
        <v>1829</v>
      </c>
      <c r="B866" s="4" t="s">
        <v>1830</v>
      </c>
      <c r="C866" s="4" t="s">
        <v>28</v>
      </c>
      <c r="D866" s="25" t="s">
        <v>97</v>
      </c>
      <c r="E866" s="4">
        <v>39</v>
      </c>
      <c r="F866" s="25">
        <v>39</v>
      </c>
      <c r="G866" s="4" t="s">
        <v>128</v>
      </c>
      <c r="H866" s="25" t="s">
        <v>128</v>
      </c>
      <c r="I866" s="4" t="s">
        <v>31</v>
      </c>
      <c r="J866" s="25" t="s">
        <v>31</v>
      </c>
      <c r="K866" s="4">
        <v>18</v>
      </c>
      <c r="L866" s="25">
        <v>18</v>
      </c>
      <c r="M866" s="4" t="s">
        <v>162</v>
      </c>
      <c r="N866" s="25" t="s">
        <v>162</v>
      </c>
      <c r="O866" s="4">
        <v>2.5</v>
      </c>
      <c r="P866" s="25">
        <v>2.5</v>
      </c>
      <c r="Q866" s="4" t="s">
        <v>87</v>
      </c>
      <c r="R866" s="25" t="s">
        <v>87</v>
      </c>
      <c r="S866" s="4">
        <v>0.61</v>
      </c>
      <c r="T866" s="26">
        <v>0.61</v>
      </c>
    </row>
    <row r="867" spans="1:20" x14ac:dyDescent="0.3">
      <c r="A867" s="27" t="s">
        <v>1831</v>
      </c>
      <c r="B867" s="4" t="s">
        <v>1832</v>
      </c>
      <c r="C867" s="4" t="s">
        <v>78</v>
      </c>
      <c r="D867" s="25" t="s">
        <v>118</v>
      </c>
      <c r="E867" s="4">
        <v>55</v>
      </c>
      <c r="F867" s="25">
        <v>55</v>
      </c>
      <c r="G867" s="4" t="s">
        <v>145</v>
      </c>
      <c r="H867" s="25" t="s">
        <v>145</v>
      </c>
      <c r="I867" s="4" t="s">
        <v>31</v>
      </c>
      <c r="J867" s="25" t="s">
        <v>31</v>
      </c>
      <c r="K867" s="4">
        <v>2</v>
      </c>
      <c r="L867" s="25">
        <v>2</v>
      </c>
      <c r="M867" s="4" t="s">
        <v>81</v>
      </c>
      <c r="N867" s="25" t="s">
        <v>81</v>
      </c>
      <c r="O867" s="4">
        <v>3.9</v>
      </c>
      <c r="P867" s="25">
        <v>3.9</v>
      </c>
      <c r="Q867" s="4" t="s">
        <v>87</v>
      </c>
      <c r="R867" s="25" t="s">
        <v>87</v>
      </c>
      <c r="S867" s="4">
        <v>0.88</v>
      </c>
      <c r="T867" s="26">
        <v>0.88</v>
      </c>
    </row>
    <row r="868" spans="1:20" x14ac:dyDescent="0.3">
      <c r="A868" s="27" t="s">
        <v>1833</v>
      </c>
      <c r="B868" s="4" t="s">
        <v>1834</v>
      </c>
      <c r="C868" s="4" t="s">
        <v>63</v>
      </c>
      <c r="D868" s="25" t="s">
        <v>118</v>
      </c>
      <c r="E868" s="4">
        <v>55</v>
      </c>
      <c r="F868" s="25">
        <v>55</v>
      </c>
      <c r="G868" s="4" t="s">
        <v>79</v>
      </c>
      <c r="H868" s="25" t="s">
        <v>79</v>
      </c>
      <c r="I868" s="4" t="s">
        <v>98</v>
      </c>
      <c r="J868" s="25" t="s">
        <v>98</v>
      </c>
      <c r="L868" s="25" t="s">
        <v>2120</v>
      </c>
      <c r="M868" s="4" t="s">
        <v>32</v>
      </c>
      <c r="N868" s="25" t="s">
        <v>32</v>
      </c>
      <c r="O868" s="4">
        <v>1.2</v>
      </c>
      <c r="P868" s="25">
        <v>1.2</v>
      </c>
      <c r="Q868" s="4" t="s">
        <v>33</v>
      </c>
      <c r="R868" s="25" t="s">
        <v>33</v>
      </c>
      <c r="S868" s="4">
        <v>0.69</v>
      </c>
      <c r="T868" s="26">
        <v>0.69</v>
      </c>
    </row>
    <row r="869" spans="1:20" x14ac:dyDescent="0.3">
      <c r="A869" s="27" t="s">
        <v>1835</v>
      </c>
      <c r="B869" s="4" t="s">
        <v>1836</v>
      </c>
      <c r="C869" s="4" t="s">
        <v>118</v>
      </c>
      <c r="D869" s="25" t="s">
        <v>118</v>
      </c>
      <c r="E869" s="4">
        <v>40</v>
      </c>
      <c r="F869" s="25">
        <v>40</v>
      </c>
      <c r="G869" s="4" t="s">
        <v>64</v>
      </c>
      <c r="H869" s="25" t="s">
        <v>64</v>
      </c>
      <c r="I869" s="4" t="s">
        <v>66</v>
      </c>
      <c r="J869" s="25" t="s">
        <v>66</v>
      </c>
      <c r="K869" s="4">
        <v>2</v>
      </c>
      <c r="L869" s="25">
        <v>2</v>
      </c>
      <c r="M869" s="4" t="s">
        <v>103</v>
      </c>
      <c r="N869" s="25" t="s">
        <v>103</v>
      </c>
      <c r="O869" s="4">
        <v>4.5</v>
      </c>
      <c r="P869" s="25">
        <v>4.5</v>
      </c>
      <c r="Q869" s="4" t="s">
        <v>87</v>
      </c>
      <c r="R869" s="25" t="s">
        <v>87</v>
      </c>
      <c r="T869" s="26" t="s">
        <v>2120</v>
      </c>
    </row>
    <row r="870" spans="1:20" x14ac:dyDescent="0.3">
      <c r="A870" s="27" t="s">
        <v>1837</v>
      </c>
      <c r="B870" s="4" t="s">
        <v>1838</v>
      </c>
      <c r="C870" s="4" t="s">
        <v>18</v>
      </c>
      <c r="D870" s="25" t="s">
        <v>97</v>
      </c>
      <c r="E870" s="4">
        <v>56</v>
      </c>
      <c r="F870" s="25">
        <v>56</v>
      </c>
      <c r="G870" s="4" t="s">
        <v>197</v>
      </c>
      <c r="H870" s="25" t="s">
        <v>197</v>
      </c>
      <c r="I870" s="4" t="s">
        <v>93</v>
      </c>
      <c r="J870" s="25" t="s">
        <v>93</v>
      </c>
      <c r="K870" s="4">
        <v>35</v>
      </c>
      <c r="L870" s="25">
        <v>35</v>
      </c>
      <c r="M870" s="4" t="s">
        <v>47</v>
      </c>
      <c r="N870" s="25" t="s">
        <v>47</v>
      </c>
      <c r="O870" s="4">
        <v>2.7</v>
      </c>
      <c r="P870" s="25">
        <v>2.7</v>
      </c>
      <c r="Q870" s="4" t="s">
        <v>74</v>
      </c>
      <c r="R870" s="25" t="s">
        <v>74</v>
      </c>
      <c r="S870" s="4">
        <v>0.82</v>
      </c>
      <c r="T870" s="26">
        <v>0.82</v>
      </c>
    </row>
    <row r="871" spans="1:20" x14ac:dyDescent="0.3">
      <c r="A871" s="27" t="s">
        <v>1839</v>
      </c>
      <c r="B871" s="4" t="s">
        <v>1840</v>
      </c>
      <c r="C871" s="4" t="s">
        <v>78</v>
      </c>
      <c r="D871" s="25" t="s">
        <v>118</v>
      </c>
      <c r="E871" s="4">
        <v>57</v>
      </c>
      <c r="F871" s="25">
        <v>57</v>
      </c>
      <c r="G871" s="4" t="s">
        <v>201</v>
      </c>
      <c r="H871" s="25" t="s">
        <v>201</v>
      </c>
      <c r="I871" s="4" t="s">
        <v>31</v>
      </c>
      <c r="J871" s="25" t="s">
        <v>31</v>
      </c>
      <c r="K871" s="4">
        <v>21</v>
      </c>
      <c r="L871" s="25">
        <v>21</v>
      </c>
      <c r="M871" s="4" t="s">
        <v>103</v>
      </c>
      <c r="N871" s="25" t="s">
        <v>103</v>
      </c>
      <c r="O871" s="4">
        <v>2</v>
      </c>
      <c r="P871" s="25">
        <v>2</v>
      </c>
      <c r="Q871" s="4" t="s">
        <v>41</v>
      </c>
      <c r="R871" s="25" t="s">
        <v>41</v>
      </c>
      <c r="S871" s="4">
        <v>0.96</v>
      </c>
      <c r="T871" s="26">
        <v>0.96</v>
      </c>
    </row>
    <row r="872" spans="1:20" x14ac:dyDescent="0.3">
      <c r="A872" s="27" t="s">
        <v>1841</v>
      </c>
      <c r="B872" s="4" t="s">
        <v>1842</v>
      </c>
      <c r="C872" s="4" t="s">
        <v>45</v>
      </c>
      <c r="D872" s="25" t="s">
        <v>97</v>
      </c>
      <c r="E872" s="4">
        <v>56</v>
      </c>
      <c r="F872" s="25">
        <v>56</v>
      </c>
      <c r="G872" s="4" t="s">
        <v>145</v>
      </c>
      <c r="H872" s="25" t="s">
        <v>145</v>
      </c>
      <c r="I872" s="4" t="s">
        <v>110</v>
      </c>
      <c r="J872" s="25" t="s">
        <v>110</v>
      </c>
      <c r="K872" s="4">
        <v>3</v>
      </c>
      <c r="L872" s="25">
        <v>3</v>
      </c>
      <c r="M872" s="4" t="s">
        <v>47</v>
      </c>
      <c r="N872" s="25" t="s">
        <v>47</v>
      </c>
      <c r="O872" s="4">
        <v>1.7</v>
      </c>
      <c r="P872" s="25">
        <v>1.7</v>
      </c>
      <c r="Q872" s="4" t="s">
        <v>41</v>
      </c>
      <c r="R872" s="25" t="s">
        <v>41</v>
      </c>
      <c r="S872" s="4">
        <v>0.71</v>
      </c>
      <c r="T872" s="26">
        <v>0.71</v>
      </c>
    </row>
    <row r="873" spans="1:20" x14ac:dyDescent="0.3">
      <c r="A873" s="27" t="s">
        <v>1843</v>
      </c>
      <c r="B873" s="4" t="s">
        <v>1844</v>
      </c>
      <c r="C873" s="4" t="s">
        <v>18</v>
      </c>
      <c r="D873" s="25" t="s">
        <v>97</v>
      </c>
      <c r="E873" s="4">
        <v>49</v>
      </c>
      <c r="F873" s="25">
        <v>49</v>
      </c>
      <c r="G873" s="4" t="s">
        <v>38</v>
      </c>
      <c r="H873" s="25" t="s">
        <v>38</v>
      </c>
      <c r="I873" s="4" t="s">
        <v>31</v>
      </c>
      <c r="J873" s="25" t="s">
        <v>31</v>
      </c>
      <c r="K873" s="4">
        <v>24</v>
      </c>
      <c r="L873" s="25">
        <v>24</v>
      </c>
      <c r="M873" s="4" t="s">
        <v>192</v>
      </c>
      <c r="N873" s="25" t="s">
        <v>192</v>
      </c>
      <c r="O873" s="4">
        <v>3</v>
      </c>
      <c r="P873" s="25">
        <v>3</v>
      </c>
      <c r="Q873" s="4" t="s">
        <v>33</v>
      </c>
      <c r="R873" s="25" t="s">
        <v>33</v>
      </c>
      <c r="S873" s="4">
        <v>0.77</v>
      </c>
      <c r="T873" s="26">
        <v>0.77</v>
      </c>
    </row>
    <row r="874" spans="1:20" x14ac:dyDescent="0.3">
      <c r="A874" s="27" t="s">
        <v>1845</v>
      </c>
      <c r="B874" s="4" t="s">
        <v>1846</v>
      </c>
      <c r="C874" s="4" t="s">
        <v>78</v>
      </c>
      <c r="D874" s="25" t="s">
        <v>118</v>
      </c>
      <c r="E874" s="4">
        <v>26</v>
      </c>
      <c r="F874" s="25">
        <v>26</v>
      </c>
      <c r="G874" s="4" t="s">
        <v>212</v>
      </c>
      <c r="H874" s="25" t="s">
        <v>212</v>
      </c>
      <c r="I874" s="4" t="s">
        <v>21</v>
      </c>
      <c r="J874" s="25" t="s">
        <v>21</v>
      </c>
      <c r="L874" s="25" t="s">
        <v>2120</v>
      </c>
      <c r="M874" s="4" t="s">
        <v>192</v>
      </c>
      <c r="N874" s="25" t="s">
        <v>192</v>
      </c>
      <c r="O874" s="4">
        <v>2.1</v>
      </c>
      <c r="P874" s="25">
        <v>2.1</v>
      </c>
      <c r="Q874" s="4" t="s">
        <v>87</v>
      </c>
      <c r="R874" s="25" t="s">
        <v>87</v>
      </c>
      <c r="T874" s="26" t="s">
        <v>2120</v>
      </c>
    </row>
    <row r="875" spans="1:20" x14ac:dyDescent="0.3">
      <c r="A875" s="27" t="s">
        <v>1847</v>
      </c>
      <c r="B875" s="4" t="s">
        <v>1848</v>
      </c>
      <c r="C875" s="4" t="s">
        <v>97</v>
      </c>
      <c r="D875" s="25" t="s">
        <v>97</v>
      </c>
      <c r="E875" s="4">
        <v>36</v>
      </c>
      <c r="F875" s="25">
        <v>36</v>
      </c>
      <c r="G875" s="4" t="s">
        <v>133</v>
      </c>
      <c r="H875" s="25" t="s">
        <v>133</v>
      </c>
      <c r="I875" s="4" t="s">
        <v>93</v>
      </c>
      <c r="J875" s="25" t="s">
        <v>93</v>
      </c>
      <c r="K875" s="4">
        <v>0</v>
      </c>
      <c r="L875" s="25">
        <v>0</v>
      </c>
      <c r="M875" s="4" t="s">
        <v>103</v>
      </c>
      <c r="N875" s="25" t="s">
        <v>103</v>
      </c>
      <c r="O875" s="4">
        <v>1.5</v>
      </c>
      <c r="P875" s="25">
        <v>1.5</v>
      </c>
      <c r="Q875" s="4" t="s">
        <v>51</v>
      </c>
      <c r="R875" s="25" t="s">
        <v>2120</v>
      </c>
      <c r="S875" s="4">
        <v>0.73</v>
      </c>
      <c r="T875" s="26">
        <v>0.73</v>
      </c>
    </row>
    <row r="876" spans="1:20" x14ac:dyDescent="0.3">
      <c r="A876" s="27" t="s">
        <v>1849</v>
      </c>
      <c r="B876" s="4" t="s">
        <v>1850</v>
      </c>
      <c r="C876" s="4" t="s">
        <v>113</v>
      </c>
      <c r="D876" s="25" t="s">
        <v>118</v>
      </c>
      <c r="E876" s="4">
        <v>20</v>
      </c>
      <c r="F876" s="25">
        <v>20</v>
      </c>
      <c r="G876" s="4" t="s">
        <v>145</v>
      </c>
      <c r="H876" s="25" t="s">
        <v>145</v>
      </c>
      <c r="I876" s="4" t="s">
        <v>46</v>
      </c>
      <c r="J876" s="25" t="s">
        <v>46</v>
      </c>
      <c r="K876" s="4">
        <v>2</v>
      </c>
      <c r="L876" s="25">
        <v>2</v>
      </c>
      <c r="M876" s="4" t="s">
        <v>130</v>
      </c>
      <c r="N876" s="25" t="s">
        <v>130</v>
      </c>
      <c r="O876" s="4">
        <v>1.7</v>
      </c>
      <c r="P876" s="25">
        <v>1.7</v>
      </c>
      <c r="Q876" s="4" t="s">
        <v>74</v>
      </c>
      <c r="R876" s="25" t="s">
        <v>74</v>
      </c>
      <c r="S876" s="4">
        <v>0.6</v>
      </c>
      <c r="T876" s="26">
        <v>0.6</v>
      </c>
    </row>
    <row r="877" spans="1:20" x14ac:dyDescent="0.3">
      <c r="A877" s="27" t="s">
        <v>1851</v>
      </c>
      <c r="B877" s="4" t="s">
        <v>1852</v>
      </c>
      <c r="C877" s="4" t="s">
        <v>18</v>
      </c>
      <c r="D877" s="25" t="s">
        <v>97</v>
      </c>
      <c r="E877" s="4">
        <v>40</v>
      </c>
      <c r="F877" s="25">
        <v>40</v>
      </c>
      <c r="G877" s="4" t="s">
        <v>212</v>
      </c>
      <c r="H877" s="25" t="s">
        <v>212</v>
      </c>
      <c r="I877" s="4" t="s">
        <v>57</v>
      </c>
      <c r="J877" s="25" t="s">
        <v>57</v>
      </c>
      <c r="L877" s="25" t="s">
        <v>2120</v>
      </c>
      <c r="M877" s="4" t="s">
        <v>51</v>
      </c>
      <c r="N877" s="25" t="s">
        <v>2119</v>
      </c>
      <c r="O877" s="4">
        <v>1.2</v>
      </c>
      <c r="P877" s="25">
        <v>1.2</v>
      </c>
      <c r="Q877" s="4" t="s">
        <v>33</v>
      </c>
      <c r="R877" s="25" t="s">
        <v>33</v>
      </c>
      <c r="S877" s="4">
        <v>0.67</v>
      </c>
      <c r="T877" s="26">
        <v>0.67</v>
      </c>
    </row>
    <row r="878" spans="1:20" x14ac:dyDescent="0.3">
      <c r="A878" s="27" t="s">
        <v>1853</v>
      </c>
      <c r="B878" s="4" t="s">
        <v>1854</v>
      </c>
      <c r="C878" s="4" t="s">
        <v>50</v>
      </c>
      <c r="D878" s="25" t="s">
        <v>97</v>
      </c>
      <c r="E878" s="4">
        <v>30</v>
      </c>
      <c r="F878" s="25">
        <v>30</v>
      </c>
      <c r="G878" s="4" t="s">
        <v>114</v>
      </c>
      <c r="H878" s="25" t="s">
        <v>114</v>
      </c>
      <c r="I878" s="4" t="s">
        <v>31</v>
      </c>
      <c r="J878" s="25" t="s">
        <v>31</v>
      </c>
      <c r="K878" s="4">
        <v>6</v>
      </c>
      <c r="L878" s="25">
        <v>6</v>
      </c>
      <c r="M878" s="4" t="s">
        <v>103</v>
      </c>
      <c r="N878" s="25" t="s">
        <v>103</v>
      </c>
      <c r="O878" s="4">
        <v>0</v>
      </c>
      <c r="P878" s="25">
        <v>0</v>
      </c>
      <c r="Q878" s="4" t="s">
        <v>59</v>
      </c>
      <c r="R878" s="25" t="s">
        <v>59</v>
      </c>
      <c r="S878" s="4">
        <v>0.8</v>
      </c>
      <c r="T878" s="26">
        <v>0.8</v>
      </c>
    </row>
    <row r="879" spans="1:20" x14ac:dyDescent="0.3">
      <c r="A879" s="27" t="s">
        <v>1855</v>
      </c>
      <c r="B879" s="4" t="s">
        <v>1856</v>
      </c>
      <c r="C879" s="4" t="s">
        <v>118</v>
      </c>
      <c r="D879" s="25" t="s">
        <v>118</v>
      </c>
      <c r="E879" s="4">
        <v>51</v>
      </c>
      <c r="F879" s="25">
        <v>51</v>
      </c>
      <c r="G879" s="4" t="s">
        <v>29</v>
      </c>
      <c r="H879" s="25" t="s">
        <v>29</v>
      </c>
      <c r="I879" s="4" t="s">
        <v>39</v>
      </c>
      <c r="J879" s="25" t="s">
        <v>39</v>
      </c>
      <c r="K879" s="4">
        <v>21</v>
      </c>
      <c r="L879" s="25">
        <v>21</v>
      </c>
      <c r="M879" s="4" t="s">
        <v>162</v>
      </c>
      <c r="N879" s="25" t="s">
        <v>162</v>
      </c>
      <c r="P879" s="25" t="s">
        <v>2120</v>
      </c>
      <c r="Q879" s="4" t="s">
        <v>94</v>
      </c>
      <c r="R879" s="25" t="s">
        <v>94</v>
      </c>
      <c r="T879" s="26" t="s">
        <v>2120</v>
      </c>
    </row>
    <row r="880" spans="1:20" x14ac:dyDescent="0.3">
      <c r="A880" s="27" t="s">
        <v>1857</v>
      </c>
      <c r="B880" s="4" t="s">
        <v>1858</v>
      </c>
      <c r="C880" s="4" t="s">
        <v>118</v>
      </c>
      <c r="D880" s="25" t="s">
        <v>118</v>
      </c>
      <c r="E880" s="4">
        <v>46</v>
      </c>
      <c r="F880" s="25">
        <v>46</v>
      </c>
      <c r="G880" s="4" t="s">
        <v>73</v>
      </c>
      <c r="H880" s="25" t="s">
        <v>73</v>
      </c>
      <c r="I880" s="4" t="s">
        <v>93</v>
      </c>
      <c r="J880" s="25" t="s">
        <v>93</v>
      </c>
      <c r="K880" s="4">
        <v>24</v>
      </c>
      <c r="L880" s="25">
        <v>24</v>
      </c>
      <c r="M880" s="4" t="s">
        <v>86</v>
      </c>
      <c r="N880" s="25" t="s">
        <v>86</v>
      </c>
      <c r="O880" s="4">
        <v>3.3</v>
      </c>
      <c r="P880" s="25">
        <v>3.3</v>
      </c>
      <c r="Q880" s="4" t="s">
        <v>33</v>
      </c>
      <c r="R880" s="25" t="s">
        <v>33</v>
      </c>
      <c r="S880" s="4">
        <v>0.87</v>
      </c>
      <c r="T880" s="26">
        <v>0.87</v>
      </c>
    </row>
    <row r="881" spans="1:20" x14ac:dyDescent="0.3">
      <c r="A881" s="27" t="s">
        <v>1859</v>
      </c>
      <c r="B881" s="4" t="s">
        <v>1860</v>
      </c>
      <c r="C881" s="4" t="s">
        <v>28</v>
      </c>
      <c r="D881" s="25" t="s">
        <v>97</v>
      </c>
      <c r="E881" s="4">
        <v>25</v>
      </c>
      <c r="F881" s="25">
        <v>25</v>
      </c>
      <c r="G881" s="4" t="s">
        <v>133</v>
      </c>
      <c r="H881" s="25" t="s">
        <v>133</v>
      </c>
      <c r="I881" s="4" t="s">
        <v>57</v>
      </c>
      <c r="J881" s="25" t="s">
        <v>57</v>
      </c>
      <c r="K881" s="4">
        <v>6</v>
      </c>
      <c r="L881" s="25">
        <v>6</v>
      </c>
      <c r="M881" s="4" t="s">
        <v>162</v>
      </c>
      <c r="N881" s="25" t="s">
        <v>162</v>
      </c>
      <c r="O881" s="4">
        <v>2.1</v>
      </c>
      <c r="P881" s="25">
        <v>2.1</v>
      </c>
      <c r="Q881" s="4" t="s">
        <v>181</v>
      </c>
      <c r="R881" s="25" t="s">
        <v>181</v>
      </c>
      <c r="T881" s="26" t="s">
        <v>2120</v>
      </c>
    </row>
    <row r="882" spans="1:20" x14ac:dyDescent="0.3">
      <c r="A882" s="27" t="s">
        <v>1861</v>
      </c>
      <c r="B882" s="4" t="s">
        <v>1862</v>
      </c>
      <c r="C882" s="4" t="s">
        <v>37</v>
      </c>
      <c r="D882" s="25" t="s">
        <v>118</v>
      </c>
      <c r="E882" s="4">
        <v>53</v>
      </c>
      <c r="F882" s="25">
        <v>53</v>
      </c>
      <c r="G882" s="4" t="s">
        <v>55</v>
      </c>
      <c r="H882" s="25" t="s">
        <v>55</v>
      </c>
      <c r="I882" s="4" t="s">
        <v>46</v>
      </c>
      <c r="J882" s="25" t="s">
        <v>46</v>
      </c>
      <c r="K882" s="4">
        <v>32</v>
      </c>
      <c r="L882" s="25">
        <v>32</v>
      </c>
      <c r="M882" s="4" t="s">
        <v>40</v>
      </c>
      <c r="N882" s="25" t="s">
        <v>40</v>
      </c>
      <c r="P882" s="25" t="s">
        <v>2120</v>
      </c>
      <c r="Q882" s="4" t="s">
        <v>33</v>
      </c>
      <c r="R882" s="25" t="s">
        <v>33</v>
      </c>
      <c r="T882" s="26" t="s">
        <v>2120</v>
      </c>
    </row>
    <row r="883" spans="1:20" x14ac:dyDescent="0.3">
      <c r="A883" s="27" t="s">
        <v>1863</v>
      </c>
      <c r="B883" s="4" t="s">
        <v>1864</v>
      </c>
      <c r="C883" s="4" t="s">
        <v>28</v>
      </c>
      <c r="D883" s="25" t="s">
        <v>97</v>
      </c>
      <c r="E883" s="4">
        <v>50</v>
      </c>
      <c r="F883" s="25">
        <v>50</v>
      </c>
      <c r="G883" s="4" t="s">
        <v>160</v>
      </c>
      <c r="H883" s="25" t="s">
        <v>160</v>
      </c>
      <c r="I883" s="4" t="s">
        <v>31</v>
      </c>
      <c r="J883" s="25" t="s">
        <v>31</v>
      </c>
      <c r="K883" s="4">
        <v>31</v>
      </c>
      <c r="L883" s="25">
        <v>31</v>
      </c>
      <c r="M883" s="4" t="s">
        <v>32</v>
      </c>
      <c r="N883" s="25" t="s">
        <v>32</v>
      </c>
      <c r="O883" s="4">
        <v>2.9</v>
      </c>
      <c r="P883" s="25">
        <v>2.9</v>
      </c>
      <c r="Q883" s="4" t="s">
        <v>94</v>
      </c>
      <c r="R883" s="25" t="s">
        <v>94</v>
      </c>
      <c r="S883" s="4">
        <v>0.89</v>
      </c>
      <c r="T883" s="26">
        <v>0.89</v>
      </c>
    </row>
    <row r="884" spans="1:20" x14ac:dyDescent="0.3">
      <c r="A884" s="27" t="s">
        <v>1865</v>
      </c>
      <c r="B884" s="4" t="s">
        <v>1866</v>
      </c>
      <c r="C884" s="4" t="s">
        <v>37</v>
      </c>
      <c r="D884" s="25" t="s">
        <v>118</v>
      </c>
      <c r="E884" s="4">
        <v>45</v>
      </c>
      <c r="F884" s="25">
        <v>45</v>
      </c>
      <c r="G884" s="4" t="s">
        <v>133</v>
      </c>
      <c r="H884" s="25" t="s">
        <v>133</v>
      </c>
      <c r="I884" s="4" t="s">
        <v>57</v>
      </c>
      <c r="J884" s="25" t="s">
        <v>57</v>
      </c>
      <c r="L884" s="25" t="s">
        <v>2120</v>
      </c>
      <c r="M884" s="4" t="s">
        <v>336</v>
      </c>
      <c r="N884" s="25" t="s">
        <v>336</v>
      </c>
      <c r="O884" s="4">
        <v>3.3</v>
      </c>
      <c r="P884" s="25">
        <v>3.3</v>
      </c>
      <c r="Q884" s="4" t="s">
        <v>74</v>
      </c>
      <c r="R884" s="25" t="s">
        <v>74</v>
      </c>
      <c r="S884" s="4">
        <v>0.93</v>
      </c>
      <c r="T884" s="26">
        <v>0.93</v>
      </c>
    </row>
    <row r="885" spans="1:20" x14ac:dyDescent="0.3">
      <c r="A885" s="27" t="s">
        <v>1867</v>
      </c>
      <c r="B885" s="4" t="s">
        <v>1868</v>
      </c>
      <c r="C885" s="4" t="s">
        <v>45</v>
      </c>
      <c r="D885" s="25" t="s">
        <v>97</v>
      </c>
      <c r="E885" s="4">
        <v>48</v>
      </c>
      <c r="F885" s="25">
        <v>48</v>
      </c>
      <c r="G885" s="4" t="s">
        <v>149</v>
      </c>
      <c r="H885" s="25" t="s">
        <v>149</v>
      </c>
      <c r="I885" s="4" t="s">
        <v>98</v>
      </c>
      <c r="J885" s="25" t="s">
        <v>98</v>
      </c>
      <c r="K885" s="4">
        <v>24</v>
      </c>
      <c r="L885" s="25">
        <v>24</v>
      </c>
      <c r="M885" s="4" t="s">
        <v>22</v>
      </c>
      <c r="N885" s="25" t="s">
        <v>22</v>
      </c>
      <c r="O885" s="4">
        <v>4.8</v>
      </c>
      <c r="P885" s="25">
        <v>4.8</v>
      </c>
      <c r="Q885" s="4" t="s">
        <v>33</v>
      </c>
      <c r="R885" s="25" t="s">
        <v>33</v>
      </c>
      <c r="S885" s="4">
        <v>0.84</v>
      </c>
      <c r="T885" s="26">
        <v>0.84</v>
      </c>
    </row>
    <row r="886" spans="1:20" x14ac:dyDescent="0.3">
      <c r="A886" s="27" t="s">
        <v>1869</v>
      </c>
      <c r="B886" s="4" t="s">
        <v>1870</v>
      </c>
      <c r="C886" s="4" t="s">
        <v>78</v>
      </c>
      <c r="D886" s="25" t="s">
        <v>118</v>
      </c>
      <c r="E886" s="4">
        <v>30</v>
      </c>
      <c r="F886" s="25">
        <v>30</v>
      </c>
      <c r="G886" s="4" t="s">
        <v>64</v>
      </c>
      <c r="H886" s="25" t="s">
        <v>64</v>
      </c>
      <c r="I886" s="4" t="s">
        <v>110</v>
      </c>
      <c r="J886" s="25" t="s">
        <v>110</v>
      </c>
      <c r="L886" s="25" t="s">
        <v>2120</v>
      </c>
      <c r="M886" s="4" t="s">
        <v>251</v>
      </c>
      <c r="N886" s="25" t="s">
        <v>251</v>
      </c>
      <c r="O886" s="4">
        <v>4.5</v>
      </c>
      <c r="P886" s="25">
        <v>4.5</v>
      </c>
      <c r="Q886" s="4" t="s">
        <v>51</v>
      </c>
      <c r="R886" s="25" t="s">
        <v>2120</v>
      </c>
      <c r="S886" s="4">
        <v>0.78</v>
      </c>
      <c r="T886" s="26">
        <v>0.78</v>
      </c>
    </row>
    <row r="887" spans="1:20" x14ac:dyDescent="0.3">
      <c r="A887" s="27" t="s">
        <v>1871</v>
      </c>
      <c r="B887" s="4" t="s">
        <v>589</v>
      </c>
      <c r="C887" s="4" t="s">
        <v>45</v>
      </c>
      <c r="D887" s="25" t="s">
        <v>97</v>
      </c>
      <c r="E887" s="4">
        <v>33</v>
      </c>
      <c r="F887" s="25">
        <v>33</v>
      </c>
      <c r="G887" s="4" t="s">
        <v>55</v>
      </c>
      <c r="H887" s="25" t="s">
        <v>55</v>
      </c>
      <c r="I887" s="4" t="s">
        <v>93</v>
      </c>
      <c r="J887" s="25" t="s">
        <v>93</v>
      </c>
      <c r="K887" s="4">
        <v>6</v>
      </c>
      <c r="L887" s="25">
        <v>6</v>
      </c>
      <c r="M887" s="4" t="s">
        <v>81</v>
      </c>
      <c r="N887" s="25" t="s">
        <v>81</v>
      </c>
      <c r="O887" s="4">
        <v>3.1</v>
      </c>
      <c r="P887" s="25">
        <v>3.1</v>
      </c>
      <c r="Q887" s="4" t="s">
        <v>181</v>
      </c>
      <c r="R887" s="25" t="s">
        <v>181</v>
      </c>
      <c r="S887" s="4">
        <v>0.9</v>
      </c>
      <c r="T887" s="26">
        <v>0.9</v>
      </c>
    </row>
    <row r="888" spans="1:20" x14ac:dyDescent="0.3">
      <c r="A888" s="27" t="s">
        <v>1872</v>
      </c>
      <c r="B888" s="4" t="s">
        <v>1873</v>
      </c>
      <c r="C888" s="4" t="s">
        <v>45</v>
      </c>
      <c r="D888" s="25" t="s">
        <v>97</v>
      </c>
      <c r="E888" s="4">
        <v>50</v>
      </c>
      <c r="F888" s="25">
        <v>50</v>
      </c>
      <c r="G888" s="4" t="s">
        <v>85</v>
      </c>
      <c r="H888" s="25" t="s">
        <v>85</v>
      </c>
      <c r="I888" s="4" t="s">
        <v>110</v>
      </c>
      <c r="J888" s="25" t="s">
        <v>110</v>
      </c>
      <c r="K888" s="4">
        <v>11</v>
      </c>
      <c r="L888" s="25">
        <v>11</v>
      </c>
      <c r="M888" s="4" t="s">
        <v>51</v>
      </c>
      <c r="N888" s="25" t="s">
        <v>2119</v>
      </c>
      <c r="O888" s="4">
        <v>4.9000000000000004</v>
      </c>
      <c r="P888" s="25">
        <v>4.9000000000000004</v>
      </c>
      <c r="Q888" s="4" t="s">
        <v>33</v>
      </c>
      <c r="R888" s="25" t="s">
        <v>33</v>
      </c>
      <c r="S888" s="4">
        <v>0.88</v>
      </c>
      <c r="T888" s="26">
        <v>0.88</v>
      </c>
    </row>
    <row r="889" spans="1:20" x14ac:dyDescent="0.3">
      <c r="A889" s="27" t="s">
        <v>1874</v>
      </c>
      <c r="B889" s="4" t="s">
        <v>1875</v>
      </c>
      <c r="C889" s="4" t="s">
        <v>97</v>
      </c>
      <c r="D889" s="25" t="s">
        <v>97</v>
      </c>
      <c r="E889" s="4">
        <v>24</v>
      </c>
      <c r="F889" s="25">
        <v>24</v>
      </c>
      <c r="G889" s="4" t="s">
        <v>64</v>
      </c>
      <c r="H889" s="25" t="s">
        <v>64</v>
      </c>
      <c r="I889" s="4" t="s">
        <v>66</v>
      </c>
      <c r="J889" s="25" t="s">
        <v>66</v>
      </c>
      <c r="L889" s="25" t="s">
        <v>2120</v>
      </c>
      <c r="M889" s="4" t="s">
        <v>142</v>
      </c>
      <c r="N889" s="25" t="s">
        <v>142</v>
      </c>
      <c r="O889" s="4">
        <v>0</v>
      </c>
      <c r="P889" s="25">
        <v>0</v>
      </c>
      <c r="Q889" s="4" t="s">
        <v>23</v>
      </c>
      <c r="R889" s="25" t="s">
        <v>23</v>
      </c>
      <c r="S889" s="4">
        <v>0.76</v>
      </c>
      <c r="T889" s="26">
        <v>0.76</v>
      </c>
    </row>
    <row r="890" spans="1:20" x14ac:dyDescent="0.3">
      <c r="A890" s="27" t="s">
        <v>1876</v>
      </c>
      <c r="B890" s="4" t="s">
        <v>1877</v>
      </c>
      <c r="C890" s="4" t="s">
        <v>37</v>
      </c>
      <c r="D890" s="25" t="s">
        <v>118</v>
      </c>
      <c r="E890" s="4">
        <v>38</v>
      </c>
      <c r="F890" s="25">
        <v>38</v>
      </c>
      <c r="G890" s="4" t="s">
        <v>19</v>
      </c>
      <c r="H890" s="25" t="s">
        <v>19</v>
      </c>
      <c r="I890" s="4" t="s">
        <v>46</v>
      </c>
      <c r="J890" s="25" t="s">
        <v>46</v>
      </c>
      <c r="K890" s="4">
        <v>14</v>
      </c>
      <c r="L890" s="25">
        <v>14</v>
      </c>
      <c r="M890" s="4" t="s">
        <v>103</v>
      </c>
      <c r="N890" s="25" t="s">
        <v>103</v>
      </c>
      <c r="O890" s="4">
        <v>1.5</v>
      </c>
      <c r="P890" s="25">
        <v>1.5</v>
      </c>
      <c r="Q890" s="4" t="s">
        <v>41</v>
      </c>
      <c r="R890" s="25" t="s">
        <v>41</v>
      </c>
      <c r="S890" s="4">
        <v>0.62</v>
      </c>
      <c r="T890" s="26">
        <v>0.62</v>
      </c>
    </row>
    <row r="891" spans="1:20" x14ac:dyDescent="0.3">
      <c r="A891" s="27" t="s">
        <v>1878</v>
      </c>
      <c r="B891" s="4" t="s">
        <v>1879</v>
      </c>
      <c r="C891" s="4" t="s">
        <v>78</v>
      </c>
      <c r="D891" s="25" t="s">
        <v>118</v>
      </c>
      <c r="E891" s="4">
        <v>56</v>
      </c>
      <c r="F891" s="25">
        <v>56</v>
      </c>
      <c r="G891" s="4" t="s">
        <v>106</v>
      </c>
      <c r="H891" s="25" t="s">
        <v>106</v>
      </c>
      <c r="I891" s="4" t="s">
        <v>110</v>
      </c>
      <c r="J891" s="25" t="s">
        <v>110</v>
      </c>
      <c r="K891" s="4">
        <v>2</v>
      </c>
      <c r="L891" s="25">
        <v>2</v>
      </c>
      <c r="M891" s="4" t="s">
        <v>192</v>
      </c>
      <c r="N891" s="25" t="s">
        <v>192</v>
      </c>
      <c r="O891" s="4">
        <v>2.4</v>
      </c>
      <c r="P891" s="25">
        <v>2.4</v>
      </c>
      <c r="Q891" s="4" t="s">
        <v>41</v>
      </c>
      <c r="R891" s="25" t="s">
        <v>41</v>
      </c>
      <c r="T891" s="26" t="s">
        <v>2120</v>
      </c>
    </row>
    <row r="892" spans="1:20" x14ac:dyDescent="0.3">
      <c r="A892" s="27" t="s">
        <v>1880</v>
      </c>
      <c r="B892" s="4" t="s">
        <v>1881</v>
      </c>
      <c r="C892" s="4" t="s">
        <v>18</v>
      </c>
      <c r="D892" s="25" t="s">
        <v>97</v>
      </c>
      <c r="E892" s="4">
        <v>41</v>
      </c>
      <c r="F892" s="25">
        <v>41</v>
      </c>
      <c r="G892" s="4" t="s">
        <v>145</v>
      </c>
      <c r="H892" s="25" t="s">
        <v>145</v>
      </c>
      <c r="I892" s="4" t="s">
        <v>110</v>
      </c>
      <c r="J892" s="25" t="s">
        <v>110</v>
      </c>
      <c r="K892" s="4">
        <v>2</v>
      </c>
      <c r="L892" s="25">
        <v>2</v>
      </c>
      <c r="M892" s="4" t="s">
        <v>32</v>
      </c>
      <c r="N892" s="25" t="s">
        <v>32</v>
      </c>
      <c r="O892" s="4">
        <v>4.5</v>
      </c>
      <c r="P892" s="25">
        <v>4.5</v>
      </c>
      <c r="Q892" s="4" t="s">
        <v>41</v>
      </c>
      <c r="R892" s="25" t="s">
        <v>41</v>
      </c>
      <c r="S892" s="4">
        <v>75</v>
      </c>
      <c r="T892" s="26">
        <v>75</v>
      </c>
    </row>
    <row r="893" spans="1:20" x14ac:dyDescent="0.3">
      <c r="A893" s="27" t="s">
        <v>1882</v>
      </c>
      <c r="B893" s="4" t="s">
        <v>1883</v>
      </c>
      <c r="C893" s="4" t="s">
        <v>118</v>
      </c>
      <c r="D893" s="25" t="s">
        <v>118</v>
      </c>
      <c r="F893" s="25" t="s">
        <v>2119</v>
      </c>
      <c r="G893" s="4" t="s">
        <v>19</v>
      </c>
      <c r="H893" s="25" t="s">
        <v>19</v>
      </c>
      <c r="I893" s="4" t="s">
        <v>93</v>
      </c>
      <c r="J893" s="25" t="s">
        <v>93</v>
      </c>
      <c r="K893" s="4">
        <v>11</v>
      </c>
      <c r="L893" s="25">
        <v>11</v>
      </c>
      <c r="M893" s="4" t="s">
        <v>32</v>
      </c>
      <c r="N893" s="25" t="s">
        <v>32</v>
      </c>
      <c r="O893" s="4">
        <v>2.5</v>
      </c>
      <c r="P893" s="25">
        <v>2.5</v>
      </c>
      <c r="Q893" s="4" t="s">
        <v>87</v>
      </c>
      <c r="R893" s="25" t="s">
        <v>87</v>
      </c>
      <c r="S893" s="4">
        <v>80</v>
      </c>
      <c r="T893" s="26">
        <v>80</v>
      </c>
    </row>
    <row r="894" spans="1:20" x14ac:dyDescent="0.3">
      <c r="A894" s="27" t="s">
        <v>1884</v>
      </c>
      <c r="B894" s="4" t="s">
        <v>1885</v>
      </c>
      <c r="C894" s="4" t="s">
        <v>18</v>
      </c>
      <c r="D894" s="25" t="s">
        <v>97</v>
      </c>
      <c r="E894" s="4">
        <v>42</v>
      </c>
      <c r="F894" s="25">
        <v>42</v>
      </c>
      <c r="G894" s="4" t="s">
        <v>38</v>
      </c>
      <c r="H894" s="25" t="s">
        <v>38</v>
      </c>
      <c r="I894" s="4" t="s">
        <v>39</v>
      </c>
      <c r="J894" s="25" t="s">
        <v>39</v>
      </c>
      <c r="K894" s="4">
        <v>13</v>
      </c>
      <c r="L894" s="25">
        <v>13</v>
      </c>
      <c r="M894" s="4" t="s">
        <v>52</v>
      </c>
      <c r="N894" s="25" t="s">
        <v>52</v>
      </c>
      <c r="O894" s="4">
        <v>3.3</v>
      </c>
      <c r="P894" s="25">
        <v>3.3</v>
      </c>
      <c r="Q894" s="4" t="s">
        <v>51</v>
      </c>
      <c r="R894" s="25" t="s">
        <v>2120</v>
      </c>
      <c r="S894" s="4">
        <v>0.63</v>
      </c>
      <c r="T894" s="26">
        <v>0.63</v>
      </c>
    </row>
    <row r="895" spans="1:20" x14ac:dyDescent="0.3">
      <c r="A895" s="27" t="s">
        <v>1886</v>
      </c>
      <c r="B895" s="4" t="s">
        <v>1887</v>
      </c>
      <c r="C895" s="4" t="s">
        <v>118</v>
      </c>
      <c r="D895" s="25" t="s">
        <v>118</v>
      </c>
      <c r="E895" s="4">
        <v>26</v>
      </c>
      <c r="F895" s="25">
        <v>26</v>
      </c>
      <c r="G895" s="4" t="s">
        <v>114</v>
      </c>
      <c r="H895" s="25" t="s">
        <v>114</v>
      </c>
      <c r="I895" s="4" t="s">
        <v>21</v>
      </c>
      <c r="J895" s="25" t="s">
        <v>21</v>
      </c>
      <c r="K895" s="4">
        <v>7</v>
      </c>
      <c r="L895" s="25">
        <v>7</v>
      </c>
      <c r="M895" s="4" t="s">
        <v>103</v>
      </c>
      <c r="N895" s="25" t="s">
        <v>103</v>
      </c>
      <c r="O895" s="4">
        <v>3</v>
      </c>
      <c r="P895" s="25">
        <v>3</v>
      </c>
      <c r="Q895" s="4" t="s">
        <v>51</v>
      </c>
      <c r="R895" s="25" t="s">
        <v>2120</v>
      </c>
      <c r="S895" s="4">
        <v>0.84</v>
      </c>
      <c r="T895" s="26">
        <v>0.84</v>
      </c>
    </row>
    <row r="896" spans="1:20" x14ac:dyDescent="0.3">
      <c r="A896" s="27" t="s">
        <v>1888</v>
      </c>
      <c r="B896" s="4" t="s">
        <v>1889</v>
      </c>
      <c r="C896" s="4" t="s">
        <v>18</v>
      </c>
      <c r="D896" s="25" t="s">
        <v>97</v>
      </c>
      <c r="E896" s="4">
        <v>44</v>
      </c>
      <c r="F896" s="25">
        <v>44</v>
      </c>
      <c r="G896" s="4" t="s">
        <v>149</v>
      </c>
      <c r="H896" s="25" t="s">
        <v>149</v>
      </c>
      <c r="I896" s="4" t="s">
        <v>98</v>
      </c>
      <c r="J896" s="25" t="s">
        <v>98</v>
      </c>
      <c r="K896" s="4">
        <v>25</v>
      </c>
      <c r="L896" s="25">
        <v>25</v>
      </c>
      <c r="M896" s="4" t="s">
        <v>103</v>
      </c>
      <c r="N896" s="25" t="s">
        <v>103</v>
      </c>
      <c r="O896" s="4">
        <v>2.7</v>
      </c>
      <c r="P896" s="25">
        <v>2.7</v>
      </c>
      <c r="Q896" s="4" t="s">
        <v>33</v>
      </c>
      <c r="R896" s="25" t="s">
        <v>33</v>
      </c>
      <c r="S896" s="4">
        <v>78</v>
      </c>
      <c r="T896" s="26">
        <v>78</v>
      </c>
    </row>
    <row r="897" spans="1:20" x14ac:dyDescent="0.3">
      <c r="A897" s="27" t="s">
        <v>1890</v>
      </c>
      <c r="B897" s="4" t="s">
        <v>1891</v>
      </c>
      <c r="C897" s="4" t="s">
        <v>78</v>
      </c>
      <c r="D897" s="25" t="s">
        <v>118</v>
      </c>
      <c r="E897" s="4">
        <v>46</v>
      </c>
      <c r="F897" s="25">
        <v>46</v>
      </c>
      <c r="G897" s="4" t="s">
        <v>149</v>
      </c>
      <c r="H897" s="25" t="s">
        <v>149</v>
      </c>
      <c r="I897" s="4" t="s">
        <v>39</v>
      </c>
      <c r="J897" s="25" t="s">
        <v>39</v>
      </c>
      <c r="K897" s="4">
        <v>20</v>
      </c>
      <c r="L897" s="25">
        <v>20</v>
      </c>
      <c r="M897" s="4" t="s">
        <v>142</v>
      </c>
      <c r="N897" s="25" t="s">
        <v>142</v>
      </c>
      <c r="O897" s="4">
        <v>1.2</v>
      </c>
      <c r="P897" s="25">
        <v>1.2</v>
      </c>
      <c r="Q897" s="4" t="s">
        <v>59</v>
      </c>
      <c r="R897" s="25" t="s">
        <v>59</v>
      </c>
      <c r="S897" s="4">
        <v>0.74</v>
      </c>
      <c r="T897" s="26">
        <v>0.74</v>
      </c>
    </row>
    <row r="898" spans="1:20" x14ac:dyDescent="0.3">
      <c r="A898" s="27" t="s">
        <v>1892</v>
      </c>
      <c r="B898" s="4" t="s">
        <v>1893</v>
      </c>
      <c r="C898" s="4" t="s">
        <v>50</v>
      </c>
      <c r="D898" s="25" t="s">
        <v>97</v>
      </c>
      <c r="E898" s="4">
        <v>36</v>
      </c>
      <c r="F898" s="25">
        <v>36</v>
      </c>
      <c r="G898" s="4" t="s">
        <v>73</v>
      </c>
      <c r="H898" s="25" t="s">
        <v>73</v>
      </c>
      <c r="I898" s="4" t="s">
        <v>93</v>
      </c>
      <c r="J898" s="25" t="s">
        <v>93</v>
      </c>
      <c r="K898" s="4">
        <v>8</v>
      </c>
      <c r="L898" s="25">
        <v>8</v>
      </c>
      <c r="M898" s="4" t="s">
        <v>40</v>
      </c>
      <c r="N898" s="25" t="s">
        <v>40</v>
      </c>
      <c r="O898" s="4">
        <v>4.3</v>
      </c>
      <c r="P898" s="25">
        <v>4.3</v>
      </c>
      <c r="Q898" s="4" t="s">
        <v>23</v>
      </c>
      <c r="R898" s="25" t="s">
        <v>23</v>
      </c>
      <c r="S898" s="4">
        <v>0.9</v>
      </c>
      <c r="T898" s="26">
        <v>0.9</v>
      </c>
    </row>
    <row r="899" spans="1:20" x14ac:dyDescent="0.3">
      <c r="A899" s="27" t="s">
        <v>1894</v>
      </c>
      <c r="B899" s="4" t="s">
        <v>1895</v>
      </c>
      <c r="C899" s="4" t="s">
        <v>118</v>
      </c>
      <c r="D899" s="25" t="s">
        <v>118</v>
      </c>
      <c r="E899" s="4">
        <v>26</v>
      </c>
      <c r="F899" s="25">
        <v>26</v>
      </c>
      <c r="G899" s="4" t="s">
        <v>55</v>
      </c>
      <c r="H899" s="25" t="s">
        <v>55</v>
      </c>
      <c r="I899" s="4" t="s">
        <v>57</v>
      </c>
      <c r="J899" s="25" t="s">
        <v>57</v>
      </c>
      <c r="K899" s="4">
        <v>6</v>
      </c>
      <c r="L899" s="25">
        <v>6</v>
      </c>
      <c r="M899" s="4" t="s">
        <v>47</v>
      </c>
      <c r="N899" s="25" t="s">
        <v>47</v>
      </c>
      <c r="O899" s="4">
        <v>1.3</v>
      </c>
      <c r="P899" s="25">
        <v>1.3</v>
      </c>
      <c r="Q899" s="4" t="s">
        <v>23</v>
      </c>
      <c r="R899" s="25" t="s">
        <v>23</v>
      </c>
      <c r="T899" s="26" t="s">
        <v>2120</v>
      </c>
    </row>
    <row r="900" spans="1:20" x14ac:dyDescent="0.3">
      <c r="A900" s="27" t="s">
        <v>1896</v>
      </c>
      <c r="B900" s="4" t="s">
        <v>1897</v>
      </c>
      <c r="C900" s="4" t="s">
        <v>37</v>
      </c>
      <c r="D900" s="25" t="s">
        <v>118</v>
      </c>
      <c r="E900" s="4">
        <v>21</v>
      </c>
      <c r="F900" s="25">
        <v>21</v>
      </c>
      <c r="G900" s="4" t="s">
        <v>38</v>
      </c>
      <c r="H900" s="25" t="s">
        <v>38</v>
      </c>
      <c r="I900" s="4" t="s">
        <v>93</v>
      </c>
      <c r="J900" s="25" t="s">
        <v>93</v>
      </c>
      <c r="K900" s="4">
        <v>3</v>
      </c>
      <c r="L900" s="25">
        <v>3</v>
      </c>
      <c r="M900" s="4" t="s">
        <v>40</v>
      </c>
      <c r="N900" s="25" t="s">
        <v>40</v>
      </c>
      <c r="O900" s="4">
        <v>4.5999999999999996</v>
      </c>
      <c r="P900" s="25">
        <v>4.5999999999999996</v>
      </c>
      <c r="Q900" s="4" t="s">
        <v>94</v>
      </c>
      <c r="R900" s="25" t="s">
        <v>94</v>
      </c>
      <c r="T900" s="26" t="s">
        <v>2120</v>
      </c>
    </row>
    <row r="901" spans="1:20" x14ac:dyDescent="0.3">
      <c r="A901" s="27" t="s">
        <v>1898</v>
      </c>
      <c r="B901" s="4" t="s">
        <v>1899</v>
      </c>
      <c r="C901" s="4" t="s">
        <v>18</v>
      </c>
      <c r="D901" s="25" t="s">
        <v>97</v>
      </c>
      <c r="E901" s="4">
        <v>39</v>
      </c>
      <c r="F901" s="25">
        <v>39</v>
      </c>
      <c r="G901" s="4" t="s">
        <v>64</v>
      </c>
      <c r="H901" s="25" t="s">
        <v>64</v>
      </c>
      <c r="I901" s="4" t="s">
        <v>93</v>
      </c>
      <c r="J901" s="25" t="s">
        <v>93</v>
      </c>
      <c r="K901" s="4">
        <v>18</v>
      </c>
      <c r="L901" s="25">
        <v>18</v>
      </c>
      <c r="M901" s="4" t="s">
        <v>40</v>
      </c>
      <c r="N901" s="25" t="s">
        <v>40</v>
      </c>
      <c r="O901" s="4">
        <v>2.1</v>
      </c>
      <c r="P901" s="25">
        <v>2.1</v>
      </c>
      <c r="Q901" s="4" t="s">
        <v>23</v>
      </c>
      <c r="R901" s="25" t="s">
        <v>23</v>
      </c>
      <c r="S901" s="4">
        <v>75</v>
      </c>
      <c r="T901" s="26">
        <v>75</v>
      </c>
    </row>
    <row r="902" spans="1:20" x14ac:dyDescent="0.3">
      <c r="A902" s="27" t="s">
        <v>1900</v>
      </c>
      <c r="B902" s="4" t="s">
        <v>1901</v>
      </c>
      <c r="C902" s="4" t="s">
        <v>97</v>
      </c>
      <c r="D902" s="25" t="s">
        <v>97</v>
      </c>
      <c r="E902" s="4">
        <v>37</v>
      </c>
      <c r="F902" s="25">
        <v>37</v>
      </c>
      <c r="G902" s="4" t="s">
        <v>73</v>
      </c>
      <c r="H902" s="25" t="s">
        <v>73</v>
      </c>
      <c r="I902" s="4" t="s">
        <v>21</v>
      </c>
      <c r="J902" s="25" t="s">
        <v>21</v>
      </c>
      <c r="K902" s="4">
        <v>18</v>
      </c>
      <c r="L902" s="25">
        <v>18</v>
      </c>
      <c r="M902" s="4" t="s">
        <v>86</v>
      </c>
      <c r="N902" s="25" t="s">
        <v>86</v>
      </c>
      <c r="O902" s="4">
        <v>4.5</v>
      </c>
      <c r="P902" s="25">
        <v>4.5</v>
      </c>
      <c r="Q902" s="4" t="s">
        <v>181</v>
      </c>
      <c r="R902" s="25" t="s">
        <v>181</v>
      </c>
      <c r="S902" s="4">
        <v>0.72</v>
      </c>
      <c r="T902" s="26">
        <v>0.72</v>
      </c>
    </row>
    <row r="903" spans="1:20" x14ac:dyDescent="0.3">
      <c r="A903" s="27" t="s">
        <v>1902</v>
      </c>
      <c r="B903" s="4" t="s">
        <v>1903</v>
      </c>
      <c r="C903" s="4" t="s">
        <v>97</v>
      </c>
      <c r="D903" s="25" t="s">
        <v>97</v>
      </c>
      <c r="E903" s="4">
        <v>47</v>
      </c>
      <c r="F903" s="25">
        <v>47</v>
      </c>
      <c r="G903" s="4" t="s">
        <v>145</v>
      </c>
      <c r="H903" s="25" t="s">
        <v>145</v>
      </c>
      <c r="I903" s="4" t="s">
        <v>93</v>
      </c>
      <c r="J903" s="25" t="s">
        <v>93</v>
      </c>
      <c r="K903" s="4">
        <v>3</v>
      </c>
      <c r="L903" s="25">
        <v>3</v>
      </c>
      <c r="M903" s="4" t="s">
        <v>86</v>
      </c>
      <c r="N903" s="25" t="s">
        <v>86</v>
      </c>
      <c r="O903" s="4">
        <v>4.4000000000000004</v>
      </c>
      <c r="P903" s="25">
        <v>4.4000000000000004</v>
      </c>
      <c r="Q903" s="4" t="s">
        <v>87</v>
      </c>
      <c r="R903" s="25" t="s">
        <v>87</v>
      </c>
      <c r="S903" s="4">
        <v>0.92</v>
      </c>
      <c r="T903" s="26">
        <v>0.92</v>
      </c>
    </row>
    <row r="904" spans="1:20" x14ac:dyDescent="0.3">
      <c r="A904" s="27" t="s">
        <v>1904</v>
      </c>
      <c r="B904" s="4" t="s">
        <v>1905</v>
      </c>
      <c r="C904" s="4" t="s">
        <v>28</v>
      </c>
      <c r="D904" s="25" t="s">
        <v>97</v>
      </c>
      <c r="E904" s="4">
        <v>53</v>
      </c>
      <c r="F904" s="25">
        <v>53</v>
      </c>
      <c r="G904" s="4" t="s">
        <v>145</v>
      </c>
      <c r="H904" s="25" t="s">
        <v>145</v>
      </c>
      <c r="I904" s="4" t="s">
        <v>39</v>
      </c>
      <c r="J904" s="25" t="s">
        <v>39</v>
      </c>
      <c r="K904" s="4">
        <v>32</v>
      </c>
      <c r="L904" s="25">
        <v>32</v>
      </c>
      <c r="M904" s="4" t="s">
        <v>336</v>
      </c>
      <c r="N904" s="25" t="s">
        <v>336</v>
      </c>
      <c r="O904" s="4">
        <v>0</v>
      </c>
      <c r="P904" s="25">
        <v>0</v>
      </c>
      <c r="Q904" s="4" t="s">
        <v>41</v>
      </c>
      <c r="R904" s="25" t="s">
        <v>41</v>
      </c>
      <c r="T904" s="26" t="s">
        <v>2120</v>
      </c>
    </row>
    <row r="905" spans="1:20" x14ac:dyDescent="0.3">
      <c r="A905" s="27" t="s">
        <v>1906</v>
      </c>
      <c r="B905" s="4" t="s">
        <v>1907</v>
      </c>
      <c r="C905" s="4" t="s">
        <v>50</v>
      </c>
      <c r="D905" s="25" t="s">
        <v>97</v>
      </c>
      <c r="E905" s="4">
        <v>53</v>
      </c>
      <c r="F905" s="25">
        <v>53</v>
      </c>
      <c r="G905" s="4" t="s">
        <v>91</v>
      </c>
      <c r="H905" s="25" t="s">
        <v>91</v>
      </c>
      <c r="I905" s="4" t="s">
        <v>31</v>
      </c>
      <c r="J905" s="25" t="s">
        <v>31</v>
      </c>
      <c r="K905" s="4">
        <v>19</v>
      </c>
      <c r="L905" s="25">
        <v>19</v>
      </c>
      <c r="M905" s="4" t="s">
        <v>336</v>
      </c>
      <c r="N905" s="25" t="s">
        <v>336</v>
      </c>
      <c r="O905" s="4">
        <v>1.3</v>
      </c>
      <c r="P905" s="25">
        <v>1.3</v>
      </c>
      <c r="Q905" s="4" t="s">
        <v>23</v>
      </c>
      <c r="R905" s="25" t="s">
        <v>23</v>
      </c>
      <c r="T905" s="26" t="s">
        <v>2120</v>
      </c>
    </row>
    <row r="906" spans="1:20" x14ac:dyDescent="0.3">
      <c r="A906" s="27" t="s">
        <v>1908</v>
      </c>
      <c r="B906" s="4" t="s">
        <v>1909</v>
      </c>
      <c r="C906" s="4" t="s">
        <v>37</v>
      </c>
      <c r="D906" s="25" t="s">
        <v>118</v>
      </c>
      <c r="E906" s="4">
        <v>21</v>
      </c>
      <c r="F906" s="25">
        <v>21</v>
      </c>
      <c r="G906" s="4" t="s">
        <v>114</v>
      </c>
      <c r="H906" s="25" t="s">
        <v>114</v>
      </c>
      <c r="I906" s="4" t="s">
        <v>66</v>
      </c>
      <c r="J906" s="25" t="s">
        <v>66</v>
      </c>
      <c r="K906" s="4">
        <v>2</v>
      </c>
      <c r="L906" s="25">
        <v>2</v>
      </c>
      <c r="M906" s="4" t="s">
        <v>40</v>
      </c>
      <c r="N906" s="25" t="s">
        <v>40</v>
      </c>
      <c r="O906" s="4">
        <v>2.6</v>
      </c>
      <c r="P906" s="25">
        <v>2.6</v>
      </c>
      <c r="Q906" s="4" t="s">
        <v>59</v>
      </c>
      <c r="R906" s="25" t="s">
        <v>59</v>
      </c>
      <c r="S906" s="4">
        <v>0.86</v>
      </c>
      <c r="T906" s="26">
        <v>0.86</v>
      </c>
    </row>
    <row r="907" spans="1:20" x14ac:dyDescent="0.3">
      <c r="A907" s="27" t="s">
        <v>1910</v>
      </c>
      <c r="B907" s="4" t="s">
        <v>1911</v>
      </c>
      <c r="C907" s="4" t="s">
        <v>50</v>
      </c>
      <c r="D907" s="25" t="s">
        <v>97</v>
      </c>
      <c r="E907" s="4">
        <v>35</v>
      </c>
      <c r="F907" s="25">
        <v>35</v>
      </c>
      <c r="G907" s="4" t="s">
        <v>85</v>
      </c>
      <c r="H907" s="25" t="s">
        <v>85</v>
      </c>
      <c r="I907" s="4" t="s">
        <v>21</v>
      </c>
      <c r="J907" s="25" t="s">
        <v>21</v>
      </c>
      <c r="K907" s="4">
        <v>0</v>
      </c>
      <c r="L907" s="25">
        <v>0</v>
      </c>
      <c r="M907" s="4" t="s">
        <v>51</v>
      </c>
      <c r="N907" s="25" t="s">
        <v>2119</v>
      </c>
      <c r="P907" s="25" t="s">
        <v>2120</v>
      </c>
      <c r="Q907" s="4" t="s">
        <v>94</v>
      </c>
      <c r="R907" s="25" t="s">
        <v>94</v>
      </c>
      <c r="S907" s="4">
        <v>85</v>
      </c>
      <c r="T907" s="26">
        <v>85</v>
      </c>
    </row>
    <row r="908" spans="1:20" x14ac:dyDescent="0.3">
      <c r="A908" s="27" t="s">
        <v>1912</v>
      </c>
      <c r="B908" s="4" t="s">
        <v>1913</v>
      </c>
      <c r="C908" s="4" t="s">
        <v>118</v>
      </c>
      <c r="D908" s="25" t="s">
        <v>118</v>
      </c>
      <c r="E908" s="4">
        <v>31</v>
      </c>
      <c r="F908" s="25">
        <v>31</v>
      </c>
      <c r="G908" s="4" t="s">
        <v>91</v>
      </c>
      <c r="H908" s="25" t="s">
        <v>91</v>
      </c>
      <c r="I908" s="4" t="s">
        <v>135</v>
      </c>
      <c r="J908" s="25" t="s">
        <v>135</v>
      </c>
      <c r="K908" s="4">
        <v>13</v>
      </c>
      <c r="L908" s="25">
        <v>13</v>
      </c>
      <c r="M908" s="4" t="s">
        <v>47</v>
      </c>
      <c r="N908" s="25" t="s">
        <v>47</v>
      </c>
      <c r="O908" s="4">
        <v>1.2</v>
      </c>
      <c r="P908" s="25">
        <v>1.2</v>
      </c>
      <c r="Q908" s="4" t="s">
        <v>59</v>
      </c>
      <c r="R908" s="25" t="s">
        <v>59</v>
      </c>
      <c r="S908" s="4">
        <v>62</v>
      </c>
      <c r="T908" s="26">
        <v>62</v>
      </c>
    </row>
    <row r="909" spans="1:20" x14ac:dyDescent="0.3">
      <c r="A909" s="27" t="s">
        <v>1914</v>
      </c>
      <c r="B909" s="4" t="s">
        <v>1915</v>
      </c>
      <c r="C909" s="4" t="s">
        <v>97</v>
      </c>
      <c r="D909" s="25" t="s">
        <v>97</v>
      </c>
      <c r="E909" s="4">
        <v>55</v>
      </c>
      <c r="F909" s="25">
        <v>55</v>
      </c>
      <c r="G909" s="4" t="s">
        <v>133</v>
      </c>
      <c r="H909" s="25" t="s">
        <v>133</v>
      </c>
      <c r="I909" s="4" t="s">
        <v>57</v>
      </c>
      <c r="J909" s="25" t="s">
        <v>57</v>
      </c>
      <c r="K909" s="4">
        <v>2</v>
      </c>
      <c r="L909" s="25">
        <v>2</v>
      </c>
      <c r="M909" s="4" t="s">
        <v>130</v>
      </c>
      <c r="N909" s="25" t="s">
        <v>130</v>
      </c>
      <c r="O909" s="4">
        <v>3.1</v>
      </c>
      <c r="P909" s="25">
        <v>3.1</v>
      </c>
      <c r="Q909" s="4" t="s">
        <v>94</v>
      </c>
      <c r="R909" s="25" t="s">
        <v>94</v>
      </c>
      <c r="S909" s="4">
        <v>0.91</v>
      </c>
      <c r="T909" s="26">
        <v>0.91</v>
      </c>
    </row>
    <row r="910" spans="1:20" x14ac:dyDescent="0.3">
      <c r="A910" s="27" t="s">
        <v>1916</v>
      </c>
      <c r="B910" s="4" t="s">
        <v>1917</v>
      </c>
      <c r="C910" s="4" t="s">
        <v>18</v>
      </c>
      <c r="D910" s="25" t="s">
        <v>97</v>
      </c>
      <c r="E910" s="4">
        <v>59</v>
      </c>
      <c r="F910" s="25">
        <v>59</v>
      </c>
      <c r="G910" s="4" t="s">
        <v>79</v>
      </c>
      <c r="H910" s="25" t="s">
        <v>79</v>
      </c>
      <c r="I910" s="4" t="s">
        <v>46</v>
      </c>
      <c r="J910" s="25" t="s">
        <v>46</v>
      </c>
      <c r="K910" s="4">
        <v>11</v>
      </c>
      <c r="L910" s="25">
        <v>11</v>
      </c>
      <c r="M910" s="4" t="s">
        <v>192</v>
      </c>
      <c r="N910" s="25" t="s">
        <v>192</v>
      </c>
      <c r="O910" s="4">
        <v>2.2999999999999998</v>
      </c>
      <c r="P910" s="25">
        <v>2.2999999999999998</v>
      </c>
      <c r="Q910" s="4" t="s">
        <v>94</v>
      </c>
      <c r="R910" s="25" t="s">
        <v>94</v>
      </c>
      <c r="S910" s="4">
        <v>0.8</v>
      </c>
      <c r="T910" s="26">
        <v>0.8</v>
      </c>
    </row>
    <row r="911" spans="1:20" x14ac:dyDescent="0.3">
      <c r="A911" s="27" t="s">
        <v>1918</v>
      </c>
      <c r="B911" s="4" t="s">
        <v>1919</v>
      </c>
      <c r="C911" s="4" t="s">
        <v>78</v>
      </c>
      <c r="D911" s="25" t="s">
        <v>118</v>
      </c>
      <c r="E911" s="4">
        <v>59</v>
      </c>
      <c r="F911" s="25">
        <v>59</v>
      </c>
      <c r="G911" s="4" t="s">
        <v>156</v>
      </c>
      <c r="H911" s="25" t="s">
        <v>156</v>
      </c>
      <c r="I911" s="4" t="s">
        <v>98</v>
      </c>
      <c r="J911" s="25" t="s">
        <v>98</v>
      </c>
      <c r="K911" s="4">
        <v>17</v>
      </c>
      <c r="L911" s="25">
        <v>17</v>
      </c>
      <c r="M911" s="4" t="s">
        <v>22</v>
      </c>
      <c r="N911" s="25" t="s">
        <v>22</v>
      </c>
      <c r="O911" s="4">
        <v>4</v>
      </c>
      <c r="P911" s="25">
        <v>4</v>
      </c>
      <c r="Q911" s="4" t="s">
        <v>181</v>
      </c>
      <c r="R911" s="25" t="s">
        <v>181</v>
      </c>
      <c r="S911" s="4">
        <v>0.72</v>
      </c>
      <c r="T911" s="26">
        <v>0.72</v>
      </c>
    </row>
    <row r="912" spans="1:20" x14ac:dyDescent="0.3">
      <c r="A912" s="27" t="s">
        <v>1920</v>
      </c>
      <c r="B912" s="4" t="s">
        <v>1921</v>
      </c>
      <c r="C912" s="4" t="s">
        <v>113</v>
      </c>
      <c r="D912" s="25" t="s">
        <v>118</v>
      </c>
      <c r="E912" s="4">
        <v>47</v>
      </c>
      <c r="F912" s="25">
        <v>47</v>
      </c>
      <c r="G912" s="4" t="s">
        <v>114</v>
      </c>
      <c r="H912" s="25" t="s">
        <v>114</v>
      </c>
      <c r="I912" s="4" t="s">
        <v>21</v>
      </c>
      <c r="J912" s="25" t="s">
        <v>21</v>
      </c>
      <c r="K912" s="4">
        <v>10</v>
      </c>
      <c r="L912" s="25">
        <v>10</v>
      </c>
      <c r="M912" s="4" t="s">
        <v>192</v>
      </c>
      <c r="N912" s="25" t="s">
        <v>192</v>
      </c>
      <c r="O912" s="4">
        <v>1.9</v>
      </c>
      <c r="P912" s="25">
        <v>1.9</v>
      </c>
      <c r="Q912" s="4" t="s">
        <v>51</v>
      </c>
      <c r="R912" s="25" t="s">
        <v>2120</v>
      </c>
      <c r="T912" s="26" t="s">
        <v>2120</v>
      </c>
    </row>
    <row r="913" spans="1:20" x14ac:dyDescent="0.3">
      <c r="A913" s="27" t="s">
        <v>1922</v>
      </c>
      <c r="B913" s="4" t="s">
        <v>1923</v>
      </c>
      <c r="C913" s="4" t="s">
        <v>50</v>
      </c>
      <c r="D913" s="25" t="s">
        <v>97</v>
      </c>
      <c r="E913" s="4">
        <v>53</v>
      </c>
      <c r="F913" s="25">
        <v>53</v>
      </c>
      <c r="G913" s="4" t="s">
        <v>175</v>
      </c>
      <c r="H913" s="25" t="s">
        <v>175</v>
      </c>
      <c r="I913" s="4" t="s">
        <v>135</v>
      </c>
      <c r="J913" s="25" t="s">
        <v>135</v>
      </c>
      <c r="K913" s="4">
        <v>26</v>
      </c>
      <c r="L913" s="25">
        <v>26</v>
      </c>
      <c r="M913" s="4" t="s">
        <v>103</v>
      </c>
      <c r="N913" s="25" t="s">
        <v>103</v>
      </c>
      <c r="O913" s="4">
        <v>2.4</v>
      </c>
      <c r="P913" s="25">
        <v>2.4</v>
      </c>
      <c r="Q913" s="4" t="s">
        <v>87</v>
      </c>
      <c r="R913" s="25" t="s">
        <v>87</v>
      </c>
      <c r="T913" s="26" t="s">
        <v>2120</v>
      </c>
    </row>
    <row r="914" spans="1:20" x14ac:dyDescent="0.3">
      <c r="A914" s="27" t="s">
        <v>1924</v>
      </c>
      <c r="B914" s="4" t="s">
        <v>541</v>
      </c>
      <c r="C914" s="4" t="s">
        <v>78</v>
      </c>
      <c r="D914" s="25" t="s">
        <v>118</v>
      </c>
      <c r="E914" s="4">
        <v>49</v>
      </c>
      <c r="F914" s="25">
        <v>49</v>
      </c>
      <c r="G914" s="4" t="s">
        <v>175</v>
      </c>
      <c r="H914" s="25" t="s">
        <v>175</v>
      </c>
      <c r="I914" s="4" t="s">
        <v>66</v>
      </c>
      <c r="J914" s="25" t="s">
        <v>66</v>
      </c>
      <c r="L914" s="25" t="s">
        <v>2120</v>
      </c>
      <c r="M914" s="4" t="s">
        <v>58</v>
      </c>
      <c r="N914" s="25" t="s">
        <v>58</v>
      </c>
      <c r="P914" s="25" t="s">
        <v>2120</v>
      </c>
      <c r="Q914" s="4" t="s">
        <v>87</v>
      </c>
      <c r="R914" s="25" t="s">
        <v>87</v>
      </c>
      <c r="S914" s="4">
        <v>0.74</v>
      </c>
      <c r="T914" s="26">
        <v>0.74</v>
      </c>
    </row>
    <row r="915" spans="1:20" x14ac:dyDescent="0.3">
      <c r="A915" s="27" t="s">
        <v>1925</v>
      </c>
      <c r="B915" s="4" t="s">
        <v>1926</v>
      </c>
      <c r="C915" s="4" t="s">
        <v>18</v>
      </c>
      <c r="D915" s="25" t="s">
        <v>97</v>
      </c>
      <c r="E915" s="4">
        <v>50</v>
      </c>
      <c r="F915" s="25">
        <v>50</v>
      </c>
      <c r="G915" s="4" t="s">
        <v>175</v>
      </c>
      <c r="H915" s="25" t="s">
        <v>175</v>
      </c>
      <c r="I915" s="4" t="s">
        <v>31</v>
      </c>
      <c r="J915" s="25" t="s">
        <v>31</v>
      </c>
      <c r="K915" s="4">
        <v>8</v>
      </c>
      <c r="L915" s="25">
        <v>8</v>
      </c>
      <c r="M915" s="4" t="s">
        <v>119</v>
      </c>
      <c r="N915" s="25" t="s">
        <v>119</v>
      </c>
      <c r="O915" s="4">
        <v>3.7</v>
      </c>
      <c r="P915" s="25">
        <v>3.7</v>
      </c>
      <c r="Q915" s="4" t="s">
        <v>94</v>
      </c>
      <c r="R915" s="25" t="s">
        <v>94</v>
      </c>
      <c r="S915" s="4">
        <v>0.82</v>
      </c>
      <c r="T915" s="26">
        <v>0.82</v>
      </c>
    </row>
    <row r="916" spans="1:20" x14ac:dyDescent="0.3">
      <c r="A916" s="27" t="s">
        <v>1927</v>
      </c>
      <c r="B916" s="4" t="s">
        <v>1928</v>
      </c>
      <c r="C916" s="4" t="s">
        <v>50</v>
      </c>
      <c r="D916" s="25" t="s">
        <v>97</v>
      </c>
      <c r="E916" s="4">
        <v>59</v>
      </c>
      <c r="F916" s="25">
        <v>59</v>
      </c>
      <c r="G916" s="4" t="s">
        <v>133</v>
      </c>
      <c r="H916" s="25" t="s">
        <v>133</v>
      </c>
      <c r="I916" s="4" t="s">
        <v>135</v>
      </c>
      <c r="J916" s="25" t="s">
        <v>135</v>
      </c>
      <c r="K916" s="4">
        <v>22</v>
      </c>
      <c r="L916" s="25">
        <v>22</v>
      </c>
      <c r="M916" s="4" t="s">
        <v>32</v>
      </c>
      <c r="N916" s="25" t="s">
        <v>32</v>
      </c>
      <c r="O916" s="4">
        <v>1.1000000000000001</v>
      </c>
      <c r="P916" s="25">
        <v>1.1000000000000001</v>
      </c>
      <c r="Q916" s="4" t="s">
        <v>181</v>
      </c>
      <c r="R916" s="25" t="s">
        <v>181</v>
      </c>
      <c r="S916" s="4">
        <v>0.85</v>
      </c>
      <c r="T916" s="26">
        <v>0.85</v>
      </c>
    </row>
    <row r="917" spans="1:20" x14ac:dyDescent="0.3">
      <c r="A917" s="27" t="s">
        <v>1929</v>
      </c>
      <c r="B917" s="4" t="s">
        <v>1930</v>
      </c>
      <c r="C917" s="4" t="s">
        <v>113</v>
      </c>
      <c r="D917" s="25" t="s">
        <v>118</v>
      </c>
      <c r="E917" s="4">
        <v>33</v>
      </c>
      <c r="F917" s="25">
        <v>33</v>
      </c>
      <c r="G917" s="4" t="s">
        <v>79</v>
      </c>
      <c r="H917" s="25" t="s">
        <v>79</v>
      </c>
      <c r="I917" s="4" t="s">
        <v>66</v>
      </c>
      <c r="J917" s="25" t="s">
        <v>66</v>
      </c>
      <c r="K917" s="4">
        <v>8</v>
      </c>
      <c r="L917" s="25">
        <v>8</v>
      </c>
      <c r="M917" s="4" t="s">
        <v>67</v>
      </c>
      <c r="N917" s="25" t="s">
        <v>67</v>
      </c>
      <c r="O917" s="4">
        <v>2.2999999999999998</v>
      </c>
      <c r="P917" s="25">
        <v>2.2999999999999998</v>
      </c>
      <c r="Q917" s="4" t="s">
        <v>74</v>
      </c>
      <c r="R917" s="25" t="s">
        <v>74</v>
      </c>
      <c r="S917" s="4">
        <v>0.68</v>
      </c>
      <c r="T917" s="26">
        <v>0.68</v>
      </c>
    </row>
    <row r="918" spans="1:20" x14ac:dyDescent="0.3">
      <c r="A918" s="27" t="s">
        <v>1931</v>
      </c>
      <c r="B918" s="4" t="s">
        <v>1932</v>
      </c>
      <c r="C918" s="4" t="s">
        <v>18</v>
      </c>
      <c r="D918" s="25" t="s">
        <v>97</v>
      </c>
      <c r="E918" s="4">
        <v>45</v>
      </c>
      <c r="F918" s="25">
        <v>45</v>
      </c>
      <c r="G918" s="4" t="s">
        <v>149</v>
      </c>
      <c r="H918" s="25" t="s">
        <v>149</v>
      </c>
      <c r="I918" s="4" t="s">
        <v>46</v>
      </c>
      <c r="J918" s="25" t="s">
        <v>46</v>
      </c>
      <c r="K918" s="4">
        <v>22</v>
      </c>
      <c r="L918" s="25">
        <v>22</v>
      </c>
      <c r="M918" s="4" t="s">
        <v>86</v>
      </c>
      <c r="N918" s="25" t="s">
        <v>86</v>
      </c>
      <c r="O918" s="4">
        <v>3.7</v>
      </c>
      <c r="P918" s="25">
        <v>3.7</v>
      </c>
      <c r="Q918" s="4" t="s">
        <v>94</v>
      </c>
      <c r="R918" s="25" t="s">
        <v>94</v>
      </c>
      <c r="S918" s="4">
        <v>0.99</v>
      </c>
      <c r="T918" s="26">
        <v>0.99</v>
      </c>
    </row>
    <row r="919" spans="1:20" x14ac:dyDescent="0.3">
      <c r="A919" s="27" t="s">
        <v>1933</v>
      </c>
      <c r="B919" s="4" t="s">
        <v>1934</v>
      </c>
      <c r="C919" s="4" t="s">
        <v>50</v>
      </c>
      <c r="D919" s="25" t="s">
        <v>97</v>
      </c>
      <c r="E919" s="4">
        <v>36</v>
      </c>
      <c r="F919" s="25">
        <v>36</v>
      </c>
      <c r="G919" s="4" t="s">
        <v>19</v>
      </c>
      <c r="H919" s="25" t="s">
        <v>19</v>
      </c>
      <c r="I919" s="4" t="s">
        <v>39</v>
      </c>
      <c r="J919" s="25" t="s">
        <v>39</v>
      </c>
      <c r="K919" s="4">
        <v>14</v>
      </c>
      <c r="L919" s="25">
        <v>14</v>
      </c>
      <c r="M919" s="4" t="s">
        <v>52</v>
      </c>
      <c r="N919" s="25" t="s">
        <v>52</v>
      </c>
      <c r="O919" s="4">
        <v>1.9</v>
      </c>
      <c r="P919" s="25">
        <v>1.9</v>
      </c>
      <c r="Q919" s="4" t="s">
        <v>23</v>
      </c>
      <c r="R919" s="25" t="s">
        <v>23</v>
      </c>
      <c r="S919" s="4">
        <v>0.62</v>
      </c>
      <c r="T919" s="26">
        <v>0.62</v>
      </c>
    </row>
    <row r="920" spans="1:20" x14ac:dyDescent="0.3">
      <c r="A920" s="27" t="s">
        <v>1935</v>
      </c>
      <c r="B920" s="4" t="s">
        <v>1936</v>
      </c>
      <c r="C920" s="4" t="s">
        <v>37</v>
      </c>
      <c r="D920" s="25" t="s">
        <v>118</v>
      </c>
      <c r="E920" s="4">
        <v>46</v>
      </c>
      <c r="F920" s="25">
        <v>46</v>
      </c>
      <c r="G920" s="4" t="s">
        <v>175</v>
      </c>
      <c r="H920" s="25" t="s">
        <v>175</v>
      </c>
      <c r="I920" s="4" t="s">
        <v>93</v>
      </c>
      <c r="J920" s="25" t="s">
        <v>93</v>
      </c>
      <c r="K920" s="4">
        <v>6</v>
      </c>
      <c r="L920" s="25">
        <v>6</v>
      </c>
      <c r="M920" s="4" t="s">
        <v>52</v>
      </c>
      <c r="N920" s="25" t="s">
        <v>52</v>
      </c>
      <c r="O920" s="4">
        <v>1.5</v>
      </c>
      <c r="P920" s="25">
        <v>1.5</v>
      </c>
      <c r="Q920" s="4" t="s">
        <v>41</v>
      </c>
      <c r="R920" s="25" t="s">
        <v>41</v>
      </c>
      <c r="T920" s="26" t="s">
        <v>2120</v>
      </c>
    </row>
    <row r="921" spans="1:20" x14ac:dyDescent="0.3">
      <c r="A921" s="27" t="s">
        <v>1937</v>
      </c>
      <c r="B921" s="4" t="s">
        <v>1938</v>
      </c>
      <c r="C921" s="4" t="s">
        <v>50</v>
      </c>
      <c r="D921" s="25" t="s">
        <v>97</v>
      </c>
      <c r="E921" s="4">
        <v>53</v>
      </c>
      <c r="F921" s="25">
        <v>53</v>
      </c>
      <c r="G921" s="4" t="s">
        <v>79</v>
      </c>
      <c r="H921" s="25" t="s">
        <v>79</v>
      </c>
      <c r="I921" s="4" t="s">
        <v>39</v>
      </c>
      <c r="J921" s="25" t="s">
        <v>39</v>
      </c>
      <c r="K921" s="4">
        <v>14</v>
      </c>
      <c r="L921" s="25">
        <v>14</v>
      </c>
      <c r="M921" s="4" t="s">
        <v>52</v>
      </c>
      <c r="N921" s="25" t="s">
        <v>52</v>
      </c>
      <c r="O921" s="4">
        <v>0</v>
      </c>
      <c r="P921" s="25">
        <v>0</v>
      </c>
      <c r="Q921" s="4" t="s">
        <v>59</v>
      </c>
      <c r="R921" s="25" t="s">
        <v>59</v>
      </c>
      <c r="S921" s="4">
        <v>0.83</v>
      </c>
      <c r="T921" s="26">
        <v>0.83</v>
      </c>
    </row>
    <row r="922" spans="1:20" x14ac:dyDescent="0.3">
      <c r="A922" s="27" t="s">
        <v>1939</v>
      </c>
      <c r="B922" s="4" t="s">
        <v>1940</v>
      </c>
      <c r="C922" s="4" t="s">
        <v>18</v>
      </c>
      <c r="D922" s="25" t="s">
        <v>97</v>
      </c>
      <c r="E922" s="4">
        <v>24</v>
      </c>
      <c r="F922" s="25">
        <v>24</v>
      </c>
      <c r="G922" s="4" t="s">
        <v>73</v>
      </c>
      <c r="H922" s="25" t="s">
        <v>73</v>
      </c>
      <c r="I922" s="4" t="s">
        <v>46</v>
      </c>
      <c r="J922" s="25" t="s">
        <v>46</v>
      </c>
      <c r="K922" s="4">
        <v>2</v>
      </c>
      <c r="L922" s="25">
        <v>2</v>
      </c>
      <c r="M922" s="4" t="s">
        <v>52</v>
      </c>
      <c r="N922" s="25" t="s">
        <v>52</v>
      </c>
      <c r="O922" s="4">
        <v>3.6</v>
      </c>
      <c r="P922" s="25">
        <v>3.6</v>
      </c>
      <c r="Q922" s="4" t="s">
        <v>51</v>
      </c>
      <c r="R922" s="25" t="s">
        <v>2120</v>
      </c>
      <c r="S922" s="4">
        <v>0.92</v>
      </c>
      <c r="T922" s="26">
        <v>0.92</v>
      </c>
    </row>
    <row r="923" spans="1:20" x14ac:dyDescent="0.3">
      <c r="A923" s="27" t="s">
        <v>1941</v>
      </c>
      <c r="B923" s="4" t="s">
        <v>1942</v>
      </c>
      <c r="C923" s="4" t="s">
        <v>50</v>
      </c>
      <c r="D923" s="25" t="s">
        <v>97</v>
      </c>
      <c r="E923" s="4">
        <v>49</v>
      </c>
      <c r="F923" s="25">
        <v>49</v>
      </c>
      <c r="G923" s="4" t="s">
        <v>212</v>
      </c>
      <c r="H923" s="25" t="s">
        <v>212</v>
      </c>
      <c r="I923" s="4" t="s">
        <v>110</v>
      </c>
      <c r="J923" s="25" t="s">
        <v>110</v>
      </c>
      <c r="K923" s="4">
        <v>4</v>
      </c>
      <c r="L923" s="25">
        <v>4</v>
      </c>
      <c r="M923" s="4" t="s">
        <v>192</v>
      </c>
      <c r="N923" s="25" t="s">
        <v>192</v>
      </c>
      <c r="O923" s="4">
        <v>2.1</v>
      </c>
      <c r="P923" s="25">
        <v>2.1</v>
      </c>
      <c r="Q923" s="4" t="s">
        <v>51</v>
      </c>
      <c r="R923" s="25" t="s">
        <v>2120</v>
      </c>
      <c r="S923" s="4">
        <v>0.85</v>
      </c>
      <c r="T923" s="26">
        <v>0.85</v>
      </c>
    </row>
    <row r="924" spans="1:20" x14ac:dyDescent="0.3">
      <c r="A924" s="27" t="s">
        <v>1943</v>
      </c>
      <c r="B924" s="4" t="s">
        <v>1944</v>
      </c>
      <c r="C924" s="4" t="s">
        <v>45</v>
      </c>
      <c r="D924" s="25" t="s">
        <v>97</v>
      </c>
      <c r="E924" s="4">
        <v>49</v>
      </c>
      <c r="F924" s="25">
        <v>49</v>
      </c>
      <c r="G924" s="4" t="s">
        <v>133</v>
      </c>
      <c r="H924" s="25" t="s">
        <v>133</v>
      </c>
      <c r="I924" s="4" t="s">
        <v>57</v>
      </c>
      <c r="J924" s="25" t="s">
        <v>57</v>
      </c>
      <c r="K924" s="4">
        <v>4</v>
      </c>
      <c r="L924" s="25">
        <v>4</v>
      </c>
      <c r="M924" s="4" t="s">
        <v>103</v>
      </c>
      <c r="N924" s="25" t="s">
        <v>103</v>
      </c>
      <c r="O924" s="4">
        <v>2.9</v>
      </c>
      <c r="P924" s="25">
        <v>2.9</v>
      </c>
      <c r="Q924" s="4" t="s">
        <v>41</v>
      </c>
      <c r="R924" s="25" t="s">
        <v>41</v>
      </c>
      <c r="T924" s="26" t="s">
        <v>2120</v>
      </c>
    </row>
    <row r="925" spans="1:20" x14ac:dyDescent="0.3">
      <c r="A925" s="27" t="s">
        <v>1945</v>
      </c>
      <c r="B925" s="4" t="s">
        <v>1946</v>
      </c>
      <c r="C925" s="4" t="s">
        <v>28</v>
      </c>
      <c r="D925" s="25" t="s">
        <v>97</v>
      </c>
      <c r="E925" s="4">
        <v>49</v>
      </c>
      <c r="F925" s="25">
        <v>49</v>
      </c>
      <c r="G925" s="4" t="s">
        <v>133</v>
      </c>
      <c r="H925" s="25" t="s">
        <v>133</v>
      </c>
      <c r="I925" s="4" t="s">
        <v>31</v>
      </c>
      <c r="J925" s="25" t="s">
        <v>31</v>
      </c>
      <c r="K925" s="4">
        <v>24</v>
      </c>
      <c r="L925" s="25">
        <v>24</v>
      </c>
      <c r="M925" s="4" t="s">
        <v>22</v>
      </c>
      <c r="N925" s="25" t="s">
        <v>22</v>
      </c>
      <c r="O925" s="4">
        <v>3.6</v>
      </c>
      <c r="P925" s="25">
        <v>3.6</v>
      </c>
      <c r="Q925" s="4" t="s">
        <v>74</v>
      </c>
      <c r="R925" s="25" t="s">
        <v>74</v>
      </c>
      <c r="T925" s="26" t="s">
        <v>2120</v>
      </c>
    </row>
    <row r="926" spans="1:20" x14ac:dyDescent="0.3">
      <c r="A926" s="27" t="s">
        <v>1947</v>
      </c>
      <c r="B926" s="4" t="s">
        <v>1948</v>
      </c>
      <c r="C926" s="4" t="s">
        <v>97</v>
      </c>
      <c r="D926" s="25" t="s">
        <v>97</v>
      </c>
      <c r="E926" s="4">
        <v>58</v>
      </c>
      <c r="F926" s="25">
        <v>58</v>
      </c>
      <c r="G926" s="4" t="s">
        <v>128</v>
      </c>
      <c r="H926" s="25" t="s">
        <v>128</v>
      </c>
      <c r="I926" s="4" t="s">
        <v>21</v>
      </c>
      <c r="J926" s="25" t="s">
        <v>21</v>
      </c>
      <c r="K926" s="4">
        <v>29</v>
      </c>
      <c r="L926" s="25">
        <v>29</v>
      </c>
      <c r="M926" s="4" t="s">
        <v>52</v>
      </c>
      <c r="N926" s="25" t="s">
        <v>52</v>
      </c>
      <c r="O926" s="4">
        <v>3.3</v>
      </c>
      <c r="P926" s="25">
        <v>3.3</v>
      </c>
      <c r="Q926" s="4" t="s">
        <v>87</v>
      </c>
      <c r="R926" s="25" t="s">
        <v>87</v>
      </c>
      <c r="S926" s="4">
        <v>0.89</v>
      </c>
      <c r="T926" s="26">
        <v>0.89</v>
      </c>
    </row>
    <row r="927" spans="1:20" x14ac:dyDescent="0.3">
      <c r="A927" s="27" t="s">
        <v>1949</v>
      </c>
      <c r="B927" s="4" t="s">
        <v>1950</v>
      </c>
      <c r="C927" s="4" t="s">
        <v>78</v>
      </c>
      <c r="D927" s="25" t="s">
        <v>118</v>
      </c>
      <c r="E927" s="4">
        <v>50</v>
      </c>
      <c r="F927" s="25">
        <v>50</v>
      </c>
      <c r="G927" s="4" t="s">
        <v>175</v>
      </c>
      <c r="H927" s="25" t="s">
        <v>175</v>
      </c>
      <c r="I927" s="4" t="s">
        <v>93</v>
      </c>
      <c r="J927" s="25" t="s">
        <v>93</v>
      </c>
      <c r="K927" s="4">
        <v>13</v>
      </c>
      <c r="L927" s="25">
        <v>13</v>
      </c>
      <c r="M927" s="4" t="s">
        <v>51</v>
      </c>
      <c r="N927" s="25" t="s">
        <v>2119</v>
      </c>
      <c r="O927" s="4">
        <v>2.5</v>
      </c>
      <c r="P927" s="25">
        <v>2.5</v>
      </c>
      <c r="Q927" s="4" t="s">
        <v>94</v>
      </c>
      <c r="R927" s="25" t="s">
        <v>94</v>
      </c>
      <c r="S927" s="4">
        <v>0.81</v>
      </c>
      <c r="T927" s="26">
        <v>0.81</v>
      </c>
    </row>
    <row r="928" spans="1:20" x14ac:dyDescent="0.3">
      <c r="A928" s="27" t="s">
        <v>1951</v>
      </c>
      <c r="B928" s="4" t="s">
        <v>1952</v>
      </c>
      <c r="C928" s="4" t="s">
        <v>113</v>
      </c>
      <c r="D928" s="25" t="s">
        <v>118</v>
      </c>
      <c r="E928" s="4">
        <v>27</v>
      </c>
      <c r="F928" s="25">
        <v>27</v>
      </c>
      <c r="G928" s="4" t="s">
        <v>175</v>
      </c>
      <c r="H928" s="25" t="s">
        <v>175</v>
      </c>
      <c r="I928" s="4" t="s">
        <v>110</v>
      </c>
      <c r="J928" s="25" t="s">
        <v>110</v>
      </c>
      <c r="K928" s="4">
        <v>1</v>
      </c>
      <c r="L928" s="25">
        <v>1</v>
      </c>
      <c r="M928" s="4" t="s">
        <v>32</v>
      </c>
      <c r="N928" s="25" t="s">
        <v>32</v>
      </c>
      <c r="O928" s="4">
        <v>3.7</v>
      </c>
      <c r="P928" s="25">
        <v>3.7</v>
      </c>
      <c r="Q928" s="4" t="s">
        <v>94</v>
      </c>
      <c r="R928" s="25" t="s">
        <v>94</v>
      </c>
      <c r="S928" s="4">
        <v>61</v>
      </c>
      <c r="T928" s="26">
        <v>61</v>
      </c>
    </row>
    <row r="929" spans="1:20" x14ac:dyDescent="0.3">
      <c r="A929" s="27" t="s">
        <v>1953</v>
      </c>
      <c r="B929" s="4" t="s">
        <v>1954</v>
      </c>
      <c r="C929" s="4" t="s">
        <v>45</v>
      </c>
      <c r="D929" s="25" t="s">
        <v>97</v>
      </c>
      <c r="E929" s="4">
        <v>20</v>
      </c>
      <c r="F929" s="25">
        <v>20</v>
      </c>
      <c r="G929" s="4" t="s">
        <v>133</v>
      </c>
      <c r="H929" s="25" t="s">
        <v>133</v>
      </c>
      <c r="I929" s="4" t="s">
        <v>135</v>
      </c>
      <c r="J929" s="25" t="s">
        <v>135</v>
      </c>
      <c r="L929" s="25" t="s">
        <v>2120</v>
      </c>
      <c r="M929" s="4" t="s">
        <v>58</v>
      </c>
      <c r="N929" s="25" t="s">
        <v>58</v>
      </c>
      <c r="O929" s="4">
        <v>4.5999999999999996</v>
      </c>
      <c r="P929" s="25">
        <v>4.5999999999999996</v>
      </c>
      <c r="Q929" s="4" t="s">
        <v>33</v>
      </c>
      <c r="R929" s="25" t="s">
        <v>33</v>
      </c>
      <c r="T929" s="26" t="s">
        <v>2120</v>
      </c>
    </row>
    <row r="930" spans="1:20" x14ac:dyDescent="0.3">
      <c r="A930" s="27" t="s">
        <v>1955</v>
      </c>
      <c r="B930" s="4" t="s">
        <v>1956</v>
      </c>
      <c r="C930" s="4" t="s">
        <v>78</v>
      </c>
      <c r="D930" s="25" t="s">
        <v>118</v>
      </c>
      <c r="E930" s="4">
        <v>52</v>
      </c>
      <c r="F930" s="25">
        <v>52</v>
      </c>
      <c r="G930" s="4" t="s">
        <v>145</v>
      </c>
      <c r="H930" s="25" t="s">
        <v>145</v>
      </c>
      <c r="I930" s="4" t="s">
        <v>21</v>
      </c>
      <c r="J930" s="25" t="s">
        <v>21</v>
      </c>
      <c r="K930" s="4">
        <v>15</v>
      </c>
      <c r="L930" s="25">
        <v>15</v>
      </c>
      <c r="M930" s="4" t="s">
        <v>47</v>
      </c>
      <c r="N930" s="25" t="s">
        <v>47</v>
      </c>
      <c r="O930" s="4">
        <v>0</v>
      </c>
      <c r="P930" s="25">
        <v>0</v>
      </c>
      <c r="Q930" s="4" t="s">
        <v>33</v>
      </c>
      <c r="R930" s="25" t="s">
        <v>33</v>
      </c>
      <c r="S930" s="4">
        <v>0.92</v>
      </c>
      <c r="T930" s="26">
        <v>0.92</v>
      </c>
    </row>
    <row r="931" spans="1:20" x14ac:dyDescent="0.3">
      <c r="A931" s="27" t="s">
        <v>1957</v>
      </c>
      <c r="B931" s="4" t="s">
        <v>1958</v>
      </c>
      <c r="C931" s="4" t="s">
        <v>97</v>
      </c>
      <c r="D931" s="25" t="s">
        <v>97</v>
      </c>
      <c r="E931" s="4">
        <v>22</v>
      </c>
      <c r="F931" s="25">
        <v>22</v>
      </c>
      <c r="G931" s="4" t="s">
        <v>156</v>
      </c>
      <c r="H931" s="25" t="s">
        <v>156</v>
      </c>
      <c r="I931" s="4" t="s">
        <v>135</v>
      </c>
      <c r="J931" s="25" t="s">
        <v>135</v>
      </c>
      <c r="K931" s="4">
        <v>2</v>
      </c>
      <c r="L931" s="25">
        <v>2</v>
      </c>
      <c r="M931" s="4" t="s">
        <v>52</v>
      </c>
      <c r="N931" s="25" t="s">
        <v>52</v>
      </c>
      <c r="O931" s="4">
        <v>2</v>
      </c>
      <c r="P931" s="25">
        <v>2</v>
      </c>
      <c r="Q931" s="4" t="s">
        <v>181</v>
      </c>
      <c r="R931" s="25" t="s">
        <v>181</v>
      </c>
      <c r="S931" s="4">
        <v>0.96</v>
      </c>
      <c r="T931" s="26">
        <v>0.96</v>
      </c>
    </row>
    <row r="932" spans="1:20" x14ac:dyDescent="0.3">
      <c r="A932" s="27" t="s">
        <v>1959</v>
      </c>
      <c r="B932" s="4" t="s">
        <v>1960</v>
      </c>
      <c r="C932" s="4" t="s">
        <v>97</v>
      </c>
      <c r="D932" s="25" t="s">
        <v>97</v>
      </c>
      <c r="E932" s="4">
        <v>38</v>
      </c>
      <c r="F932" s="25">
        <v>38</v>
      </c>
      <c r="G932" s="4" t="s">
        <v>79</v>
      </c>
      <c r="H932" s="25" t="s">
        <v>79</v>
      </c>
      <c r="I932" s="4" t="s">
        <v>46</v>
      </c>
      <c r="J932" s="25" t="s">
        <v>46</v>
      </c>
      <c r="K932" s="4">
        <v>14</v>
      </c>
      <c r="L932" s="25">
        <v>14</v>
      </c>
      <c r="M932" s="4" t="s">
        <v>22</v>
      </c>
      <c r="N932" s="25" t="s">
        <v>22</v>
      </c>
      <c r="O932" s="4">
        <v>1.7</v>
      </c>
      <c r="P932" s="25">
        <v>1.7</v>
      </c>
      <c r="Q932" s="4" t="s">
        <v>59</v>
      </c>
      <c r="R932" s="25" t="s">
        <v>59</v>
      </c>
      <c r="S932" s="4">
        <v>0.66</v>
      </c>
      <c r="T932" s="26">
        <v>0.66</v>
      </c>
    </row>
    <row r="933" spans="1:20" x14ac:dyDescent="0.3">
      <c r="A933" s="27" t="s">
        <v>1961</v>
      </c>
      <c r="B933" s="4" t="s">
        <v>1962</v>
      </c>
      <c r="C933" s="4" t="s">
        <v>37</v>
      </c>
      <c r="D933" s="25" t="s">
        <v>118</v>
      </c>
      <c r="E933" s="4">
        <v>21</v>
      </c>
      <c r="F933" s="25">
        <v>21</v>
      </c>
      <c r="G933" s="4" t="s">
        <v>149</v>
      </c>
      <c r="H933" s="25" t="s">
        <v>149</v>
      </c>
      <c r="I933" s="4" t="s">
        <v>39</v>
      </c>
      <c r="J933" s="25" t="s">
        <v>39</v>
      </c>
      <c r="K933" s="4">
        <v>0</v>
      </c>
      <c r="L933" s="25">
        <v>0</v>
      </c>
      <c r="M933" s="4" t="s">
        <v>32</v>
      </c>
      <c r="N933" s="25" t="s">
        <v>32</v>
      </c>
      <c r="O933" s="4">
        <v>3</v>
      </c>
      <c r="P933" s="25">
        <v>3</v>
      </c>
      <c r="Q933" s="4" t="s">
        <v>41</v>
      </c>
      <c r="R933" s="25" t="s">
        <v>41</v>
      </c>
      <c r="S933" s="4">
        <v>0.64</v>
      </c>
      <c r="T933" s="26">
        <v>0.64</v>
      </c>
    </row>
    <row r="934" spans="1:20" x14ac:dyDescent="0.3">
      <c r="A934" s="27" t="s">
        <v>1963</v>
      </c>
      <c r="B934" s="4" t="s">
        <v>1964</v>
      </c>
      <c r="C934" s="4" t="s">
        <v>78</v>
      </c>
      <c r="D934" s="25" t="s">
        <v>118</v>
      </c>
      <c r="E934" s="4">
        <v>41</v>
      </c>
      <c r="F934" s="25">
        <v>41</v>
      </c>
      <c r="G934" s="4" t="s">
        <v>29</v>
      </c>
      <c r="H934" s="25" t="s">
        <v>29</v>
      </c>
      <c r="I934" s="4" t="s">
        <v>57</v>
      </c>
      <c r="J934" s="25" t="s">
        <v>57</v>
      </c>
      <c r="K934" s="4">
        <v>15</v>
      </c>
      <c r="L934" s="25">
        <v>15</v>
      </c>
      <c r="M934" s="4" t="s">
        <v>86</v>
      </c>
      <c r="N934" s="25" t="s">
        <v>86</v>
      </c>
      <c r="O934" s="4">
        <v>3.4</v>
      </c>
      <c r="P934" s="25">
        <v>3.4</v>
      </c>
      <c r="Q934" s="4" t="s">
        <v>59</v>
      </c>
      <c r="R934" s="25" t="s">
        <v>59</v>
      </c>
      <c r="S934" s="4">
        <v>1</v>
      </c>
      <c r="T934" s="26">
        <v>1</v>
      </c>
    </row>
    <row r="935" spans="1:20" x14ac:dyDescent="0.3">
      <c r="A935" s="27" t="s">
        <v>1965</v>
      </c>
      <c r="B935" s="4" t="s">
        <v>1966</v>
      </c>
      <c r="C935" s="4" t="s">
        <v>50</v>
      </c>
      <c r="D935" s="25" t="s">
        <v>97</v>
      </c>
      <c r="E935" s="4">
        <v>33</v>
      </c>
      <c r="F935" s="25">
        <v>33</v>
      </c>
      <c r="G935" s="4" t="s">
        <v>64</v>
      </c>
      <c r="H935" s="25" t="s">
        <v>64</v>
      </c>
      <c r="I935" s="4" t="s">
        <v>21</v>
      </c>
      <c r="J935" s="25" t="s">
        <v>21</v>
      </c>
      <c r="K935" s="4">
        <v>6</v>
      </c>
      <c r="L935" s="25">
        <v>6</v>
      </c>
      <c r="M935" s="4" t="s">
        <v>86</v>
      </c>
      <c r="N935" s="25" t="s">
        <v>86</v>
      </c>
      <c r="O935" s="4">
        <v>3.2</v>
      </c>
      <c r="P935" s="25">
        <v>3.2</v>
      </c>
      <c r="Q935" s="4" t="s">
        <v>33</v>
      </c>
      <c r="R935" s="25" t="s">
        <v>33</v>
      </c>
      <c r="S935" s="4">
        <v>0.95</v>
      </c>
      <c r="T935" s="26">
        <v>0.95</v>
      </c>
    </row>
    <row r="936" spans="1:20" x14ac:dyDescent="0.3">
      <c r="A936" s="27" t="s">
        <v>1967</v>
      </c>
      <c r="B936" s="4" t="s">
        <v>1968</v>
      </c>
      <c r="C936" s="4" t="s">
        <v>18</v>
      </c>
      <c r="D936" s="25" t="s">
        <v>97</v>
      </c>
      <c r="E936" s="4">
        <v>38</v>
      </c>
      <c r="F936" s="25">
        <v>38</v>
      </c>
      <c r="G936" s="4" t="s">
        <v>201</v>
      </c>
      <c r="H936" s="25" t="s">
        <v>201</v>
      </c>
      <c r="I936" s="4" t="s">
        <v>31</v>
      </c>
      <c r="J936" s="25" t="s">
        <v>31</v>
      </c>
      <c r="K936" s="4">
        <v>11</v>
      </c>
      <c r="L936" s="25">
        <v>11</v>
      </c>
      <c r="M936" s="4" t="s">
        <v>51</v>
      </c>
      <c r="N936" s="25" t="s">
        <v>2119</v>
      </c>
      <c r="O936" s="4">
        <v>2.8</v>
      </c>
      <c r="P936" s="25">
        <v>2.8</v>
      </c>
      <c r="Q936" s="4" t="s">
        <v>51</v>
      </c>
      <c r="R936" s="25" t="s">
        <v>2120</v>
      </c>
      <c r="S936" s="4">
        <v>91</v>
      </c>
      <c r="T936" s="26">
        <v>91</v>
      </c>
    </row>
    <row r="937" spans="1:20" x14ac:dyDescent="0.3">
      <c r="A937" s="27" t="s">
        <v>1969</v>
      </c>
      <c r="B937" s="4" t="s">
        <v>1970</v>
      </c>
      <c r="C937" s="4" t="s">
        <v>45</v>
      </c>
      <c r="D937" s="25" t="s">
        <v>97</v>
      </c>
      <c r="E937" s="4">
        <v>26</v>
      </c>
      <c r="F937" s="25">
        <v>26</v>
      </c>
      <c r="G937" s="4" t="s">
        <v>145</v>
      </c>
      <c r="H937" s="25" t="s">
        <v>145</v>
      </c>
      <c r="I937" s="4" t="s">
        <v>110</v>
      </c>
      <c r="J937" s="25" t="s">
        <v>110</v>
      </c>
      <c r="K937" s="4">
        <v>8</v>
      </c>
      <c r="L937" s="25">
        <v>8</v>
      </c>
      <c r="M937" s="4" t="s">
        <v>336</v>
      </c>
      <c r="N937" s="25" t="s">
        <v>336</v>
      </c>
      <c r="O937" s="4">
        <v>4.0999999999999996</v>
      </c>
      <c r="P937" s="25">
        <v>4.0999999999999996</v>
      </c>
      <c r="Q937" s="4" t="s">
        <v>87</v>
      </c>
      <c r="R937" s="25" t="s">
        <v>87</v>
      </c>
      <c r="S937" s="4">
        <v>0.82</v>
      </c>
      <c r="T937" s="26">
        <v>0.82</v>
      </c>
    </row>
    <row r="938" spans="1:20" x14ac:dyDescent="0.3">
      <c r="A938" s="27" t="s">
        <v>1971</v>
      </c>
      <c r="B938" s="4" t="s">
        <v>1972</v>
      </c>
      <c r="C938" s="4" t="s">
        <v>18</v>
      </c>
      <c r="D938" s="25" t="s">
        <v>97</v>
      </c>
      <c r="E938" s="4">
        <v>43</v>
      </c>
      <c r="F938" s="25">
        <v>43</v>
      </c>
      <c r="G938" s="4" t="s">
        <v>55</v>
      </c>
      <c r="H938" s="25" t="s">
        <v>55</v>
      </c>
      <c r="I938" s="4" t="s">
        <v>57</v>
      </c>
      <c r="J938" s="25" t="s">
        <v>57</v>
      </c>
      <c r="K938" s="4">
        <v>3</v>
      </c>
      <c r="L938" s="25">
        <v>3</v>
      </c>
      <c r="M938" s="4" t="s">
        <v>162</v>
      </c>
      <c r="N938" s="25" t="s">
        <v>162</v>
      </c>
      <c r="O938" s="4">
        <v>0</v>
      </c>
      <c r="P938" s="25">
        <v>0</v>
      </c>
      <c r="Q938" s="4" t="s">
        <v>94</v>
      </c>
      <c r="R938" s="25" t="s">
        <v>94</v>
      </c>
      <c r="S938" s="4">
        <v>0.95</v>
      </c>
      <c r="T938" s="26">
        <v>0.95</v>
      </c>
    </row>
    <row r="939" spans="1:20" x14ac:dyDescent="0.3">
      <c r="A939" s="27" t="s">
        <v>1973</v>
      </c>
      <c r="B939" s="4" t="s">
        <v>1974</v>
      </c>
      <c r="C939" s="4" t="s">
        <v>97</v>
      </c>
      <c r="D939" s="25" t="s">
        <v>97</v>
      </c>
      <c r="E939" s="4">
        <v>21</v>
      </c>
      <c r="F939" s="25">
        <v>21</v>
      </c>
      <c r="G939" s="4" t="s">
        <v>19</v>
      </c>
      <c r="H939" s="25" t="s">
        <v>19</v>
      </c>
      <c r="I939" s="4" t="s">
        <v>98</v>
      </c>
      <c r="J939" s="25" t="s">
        <v>98</v>
      </c>
      <c r="K939" s="4">
        <v>0</v>
      </c>
      <c r="L939" s="25">
        <v>0</v>
      </c>
      <c r="M939" s="4" t="s">
        <v>51</v>
      </c>
      <c r="N939" s="25" t="s">
        <v>2119</v>
      </c>
      <c r="O939" s="4">
        <v>0</v>
      </c>
      <c r="P939" s="25">
        <v>0</v>
      </c>
      <c r="Q939" s="4" t="s">
        <v>33</v>
      </c>
      <c r="R939" s="25" t="s">
        <v>33</v>
      </c>
      <c r="S939" s="4">
        <v>0.95</v>
      </c>
      <c r="T939" s="26">
        <v>0.95</v>
      </c>
    </row>
    <row r="940" spans="1:20" x14ac:dyDescent="0.3">
      <c r="A940" s="27" t="s">
        <v>1975</v>
      </c>
      <c r="B940" s="4" t="s">
        <v>1976</v>
      </c>
      <c r="C940" s="4" t="s">
        <v>78</v>
      </c>
      <c r="D940" s="25" t="s">
        <v>118</v>
      </c>
      <c r="E940" s="4">
        <v>47</v>
      </c>
      <c r="F940" s="25">
        <v>47</v>
      </c>
      <c r="G940" s="4" t="s">
        <v>133</v>
      </c>
      <c r="H940" s="25" t="s">
        <v>133</v>
      </c>
      <c r="I940" s="4" t="s">
        <v>31</v>
      </c>
      <c r="J940" s="25" t="s">
        <v>31</v>
      </c>
      <c r="K940" s="4">
        <v>7</v>
      </c>
      <c r="L940" s="25">
        <v>7</v>
      </c>
      <c r="M940" s="4" t="s">
        <v>130</v>
      </c>
      <c r="N940" s="25" t="s">
        <v>130</v>
      </c>
      <c r="P940" s="25" t="s">
        <v>2120</v>
      </c>
      <c r="Q940" s="4" t="s">
        <v>51</v>
      </c>
      <c r="R940" s="25" t="s">
        <v>2120</v>
      </c>
      <c r="S940" s="4">
        <v>69</v>
      </c>
      <c r="T940" s="26">
        <v>69</v>
      </c>
    </row>
    <row r="941" spans="1:20" x14ac:dyDescent="0.3">
      <c r="A941" s="27" t="s">
        <v>1977</v>
      </c>
      <c r="B941" s="4" t="s">
        <v>1978</v>
      </c>
      <c r="C941" s="4" t="s">
        <v>78</v>
      </c>
      <c r="D941" s="25" t="s">
        <v>118</v>
      </c>
      <c r="E941" s="4">
        <v>35</v>
      </c>
      <c r="F941" s="25">
        <v>35</v>
      </c>
      <c r="G941" s="4" t="s">
        <v>212</v>
      </c>
      <c r="H941" s="25" t="s">
        <v>212</v>
      </c>
      <c r="I941" s="4" t="s">
        <v>39</v>
      </c>
      <c r="J941" s="25" t="s">
        <v>39</v>
      </c>
      <c r="K941" s="4">
        <v>6</v>
      </c>
      <c r="L941" s="25">
        <v>6</v>
      </c>
      <c r="M941" s="4" t="s">
        <v>86</v>
      </c>
      <c r="N941" s="25" t="s">
        <v>86</v>
      </c>
      <c r="P941" s="25" t="s">
        <v>2120</v>
      </c>
      <c r="Q941" s="4" t="s">
        <v>87</v>
      </c>
      <c r="R941" s="25" t="s">
        <v>87</v>
      </c>
      <c r="S941" s="4">
        <v>0.91</v>
      </c>
      <c r="T941" s="26">
        <v>0.91</v>
      </c>
    </row>
    <row r="942" spans="1:20" x14ac:dyDescent="0.3">
      <c r="A942" s="27" t="s">
        <v>1979</v>
      </c>
      <c r="B942" s="4" t="s">
        <v>1980</v>
      </c>
      <c r="C942" s="4" t="s">
        <v>97</v>
      </c>
      <c r="D942" s="25" t="s">
        <v>97</v>
      </c>
      <c r="E942" s="4">
        <v>37</v>
      </c>
      <c r="F942" s="25">
        <v>37</v>
      </c>
      <c r="G942" s="4" t="s">
        <v>64</v>
      </c>
      <c r="H942" s="25" t="s">
        <v>64</v>
      </c>
      <c r="I942" s="4" t="s">
        <v>31</v>
      </c>
      <c r="J942" s="25" t="s">
        <v>31</v>
      </c>
      <c r="K942" s="4">
        <v>9</v>
      </c>
      <c r="L942" s="25">
        <v>9</v>
      </c>
      <c r="M942" s="4" t="s">
        <v>58</v>
      </c>
      <c r="N942" s="25" t="s">
        <v>58</v>
      </c>
      <c r="O942" s="4">
        <v>2.7</v>
      </c>
      <c r="P942" s="25">
        <v>2.7</v>
      </c>
      <c r="Q942" s="4" t="s">
        <v>33</v>
      </c>
      <c r="R942" s="25" t="s">
        <v>33</v>
      </c>
      <c r="T942" s="26" t="s">
        <v>2120</v>
      </c>
    </row>
    <row r="943" spans="1:20" x14ac:dyDescent="0.3">
      <c r="A943" s="27" t="s">
        <v>1981</v>
      </c>
      <c r="B943" s="4" t="s">
        <v>1982</v>
      </c>
      <c r="C943" s="4" t="s">
        <v>28</v>
      </c>
      <c r="D943" s="25" t="s">
        <v>97</v>
      </c>
      <c r="E943" s="4">
        <v>38</v>
      </c>
      <c r="F943" s="25">
        <v>38</v>
      </c>
      <c r="G943" s="4" t="s">
        <v>128</v>
      </c>
      <c r="H943" s="25" t="s">
        <v>128</v>
      </c>
      <c r="I943" s="4" t="s">
        <v>57</v>
      </c>
      <c r="J943" s="25" t="s">
        <v>57</v>
      </c>
      <c r="K943" s="4">
        <v>15</v>
      </c>
      <c r="L943" s="25">
        <v>15</v>
      </c>
      <c r="M943" s="4" t="s">
        <v>86</v>
      </c>
      <c r="N943" s="25" t="s">
        <v>86</v>
      </c>
      <c r="O943" s="4">
        <v>4</v>
      </c>
      <c r="P943" s="25">
        <v>4</v>
      </c>
      <c r="Q943" s="4" t="s">
        <v>51</v>
      </c>
      <c r="R943" s="25" t="s">
        <v>2120</v>
      </c>
      <c r="S943" s="4">
        <v>0.62</v>
      </c>
      <c r="T943" s="26">
        <v>0.62</v>
      </c>
    </row>
    <row r="944" spans="1:20" x14ac:dyDescent="0.3">
      <c r="A944" s="27" t="s">
        <v>1983</v>
      </c>
      <c r="B944" s="4" t="s">
        <v>1984</v>
      </c>
      <c r="C944" s="4" t="s">
        <v>78</v>
      </c>
      <c r="D944" s="25" t="s">
        <v>118</v>
      </c>
      <c r="E944" s="4">
        <v>40</v>
      </c>
      <c r="F944" s="25">
        <v>40</v>
      </c>
      <c r="G944" s="4" t="s">
        <v>149</v>
      </c>
      <c r="H944" s="25" t="s">
        <v>149</v>
      </c>
      <c r="I944" s="4" t="s">
        <v>66</v>
      </c>
      <c r="J944" s="25" t="s">
        <v>66</v>
      </c>
      <c r="K944" s="4">
        <v>20</v>
      </c>
      <c r="L944" s="25">
        <v>20</v>
      </c>
      <c r="M944" s="4" t="s">
        <v>162</v>
      </c>
      <c r="N944" s="25" t="s">
        <v>162</v>
      </c>
      <c r="O944" s="4">
        <v>2.5</v>
      </c>
      <c r="P944" s="25">
        <v>2.5</v>
      </c>
      <c r="Q944" s="4" t="s">
        <v>23</v>
      </c>
      <c r="R944" s="25" t="s">
        <v>23</v>
      </c>
      <c r="S944" s="4">
        <v>0.81</v>
      </c>
      <c r="T944" s="26">
        <v>0.81</v>
      </c>
    </row>
    <row r="945" spans="1:20" x14ac:dyDescent="0.3">
      <c r="A945" s="27" t="s">
        <v>1985</v>
      </c>
      <c r="B945" s="4" t="s">
        <v>1986</v>
      </c>
      <c r="C945" s="4" t="s">
        <v>18</v>
      </c>
      <c r="D945" s="25" t="s">
        <v>97</v>
      </c>
      <c r="E945" s="4">
        <v>46</v>
      </c>
      <c r="F945" s="25">
        <v>46</v>
      </c>
      <c r="G945" s="4" t="s">
        <v>128</v>
      </c>
      <c r="H945" s="25" t="s">
        <v>128</v>
      </c>
      <c r="I945" s="4" t="s">
        <v>66</v>
      </c>
      <c r="J945" s="25" t="s">
        <v>66</v>
      </c>
      <c r="K945" s="4">
        <v>16</v>
      </c>
      <c r="L945" s="25">
        <v>16</v>
      </c>
      <c r="M945" s="4" t="s">
        <v>103</v>
      </c>
      <c r="N945" s="25" t="s">
        <v>103</v>
      </c>
      <c r="O945" s="4">
        <v>0</v>
      </c>
      <c r="P945" s="25">
        <v>0</v>
      </c>
      <c r="Q945" s="4" t="s">
        <v>181</v>
      </c>
      <c r="R945" s="25" t="s">
        <v>181</v>
      </c>
      <c r="S945" s="4">
        <v>0.94</v>
      </c>
      <c r="T945" s="26">
        <v>0.94</v>
      </c>
    </row>
    <row r="946" spans="1:20" x14ac:dyDescent="0.3">
      <c r="A946" s="27" t="s">
        <v>1987</v>
      </c>
      <c r="B946" s="4" t="s">
        <v>1988</v>
      </c>
      <c r="C946" s="4" t="s">
        <v>63</v>
      </c>
      <c r="D946" s="25" t="s">
        <v>118</v>
      </c>
      <c r="E946" s="4">
        <v>56</v>
      </c>
      <c r="F946" s="25">
        <v>56</v>
      </c>
      <c r="G946" s="4" t="s">
        <v>160</v>
      </c>
      <c r="H946" s="25" t="s">
        <v>160</v>
      </c>
      <c r="I946" s="4" t="s">
        <v>110</v>
      </c>
      <c r="J946" s="25" t="s">
        <v>110</v>
      </c>
      <c r="K946" s="4">
        <v>22</v>
      </c>
      <c r="L946" s="25">
        <v>22</v>
      </c>
      <c r="M946" s="4" t="s">
        <v>130</v>
      </c>
      <c r="N946" s="25" t="s">
        <v>130</v>
      </c>
      <c r="P946" s="25" t="s">
        <v>2120</v>
      </c>
      <c r="Q946" s="4" t="s">
        <v>181</v>
      </c>
      <c r="R946" s="25" t="s">
        <v>181</v>
      </c>
      <c r="S946" s="4">
        <v>0.95</v>
      </c>
      <c r="T946" s="26">
        <v>0.95</v>
      </c>
    </row>
    <row r="947" spans="1:20" x14ac:dyDescent="0.3">
      <c r="A947" s="27" t="s">
        <v>1989</v>
      </c>
      <c r="B947" s="4" t="s">
        <v>1990</v>
      </c>
      <c r="C947" s="4" t="s">
        <v>63</v>
      </c>
      <c r="D947" s="25" t="s">
        <v>118</v>
      </c>
      <c r="E947" s="4">
        <v>24</v>
      </c>
      <c r="F947" s="25">
        <v>24</v>
      </c>
      <c r="G947" s="4" t="s">
        <v>79</v>
      </c>
      <c r="H947" s="25" t="s">
        <v>79</v>
      </c>
      <c r="I947" s="4" t="s">
        <v>39</v>
      </c>
      <c r="J947" s="25" t="s">
        <v>39</v>
      </c>
      <c r="K947" s="4">
        <v>2</v>
      </c>
      <c r="L947" s="25">
        <v>2</v>
      </c>
      <c r="M947" s="4" t="s">
        <v>51</v>
      </c>
      <c r="N947" s="25" t="s">
        <v>2119</v>
      </c>
      <c r="O947" s="4">
        <v>1.6</v>
      </c>
      <c r="P947" s="25">
        <v>1.6</v>
      </c>
      <c r="Q947" s="4" t="s">
        <v>181</v>
      </c>
      <c r="R947" s="25" t="s">
        <v>181</v>
      </c>
      <c r="S947" s="4">
        <v>1</v>
      </c>
      <c r="T947" s="26">
        <v>1</v>
      </c>
    </row>
    <row r="948" spans="1:20" x14ac:dyDescent="0.3">
      <c r="A948" s="27" t="s">
        <v>1991</v>
      </c>
      <c r="B948" s="4" t="s">
        <v>1992</v>
      </c>
      <c r="C948" s="4" t="s">
        <v>113</v>
      </c>
      <c r="D948" s="25" t="s">
        <v>118</v>
      </c>
      <c r="F948" s="25" t="s">
        <v>2119</v>
      </c>
      <c r="G948" s="4" t="s">
        <v>201</v>
      </c>
      <c r="H948" s="25" t="s">
        <v>201</v>
      </c>
      <c r="I948" s="4" t="s">
        <v>57</v>
      </c>
      <c r="J948" s="25" t="s">
        <v>57</v>
      </c>
      <c r="K948" s="4">
        <v>1</v>
      </c>
      <c r="L948" s="25">
        <v>1</v>
      </c>
      <c r="M948" s="4" t="s">
        <v>103</v>
      </c>
      <c r="N948" s="25" t="s">
        <v>103</v>
      </c>
      <c r="O948" s="4">
        <v>0</v>
      </c>
      <c r="P948" s="25">
        <v>0</v>
      </c>
      <c r="Q948" s="4" t="s">
        <v>74</v>
      </c>
      <c r="R948" s="25" t="s">
        <v>74</v>
      </c>
      <c r="S948" s="4">
        <v>0.94</v>
      </c>
      <c r="T948" s="26">
        <v>0.94</v>
      </c>
    </row>
    <row r="949" spans="1:20" x14ac:dyDescent="0.3">
      <c r="A949" s="27" t="s">
        <v>1993</v>
      </c>
      <c r="B949" s="4" t="s">
        <v>1994</v>
      </c>
      <c r="C949" s="4" t="s">
        <v>45</v>
      </c>
      <c r="D949" s="25" t="s">
        <v>97</v>
      </c>
      <c r="E949" s="4">
        <v>38</v>
      </c>
      <c r="F949" s="25">
        <v>38</v>
      </c>
      <c r="G949" s="4" t="s">
        <v>79</v>
      </c>
      <c r="H949" s="25" t="s">
        <v>79</v>
      </c>
      <c r="I949" s="4" t="s">
        <v>31</v>
      </c>
      <c r="J949" s="25" t="s">
        <v>31</v>
      </c>
      <c r="K949" s="4">
        <v>8</v>
      </c>
      <c r="L949" s="25">
        <v>8</v>
      </c>
      <c r="M949" s="4" t="s">
        <v>52</v>
      </c>
      <c r="N949" s="25" t="s">
        <v>52</v>
      </c>
      <c r="O949" s="4">
        <v>4</v>
      </c>
      <c r="P949" s="25">
        <v>4</v>
      </c>
      <c r="Q949" s="4" t="s">
        <v>33</v>
      </c>
      <c r="R949" s="25" t="s">
        <v>33</v>
      </c>
      <c r="S949" s="4">
        <v>0.92</v>
      </c>
      <c r="T949" s="26">
        <v>0.92</v>
      </c>
    </row>
    <row r="950" spans="1:20" x14ac:dyDescent="0.3">
      <c r="A950" s="27" t="s">
        <v>1995</v>
      </c>
      <c r="B950" s="4" t="s">
        <v>1996</v>
      </c>
      <c r="C950" s="4" t="s">
        <v>97</v>
      </c>
      <c r="D950" s="25" t="s">
        <v>97</v>
      </c>
      <c r="E950" s="4">
        <v>28</v>
      </c>
      <c r="F950" s="25">
        <v>28</v>
      </c>
      <c r="G950" s="4" t="s">
        <v>156</v>
      </c>
      <c r="H950" s="25" t="s">
        <v>156</v>
      </c>
      <c r="I950" s="4" t="s">
        <v>110</v>
      </c>
      <c r="J950" s="25" t="s">
        <v>110</v>
      </c>
      <c r="K950" s="4">
        <v>8</v>
      </c>
      <c r="L950" s="25">
        <v>8</v>
      </c>
      <c r="M950" s="4" t="s">
        <v>119</v>
      </c>
      <c r="N950" s="25" t="s">
        <v>119</v>
      </c>
      <c r="O950" s="4">
        <v>2.5</v>
      </c>
      <c r="P950" s="25">
        <v>2.5</v>
      </c>
      <c r="Q950" s="4" t="s">
        <v>74</v>
      </c>
      <c r="R950" s="25" t="s">
        <v>74</v>
      </c>
      <c r="S950" s="4">
        <v>0.95</v>
      </c>
      <c r="T950" s="26">
        <v>0.95</v>
      </c>
    </row>
    <row r="951" spans="1:20" x14ac:dyDescent="0.3">
      <c r="A951" s="27" t="s">
        <v>1997</v>
      </c>
      <c r="B951" s="4" t="s">
        <v>1998</v>
      </c>
      <c r="C951" s="4" t="s">
        <v>63</v>
      </c>
      <c r="D951" s="25" t="s">
        <v>118</v>
      </c>
      <c r="E951" s="4">
        <v>25</v>
      </c>
      <c r="F951" s="25">
        <v>25</v>
      </c>
      <c r="G951" s="4" t="s">
        <v>128</v>
      </c>
      <c r="H951" s="25" t="s">
        <v>128</v>
      </c>
      <c r="I951" s="4" t="s">
        <v>110</v>
      </c>
      <c r="J951" s="25" t="s">
        <v>110</v>
      </c>
      <c r="K951" s="4">
        <v>7</v>
      </c>
      <c r="L951" s="25">
        <v>7</v>
      </c>
      <c r="M951" s="4" t="s">
        <v>142</v>
      </c>
      <c r="N951" s="25" t="s">
        <v>142</v>
      </c>
      <c r="O951" s="4">
        <v>3.8</v>
      </c>
      <c r="P951" s="25">
        <v>3.8</v>
      </c>
      <c r="Q951" s="4" t="s">
        <v>51</v>
      </c>
      <c r="R951" s="25" t="s">
        <v>2120</v>
      </c>
      <c r="S951" s="4">
        <v>0.97</v>
      </c>
      <c r="T951" s="26">
        <v>0.97</v>
      </c>
    </row>
    <row r="952" spans="1:20" x14ac:dyDescent="0.3">
      <c r="A952" s="27" t="s">
        <v>1999</v>
      </c>
      <c r="B952" s="4" t="s">
        <v>2000</v>
      </c>
      <c r="C952" s="4" t="s">
        <v>118</v>
      </c>
      <c r="D952" s="25" t="s">
        <v>118</v>
      </c>
      <c r="E952" s="4">
        <v>41</v>
      </c>
      <c r="F952" s="25">
        <v>41</v>
      </c>
      <c r="G952" s="4" t="s">
        <v>85</v>
      </c>
      <c r="H952" s="25" t="s">
        <v>85</v>
      </c>
      <c r="I952" s="4" t="s">
        <v>110</v>
      </c>
      <c r="J952" s="25" t="s">
        <v>110</v>
      </c>
      <c r="K952" s="4">
        <v>8</v>
      </c>
      <c r="L952" s="25">
        <v>8</v>
      </c>
      <c r="M952" s="4" t="s">
        <v>40</v>
      </c>
      <c r="N952" s="25" t="s">
        <v>40</v>
      </c>
      <c r="O952" s="4">
        <v>4.8</v>
      </c>
      <c r="P952" s="25">
        <v>4.8</v>
      </c>
      <c r="Q952" s="4" t="s">
        <v>41</v>
      </c>
      <c r="R952" s="25" t="s">
        <v>41</v>
      </c>
      <c r="S952" s="4">
        <v>0.75</v>
      </c>
      <c r="T952" s="26">
        <v>0.75</v>
      </c>
    </row>
    <row r="953" spans="1:20" x14ac:dyDescent="0.3">
      <c r="A953" s="27" t="s">
        <v>2001</v>
      </c>
      <c r="B953" s="4" t="s">
        <v>2002</v>
      </c>
      <c r="C953" s="4" t="s">
        <v>18</v>
      </c>
      <c r="D953" s="25" t="s">
        <v>97</v>
      </c>
      <c r="E953" s="4">
        <v>45</v>
      </c>
      <c r="F953" s="25">
        <v>45</v>
      </c>
      <c r="G953" s="4" t="s">
        <v>201</v>
      </c>
      <c r="H953" s="25" t="s">
        <v>201</v>
      </c>
      <c r="I953" s="4" t="s">
        <v>66</v>
      </c>
      <c r="J953" s="25" t="s">
        <v>66</v>
      </c>
      <c r="K953" s="4">
        <v>6</v>
      </c>
      <c r="L953" s="25">
        <v>6</v>
      </c>
      <c r="M953" s="4" t="s">
        <v>86</v>
      </c>
      <c r="N953" s="25" t="s">
        <v>86</v>
      </c>
      <c r="O953" s="4">
        <v>2</v>
      </c>
      <c r="P953" s="25">
        <v>2</v>
      </c>
      <c r="Q953" s="4" t="s">
        <v>33</v>
      </c>
      <c r="R953" s="25" t="s">
        <v>33</v>
      </c>
      <c r="S953" s="4">
        <v>0.78</v>
      </c>
      <c r="T953" s="26">
        <v>0.78</v>
      </c>
    </row>
    <row r="954" spans="1:20" x14ac:dyDescent="0.3">
      <c r="A954" s="27" t="s">
        <v>2003</v>
      </c>
      <c r="B954" s="4" t="s">
        <v>2004</v>
      </c>
      <c r="C954" s="4" t="s">
        <v>63</v>
      </c>
      <c r="D954" s="25" t="s">
        <v>118</v>
      </c>
      <c r="E954" s="4">
        <v>47</v>
      </c>
      <c r="F954" s="25">
        <v>47</v>
      </c>
      <c r="G954" s="4" t="s">
        <v>79</v>
      </c>
      <c r="H954" s="25" t="s">
        <v>79</v>
      </c>
      <c r="I954" s="4" t="s">
        <v>110</v>
      </c>
      <c r="J954" s="25" t="s">
        <v>110</v>
      </c>
      <c r="K954" s="4">
        <v>16</v>
      </c>
      <c r="L954" s="25">
        <v>16</v>
      </c>
      <c r="M954" s="4" t="s">
        <v>251</v>
      </c>
      <c r="N954" s="25" t="s">
        <v>251</v>
      </c>
      <c r="O954" s="4">
        <v>3.3</v>
      </c>
      <c r="P954" s="25">
        <v>3.3</v>
      </c>
      <c r="Q954" s="4" t="s">
        <v>23</v>
      </c>
      <c r="R954" s="25" t="s">
        <v>23</v>
      </c>
      <c r="S954" s="4">
        <v>0.65</v>
      </c>
      <c r="T954" s="26">
        <v>0.65</v>
      </c>
    </row>
    <row r="955" spans="1:20" x14ac:dyDescent="0.3">
      <c r="A955" s="27" t="s">
        <v>2005</v>
      </c>
      <c r="B955" s="4" t="s">
        <v>2006</v>
      </c>
      <c r="C955" s="4" t="s">
        <v>45</v>
      </c>
      <c r="D955" s="25" t="s">
        <v>97</v>
      </c>
      <c r="E955" s="4">
        <v>59</v>
      </c>
      <c r="F955" s="25">
        <v>59</v>
      </c>
      <c r="G955" s="4" t="s">
        <v>85</v>
      </c>
      <c r="H955" s="25" t="s">
        <v>85</v>
      </c>
      <c r="I955" s="4" t="s">
        <v>66</v>
      </c>
      <c r="J955" s="25" t="s">
        <v>66</v>
      </c>
      <c r="K955" s="4">
        <v>40</v>
      </c>
      <c r="L955" s="25">
        <v>40</v>
      </c>
      <c r="M955" s="4" t="s">
        <v>86</v>
      </c>
      <c r="N955" s="25" t="s">
        <v>86</v>
      </c>
      <c r="O955" s="4">
        <v>2.5</v>
      </c>
      <c r="P955" s="25">
        <v>2.5</v>
      </c>
      <c r="Q955" s="4" t="s">
        <v>74</v>
      </c>
      <c r="R955" s="25" t="s">
        <v>74</v>
      </c>
      <c r="S955" s="4">
        <v>70</v>
      </c>
      <c r="T955" s="26">
        <v>70</v>
      </c>
    </row>
    <row r="956" spans="1:20" x14ac:dyDescent="0.3">
      <c r="A956" s="27" t="s">
        <v>2007</v>
      </c>
      <c r="B956" s="4" t="s">
        <v>2008</v>
      </c>
      <c r="C956" s="4" t="s">
        <v>97</v>
      </c>
      <c r="D956" s="25" t="s">
        <v>97</v>
      </c>
      <c r="E956" s="4">
        <v>25</v>
      </c>
      <c r="F956" s="25">
        <v>25</v>
      </c>
      <c r="G956" s="4" t="s">
        <v>149</v>
      </c>
      <c r="H956" s="25" t="s">
        <v>149</v>
      </c>
      <c r="I956" s="4" t="s">
        <v>21</v>
      </c>
      <c r="J956" s="25" t="s">
        <v>21</v>
      </c>
      <c r="K956" s="4">
        <v>6</v>
      </c>
      <c r="L956" s="25">
        <v>6</v>
      </c>
      <c r="M956" s="4" t="s">
        <v>251</v>
      </c>
      <c r="N956" s="25" t="s">
        <v>251</v>
      </c>
      <c r="P956" s="25" t="s">
        <v>2120</v>
      </c>
      <c r="Q956" s="4" t="s">
        <v>94</v>
      </c>
      <c r="R956" s="25" t="s">
        <v>94</v>
      </c>
      <c r="S956" s="4">
        <v>78</v>
      </c>
      <c r="T956" s="26">
        <v>78</v>
      </c>
    </row>
    <row r="957" spans="1:20" x14ac:dyDescent="0.3">
      <c r="A957" s="27" t="s">
        <v>2009</v>
      </c>
      <c r="B957" s="4" t="s">
        <v>2010</v>
      </c>
      <c r="C957" s="4" t="s">
        <v>118</v>
      </c>
      <c r="D957" s="25" t="s">
        <v>118</v>
      </c>
      <c r="E957" s="4">
        <v>27</v>
      </c>
      <c r="F957" s="25">
        <v>27</v>
      </c>
      <c r="G957" s="4" t="s">
        <v>29</v>
      </c>
      <c r="H957" s="25" t="s">
        <v>29</v>
      </c>
      <c r="I957" s="4" t="s">
        <v>46</v>
      </c>
      <c r="J957" s="25" t="s">
        <v>46</v>
      </c>
      <c r="K957" s="4">
        <v>3</v>
      </c>
      <c r="L957" s="25">
        <v>3</v>
      </c>
      <c r="M957" s="4" t="s">
        <v>119</v>
      </c>
      <c r="N957" s="25" t="s">
        <v>119</v>
      </c>
      <c r="P957" s="25" t="s">
        <v>2120</v>
      </c>
      <c r="Q957" s="4" t="s">
        <v>33</v>
      </c>
      <c r="R957" s="25" t="s">
        <v>33</v>
      </c>
      <c r="S957" s="4">
        <v>0.96</v>
      </c>
      <c r="T957" s="26">
        <v>0.96</v>
      </c>
    </row>
    <row r="958" spans="1:20" x14ac:dyDescent="0.3">
      <c r="A958" s="27" t="s">
        <v>2011</v>
      </c>
      <c r="B958" s="4" t="s">
        <v>2012</v>
      </c>
      <c r="C958" s="4" t="s">
        <v>45</v>
      </c>
      <c r="D958" s="25" t="s">
        <v>97</v>
      </c>
      <c r="E958" s="4">
        <v>57</v>
      </c>
      <c r="F958" s="25">
        <v>57</v>
      </c>
      <c r="G958" s="4" t="s">
        <v>29</v>
      </c>
      <c r="H958" s="25" t="s">
        <v>29</v>
      </c>
      <c r="I958" s="4" t="s">
        <v>57</v>
      </c>
      <c r="J958" s="25" t="s">
        <v>57</v>
      </c>
      <c r="K958" s="4">
        <v>5</v>
      </c>
      <c r="L958" s="25">
        <v>5</v>
      </c>
      <c r="M958" s="4" t="s">
        <v>32</v>
      </c>
      <c r="N958" s="25" t="s">
        <v>32</v>
      </c>
      <c r="O958" s="4">
        <v>0</v>
      </c>
      <c r="P958" s="25">
        <v>0</v>
      </c>
      <c r="Q958" s="4" t="s">
        <v>33</v>
      </c>
      <c r="R958" s="25" t="s">
        <v>33</v>
      </c>
      <c r="S958" s="4">
        <v>0.8</v>
      </c>
      <c r="T958" s="26">
        <v>0.8</v>
      </c>
    </row>
    <row r="959" spans="1:20" x14ac:dyDescent="0.3">
      <c r="A959" s="27" t="s">
        <v>2013</v>
      </c>
      <c r="B959" s="4" t="s">
        <v>2014</v>
      </c>
      <c r="C959" s="4" t="s">
        <v>45</v>
      </c>
      <c r="D959" s="25" t="s">
        <v>97</v>
      </c>
      <c r="E959" s="4">
        <v>34</v>
      </c>
      <c r="F959" s="25">
        <v>34</v>
      </c>
      <c r="G959" s="4" t="s">
        <v>79</v>
      </c>
      <c r="H959" s="25" t="s">
        <v>79</v>
      </c>
      <c r="I959" s="4" t="s">
        <v>93</v>
      </c>
      <c r="J959" s="25" t="s">
        <v>93</v>
      </c>
      <c r="K959" s="4">
        <v>12</v>
      </c>
      <c r="L959" s="25">
        <v>12</v>
      </c>
      <c r="M959" s="4" t="s">
        <v>142</v>
      </c>
      <c r="N959" s="25" t="s">
        <v>142</v>
      </c>
      <c r="O959" s="4">
        <v>1.6</v>
      </c>
      <c r="P959" s="25">
        <v>1.6</v>
      </c>
      <c r="Q959" s="4" t="s">
        <v>87</v>
      </c>
      <c r="R959" s="25" t="s">
        <v>87</v>
      </c>
      <c r="S959" s="4">
        <v>0.64</v>
      </c>
      <c r="T959" s="26">
        <v>0.64</v>
      </c>
    </row>
    <row r="960" spans="1:20" x14ac:dyDescent="0.3">
      <c r="A960" s="27" t="s">
        <v>2015</v>
      </c>
      <c r="B960" s="4" t="s">
        <v>2016</v>
      </c>
      <c r="C960" s="4" t="s">
        <v>113</v>
      </c>
      <c r="D960" s="25" t="s">
        <v>118</v>
      </c>
      <c r="E960" s="4">
        <v>55</v>
      </c>
      <c r="F960" s="25">
        <v>55</v>
      </c>
      <c r="G960" s="4" t="s">
        <v>156</v>
      </c>
      <c r="H960" s="25" t="s">
        <v>156</v>
      </c>
      <c r="I960" s="4" t="s">
        <v>93</v>
      </c>
      <c r="J960" s="25" t="s">
        <v>93</v>
      </c>
      <c r="K960" s="4">
        <v>33</v>
      </c>
      <c r="L960" s="25">
        <v>33</v>
      </c>
      <c r="M960" s="4" t="s">
        <v>40</v>
      </c>
      <c r="N960" s="25" t="s">
        <v>40</v>
      </c>
      <c r="O960" s="4">
        <v>0</v>
      </c>
      <c r="P960" s="25">
        <v>0</v>
      </c>
      <c r="Q960" s="4" t="s">
        <v>59</v>
      </c>
      <c r="R960" s="25" t="s">
        <v>59</v>
      </c>
      <c r="S960" s="4">
        <v>0.92</v>
      </c>
      <c r="T960" s="26">
        <v>0.92</v>
      </c>
    </row>
    <row r="961" spans="1:20" x14ac:dyDescent="0.3">
      <c r="A961" s="27" t="s">
        <v>2017</v>
      </c>
      <c r="B961" s="4" t="s">
        <v>2018</v>
      </c>
      <c r="C961" s="4" t="s">
        <v>37</v>
      </c>
      <c r="D961" s="25" t="s">
        <v>118</v>
      </c>
      <c r="E961" s="4">
        <v>21</v>
      </c>
      <c r="F961" s="25">
        <v>21</v>
      </c>
      <c r="G961" s="4" t="s">
        <v>160</v>
      </c>
      <c r="H961" s="25" t="s">
        <v>160</v>
      </c>
      <c r="I961" s="4" t="s">
        <v>21</v>
      </c>
      <c r="J961" s="25" t="s">
        <v>21</v>
      </c>
      <c r="K961" s="4">
        <v>1</v>
      </c>
      <c r="L961" s="25">
        <v>1</v>
      </c>
      <c r="M961" s="4" t="s">
        <v>22</v>
      </c>
      <c r="N961" s="25" t="s">
        <v>22</v>
      </c>
      <c r="O961" s="4">
        <v>0</v>
      </c>
      <c r="P961" s="25">
        <v>0</v>
      </c>
      <c r="Q961" s="4" t="s">
        <v>33</v>
      </c>
      <c r="R961" s="25" t="s">
        <v>33</v>
      </c>
      <c r="T961" s="26" t="s">
        <v>2120</v>
      </c>
    </row>
    <row r="962" spans="1:20" x14ac:dyDescent="0.3">
      <c r="A962" s="27" t="s">
        <v>2019</v>
      </c>
      <c r="B962" s="4" t="s">
        <v>2020</v>
      </c>
      <c r="C962" s="4" t="s">
        <v>78</v>
      </c>
      <c r="D962" s="25" t="s">
        <v>118</v>
      </c>
      <c r="E962" s="4">
        <v>53</v>
      </c>
      <c r="F962" s="25">
        <v>53</v>
      </c>
      <c r="G962" s="4" t="s">
        <v>55</v>
      </c>
      <c r="H962" s="25" t="s">
        <v>55</v>
      </c>
      <c r="I962" s="4" t="s">
        <v>110</v>
      </c>
      <c r="J962" s="25" t="s">
        <v>110</v>
      </c>
      <c r="K962" s="4">
        <v>27</v>
      </c>
      <c r="L962" s="25">
        <v>27</v>
      </c>
      <c r="M962" s="4" t="s">
        <v>336</v>
      </c>
      <c r="N962" s="25" t="s">
        <v>336</v>
      </c>
      <c r="O962" s="4">
        <v>4.7</v>
      </c>
      <c r="P962" s="25">
        <v>4.7</v>
      </c>
      <c r="Q962" s="4" t="s">
        <v>87</v>
      </c>
      <c r="R962" s="25" t="s">
        <v>87</v>
      </c>
      <c r="S962" s="4">
        <v>71</v>
      </c>
      <c r="T962" s="26">
        <v>71</v>
      </c>
    </row>
    <row r="963" spans="1:20" x14ac:dyDescent="0.3">
      <c r="A963" s="27" t="s">
        <v>2021</v>
      </c>
      <c r="B963" s="4" t="s">
        <v>2022</v>
      </c>
      <c r="C963" s="4" t="s">
        <v>18</v>
      </c>
      <c r="D963" s="25" t="s">
        <v>97</v>
      </c>
      <c r="E963" s="4">
        <v>21</v>
      </c>
      <c r="F963" s="25">
        <v>21</v>
      </c>
      <c r="G963" s="4" t="s">
        <v>38</v>
      </c>
      <c r="H963" s="25" t="s">
        <v>38</v>
      </c>
      <c r="I963" s="4" t="s">
        <v>93</v>
      </c>
      <c r="J963" s="25" t="s">
        <v>93</v>
      </c>
      <c r="K963" s="4">
        <v>1</v>
      </c>
      <c r="L963" s="25">
        <v>1</v>
      </c>
      <c r="M963" s="4" t="s">
        <v>251</v>
      </c>
      <c r="N963" s="25" t="s">
        <v>251</v>
      </c>
      <c r="O963" s="4">
        <v>0</v>
      </c>
      <c r="P963" s="25">
        <v>0</v>
      </c>
      <c r="Q963" s="4" t="s">
        <v>87</v>
      </c>
      <c r="R963" s="25" t="s">
        <v>87</v>
      </c>
      <c r="S963" s="4">
        <v>0.95</v>
      </c>
      <c r="T963" s="26">
        <v>0.95</v>
      </c>
    </row>
    <row r="964" spans="1:20" x14ac:dyDescent="0.3">
      <c r="A964" s="27" t="s">
        <v>2023</v>
      </c>
      <c r="B964" s="4" t="s">
        <v>2024</v>
      </c>
      <c r="C964" s="4" t="s">
        <v>28</v>
      </c>
      <c r="D964" s="25" t="s">
        <v>97</v>
      </c>
      <c r="E964" s="4">
        <v>36</v>
      </c>
      <c r="F964" s="25">
        <v>36</v>
      </c>
      <c r="G964" s="4" t="s">
        <v>128</v>
      </c>
      <c r="H964" s="25" t="s">
        <v>128</v>
      </c>
      <c r="I964" s="4" t="s">
        <v>46</v>
      </c>
      <c r="J964" s="25" t="s">
        <v>46</v>
      </c>
      <c r="L964" s="25" t="s">
        <v>2120</v>
      </c>
      <c r="M964" s="4" t="s">
        <v>162</v>
      </c>
      <c r="N964" s="25" t="s">
        <v>162</v>
      </c>
      <c r="O964" s="4">
        <v>4.0999999999999996</v>
      </c>
      <c r="P964" s="25">
        <v>4.0999999999999996</v>
      </c>
      <c r="Q964" s="4" t="s">
        <v>41</v>
      </c>
      <c r="R964" s="25" t="s">
        <v>41</v>
      </c>
      <c r="S964" s="4">
        <v>0.86</v>
      </c>
      <c r="T964" s="26">
        <v>0.86</v>
      </c>
    </row>
    <row r="965" spans="1:20" x14ac:dyDescent="0.3">
      <c r="A965" s="27" t="s">
        <v>2025</v>
      </c>
      <c r="B965" s="4" t="s">
        <v>2026</v>
      </c>
      <c r="C965" s="4" t="s">
        <v>37</v>
      </c>
      <c r="D965" s="25" t="s">
        <v>118</v>
      </c>
      <c r="E965" s="4">
        <v>40</v>
      </c>
      <c r="F965" s="25">
        <v>40</v>
      </c>
      <c r="G965" s="4" t="s">
        <v>38</v>
      </c>
      <c r="H965" s="25" t="s">
        <v>38</v>
      </c>
      <c r="I965" s="4" t="s">
        <v>57</v>
      </c>
      <c r="J965" s="25" t="s">
        <v>57</v>
      </c>
      <c r="K965" s="4">
        <v>2</v>
      </c>
      <c r="L965" s="25">
        <v>2</v>
      </c>
      <c r="M965" s="4" t="s">
        <v>58</v>
      </c>
      <c r="N965" s="25" t="s">
        <v>58</v>
      </c>
      <c r="O965" s="4">
        <v>1.3</v>
      </c>
      <c r="P965" s="25">
        <v>1.3</v>
      </c>
      <c r="Q965" s="4" t="s">
        <v>33</v>
      </c>
      <c r="R965" s="25" t="s">
        <v>33</v>
      </c>
      <c r="S965" s="4">
        <v>0.77</v>
      </c>
      <c r="T965" s="26">
        <v>0.77</v>
      </c>
    </row>
    <row r="966" spans="1:20" x14ac:dyDescent="0.3">
      <c r="A966" s="27" t="s">
        <v>2027</v>
      </c>
      <c r="B966" s="4" t="s">
        <v>2028</v>
      </c>
      <c r="C966" s="4" t="s">
        <v>97</v>
      </c>
      <c r="D966" s="25" t="s">
        <v>97</v>
      </c>
      <c r="E966" s="4">
        <v>59</v>
      </c>
      <c r="F966" s="25">
        <v>59</v>
      </c>
      <c r="G966" s="4" t="s">
        <v>85</v>
      </c>
      <c r="H966" s="25" t="s">
        <v>85</v>
      </c>
      <c r="I966" s="4" t="s">
        <v>93</v>
      </c>
      <c r="J966" s="25" t="s">
        <v>93</v>
      </c>
      <c r="K966" s="4">
        <v>40</v>
      </c>
      <c r="L966" s="25">
        <v>40</v>
      </c>
      <c r="M966" s="4" t="s">
        <v>22</v>
      </c>
      <c r="N966" s="25" t="s">
        <v>22</v>
      </c>
      <c r="O966" s="4">
        <v>2.6</v>
      </c>
      <c r="P966" s="25">
        <v>2.6</v>
      </c>
      <c r="Q966" s="4" t="s">
        <v>51</v>
      </c>
      <c r="R966" s="25" t="s">
        <v>2120</v>
      </c>
      <c r="T966" s="26" t="s">
        <v>2120</v>
      </c>
    </row>
    <row r="967" spans="1:20" x14ac:dyDescent="0.3">
      <c r="A967" s="27" t="s">
        <v>2029</v>
      </c>
      <c r="B967" s="4" t="s">
        <v>2030</v>
      </c>
      <c r="C967" s="4" t="s">
        <v>63</v>
      </c>
      <c r="D967" s="25" t="s">
        <v>118</v>
      </c>
      <c r="E967" s="4">
        <v>45</v>
      </c>
      <c r="F967" s="25">
        <v>45</v>
      </c>
      <c r="G967" s="4" t="s">
        <v>55</v>
      </c>
      <c r="H967" s="25" t="s">
        <v>55</v>
      </c>
      <c r="I967" s="4" t="s">
        <v>98</v>
      </c>
      <c r="J967" s="25" t="s">
        <v>98</v>
      </c>
      <c r="K967" s="4">
        <v>4</v>
      </c>
      <c r="L967" s="25">
        <v>4</v>
      </c>
      <c r="M967" s="4" t="s">
        <v>142</v>
      </c>
      <c r="N967" s="25" t="s">
        <v>142</v>
      </c>
      <c r="O967" s="4">
        <v>2.7</v>
      </c>
      <c r="P967" s="25">
        <v>2.7</v>
      </c>
      <c r="Q967" s="4" t="s">
        <v>51</v>
      </c>
      <c r="R967" s="25" t="s">
        <v>2120</v>
      </c>
      <c r="S967" s="4">
        <v>0.72</v>
      </c>
      <c r="T967" s="26">
        <v>0.72</v>
      </c>
    </row>
    <row r="968" spans="1:20" x14ac:dyDescent="0.3">
      <c r="A968" s="27" t="s">
        <v>2031</v>
      </c>
      <c r="B968" s="4" t="s">
        <v>2032</v>
      </c>
      <c r="C968" s="4" t="s">
        <v>78</v>
      </c>
      <c r="D968" s="25" t="s">
        <v>118</v>
      </c>
      <c r="E968" s="4">
        <v>44</v>
      </c>
      <c r="F968" s="25">
        <v>44</v>
      </c>
      <c r="G968" s="4" t="s">
        <v>133</v>
      </c>
      <c r="H968" s="25" t="s">
        <v>133</v>
      </c>
      <c r="I968" s="4" t="s">
        <v>135</v>
      </c>
      <c r="J968" s="25" t="s">
        <v>135</v>
      </c>
      <c r="K968" s="4">
        <v>9</v>
      </c>
      <c r="L968" s="25">
        <v>9</v>
      </c>
      <c r="M968" s="4" t="s">
        <v>86</v>
      </c>
      <c r="N968" s="25" t="s">
        <v>86</v>
      </c>
      <c r="P968" s="25" t="s">
        <v>2120</v>
      </c>
      <c r="Q968" s="4" t="s">
        <v>23</v>
      </c>
      <c r="R968" s="25" t="s">
        <v>23</v>
      </c>
      <c r="S968" s="4">
        <v>0.7</v>
      </c>
      <c r="T968" s="26">
        <v>0.7</v>
      </c>
    </row>
    <row r="969" spans="1:20" x14ac:dyDescent="0.3">
      <c r="A969" s="27" t="s">
        <v>2033</v>
      </c>
      <c r="B969" s="4" t="s">
        <v>2034</v>
      </c>
      <c r="C969" s="4" t="s">
        <v>28</v>
      </c>
      <c r="D969" s="25" t="s">
        <v>97</v>
      </c>
      <c r="E969" s="4">
        <v>36</v>
      </c>
      <c r="F969" s="25">
        <v>36</v>
      </c>
      <c r="G969" s="4" t="s">
        <v>85</v>
      </c>
      <c r="H969" s="25" t="s">
        <v>85</v>
      </c>
      <c r="I969" s="4" t="s">
        <v>98</v>
      </c>
      <c r="J969" s="25" t="s">
        <v>98</v>
      </c>
      <c r="K969" s="4">
        <v>13</v>
      </c>
      <c r="L969" s="25">
        <v>13</v>
      </c>
      <c r="M969" s="4" t="s">
        <v>52</v>
      </c>
      <c r="N969" s="25" t="s">
        <v>52</v>
      </c>
      <c r="O969" s="4">
        <v>3.6</v>
      </c>
      <c r="P969" s="25">
        <v>3.6</v>
      </c>
      <c r="Q969" s="4" t="s">
        <v>23</v>
      </c>
      <c r="R969" s="25" t="s">
        <v>23</v>
      </c>
      <c r="S969" s="4">
        <v>0.86</v>
      </c>
      <c r="T969" s="26">
        <v>0.86</v>
      </c>
    </row>
    <row r="970" spans="1:20" x14ac:dyDescent="0.3">
      <c r="A970" s="27" t="s">
        <v>2035</v>
      </c>
      <c r="B970" s="4" t="s">
        <v>2036</v>
      </c>
      <c r="C970" s="4" t="s">
        <v>97</v>
      </c>
      <c r="D970" s="25" t="s">
        <v>97</v>
      </c>
      <c r="E970" s="4">
        <v>26</v>
      </c>
      <c r="F970" s="25">
        <v>26</v>
      </c>
      <c r="G970" s="4" t="s">
        <v>114</v>
      </c>
      <c r="H970" s="25" t="s">
        <v>114</v>
      </c>
      <c r="I970" s="4" t="s">
        <v>39</v>
      </c>
      <c r="J970" s="25" t="s">
        <v>39</v>
      </c>
      <c r="K970" s="4">
        <v>1</v>
      </c>
      <c r="L970" s="25">
        <v>1</v>
      </c>
      <c r="M970" s="4" t="s">
        <v>103</v>
      </c>
      <c r="N970" s="25" t="s">
        <v>103</v>
      </c>
      <c r="O970" s="4">
        <v>3</v>
      </c>
      <c r="P970" s="25">
        <v>3</v>
      </c>
      <c r="Q970" s="4" t="s">
        <v>33</v>
      </c>
      <c r="R970" s="25" t="s">
        <v>33</v>
      </c>
      <c r="T970" s="26" t="s">
        <v>2120</v>
      </c>
    </row>
    <row r="971" spans="1:20" x14ac:dyDescent="0.3">
      <c r="A971" s="27" t="s">
        <v>2037</v>
      </c>
      <c r="B971" s="4" t="s">
        <v>2038</v>
      </c>
      <c r="C971" s="4" t="s">
        <v>63</v>
      </c>
      <c r="D971" s="25" t="s">
        <v>118</v>
      </c>
      <c r="E971" s="4">
        <v>49</v>
      </c>
      <c r="F971" s="25">
        <v>49</v>
      </c>
      <c r="G971" s="4" t="s">
        <v>114</v>
      </c>
      <c r="H971" s="25" t="s">
        <v>114</v>
      </c>
      <c r="I971" s="4" t="s">
        <v>46</v>
      </c>
      <c r="J971" s="25" t="s">
        <v>46</v>
      </c>
      <c r="K971" s="4">
        <v>1</v>
      </c>
      <c r="L971" s="25">
        <v>1</v>
      </c>
      <c r="M971" s="4" t="s">
        <v>51</v>
      </c>
      <c r="N971" s="25" t="s">
        <v>2119</v>
      </c>
      <c r="O971" s="4">
        <v>0</v>
      </c>
      <c r="P971" s="25">
        <v>0</v>
      </c>
      <c r="Q971" s="4" t="s">
        <v>23</v>
      </c>
      <c r="R971" s="25" t="s">
        <v>23</v>
      </c>
      <c r="S971" s="4">
        <v>0.82</v>
      </c>
      <c r="T971" s="26">
        <v>0.82</v>
      </c>
    </row>
    <row r="972" spans="1:20" x14ac:dyDescent="0.3">
      <c r="A972" s="27" t="s">
        <v>2039</v>
      </c>
      <c r="B972" s="4" t="s">
        <v>2040</v>
      </c>
      <c r="C972" s="4" t="s">
        <v>63</v>
      </c>
      <c r="D972" s="25" t="s">
        <v>118</v>
      </c>
      <c r="E972" s="4">
        <v>29</v>
      </c>
      <c r="F972" s="25">
        <v>29</v>
      </c>
      <c r="G972" s="4" t="s">
        <v>156</v>
      </c>
      <c r="H972" s="25" t="s">
        <v>156</v>
      </c>
      <c r="I972" s="4" t="s">
        <v>31</v>
      </c>
      <c r="J972" s="25" t="s">
        <v>31</v>
      </c>
      <c r="K972" s="4">
        <v>3</v>
      </c>
      <c r="L972" s="25">
        <v>3</v>
      </c>
      <c r="M972" s="4" t="s">
        <v>70</v>
      </c>
      <c r="N972" s="25" t="s">
        <v>70</v>
      </c>
      <c r="O972" s="4">
        <v>0</v>
      </c>
      <c r="P972" s="25">
        <v>0</v>
      </c>
      <c r="Q972" s="4" t="s">
        <v>74</v>
      </c>
      <c r="R972" s="25" t="s">
        <v>74</v>
      </c>
      <c r="S972" s="4">
        <v>0.81</v>
      </c>
      <c r="T972" s="26">
        <v>0.81</v>
      </c>
    </row>
    <row r="973" spans="1:20" x14ac:dyDescent="0.3">
      <c r="A973" s="27" t="s">
        <v>2041</v>
      </c>
      <c r="B973" s="4" t="s">
        <v>2042</v>
      </c>
      <c r="C973" s="4" t="s">
        <v>63</v>
      </c>
      <c r="D973" s="25" t="s">
        <v>118</v>
      </c>
      <c r="E973" s="4">
        <v>32</v>
      </c>
      <c r="F973" s="25">
        <v>32</v>
      </c>
      <c r="G973" s="4" t="s">
        <v>156</v>
      </c>
      <c r="H973" s="25" t="s">
        <v>156</v>
      </c>
      <c r="I973" s="4" t="s">
        <v>39</v>
      </c>
      <c r="J973" s="25" t="s">
        <v>39</v>
      </c>
      <c r="K973" s="4">
        <v>1</v>
      </c>
      <c r="L973" s="25">
        <v>1</v>
      </c>
      <c r="M973" s="4" t="s">
        <v>47</v>
      </c>
      <c r="N973" s="25" t="s">
        <v>47</v>
      </c>
      <c r="O973" s="4">
        <v>3.1</v>
      </c>
      <c r="P973" s="25">
        <v>3.1</v>
      </c>
      <c r="Q973" s="4" t="s">
        <v>33</v>
      </c>
      <c r="R973" s="25" t="s">
        <v>33</v>
      </c>
      <c r="S973" s="4">
        <v>0.76</v>
      </c>
      <c r="T973" s="26">
        <v>0.76</v>
      </c>
    </row>
    <row r="974" spans="1:20" x14ac:dyDescent="0.3">
      <c r="A974" s="27" t="s">
        <v>2043</v>
      </c>
      <c r="B974" s="4" t="s">
        <v>2044</v>
      </c>
      <c r="C974" s="4" t="s">
        <v>78</v>
      </c>
      <c r="D974" s="25" t="s">
        <v>118</v>
      </c>
      <c r="E974" s="4">
        <v>24</v>
      </c>
      <c r="F974" s="25">
        <v>24</v>
      </c>
      <c r="G974" s="4" t="s">
        <v>64</v>
      </c>
      <c r="H974" s="25" t="s">
        <v>64</v>
      </c>
      <c r="I974" s="4" t="s">
        <v>21</v>
      </c>
      <c r="J974" s="25" t="s">
        <v>21</v>
      </c>
      <c r="K974" s="4">
        <v>3</v>
      </c>
      <c r="L974" s="25">
        <v>3</v>
      </c>
      <c r="M974" s="4" t="s">
        <v>130</v>
      </c>
      <c r="N974" s="25" t="s">
        <v>130</v>
      </c>
      <c r="O974" s="4">
        <v>3.9</v>
      </c>
      <c r="P974" s="25">
        <v>3.9</v>
      </c>
      <c r="Q974" s="4" t="s">
        <v>41</v>
      </c>
      <c r="R974" s="25" t="s">
        <v>41</v>
      </c>
      <c r="S974" s="4">
        <v>0.9</v>
      </c>
      <c r="T974" s="26">
        <v>0.9</v>
      </c>
    </row>
    <row r="975" spans="1:20" x14ac:dyDescent="0.3">
      <c r="A975" s="27" t="s">
        <v>2045</v>
      </c>
      <c r="B975" s="4" t="s">
        <v>2046</v>
      </c>
      <c r="C975" s="4" t="s">
        <v>78</v>
      </c>
      <c r="D975" s="25" t="s">
        <v>118</v>
      </c>
      <c r="E975" s="4">
        <v>35</v>
      </c>
      <c r="F975" s="25">
        <v>35</v>
      </c>
      <c r="G975" s="4" t="s">
        <v>133</v>
      </c>
      <c r="H975" s="25" t="s">
        <v>133</v>
      </c>
      <c r="I975" s="4" t="s">
        <v>110</v>
      </c>
      <c r="J975" s="25" t="s">
        <v>110</v>
      </c>
      <c r="K975" s="4">
        <v>14</v>
      </c>
      <c r="L975" s="25">
        <v>14</v>
      </c>
      <c r="M975" s="4" t="s">
        <v>52</v>
      </c>
      <c r="N975" s="25" t="s">
        <v>52</v>
      </c>
      <c r="O975" s="4">
        <v>1.6</v>
      </c>
      <c r="P975" s="25">
        <v>1.6</v>
      </c>
      <c r="Q975" s="4" t="s">
        <v>94</v>
      </c>
      <c r="R975" s="25" t="s">
        <v>94</v>
      </c>
      <c r="S975" s="4">
        <v>0.67</v>
      </c>
      <c r="T975" s="26">
        <v>0.67</v>
      </c>
    </row>
    <row r="976" spans="1:20" x14ac:dyDescent="0.3">
      <c r="A976" s="27" t="s">
        <v>2047</v>
      </c>
      <c r="B976" s="4" t="s">
        <v>2048</v>
      </c>
      <c r="C976" s="4" t="s">
        <v>50</v>
      </c>
      <c r="D976" s="25" t="s">
        <v>97</v>
      </c>
      <c r="E976" s="4">
        <v>43</v>
      </c>
      <c r="F976" s="25">
        <v>43</v>
      </c>
      <c r="G976" s="4" t="s">
        <v>212</v>
      </c>
      <c r="H976" s="25" t="s">
        <v>212</v>
      </c>
      <c r="I976" s="4" t="s">
        <v>21</v>
      </c>
      <c r="J976" s="25" t="s">
        <v>21</v>
      </c>
      <c r="K976" s="4">
        <v>2</v>
      </c>
      <c r="L976" s="25">
        <v>2</v>
      </c>
      <c r="M976" s="4" t="s">
        <v>51</v>
      </c>
      <c r="N976" s="25" t="s">
        <v>2119</v>
      </c>
      <c r="O976" s="4">
        <v>1.8</v>
      </c>
      <c r="P976" s="25">
        <v>1.8</v>
      </c>
      <c r="Q976" s="4" t="s">
        <v>181</v>
      </c>
      <c r="R976" s="25" t="s">
        <v>181</v>
      </c>
      <c r="S976" s="4">
        <v>0.61</v>
      </c>
      <c r="T976" s="26">
        <v>0.61</v>
      </c>
    </row>
    <row r="977" spans="1:20" x14ac:dyDescent="0.3">
      <c r="A977" s="27" t="s">
        <v>2049</v>
      </c>
      <c r="B977" s="4" t="s">
        <v>2050</v>
      </c>
      <c r="C977" s="4" t="s">
        <v>37</v>
      </c>
      <c r="D977" s="25" t="s">
        <v>118</v>
      </c>
      <c r="E977" s="4">
        <v>53</v>
      </c>
      <c r="F977" s="25">
        <v>53</v>
      </c>
      <c r="G977" s="4" t="s">
        <v>133</v>
      </c>
      <c r="H977" s="25" t="s">
        <v>133</v>
      </c>
      <c r="I977" s="4" t="s">
        <v>135</v>
      </c>
      <c r="J977" s="25" t="s">
        <v>135</v>
      </c>
      <c r="K977" s="4">
        <v>27</v>
      </c>
      <c r="L977" s="25">
        <v>27</v>
      </c>
      <c r="M977" s="4" t="s">
        <v>22</v>
      </c>
      <c r="N977" s="25" t="s">
        <v>22</v>
      </c>
      <c r="O977" s="4">
        <v>3.7</v>
      </c>
      <c r="P977" s="25">
        <v>3.7</v>
      </c>
      <c r="Q977" s="4" t="s">
        <v>181</v>
      </c>
      <c r="R977" s="25" t="s">
        <v>181</v>
      </c>
      <c r="S977" s="4">
        <v>0.73</v>
      </c>
      <c r="T977" s="26">
        <v>0.73</v>
      </c>
    </row>
    <row r="978" spans="1:20" x14ac:dyDescent="0.3">
      <c r="A978" s="27" t="s">
        <v>2051</v>
      </c>
      <c r="B978" s="4" t="s">
        <v>2052</v>
      </c>
      <c r="C978" s="4" t="s">
        <v>45</v>
      </c>
      <c r="D978" s="25" t="s">
        <v>97</v>
      </c>
      <c r="E978" s="4">
        <v>38</v>
      </c>
      <c r="F978" s="25">
        <v>38</v>
      </c>
      <c r="G978" s="4" t="s">
        <v>145</v>
      </c>
      <c r="H978" s="25" t="s">
        <v>145</v>
      </c>
      <c r="I978" s="4" t="s">
        <v>110</v>
      </c>
      <c r="J978" s="25" t="s">
        <v>110</v>
      </c>
      <c r="K978" s="4">
        <v>7</v>
      </c>
      <c r="L978" s="25">
        <v>7</v>
      </c>
      <c r="M978" s="4" t="s">
        <v>103</v>
      </c>
      <c r="N978" s="25" t="s">
        <v>103</v>
      </c>
      <c r="P978" s="25" t="s">
        <v>2120</v>
      </c>
      <c r="Q978" s="4" t="s">
        <v>23</v>
      </c>
      <c r="R978" s="25" t="s">
        <v>23</v>
      </c>
      <c r="T978" s="26" t="s">
        <v>2120</v>
      </c>
    </row>
    <row r="979" spans="1:20" x14ac:dyDescent="0.3">
      <c r="A979" s="27" t="s">
        <v>2053</v>
      </c>
      <c r="B979" s="4" t="s">
        <v>2054</v>
      </c>
      <c r="C979" s="4" t="s">
        <v>118</v>
      </c>
      <c r="D979" s="25" t="s">
        <v>118</v>
      </c>
      <c r="E979" s="4">
        <v>57</v>
      </c>
      <c r="F979" s="25">
        <v>57</v>
      </c>
      <c r="G979" s="4" t="s">
        <v>85</v>
      </c>
      <c r="H979" s="25" t="s">
        <v>85</v>
      </c>
      <c r="I979" s="4" t="s">
        <v>98</v>
      </c>
      <c r="J979" s="25" t="s">
        <v>98</v>
      </c>
      <c r="K979" s="4">
        <v>29</v>
      </c>
      <c r="L979" s="25">
        <v>29</v>
      </c>
      <c r="M979" s="4" t="s">
        <v>103</v>
      </c>
      <c r="N979" s="25" t="s">
        <v>103</v>
      </c>
      <c r="O979" s="4">
        <v>4.0999999999999996</v>
      </c>
      <c r="P979" s="25">
        <v>4.0999999999999996</v>
      </c>
      <c r="Q979" s="4" t="s">
        <v>41</v>
      </c>
      <c r="R979" s="25" t="s">
        <v>41</v>
      </c>
      <c r="S979" s="4">
        <v>0.9</v>
      </c>
      <c r="T979" s="26">
        <v>0.9</v>
      </c>
    </row>
    <row r="980" spans="1:20" x14ac:dyDescent="0.3">
      <c r="A980" s="27" t="s">
        <v>2055</v>
      </c>
      <c r="B980" s="4" t="s">
        <v>2056</v>
      </c>
      <c r="C980" s="4" t="s">
        <v>78</v>
      </c>
      <c r="D980" s="25" t="s">
        <v>118</v>
      </c>
      <c r="E980" s="4">
        <v>27</v>
      </c>
      <c r="F980" s="25">
        <v>27</v>
      </c>
      <c r="G980" s="4" t="s">
        <v>197</v>
      </c>
      <c r="H980" s="25" t="s">
        <v>197</v>
      </c>
      <c r="I980" s="4" t="s">
        <v>21</v>
      </c>
      <c r="J980" s="25" t="s">
        <v>21</v>
      </c>
      <c r="K980" s="4">
        <v>5</v>
      </c>
      <c r="L980" s="25">
        <v>5</v>
      </c>
      <c r="M980" s="4" t="s">
        <v>192</v>
      </c>
      <c r="N980" s="25" t="s">
        <v>192</v>
      </c>
      <c r="O980" s="4">
        <v>1.4</v>
      </c>
      <c r="P980" s="25">
        <v>1.4</v>
      </c>
      <c r="Q980" s="4" t="s">
        <v>74</v>
      </c>
      <c r="R980" s="25" t="s">
        <v>74</v>
      </c>
      <c r="S980" s="4">
        <v>0.64</v>
      </c>
      <c r="T980" s="26">
        <v>0.64</v>
      </c>
    </row>
    <row r="981" spans="1:20" x14ac:dyDescent="0.3">
      <c r="A981" s="27" t="s">
        <v>2057</v>
      </c>
      <c r="B981" s="4" t="s">
        <v>2058</v>
      </c>
      <c r="C981" s="4" t="s">
        <v>63</v>
      </c>
      <c r="D981" s="25" t="s">
        <v>118</v>
      </c>
      <c r="E981" s="4">
        <v>43</v>
      </c>
      <c r="F981" s="25">
        <v>43</v>
      </c>
      <c r="G981" s="4" t="s">
        <v>91</v>
      </c>
      <c r="H981" s="25" t="s">
        <v>91</v>
      </c>
      <c r="I981" s="4" t="s">
        <v>46</v>
      </c>
      <c r="J981" s="25" t="s">
        <v>46</v>
      </c>
      <c r="K981" s="4">
        <v>2</v>
      </c>
      <c r="L981" s="25">
        <v>2</v>
      </c>
      <c r="M981" s="4" t="s">
        <v>22</v>
      </c>
      <c r="N981" s="25" t="s">
        <v>22</v>
      </c>
      <c r="O981" s="4">
        <v>1.1000000000000001</v>
      </c>
      <c r="P981" s="25">
        <v>1.1000000000000001</v>
      </c>
      <c r="Q981" s="4" t="s">
        <v>33</v>
      </c>
      <c r="R981" s="25" t="s">
        <v>33</v>
      </c>
      <c r="S981" s="4">
        <v>0.63</v>
      </c>
      <c r="T981" s="26">
        <v>0.63</v>
      </c>
    </row>
    <row r="982" spans="1:20" x14ac:dyDescent="0.3">
      <c r="A982" s="27" t="s">
        <v>2059</v>
      </c>
      <c r="B982" s="4" t="s">
        <v>2060</v>
      </c>
      <c r="C982" s="4" t="s">
        <v>37</v>
      </c>
      <c r="D982" s="25" t="s">
        <v>118</v>
      </c>
      <c r="E982" s="4">
        <v>48</v>
      </c>
      <c r="F982" s="25">
        <v>48</v>
      </c>
      <c r="G982" s="4" t="s">
        <v>149</v>
      </c>
      <c r="H982" s="25" t="s">
        <v>149</v>
      </c>
      <c r="I982" s="4" t="s">
        <v>66</v>
      </c>
      <c r="J982" s="25" t="s">
        <v>66</v>
      </c>
      <c r="K982" s="4">
        <v>18</v>
      </c>
      <c r="L982" s="25">
        <v>18</v>
      </c>
      <c r="M982" s="4" t="s">
        <v>47</v>
      </c>
      <c r="N982" s="25" t="s">
        <v>47</v>
      </c>
      <c r="O982" s="4">
        <v>3.9</v>
      </c>
      <c r="P982" s="25">
        <v>3.9</v>
      </c>
      <c r="Q982" s="4" t="s">
        <v>51</v>
      </c>
      <c r="R982" s="25" t="s">
        <v>2120</v>
      </c>
      <c r="T982" s="26" t="s">
        <v>2120</v>
      </c>
    </row>
    <row r="983" spans="1:20" x14ac:dyDescent="0.3">
      <c r="A983" s="27" t="s">
        <v>2061</v>
      </c>
      <c r="B983" s="4" t="s">
        <v>2062</v>
      </c>
      <c r="C983" s="4" t="s">
        <v>113</v>
      </c>
      <c r="D983" s="25" t="s">
        <v>118</v>
      </c>
      <c r="E983" s="4">
        <v>26</v>
      </c>
      <c r="F983" s="25">
        <v>26</v>
      </c>
      <c r="G983" s="4" t="s">
        <v>128</v>
      </c>
      <c r="H983" s="25" t="s">
        <v>128</v>
      </c>
      <c r="I983" s="4" t="s">
        <v>98</v>
      </c>
      <c r="J983" s="25" t="s">
        <v>98</v>
      </c>
      <c r="K983" s="4">
        <v>8</v>
      </c>
      <c r="L983" s="25">
        <v>8</v>
      </c>
      <c r="M983" s="4" t="s">
        <v>162</v>
      </c>
      <c r="N983" s="25" t="s">
        <v>162</v>
      </c>
      <c r="O983" s="4">
        <v>3.6</v>
      </c>
      <c r="P983" s="25">
        <v>3.6</v>
      </c>
      <c r="Q983" s="4" t="s">
        <v>23</v>
      </c>
      <c r="R983" s="25" t="s">
        <v>23</v>
      </c>
      <c r="S983" s="4">
        <v>0.67</v>
      </c>
      <c r="T983" s="26">
        <v>0.67</v>
      </c>
    </row>
    <row r="984" spans="1:20" x14ac:dyDescent="0.3">
      <c r="A984" s="27" t="s">
        <v>2063</v>
      </c>
      <c r="B984" s="4" t="s">
        <v>2064</v>
      </c>
      <c r="C984" s="4" t="s">
        <v>97</v>
      </c>
      <c r="D984" s="25" t="s">
        <v>97</v>
      </c>
      <c r="F984" s="25" t="s">
        <v>2119</v>
      </c>
      <c r="G984" s="4" t="s">
        <v>175</v>
      </c>
      <c r="H984" s="25" t="s">
        <v>175</v>
      </c>
      <c r="I984" s="4" t="s">
        <v>39</v>
      </c>
      <c r="J984" s="25" t="s">
        <v>39</v>
      </c>
      <c r="K984" s="4">
        <v>0</v>
      </c>
      <c r="L984" s="25">
        <v>0</v>
      </c>
      <c r="M984" s="4" t="s">
        <v>47</v>
      </c>
      <c r="N984" s="25" t="s">
        <v>47</v>
      </c>
      <c r="O984" s="4">
        <v>0</v>
      </c>
      <c r="P984" s="25">
        <v>0</v>
      </c>
      <c r="Q984" s="4" t="s">
        <v>181</v>
      </c>
      <c r="R984" s="25" t="s">
        <v>181</v>
      </c>
      <c r="S984" s="4">
        <v>0.97</v>
      </c>
      <c r="T984" s="26">
        <v>0.97</v>
      </c>
    </row>
    <row r="985" spans="1:20" x14ac:dyDescent="0.3">
      <c r="A985" s="27" t="s">
        <v>2065</v>
      </c>
      <c r="B985" s="4" t="s">
        <v>2066</v>
      </c>
      <c r="C985" s="4" t="s">
        <v>50</v>
      </c>
      <c r="D985" s="25" t="s">
        <v>97</v>
      </c>
      <c r="E985" s="4">
        <v>50</v>
      </c>
      <c r="F985" s="25">
        <v>50</v>
      </c>
      <c r="G985" s="4" t="s">
        <v>19</v>
      </c>
      <c r="H985" s="25" t="s">
        <v>19</v>
      </c>
      <c r="I985" s="4" t="s">
        <v>66</v>
      </c>
      <c r="J985" s="25" t="s">
        <v>66</v>
      </c>
      <c r="K985" s="4">
        <v>16</v>
      </c>
      <c r="L985" s="25">
        <v>16</v>
      </c>
      <c r="M985" s="4" t="s">
        <v>192</v>
      </c>
      <c r="N985" s="25" t="s">
        <v>192</v>
      </c>
      <c r="O985" s="4">
        <v>4.5</v>
      </c>
      <c r="P985" s="25">
        <v>4.5</v>
      </c>
      <c r="Q985" s="4" t="s">
        <v>23</v>
      </c>
      <c r="R985" s="25" t="s">
        <v>23</v>
      </c>
      <c r="S985" s="4">
        <v>69</v>
      </c>
      <c r="T985" s="26">
        <v>69</v>
      </c>
    </row>
    <row r="986" spans="1:20" x14ac:dyDescent="0.3">
      <c r="A986" s="27" t="s">
        <v>2067</v>
      </c>
      <c r="B986" s="4" t="s">
        <v>2068</v>
      </c>
      <c r="C986" s="4" t="s">
        <v>63</v>
      </c>
      <c r="D986" s="25" t="s">
        <v>118</v>
      </c>
      <c r="E986" s="4">
        <v>48</v>
      </c>
      <c r="F986" s="25">
        <v>48</v>
      </c>
      <c r="G986" s="4" t="s">
        <v>175</v>
      </c>
      <c r="H986" s="25" t="s">
        <v>175</v>
      </c>
      <c r="I986" s="4" t="s">
        <v>46</v>
      </c>
      <c r="J986" s="25" t="s">
        <v>46</v>
      </c>
      <c r="K986" s="4">
        <v>8</v>
      </c>
      <c r="L986" s="25">
        <v>8</v>
      </c>
      <c r="M986" s="4" t="s">
        <v>40</v>
      </c>
      <c r="N986" s="25" t="s">
        <v>40</v>
      </c>
      <c r="P986" s="25" t="s">
        <v>2120</v>
      </c>
      <c r="Q986" s="4" t="s">
        <v>33</v>
      </c>
      <c r="R986" s="25" t="s">
        <v>33</v>
      </c>
      <c r="S986" s="4">
        <v>0.73</v>
      </c>
      <c r="T986" s="26">
        <v>0.73</v>
      </c>
    </row>
    <row r="987" spans="1:20" x14ac:dyDescent="0.3">
      <c r="A987" s="27" t="s">
        <v>2069</v>
      </c>
      <c r="B987" s="4" t="s">
        <v>2070</v>
      </c>
      <c r="C987" s="4" t="s">
        <v>63</v>
      </c>
      <c r="D987" s="25" t="s">
        <v>118</v>
      </c>
      <c r="E987" s="4">
        <v>60</v>
      </c>
      <c r="F987" s="25">
        <v>60</v>
      </c>
      <c r="G987" s="4" t="s">
        <v>212</v>
      </c>
      <c r="H987" s="25" t="s">
        <v>212</v>
      </c>
      <c r="I987" s="4" t="s">
        <v>21</v>
      </c>
      <c r="J987" s="25" t="s">
        <v>21</v>
      </c>
      <c r="K987" s="4">
        <v>39</v>
      </c>
      <c r="L987" s="25">
        <v>39</v>
      </c>
      <c r="M987" s="4" t="s">
        <v>162</v>
      </c>
      <c r="N987" s="25" t="s">
        <v>162</v>
      </c>
      <c r="O987" s="4">
        <v>1.4</v>
      </c>
      <c r="P987" s="25">
        <v>1.4</v>
      </c>
      <c r="Q987" s="4" t="s">
        <v>74</v>
      </c>
      <c r="R987" s="25" t="s">
        <v>74</v>
      </c>
      <c r="S987" s="4">
        <v>0.86</v>
      </c>
      <c r="T987" s="26">
        <v>0.86</v>
      </c>
    </row>
    <row r="988" spans="1:20" x14ac:dyDescent="0.3">
      <c r="A988" s="27" t="s">
        <v>2071</v>
      </c>
      <c r="B988" s="4" t="s">
        <v>2072</v>
      </c>
      <c r="C988" s="4" t="s">
        <v>118</v>
      </c>
      <c r="D988" s="25" t="s">
        <v>118</v>
      </c>
      <c r="E988" s="4">
        <v>26</v>
      </c>
      <c r="F988" s="25">
        <v>26</v>
      </c>
      <c r="G988" s="4" t="s">
        <v>160</v>
      </c>
      <c r="H988" s="25" t="s">
        <v>160</v>
      </c>
      <c r="I988" s="4" t="s">
        <v>135</v>
      </c>
      <c r="J988" s="25" t="s">
        <v>135</v>
      </c>
      <c r="L988" s="25" t="s">
        <v>2120</v>
      </c>
      <c r="M988" s="4" t="s">
        <v>40</v>
      </c>
      <c r="N988" s="25" t="s">
        <v>40</v>
      </c>
      <c r="O988" s="4">
        <v>0</v>
      </c>
      <c r="P988" s="25">
        <v>0</v>
      </c>
      <c r="Q988" s="4" t="s">
        <v>87</v>
      </c>
      <c r="R988" s="25" t="s">
        <v>87</v>
      </c>
      <c r="S988" s="4">
        <v>81</v>
      </c>
      <c r="T988" s="26">
        <v>81</v>
      </c>
    </row>
    <row r="989" spans="1:20" x14ac:dyDescent="0.3">
      <c r="A989" s="27" t="s">
        <v>2073</v>
      </c>
      <c r="B989" s="4" t="s">
        <v>2074</v>
      </c>
      <c r="C989" s="4" t="s">
        <v>28</v>
      </c>
      <c r="D989" s="25" t="s">
        <v>97</v>
      </c>
      <c r="E989" s="4">
        <v>35</v>
      </c>
      <c r="F989" s="25">
        <v>35</v>
      </c>
      <c r="G989" s="4" t="s">
        <v>133</v>
      </c>
      <c r="H989" s="25" t="s">
        <v>133</v>
      </c>
      <c r="I989" s="4" t="s">
        <v>39</v>
      </c>
      <c r="J989" s="25" t="s">
        <v>39</v>
      </c>
      <c r="K989" s="4">
        <v>16</v>
      </c>
      <c r="L989" s="25">
        <v>16</v>
      </c>
      <c r="M989" s="4" t="s">
        <v>32</v>
      </c>
      <c r="N989" s="25" t="s">
        <v>32</v>
      </c>
      <c r="O989" s="4">
        <v>4.3</v>
      </c>
      <c r="P989" s="25">
        <v>4.3</v>
      </c>
      <c r="Q989" s="4" t="s">
        <v>33</v>
      </c>
      <c r="R989" s="25" t="s">
        <v>33</v>
      </c>
      <c r="S989" s="4">
        <v>0.74</v>
      </c>
      <c r="T989" s="26">
        <v>0.74</v>
      </c>
    </row>
    <row r="990" spans="1:20" x14ac:dyDescent="0.3">
      <c r="A990" s="27" t="s">
        <v>2075</v>
      </c>
      <c r="B990" s="4" t="s">
        <v>2076</v>
      </c>
      <c r="C990" s="4" t="s">
        <v>118</v>
      </c>
      <c r="D990" s="25" t="s">
        <v>118</v>
      </c>
      <c r="E990" s="4">
        <v>23</v>
      </c>
      <c r="F990" s="25">
        <v>23</v>
      </c>
      <c r="G990" s="4" t="s">
        <v>73</v>
      </c>
      <c r="H990" s="25" t="s">
        <v>73</v>
      </c>
      <c r="I990" s="4" t="s">
        <v>21</v>
      </c>
      <c r="J990" s="25" t="s">
        <v>21</v>
      </c>
      <c r="K990" s="4">
        <v>4</v>
      </c>
      <c r="L990" s="25">
        <v>4</v>
      </c>
      <c r="M990" s="4" t="s">
        <v>251</v>
      </c>
      <c r="N990" s="25" t="s">
        <v>251</v>
      </c>
      <c r="O990" s="4">
        <v>2.2000000000000002</v>
      </c>
      <c r="P990" s="25">
        <v>2.2000000000000002</v>
      </c>
      <c r="Q990" s="4" t="s">
        <v>33</v>
      </c>
      <c r="R990" s="25" t="s">
        <v>33</v>
      </c>
      <c r="S990" s="4">
        <v>64</v>
      </c>
      <c r="T990" s="26">
        <v>64</v>
      </c>
    </row>
    <row r="991" spans="1:20" x14ac:dyDescent="0.3">
      <c r="A991" s="27" t="s">
        <v>2077</v>
      </c>
      <c r="B991" s="4" t="s">
        <v>2078</v>
      </c>
      <c r="C991" s="4" t="s">
        <v>118</v>
      </c>
      <c r="D991" s="25" t="s">
        <v>118</v>
      </c>
      <c r="E991" s="4">
        <v>37</v>
      </c>
      <c r="F991" s="25">
        <v>37</v>
      </c>
      <c r="G991" s="4" t="s">
        <v>29</v>
      </c>
      <c r="H991" s="25" t="s">
        <v>29</v>
      </c>
      <c r="I991" s="4" t="s">
        <v>39</v>
      </c>
      <c r="J991" s="25" t="s">
        <v>39</v>
      </c>
      <c r="K991" s="4">
        <v>4</v>
      </c>
      <c r="L991" s="25">
        <v>4</v>
      </c>
      <c r="M991" s="4" t="s">
        <v>103</v>
      </c>
      <c r="N991" s="25" t="s">
        <v>103</v>
      </c>
      <c r="O991" s="4">
        <v>3.2</v>
      </c>
      <c r="P991" s="25">
        <v>3.2</v>
      </c>
      <c r="Q991" s="4" t="s">
        <v>59</v>
      </c>
      <c r="R991" s="25" t="s">
        <v>59</v>
      </c>
      <c r="S991" s="4">
        <v>0.76</v>
      </c>
      <c r="T991" s="26">
        <v>0.76</v>
      </c>
    </row>
    <row r="992" spans="1:20" x14ac:dyDescent="0.3">
      <c r="A992" s="27" t="s">
        <v>2079</v>
      </c>
      <c r="B992" s="4" t="s">
        <v>2080</v>
      </c>
      <c r="C992" s="4" t="s">
        <v>28</v>
      </c>
      <c r="D992" s="25" t="s">
        <v>97</v>
      </c>
      <c r="E992" s="4">
        <v>21</v>
      </c>
      <c r="F992" s="25">
        <v>21</v>
      </c>
      <c r="G992" s="4" t="s">
        <v>91</v>
      </c>
      <c r="H992" s="25" t="s">
        <v>91</v>
      </c>
      <c r="I992" s="4" t="s">
        <v>57</v>
      </c>
      <c r="J992" s="25" t="s">
        <v>57</v>
      </c>
      <c r="K992" s="4">
        <v>2</v>
      </c>
      <c r="L992" s="25">
        <v>2</v>
      </c>
      <c r="M992" s="4" t="s">
        <v>22</v>
      </c>
      <c r="N992" s="25" t="s">
        <v>22</v>
      </c>
      <c r="O992" s="4">
        <v>3.7</v>
      </c>
      <c r="P992" s="25">
        <v>3.7</v>
      </c>
      <c r="Q992" s="4" t="s">
        <v>87</v>
      </c>
      <c r="R992" s="25" t="s">
        <v>87</v>
      </c>
      <c r="S992" s="4">
        <v>73</v>
      </c>
      <c r="T992" s="26">
        <v>73</v>
      </c>
    </row>
    <row r="993" spans="1:20" x14ac:dyDescent="0.3">
      <c r="A993" s="27" t="s">
        <v>2081</v>
      </c>
      <c r="B993" s="4" t="s">
        <v>2082</v>
      </c>
      <c r="C993" s="4" t="s">
        <v>28</v>
      </c>
      <c r="D993" s="25" t="s">
        <v>97</v>
      </c>
      <c r="E993" s="4">
        <v>58</v>
      </c>
      <c r="F993" s="25">
        <v>58</v>
      </c>
      <c r="G993" s="4" t="s">
        <v>38</v>
      </c>
      <c r="H993" s="25" t="s">
        <v>38</v>
      </c>
      <c r="I993" s="4" t="s">
        <v>93</v>
      </c>
      <c r="J993" s="25" t="s">
        <v>93</v>
      </c>
      <c r="K993" s="4">
        <v>37</v>
      </c>
      <c r="L993" s="25">
        <v>37</v>
      </c>
      <c r="M993" s="4" t="s">
        <v>119</v>
      </c>
      <c r="N993" s="25" t="s">
        <v>119</v>
      </c>
      <c r="O993" s="4">
        <v>4.9000000000000004</v>
      </c>
      <c r="P993" s="25">
        <v>4.9000000000000004</v>
      </c>
      <c r="Q993" s="4" t="s">
        <v>59</v>
      </c>
      <c r="R993" s="25" t="s">
        <v>59</v>
      </c>
      <c r="S993" s="4">
        <v>0.69</v>
      </c>
      <c r="T993" s="26">
        <v>0.69</v>
      </c>
    </row>
    <row r="994" spans="1:20" x14ac:dyDescent="0.3">
      <c r="A994" s="27" t="s">
        <v>2083</v>
      </c>
      <c r="B994" s="4" t="s">
        <v>2084</v>
      </c>
      <c r="C994" s="4" t="s">
        <v>97</v>
      </c>
      <c r="D994" s="25" t="s">
        <v>97</v>
      </c>
      <c r="E994" s="4">
        <v>52</v>
      </c>
      <c r="F994" s="25">
        <v>52</v>
      </c>
      <c r="G994" s="4" t="s">
        <v>64</v>
      </c>
      <c r="H994" s="25" t="s">
        <v>64</v>
      </c>
      <c r="I994" s="4" t="s">
        <v>31</v>
      </c>
      <c r="J994" s="25" t="s">
        <v>31</v>
      </c>
      <c r="K994" s="4">
        <v>32</v>
      </c>
      <c r="L994" s="25">
        <v>32</v>
      </c>
      <c r="M994" s="4" t="s">
        <v>192</v>
      </c>
      <c r="N994" s="25" t="s">
        <v>192</v>
      </c>
      <c r="O994" s="4">
        <v>3.2</v>
      </c>
      <c r="P994" s="25">
        <v>3.2</v>
      </c>
      <c r="Q994" s="4" t="s">
        <v>23</v>
      </c>
      <c r="R994" s="25" t="s">
        <v>23</v>
      </c>
      <c r="S994" s="4">
        <v>0.79</v>
      </c>
      <c r="T994" s="26">
        <v>0.79</v>
      </c>
    </row>
    <row r="995" spans="1:20" x14ac:dyDescent="0.3">
      <c r="A995" s="27" t="s">
        <v>2085</v>
      </c>
      <c r="B995" s="4" t="s">
        <v>2086</v>
      </c>
      <c r="C995" s="4" t="s">
        <v>37</v>
      </c>
      <c r="D995" s="25" t="s">
        <v>118</v>
      </c>
      <c r="E995" s="4">
        <v>46</v>
      </c>
      <c r="F995" s="25">
        <v>46</v>
      </c>
      <c r="G995" s="4" t="s">
        <v>145</v>
      </c>
      <c r="H995" s="25" t="s">
        <v>145</v>
      </c>
      <c r="I995" s="4" t="s">
        <v>31</v>
      </c>
      <c r="J995" s="25" t="s">
        <v>31</v>
      </c>
      <c r="K995" s="4">
        <v>8</v>
      </c>
      <c r="L995" s="25">
        <v>8</v>
      </c>
      <c r="M995" s="4" t="s">
        <v>162</v>
      </c>
      <c r="N995" s="25" t="s">
        <v>162</v>
      </c>
      <c r="O995" s="4">
        <v>2.2000000000000002</v>
      </c>
      <c r="P995" s="25">
        <v>2.2000000000000002</v>
      </c>
      <c r="Q995" s="4" t="s">
        <v>51</v>
      </c>
      <c r="R995" s="25" t="s">
        <v>2120</v>
      </c>
      <c r="S995" s="4">
        <v>89</v>
      </c>
      <c r="T995" s="26">
        <v>89</v>
      </c>
    </row>
    <row r="996" spans="1:20" x14ac:dyDescent="0.3">
      <c r="A996" s="27" t="s">
        <v>2087</v>
      </c>
      <c r="B996" s="4" t="s">
        <v>2088</v>
      </c>
      <c r="C996" s="4" t="s">
        <v>97</v>
      </c>
      <c r="D996" s="25" t="s">
        <v>97</v>
      </c>
      <c r="E996" s="4">
        <v>34</v>
      </c>
      <c r="F996" s="25">
        <v>34</v>
      </c>
      <c r="G996" s="4" t="s">
        <v>175</v>
      </c>
      <c r="H996" s="25" t="s">
        <v>175</v>
      </c>
      <c r="I996" s="4" t="s">
        <v>110</v>
      </c>
      <c r="J996" s="25" t="s">
        <v>110</v>
      </c>
      <c r="K996" s="4">
        <v>8</v>
      </c>
      <c r="L996" s="25">
        <v>8</v>
      </c>
      <c r="M996" s="4" t="s">
        <v>52</v>
      </c>
      <c r="N996" s="25" t="s">
        <v>52</v>
      </c>
      <c r="O996" s="4">
        <v>3.9</v>
      </c>
      <c r="P996" s="25">
        <v>3.9</v>
      </c>
      <c r="Q996" s="4" t="s">
        <v>94</v>
      </c>
      <c r="R996" s="25" t="s">
        <v>94</v>
      </c>
      <c r="S996" s="4">
        <v>0.95</v>
      </c>
      <c r="T996" s="26">
        <v>0.95</v>
      </c>
    </row>
    <row r="997" spans="1:20" x14ac:dyDescent="0.3">
      <c r="A997" s="27" t="s">
        <v>2089</v>
      </c>
      <c r="B997" s="4" t="s">
        <v>2090</v>
      </c>
      <c r="C997" s="4" t="s">
        <v>118</v>
      </c>
      <c r="D997" s="25" t="s">
        <v>118</v>
      </c>
      <c r="E997" s="4">
        <v>56</v>
      </c>
      <c r="F997" s="25">
        <v>56</v>
      </c>
      <c r="G997" s="4" t="s">
        <v>79</v>
      </c>
      <c r="H997" s="25" t="s">
        <v>79</v>
      </c>
      <c r="I997" s="4" t="s">
        <v>110</v>
      </c>
      <c r="J997" s="25" t="s">
        <v>110</v>
      </c>
      <c r="K997" s="4">
        <v>13</v>
      </c>
      <c r="L997" s="25">
        <v>13</v>
      </c>
      <c r="M997" s="4" t="s">
        <v>22</v>
      </c>
      <c r="N997" s="25" t="s">
        <v>22</v>
      </c>
      <c r="O997" s="4">
        <v>0</v>
      </c>
      <c r="P997" s="25">
        <v>0</v>
      </c>
      <c r="Q997" s="4" t="s">
        <v>181</v>
      </c>
      <c r="R997" s="25" t="s">
        <v>181</v>
      </c>
      <c r="S997" s="4">
        <v>0.68</v>
      </c>
      <c r="T997" s="26">
        <v>0.68</v>
      </c>
    </row>
    <row r="998" spans="1:20" x14ac:dyDescent="0.3">
      <c r="A998" s="27" t="s">
        <v>2091</v>
      </c>
      <c r="B998" s="4" t="s">
        <v>2092</v>
      </c>
      <c r="C998" s="4" t="s">
        <v>18</v>
      </c>
      <c r="D998" s="25" t="s">
        <v>97</v>
      </c>
      <c r="E998" s="4">
        <v>26</v>
      </c>
      <c r="F998" s="25">
        <v>26</v>
      </c>
      <c r="G998" s="4" t="s">
        <v>38</v>
      </c>
      <c r="H998" s="25" t="s">
        <v>38</v>
      </c>
      <c r="I998" s="4" t="s">
        <v>21</v>
      </c>
      <c r="J998" s="25" t="s">
        <v>21</v>
      </c>
      <c r="K998" s="4">
        <v>6</v>
      </c>
      <c r="L998" s="25">
        <v>6</v>
      </c>
      <c r="M998" s="4" t="s">
        <v>70</v>
      </c>
      <c r="N998" s="25" t="s">
        <v>70</v>
      </c>
      <c r="O998" s="4">
        <v>2.8</v>
      </c>
      <c r="P998" s="25">
        <v>2.8</v>
      </c>
      <c r="Q998" s="4" t="s">
        <v>41</v>
      </c>
      <c r="R998" s="25" t="s">
        <v>41</v>
      </c>
      <c r="S998" s="4">
        <v>82</v>
      </c>
      <c r="T998" s="26">
        <v>82</v>
      </c>
    </row>
    <row r="999" spans="1:20" x14ac:dyDescent="0.3">
      <c r="A999" s="27" t="s">
        <v>2093</v>
      </c>
      <c r="B999" s="4" t="s">
        <v>2094</v>
      </c>
      <c r="C999" s="4" t="s">
        <v>50</v>
      </c>
      <c r="D999" s="25" t="s">
        <v>97</v>
      </c>
      <c r="E999" s="4">
        <v>37</v>
      </c>
      <c r="F999" s="25">
        <v>37</v>
      </c>
      <c r="G999" s="4" t="s">
        <v>106</v>
      </c>
      <c r="H999" s="25" t="s">
        <v>106</v>
      </c>
      <c r="I999" s="4" t="s">
        <v>66</v>
      </c>
      <c r="J999" s="25" t="s">
        <v>66</v>
      </c>
      <c r="K999" s="4">
        <v>15</v>
      </c>
      <c r="L999" s="25">
        <v>15</v>
      </c>
      <c r="M999" s="4" t="s">
        <v>103</v>
      </c>
      <c r="N999" s="25" t="s">
        <v>103</v>
      </c>
      <c r="P999" s="25" t="s">
        <v>2120</v>
      </c>
      <c r="Q999" s="4" t="s">
        <v>59</v>
      </c>
      <c r="R999" s="25" t="s">
        <v>59</v>
      </c>
      <c r="S999" s="4">
        <v>0.94</v>
      </c>
      <c r="T999" s="26">
        <v>0.94</v>
      </c>
    </row>
    <row r="1000" spans="1:20" x14ac:dyDescent="0.3">
      <c r="A1000" s="27" t="s">
        <v>2095</v>
      </c>
      <c r="B1000" s="4" t="s">
        <v>2096</v>
      </c>
      <c r="C1000" s="4" t="s">
        <v>63</v>
      </c>
      <c r="D1000" s="25" t="s">
        <v>118</v>
      </c>
      <c r="E1000" s="4">
        <v>46</v>
      </c>
      <c r="F1000" s="25">
        <v>46</v>
      </c>
      <c r="G1000" s="4" t="s">
        <v>145</v>
      </c>
      <c r="H1000" s="25" t="s">
        <v>145</v>
      </c>
      <c r="I1000" s="4" t="s">
        <v>135</v>
      </c>
      <c r="J1000" s="25" t="s">
        <v>135</v>
      </c>
      <c r="K1000" s="4">
        <v>22</v>
      </c>
      <c r="L1000" s="25">
        <v>22</v>
      </c>
      <c r="M1000" s="4" t="s">
        <v>22</v>
      </c>
      <c r="N1000" s="25" t="s">
        <v>22</v>
      </c>
      <c r="O1000" s="4">
        <v>2.8</v>
      </c>
      <c r="P1000" s="25">
        <v>2.8</v>
      </c>
      <c r="Q1000" s="4" t="s">
        <v>87</v>
      </c>
      <c r="R1000" s="25" t="s">
        <v>87</v>
      </c>
      <c r="S1000" s="4">
        <v>97</v>
      </c>
      <c r="T1000" s="26">
        <v>97</v>
      </c>
    </row>
    <row r="1001" spans="1:20" x14ac:dyDescent="0.3">
      <c r="A1001" s="27" t="s">
        <v>2097</v>
      </c>
      <c r="B1001" s="4" t="s">
        <v>2098</v>
      </c>
      <c r="C1001" s="4" t="s">
        <v>97</v>
      </c>
      <c r="D1001" s="25" t="s">
        <v>97</v>
      </c>
      <c r="E1001" s="4">
        <v>36</v>
      </c>
      <c r="F1001" s="25">
        <v>36</v>
      </c>
      <c r="G1001" s="4" t="s">
        <v>201</v>
      </c>
      <c r="H1001" s="25" t="s">
        <v>201</v>
      </c>
      <c r="I1001" s="4" t="s">
        <v>93</v>
      </c>
      <c r="J1001" s="25" t="s">
        <v>93</v>
      </c>
      <c r="K1001" s="4">
        <v>18</v>
      </c>
      <c r="L1001" s="25">
        <v>18</v>
      </c>
      <c r="M1001" s="4" t="s">
        <v>142</v>
      </c>
      <c r="N1001" s="25" t="s">
        <v>142</v>
      </c>
      <c r="O1001" s="4">
        <v>1.7</v>
      </c>
      <c r="P1001" s="25">
        <v>1.7</v>
      </c>
      <c r="Q1001" s="4" t="s">
        <v>33</v>
      </c>
      <c r="R1001" s="25" t="s">
        <v>33</v>
      </c>
      <c r="S1001" s="4">
        <v>72</v>
      </c>
      <c r="T1001" s="26">
        <v>72</v>
      </c>
    </row>
  </sheetData>
  <phoneticPr fontId="13" type="noConversion"/>
  <conditionalFormatting sqref="A1:A1048576">
    <cfRule type="duplicateValues" dxfId="2" priority="3"/>
  </conditionalFormatting>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containsText" priority="1" operator="containsText" id="{EBEBB779-9B30-420D-8CC2-4F33377B863D}">
            <xm:f>NOT(ISERROR(SEARCH($F$22,A1)))</xm:f>
            <xm:f>$F$22</xm:f>
            <x14:dxf>
              <font>
                <color rgb="FF9C0006"/>
              </font>
              <fill>
                <patternFill>
                  <bgColor rgb="FFFFC7CE"/>
                </patternFill>
              </fill>
            </x14:dxf>
          </x14:cfRule>
          <x14:cfRule type="containsText" priority="2" operator="containsText" id="{8224FBE3-9EC1-4F40-A209-386669D62225}">
            <xm:f>NOT(ISERROR(SEARCH($J$6,A1)))</xm:f>
            <xm:f>$J$6</xm:f>
            <x14:dxf>
              <font>
                <color rgb="FF9C0006"/>
              </font>
              <fill>
                <patternFill>
                  <bgColor rgb="FFFFC7CE"/>
                </patternFill>
              </fill>
            </x14:dxf>
          </x14:cfRule>
          <xm:sqref>A1:T1048576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3E601-2E6F-4B49-AE62-05CC64B51FFB}">
  <dimension ref="A1:Q1001"/>
  <sheetViews>
    <sheetView showGridLines="0" workbookViewId="0">
      <selection activeCell="T17" sqref="T17"/>
    </sheetView>
  </sheetViews>
  <sheetFormatPr defaultRowHeight="14.4" x14ac:dyDescent="0.3"/>
  <sheetData>
    <row r="1" spans="1:17" x14ac:dyDescent="0.3">
      <c r="A1" s="5" t="s">
        <v>2116</v>
      </c>
      <c r="B1" s="5" t="s">
        <v>2105</v>
      </c>
      <c r="C1" s="5" t="s">
        <v>2106</v>
      </c>
      <c r="D1" s="6" t="s">
        <v>2107</v>
      </c>
      <c r="E1" s="5" t="s">
        <v>2108</v>
      </c>
      <c r="F1" s="5" t="s">
        <v>2109</v>
      </c>
      <c r="G1" s="6" t="s">
        <v>2110</v>
      </c>
      <c r="H1" s="6" t="s">
        <v>2111</v>
      </c>
      <c r="I1" s="6" t="s">
        <v>2112</v>
      </c>
      <c r="J1" s="6" t="s">
        <v>2113</v>
      </c>
      <c r="K1" s="6" t="s">
        <v>2114</v>
      </c>
      <c r="L1" s="6" t="s">
        <v>2115</v>
      </c>
      <c r="M1" s="6" t="s">
        <v>12</v>
      </c>
      <c r="N1" s="6" t="s">
        <v>13</v>
      </c>
      <c r="O1" s="6" t="s">
        <v>2117</v>
      </c>
      <c r="P1" s="6" t="s">
        <v>2142</v>
      </c>
      <c r="Q1" s="6" t="s">
        <v>2118</v>
      </c>
    </row>
    <row r="2" spans="1:17" x14ac:dyDescent="0.3">
      <c r="A2" t="s">
        <v>16</v>
      </c>
      <c r="B2" t="s">
        <v>17</v>
      </c>
      <c r="C2" t="s">
        <v>97</v>
      </c>
      <c r="D2" s="2">
        <v>52</v>
      </c>
      <c r="E2" t="s">
        <v>19</v>
      </c>
      <c r="F2" t="s">
        <v>20</v>
      </c>
      <c r="G2" s="2" t="s">
        <v>21</v>
      </c>
      <c r="H2" s="2">
        <v>11</v>
      </c>
      <c r="I2" s="2" t="s">
        <v>22</v>
      </c>
      <c r="J2" s="2" t="s">
        <v>2120</v>
      </c>
      <c r="K2" s="2" t="s">
        <v>23</v>
      </c>
      <c r="L2" s="2" t="s">
        <v>2120</v>
      </c>
      <c r="M2" s="2" t="s">
        <v>24</v>
      </c>
      <c r="N2" s="2" t="s">
        <v>25</v>
      </c>
      <c r="O2" s="2">
        <v>13</v>
      </c>
      <c r="P2" s="2" t="str">
        <f>IF(global_freelancer_raw5[[#This Row],[No of projects ]]&lt;=5,"Entry level","Well Experienced")</f>
        <v>Well Experienced</v>
      </c>
      <c r="Q2" s="2">
        <v>6</v>
      </c>
    </row>
    <row r="3" spans="1:17" x14ac:dyDescent="0.3">
      <c r="A3" t="s">
        <v>26</v>
      </c>
      <c r="B3" t="s">
        <v>27</v>
      </c>
      <c r="C3" t="s">
        <v>97</v>
      </c>
      <c r="D3" s="2">
        <v>52</v>
      </c>
      <c r="E3" t="s">
        <v>29</v>
      </c>
      <c r="F3" t="s">
        <v>30</v>
      </c>
      <c r="G3" s="2" t="s">
        <v>31</v>
      </c>
      <c r="H3" s="2">
        <v>34</v>
      </c>
      <c r="I3" s="2" t="s">
        <v>32</v>
      </c>
      <c r="J3" s="2">
        <v>3.3</v>
      </c>
      <c r="K3" s="2" t="s">
        <v>33</v>
      </c>
      <c r="L3" s="2">
        <v>0.84</v>
      </c>
      <c r="M3" s="2" t="s">
        <v>24</v>
      </c>
      <c r="N3" s="2" t="s">
        <v>34</v>
      </c>
      <c r="O3" s="2">
        <v>10</v>
      </c>
      <c r="P3" s="2" t="str">
        <f>IF(global_freelancer_raw5[[#This Row],[No of projects ]]&lt;=5,"Entry level","Well Experienced")</f>
        <v>Well Experienced</v>
      </c>
      <c r="Q3" s="2">
        <v>7</v>
      </c>
    </row>
    <row r="4" spans="1:17" x14ac:dyDescent="0.3">
      <c r="A4" t="s">
        <v>35</v>
      </c>
      <c r="B4" t="s">
        <v>36</v>
      </c>
      <c r="C4" t="s">
        <v>118</v>
      </c>
      <c r="D4" s="2">
        <v>53</v>
      </c>
      <c r="E4" t="s">
        <v>38</v>
      </c>
      <c r="F4" t="s">
        <v>38</v>
      </c>
      <c r="G4" s="2" t="s">
        <v>39</v>
      </c>
      <c r="H4" s="2">
        <v>31</v>
      </c>
      <c r="I4" s="2" t="s">
        <v>40</v>
      </c>
      <c r="J4" s="2">
        <v>0</v>
      </c>
      <c r="K4" s="2" t="s">
        <v>41</v>
      </c>
      <c r="L4" s="2">
        <v>0.71</v>
      </c>
      <c r="M4" s="2" t="s">
        <v>24</v>
      </c>
      <c r="N4" s="2" t="s">
        <v>42</v>
      </c>
      <c r="O4" s="2">
        <v>16</v>
      </c>
      <c r="P4" s="2" t="str">
        <f>IF(global_freelancer_raw5[[#This Row],[No of projects ]]&lt;=5,"Entry level","Well Experienced")</f>
        <v>Well Experienced</v>
      </c>
      <c r="Q4" s="2">
        <v>16</v>
      </c>
    </row>
    <row r="5" spans="1:17" x14ac:dyDescent="0.3">
      <c r="A5" t="s">
        <v>43</v>
      </c>
      <c r="B5" t="s">
        <v>44</v>
      </c>
      <c r="C5" t="s">
        <v>97</v>
      </c>
      <c r="D5" s="2">
        <v>38</v>
      </c>
      <c r="E5" t="s">
        <v>29</v>
      </c>
      <c r="F5" t="s">
        <v>30</v>
      </c>
      <c r="G5" s="2" t="s">
        <v>46</v>
      </c>
      <c r="H5" s="2">
        <v>4</v>
      </c>
      <c r="I5" s="2" t="s">
        <v>47</v>
      </c>
      <c r="J5" s="2">
        <v>1.5</v>
      </c>
      <c r="K5" s="2" t="s">
        <v>41</v>
      </c>
      <c r="L5" s="2">
        <v>0.9</v>
      </c>
      <c r="M5" s="2" t="s">
        <v>24</v>
      </c>
      <c r="N5" s="2" t="s">
        <v>34</v>
      </c>
      <c r="O5" s="2">
        <v>5</v>
      </c>
      <c r="P5" s="2" t="str">
        <f>IF(global_freelancer_raw5[[#This Row],[No of projects ]]&lt;=5,"Entry level","Well Experienced")</f>
        <v>Entry level</v>
      </c>
      <c r="Q5" s="2">
        <v>1</v>
      </c>
    </row>
    <row r="6" spans="1:17" x14ac:dyDescent="0.3">
      <c r="A6" t="s">
        <v>48</v>
      </c>
      <c r="B6" t="s">
        <v>49</v>
      </c>
      <c r="C6" t="s">
        <v>97</v>
      </c>
      <c r="D6" s="2">
        <v>53</v>
      </c>
      <c r="E6" t="s">
        <v>38</v>
      </c>
      <c r="F6" t="s">
        <v>38</v>
      </c>
      <c r="G6" s="2" t="s">
        <v>2120</v>
      </c>
      <c r="H6" s="2">
        <v>27</v>
      </c>
      <c r="I6" s="2" t="s">
        <v>52</v>
      </c>
      <c r="J6" s="2">
        <v>4.8</v>
      </c>
      <c r="K6" s="2" t="s">
        <v>23</v>
      </c>
      <c r="L6" s="2">
        <v>0.83</v>
      </c>
      <c r="M6" s="2" t="s">
        <v>24</v>
      </c>
      <c r="N6" s="2" t="s">
        <v>25</v>
      </c>
      <c r="O6" s="2">
        <v>13</v>
      </c>
      <c r="P6" s="2" t="str">
        <f>IF(global_freelancer_raw5[[#This Row],[No of projects ]]&lt;=5,"Entry level","Well Experienced")</f>
        <v>Well Experienced</v>
      </c>
      <c r="Q6" s="2">
        <v>3</v>
      </c>
    </row>
    <row r="7" spans="1:17" x14ac:dyDescent="0.3">
      <c r="A7" t="s">
        <v>53</v>
      </c>
      <c r="B7" t="s">
        <v>54</v>
      </c>
      <c r="C7" t="s">
        <v>97</v>
      </c>
      <c r="D7" s="2">
        <v>59</v>
      </c>
      <c r="E7" t="s">
        <v>55</v>
      </c>
      <c r="F7" t="s">
        <v>56</v>
      </c>
      <c r="G7" s="2" t="s">
        <v>57</v>
      </c>
      <c r="H7" s="2">
        <v>14</v>
      </c>
      <c r="I7" s="2" t="s">
        <v>58</v>
      </c>
      <c r="J7" s="2">
        <v>2.4</v>
      </c>
      <c r="K7" s="2" t="s">
        <v>59</v>
      </c>
      <c r="L7" s="2" t="s">
        <v>2120</v>
      </c>
      <c r="M7" s="2" t="s">
        <v>60</v>
      </c>
      <c r="N7" s="2" t="s">
        <v>42</v>
      </c>
      <c r="O7" s="2">
        <v>8</v>
      </c>
      <c r="P7" s="2" t="str">
        <f>IF(global_freelancer_raw5[[#This Row],[No of projects ]]&lt;=5,"Entry level","Well Experienced")</f>
        <v>Well Experienced</v>
      </c>
      <c r="Q7" s="2">
        <v>3</v>
      </c>
    </row>
    <row r="8" spans="1:17" x14ac:dyDescent="0.3">
      <c r="A8" t="s">
        <v>61</v>
      </c>
      <c r="B8" t="s">
        <v>62</v>
      </c>
      <c r="C8" t="s">
        <v>118</v>
      </c>
      <c r="D8" s="2">
        <v>52</v>
      </c>
      <c r="E8" t="s">
        <v>64</v>
      </c>
      <c r="F8" t="s">
        <v>65</v>
      </c>
      <c r="G8" s="2" t="s">
        <v>66</v>
      </c>
      <c r="H8" s="2">
        <v>10</v>
      </c>
      <c r="I8" s="2" t="s">
        <v>67</v>
      </c>
      <c r="J8" s="2">
        <v>3.1</v>
      </c>
      <c r="K8" s="2" t="s">
        <v>23</v>
      </c>
      <c r="L8" s="2">
        <v>0.94</v>
      </c>
      <c r="M8" s="2" t="s">
        <v>24</v>
      </c>
      <c r="N8" s="2" t="s">
        <v>25</v>
      </c>
      <c r="O8" s="2">
        <v>10</v>
      </c>
      <c r="P8" s="2" t="str">
        <f>IF(global_freelancer_raw5[[#This Row],[No of projects ]]&lt;=5,"Entry level","Well Experienced")</f>
        <v>Well Experienced</v>
      </c>
      <c r="Q8" s="2">
        <v>3</v>
      </c>
    </row>
    <row r="9" spans="1:17" x14ac:dyDescent="0.3">
      <c r="A9" t="s">
        <v>68</v>
      </c>
      <c r="B9" t="s">
        <v>69</v>
      </c>
      <c r="C9" t="s">
        <v>118</v>
      </c>
      <c r="D9" s="2">
        <v>43</v>
      </c>
      <c r="E9" t="s">
        <v>19</v>
      </c>
      <c r="F9" t="s">
        <v>20</v>
      </c>
      <c r="G9" s="2" t="s">
        <v>21</v>
      </c>
      <c r="H9" s="2">
        <v>14</v>
      </c>
      <c r="I9" s="2" t="s">
        <v>70</v>
      </c>
      <c r="J9" s="2">
        <v>4.5999999999999996</v>
      </c>
      <c r="K9" s="2" t="s">
        <v>59</v>
      </c>
      <c r="L9" s="2">
        <v>0.94</v>
      </c>
      <c r="M9" s="2" t="s">
        <v>60</v>
      </c>
      <c r="N9" s="2" t="s">
        <v>25</v>
      </c>
      <c r="O9" s="2">
        <v>7</v>
      </c>
      <c r="P9" s="2" t="str">
        <f>IF(global_freelancer_raw5[[#This Row],[No of projects ]]&lt;=5,"Entry level","Well Experienced")</f>
        <v>Well Experienced</v>
      </c>
      <c r="Q9" s="2">
        <v>10</v>
      </c>
    </row>
    <row r="10" spans="1:17" x14ac:dyDescent="0.3">
      <c r="A10" t="s">
        <v>71</v>
      </c>
      <c r="B10" t="s">
        <v>72</v>
      </c>
      <c r="C10" t="s">
        <v>118</v>
      </c>
      <c r="D10" s="2">
        <v>26</v>
      </c>
      <c r="E10" t="s">
        <v>73</v>
      </c>
      <c r="F10" t="s">
        <v>30</v>
      </c>
      <c r="G10" s="2" t="s">
        <v>21</v>
      </c>
      <c r="H10" s="2">
        <v>4</v>
      </c>
      <c r="I10" s="2" t="s">
        <v>2119</v>
      </c>
      <c r="J10" s="2">
        <v>4</v>
      </c>
      <c r="K10" s="2" t="s">
        <v>74</v>
      </c>
      <c r="L10" s="2">
        <v>0.76</v>
      </c>
      <c r="M10" s="2" t="s">
        <v>24</v>
      </c>
      <c r="N10" s="2" t="s">
        <v>75</v>
      </c>
      <c r="O10" s="2">
        <v>2</v>
      </c>
      <c r="P10" s="2" t="str">
        <f>IF(global_freelancer_raw5[[#This Row],[No of projects ]]&lt;=5,"Entry level","Well Experienced")</f>
        <v>Entry level</v>
      </c>
      <c r="Q10" s="2">
        <v>4</v>
      </c>
    </row>
    <row r="11" spans="1:17" x14ac:dyDescent="0.3">
      <c r="A11" t="s">
        <v>76</v>
      </c>
      <c r="B11" t="s">
        <v>77</v>
      </c>
      <c r="C11" t="s">
        <v>118</v>
      </c>
      <c r="D11" s="2">
        <v>52</v>
      </c>
      <c r="E11" t="s">
        <v>79</v>
      </c>
      <c r="F11" t="s">
        <v>80</v>
      </c>
      <c r="G11" s="2" t="s">
        <v>57</v>
      </c>
      <c r="H11" s="2">
        <v>22</v>
      </c>
      <c r="I11" s="2" t="s">
        <v>81</v>
      </c>
      <c r="J11" s="2" t="s">
        <v>2120</v>
      </c>
      <c r="K11" s="2" t="s">
        <v>33</v>
      </c>
      <c r="L11" s="2" t="s">
        <v>2120</v>
      </c>
      <c r="M11" s="2" t="s">
        <v>82</v>
      </c>
      <c r="N11" s="2" t="s">
        <v>42</v>
      </c>
      <c r="O11" s="2">
        <v>16</v>
      </c>
      <c r="P11" s="2" t="str">
        <f>IF(global_freelancer_raw5[[#This Row],[No of projects ]]&lt;=5,"Entry level","Well Experienced")</f>
        <v>Well Experienced</v>
      </c>
      <c r="Q11" s="2">
        <v>5</v>
      </c>
    </row>
    <row r="12" spans="1:17" x14ac:dyDescent="0.3">
      <c r="A12" t="s">
        <v>83</v>
      </c>
      <c r="B12" t="s">
        <v>84</v>
      </c>
      <c r="C12" t="s">
        <v>118</v>
      </c>
      <c r="D12" s="2">
        <v>40</v>
      </c>
      <c r="E12" t="s">
        <v>85</v>
      </c>
      <c r="F12" t="s">
        <v>30</v>
      </c>
      <c r="G12" s="2" t="s">
        <v>66</v>
      </c>
      <c r="H12" s="2">
        <v>17</v>
      </c>
      <c r="I12" s="2" t="s">
        <v>86</v>
      </c>
      <c r="J12" s="2">
        <v>3.6</v>
      </c>
      <c r="K12" s="2" t="s">
        <v>87</v>
      </c>
      <c r="L12" s="2">
        <v>0.77</v>
      </c>
      <c r="M12" s="2" t="s">
        <v>88</v>
      </c>
      <c r="N12" s="2" t="s">
        <v>75</v>
      </c>
      <c r="O12" s="2">
        <v>20</v>
      </c>
      <c r="P12" s="2" t="str">
        <f>IF(global_freelancer_raw5[[#This Row],[No of projects ]]&lt;=5,"Entry level","Well Experienced")</f>
        <v>Well Experienced</v>
      </c>
      <c r="Q12" s="2">
        <v>5</v>
      </c>
    </row>
    <row r="13" spans="1:17" x14ac:dyDescent="0.3">
      <c r="A13" t="s">
        <v>89</v>
      </c>
      <c r="B13" t="s">
        <v>90</v>
      </c>
      <c r="C13" t="s">
        <v>97</v>
      </c>
      <c r="D13" s="2">
        <v>55</v>
      </c>
      <c r="E13" t="s">
        <v>91</v>
      </c>
      <c r="F13" t="s">
        <v>92</v>
      </c>
      <c r="G13" s="2" t="s">
        <v>93</v>
      </c>
      <c r="H13" s="2">
        <v>15</v>
      </c>
      <c r="I13" s="2" t="s">
        <v>2119</v>
      </c>
      <c r="J13" s="2" t="s">
        <v>2120</v>
      </c>
      <c r="K13" s="2" t="s">
        <v>94</v>
      </c>
      <c r="L13" s="2">
        <v>0.86</v>
      </c>
      <c r="M13" s="2" t="s">
        <v>60</v>
      </c>
      <c r="N13" s="2" t="s">
        <v>42</v>
      </c>
      <c r="O13" s="2">
        <v>13</v>
      </c>
      <c r="P13" s="2" t="str">
        <f>IF(global_freelancer_raw5[[#This Row],[No of projects ]]&lt;=5,"Entry level","Well Experienced")</f>
        <v>Well Experienced</v>
      </c>
      <c r="Q13" s="2">
        <v>4</v>
      </c>
    </row>
    <row r="14" spans="1:17" x14ac:dyDescent="0.3">
      <c r="A14" t="s">
        <v>95</v>
      </c>
      <c r="B14" t="s">
        <v>96</v>
      </c>
      <c r="C14" t="s">
        <v>97</v>
      </c>
      <c r="D14" s="2">
        <v>57</v>
      </c>
      <c r="E14" t="s">
        <v>85</v>
      </c>
      <c r="F14" t="s">
        <v>30</v>
      </c>
      <c r="G14" s="2" t="s">
        <v>98</v>
      </c>
      <c r="H14" s="2">
        <v>18</v>
      </c>
      <c r="I14" s="2" t="s">
        <v>2119</v>
      </c>
      <c r="J14" s="2">
        <v>2</v>
      </c>
      <c r="K14" s="2" t="s">
        <v>23</v>
      </c>
      <c r="L14" s="2">
        <v>0.86</v>
      </c>
      <c r="M14" s="2" t="s">
        <v>24</v>
      </c>
      <c r="N14" s="2" t="s">
        <v>25</v>
      </c>
      <c r="O14" s="2">
        <v>16</v>
      </c>
      <c r="P14" s="2" t="str">
        <f>IF(global_freelancer_raw5[[#This Row],[No of projects ]]&lt;=5,"Entry level","Well Experienced")</f>
        <v>Well Experienced</v>
      </c>
      <c r="Q14" s="2">
        <v>15</v>
      </c>
    </row>
    <row r="15" spans="1:17" x14ac:dyDescent="0.3">
      <c r="A15" t="s">
        <v>99</v>
      </c>
      <c r="B15" t="s">
        <v>100</v>
      </c>
      <c r="C15" t="s">
        <v>118</v>
      </c>
      <c r="D15" s="2">
        <v>38</v>
      </c>
      <c r="E15" s="2" t="s">
        <v>2120</v>
      </c>
      <c r="F15" t="s">
        <v>92</v>
      </c>
      <c r="G15" s="2" t="s">
        <v>39</v>
      </c>
      <c r="H15" s="2">
        <v>20</v>
      </c>
      <c r="I15" s="2" t="s">
        <v>67</v>
      </c>
      <c r="J15" s="2">
        <v>2.9</v>
      </c>
      <c r="K15" s="2" t="s">
        <v>33</v>
      </c>
      <c r="L15" s="2">
        <v>0.93</v>
      </c>
      <c r="M15" s="2" t="s">
        <v>82</v>
      </c>
      <c r="N15" s="2" t="s">
        <v>25</v>
      </c>
      <c r="O15" s="2">
        <v>17</v>
      </c>
      <c r="P15" s="2" t="str">
        <f>IF(global_freelancer_raw5[[#This Row],[No of projects ]]&lt;=5,"Entry level","Well Experienced")</f>
        <v>Well Experienced</v>
      </c>
      <c r="Q15" s="2">
        <v>12</v>
      </c>
    </row>
    <row r="16" spans="1:17" x14ac:dyDescent="0.3">
      <c r="A16" t="s">
        <v>101</v>
      </c>
      <c r="B16" t="s">
        <v>102</v>
      </c>
      <c r="C16" t="s">
        <v>118</v>
      </c>
      <c r="D16" s="2">
        <v>50</v>
      </c>
      <c r="E16" t="s">
        <v>38</v>
      </c>
      <c r="F16" t="s">
        <v>38</v>
      </c>
      <c r="G16" s="2" t="s">
        <v>66</v>
      </c>
      <c r="H16" s="2">
        <v>22</v>
      </c>
      <c r="I16" s="2" t="s">
        <v>103</v>
      </c>
      <c r="J16" s="2">
        <v>3.7</v>
      </c>
      <c r="K16" s="2" t="s">
        <v>33</v>
      </c>
      <c r="L16" s="2">
        <v>0.7</v>
      </c>
      <c r="M16" s="2" t="s">
        <v>88</v>
      </c>
      <c r="N16" s="2" t="s">
        <v>34</v>
      </c>
      <c r="O16" s="2">
        <v>14</v>
      </c>
      <c r="P16" s="2" t="str">
        <f>IF(global_freelancer_raw5[[#This Row],[No of projects ]]&lt;=5,"Entry level","Well Experienced")</f>
        <v>Well Experienced</v>
      </c>
      <c r="Q16" s="2">
        <v>6</v>
      </c>
    </row>
    <row r="17" spans="1:17" x14ac:dyDescent="0.3">
      <c r="A17" t="s">
        <v>104</v>
      </c>
      <c r="B17" t="s">
        <v>105</v>
      </c>
      <c r="C17" t="s">
        <v>118</v>
      </c>
      <c r="D17" s="2">
        <v>42</v>
      </c>
      <c r="E17" t="s">
        <v>106</v>
      </c>
      <c r="F17" t="s">
        <v>107</v>
      </c>
      <c r="G17" s="2" t="s">
        <v>2120</v>
      </c>
      <c r="H17" s="2">
        <v>0</v>
      </c>
      <c r="I17" s="2" t="s">
        <v>58</v>
      </c>
      <c r="J17" s="2">
        <v>1.2</v>
      </c>
      <c r="K17" s="2" t="s">
        <v>23</v>
      </c>
      <c r="L17" s="2">
        <v>0.69</v>
      </c>
      <c r="M17" s="2" t="s">
        <v>60</v>
      </c>
      <c r="N17" s="2" t="s">
        <v>42</v>
      </c>
      <c r="O17" s="2">
        <v>5</v>
      </c>
      <c r="P17" s="2" t="str">
        <f>IF(global_freelancer_raw5[[#This Row],[No of projects ]]&lt;=5,"Entry level","Well Experienced")</f>
        <v>Entry level</v>
      </c>
      <c r="Q17" s="2">
        <v>2</v>
      </c>
    </row>
    <row r="18" spans="1:17" x14ac:dyDescent="0.3">
      <c r="A18" t="s">
        <v>108</v>
      </c>
      <c r="B18" t="s">
        <v>109</v>
      </c>
      <c r="C18" t="s">
        <v>97</v>
      </c>
      <c r="D18" s="2">
        <v>39</v>
      </c>
      <c r="E18" t="s">
        <v>29</v>
      </c>
      <c r="F18" t="s">
        <v>30</v>
      </c>
      <c r="G18" s="2" t="s">
        <v>110</v>
      </c>
      <c r="H18" s="2">
        <v>13</v>
      </c>
      <c r="I18" s="2" t="s">
        <v>58</v>
      </c>
      <c r="J18" s="2">
        <v>2.5</v>
      </c>
      <c r="K18" s="2" t="s">
        <v>59</v>
      </c>
      <c r="L18" s="2">
        <v>0.6</v>
      </c>
      <c r="M18" s="2" t="s">
        <v>88</v>
      </c>
      <c r="N18" s="2" t="s">
        <v>75</v>
      </c>
      <c r="O18" s="2">
        <v>7</v>
      </c>
      <c r="P18" s="2" t="str">
        <f>IF(global_freelancer_raw5[[#This Row],[No of projects ]]&lt;=5,"Entry level","Well Experienced")</f>
        <v>Well Experienced</v>
      </c>
      <c r="Q18" s="2">
        <v>1</v>
      </c>
    </row>
    <row r="19" spans="1:17" x14ac:dyDescent="0.3">
      <c r="A19" t="s">
        <v>111</v>
      </c>
      <c r="B19" t="s">
        <v>112</v>
      </c>
      <c r="C19" t="s">
        <v>118</v>
      </c>
      <c r="D19" s="2">
        <v>56</v>
      </c>
      <c r="E19" t="s">
        <v>114</v>
      </c>
      <c r="F19" t="s">
        <v>115</v>
      </c>
      <c r="G19" s="2" t="s">
        <v>21</v>
      </c>
      <c r="H19" s="2" t="s">
        <v>2120</v>
      </c>
      <c r="I19" s="2" t="s">
        <v>2119</v>
      </c>
      <c r="J19" s="2" t="s">
        <v>2120</v>
      </c>
      <c r="K19" s="2" t="s">
        <v>2120</v>
      </c>
      <c r="L19" s="2">
        <v>0.87</v>
      </c>
      <c r="M19" s="2" t="s">
        <v>82</v>
      </c>
      <c r="N19" s="2" t="s">
        <v>34</v>
      </c>
      <c r="O19" s="2">
        <v>1</v>
      </c>
      <c r="P19" s="2" t="str">
        <f>IF(global_freelancer_raw5[[#This Row],[No of projects ]]&lt;=5,"Entry level","Well Experienced")</f>
        <v>Entry level</v>
      </c>
      <c r="Q19" s="2">
        <v>2</v>
      </c>
    </row>
    <row r="20" spans="1:17" x14ac:dyDescent="0.3">
      <c r="A20" t="s">
        <v>116</v>
      </c>
      <c r="B20" t="s">
        <v>117</v>
      </c>
      <c r="C20" t="s">
        <v>118</v>
      </c>
      <c r="D20" s="2">
        <v>56</v>
      </c>
      <c r="E20" t="s">
        <v>73</v>
      </c>
      <c r="F20" t="s">
        <v>30</v>
      </c>
      <c r="G20" s="2" t="s">
        <v>93</v>
      </c>
      <c r="H20" s="2">
        <v>31</v>
      </c>
      <c r="I20" s="2" t="s">
        <v>119</v>
      </c>
      <c r="J20" s="2">
        <v>1.1000000000000001</v>
      </c>
      <c r="K20" s="2" t="s">
        <v>41</v>
      </c>
      <c r="L20" s="2">
        <v>0.75</v>
      </c>
      <c r="M20" s="2" t="s">
        <v>60</v>
      </c>
      <c r="N20" s="2" t="s">
        <v>34</v>
      </c>
      <c r="O20" s="2">
        <v>13</v>
      </c>
      <c r="P20" s="2" t="str">
        <f>IF(global_freelancer_raw5[[#This Row],[No of projects ]]&lt;=5,"Entry level","Well Experienced")</f>
        <v>Well Experienced</v>
      </c>
      <c r="Q20" s="2">
        <v>3</v>
      </c>
    </row>
    <row r="21" spans="1:17" x14ac:dyDescent="0.3">
      <c r="A21" t="s">
        <v>120</v>
      </c>
      <c r="B21" t="s">
        <v>121</v>
      </c>
      <c r="C21" t="s">
        <v>118</v>
      </c>
      <c r="D21" s="2">
        <v>57</v>
      </c>
      <c r="E21" t="s">
        <v>19</v>
      </c>
      <c r="F21" t="s">
        <v>20</v>
      </c>
      <c r="G21" s="2" t="s">
        <v>46</v>
      </c>
      <c r="H21" s="2">
        <v>3</v>
      </c>
      <c r="I21" s="2" t="s">
        <v>32</v>
      </c>
      <c r="J21" s="2">
        <v>1.8</v>
      </c>
      <c r="K21" s="2" t="s">
        <v>87</v>
      </c>
      <c r="L21" s="2">
        <v>0.68</v>
      </c>
      <c r="M21" s="2" t="s">
        <v>88</v>
      </c>
      <c r="N21" s="2" t="s">
        <v>34</v>
      </c>
      <c r="O21" s="2">
        <v>1</v>
      </c>
      <c r="P21" s="2" t="str">
        <f>IF(global_freelancer_raw5[[#This Row],[No of projects ]]&lt;=5,"Entry level","Well Experienced")</f>
        <v>Entry level</v>
      </c>
      <c r="Q21" s="2">
        <v>1</v>
      </c>
    </row>
    <row r="22" spans="1:17" x14ac:dyDescent="0.3">
      <c r="A22" t="s">
        <v>122</v>
      </c>
      <c r="B22" t="s">
        <v>123</v>
      </c>
      <c r="C22" t="s">
        <v>118</v>
      </c>
      <c r="D22" s="2" t="s">
        <v>2119</v>
      </c>
      <c r="E22" t="s">
        <v>64</v>
      </c>
      <c r="F22" t="s">
        <v>65</v>
      </c>
      <c r="G22" s="2" t="s">
        <v>57</v>
      </c>
      <c r="H22" s="2">
        <v>9</v>
      </c>
      <c r="I22" s="2" t="s">
        <v>40</v>
      </c>
      <c r="J22" s="2">
        <v>1.8</v>
      </c>
      <c r="K22" s="2" t="s">
        <v>59</v>
      </c>
      <c r="L22" s="2">
        <v>0.65</v>
      </c>
      <c r="M22" s="2" t="s">
        <v>24</v>
      </c>
      <c r="N22" s="2" t="s">
        <v>75</v>
      </c>
      <c r="O22" s="2">
        <v>15</v>
      </c>
      <c r="P22" s="2" t="str">
        <f>IF(global_freelancer_raw5[[#This Row],[No of projects ]]&lt;=5,"Entry level","Well Experienced")</f>
        <v>Well Experienced</v>
      </c>
      <c r="Q22" s="2">
        <v>6</v>
      </c>
    </row>
    <row r="23" spans="1:17" x14ac:dyDescent="0.3">
      <c r="A23" t="s">
        <v>124</v>
      </c>
      <c r="B23" t="s">
        <v>125</v>
      </c>
      <c r="C23" t="s">
        <v>118</v>
      </c>
      <c r="D23" s="2">
        <v>51</v>
      </c>
      <c r="E23" t="s">
        <v>106</v>
      </c>
      <c r="F23" t="s">
        <v>107</v>
      </c>
      <c r="G23" s="2" t="s">
        <v>110</v>
      </c>
      <c r="H23" s="2" t="s">
        <v>2120</v>
      </c>
      <c r="I23" s="2" t="s">
        <v>2119</v>
      </c>
      <c r="J23" s="2">
        <v>2.4</v>
      </c>
      <c r="K23" s="2" t="s">
        <v>41</v>
      </c>
      <c r="L23" s="2">
        <v>0.69</v>
      </c>
      <c r="M23" s="2" t="s">
        <v>60</v>
      </c>
      <c r="N23" s="2" t="s">
        <v>34</v>
      </c>
      <c r="O23" s="2">
        <v>3</v>
      </c>
      <c r="P23" s="2" t="str">
        <f>IF(global_freelancer_raw5[[#This Row],[No of projects ]]&lt;=5,"Entry level","Well Experienced")</f>
        <v>Entry level</v>
      </c>
      <c r="Q23" s="2">
        <v>5</v>
      </c>
    </row>
    <row r="24" spans="1:17" x14ac:dyDescent="0.3">
      <c r="A24" t="s">
        <v>126</v>
      </c>
      <c r="B24" t="s">
        <v>127</v>
      </c>
      <c r="C24" t="s">
        <v>118</v>
      </c>
      <c r="D24" s="2">
        <v>51</v>
      </c>
      <c r="E24" t="s">
        <v>128</v>
      </c>
      <c r="F24" t="s">
        <v>129</v>
      </c>
      <c r="G24" s="2" t="s">
        <v>98</v>
      </c>
      <c r="H24" s="2">
        <v>21</v>
      </c>
      <c r="I24" s="2" t="s">
        <v>130</v>
      </c>
      <c r="J24" s="2">
        <v>4.7</v>
      </c>
      <c r="K24" s="2" t="s">
        <v>41</v>
      </c>
      <c r="L24" s="2" t="s">
        <v>2120</v>
      </c>
      <c r="M24" s="2" t="s">
        <v>88</v>
      </c>
      <c r="N24" s="2" t="s">
        <v>75</v>
      </c>
      <c r="O24" s="2">
        <v>14</v>
      </c>
      <c r="P24" s="2" t="str">
        <f>IF(global_freelancer_raw5[[#This Row],[No of projects ]]&lt;=5,"Entry level","Well Experienced")</f>
        <v>Well Experienced</v>
      </c>
      <c r="Q24" s="2">
        <v>2</v>
      </c>
    </row>
    <row r="25" spans="1:17" x14ac:dyDescent="0.3">
      <c r="A25" t="s">
        <v>131</v>
      </c>
      <c r="B25" t="s">
        <v>132</v>
      </c>
      <c r="C25" t="s">
        <v>97</v>
      </c>
      <c r="D25" s="2">
        <v>51</v>
      </c>
      <c r="E25" t="s">
        <v>133</v>
      </c>
      <c r="F25" t="s">
        <v>134</v>
      </c>
      <c r="G25" s="2" t="s">
        <v>135</v>
      </c>
      <c r="H25" s="2">
        <v>15</v>
      </c>
      <c r="I25" s="2" t="s">
        <v>81</v>
      </c>
      <c r="J25" s="2">
        <v>1.3</v>
      </c>
      <c r="K25" s="2" t="s">
        <v>33</v>
      </c>
      <c r="L25" s="2">
        <v>1</v>
      </c>
      <c r="M25" s="2" t="s">
        <v>82</v>
      </c>
      <c r="N25" s="2" t="s">
        <v>34</v>
      </c>
      <c r="O25" s="2">
        <v>9</v>
      </c>
      <c r="P25" s="2" t="str">
        <f>IF(global_freelancer_raw5[[#This Row],[No of projects ]]&lt;=5,"Entry level","Well Experienced")</f>
        <v>Well Experienced</v>
      </c>
      <c r="Q25" s="2">
        <v>3</v>
      </c>
    </row>
    <row r="26" spans="1:17" x14ac:dyDescent="0.3">
      <c r="A26" t="s">
        <v>136</v>
      </c>
      <c r="B26" t="s">
        <v>137</v>
      </c>
      <c r="C26" t="s">
        <v>97</v>
      </c>
      <c r="D26" s="2">
        <v>54</v>
      </c>
      <c r="E26" t="s">
        <v>64</v>
      </c>
      <c r="F26" t="s">
        <v>65</v>
      </c>
      <c r="G26" s="2" t="s">
        <v>135</v>
      </c>
      <c r="H26" s="2">
        <v>13</v>
      </c>
      <c r="I26" s="2" t="s">
        <v>103</v>
      </c>
      <c r="J26" s="2">
        <v>2.9</v>
      </c>
      <c r="K26" s="2" t="s">
        <v>2120</v>
      </c>
      <c r="L26" s="2">
        <v>92</v>
      </c>
      <c r="M26" s="2" t="s">
        <v>82</v>
      </c>
      <c r="N26" s="2" t="s">
        <v>75</v>
      </c>
      <c r="O26" s="2">
        <v>15</v>
      </c>
      <c r="P26" s="2" t="str">
        <f>IF(global_freelancer_raw5[[#This Row],[No of projects ]]&lt;=5,"Entry level","Well Experienced")</f>
        <v>Well Experienced</v>
      </c>
      <c r="Q26" s="2">
        <v>3</v>
      </c>
    </row>
    <row r="27" spans="1:17" x14ac:dyDescent="0.3">
      <c r="A27" t="s">
        <v>138</v>
      </c>
      <c r="B27" t="s">
        <v>139</v>
      </c>
      <c r="C27" t="s">
        <v>97</v>
      </c>
      <c r="D27" s="2">
        <v>22</v>
      </c>
      <c r="E27" t="s">
        <v>133</v>
      </c>
      <c r="F27" t="s">
        <v>134</v>
      </c>
      <c r="G27" s="2" t="s">
        <v>110</v>
      </c>
      <c r="H27" s="2">
        <v>0</v>
      </c>
      <c r="I27" s="2" t="s">
        <v>130</v>
      </c>
      <c r="J27" s="2">
        <v>1.2</v>
      </c>
      <c r="K27" s="2" t="s">
        <v>33</v>
      </c>
      <c r="L27" s="2">
        <v>0.7</v>
      </c>
      <c r="M27" s="2" t="s">
        <v>60</v>
      </c>
      <c r="N27" s="2" t="s">
        <v>25</v>
      </c>
      <c r="O27" s="2">
        <v>5</v>
      </c>
      <c r="P27" s="2" t="str">
        <f>IF(global_freelancer_raw5[[#This Row],[No of projects ]]&lt;=5,"Entry level","Well Experienced")</f>
        <v>Entry level</v>
      </c>
      <c r="Q27" s="2">
        <v>2</v>
      </c>
    </row>
    <row r="28" spans="1:17" x14ac:dyDescent="0.3">
      <c r="A28" t="s">
        <v>140</v>
      </c>
      <c r="B28" t="s">
        <v>141</v>
      </c>
      <c r="C28" t="s">
        <v>97</v>
      </c>
      <c r="D28" s="2">
        <v>34</v>
      </c>
      <c r="E28" t="s">
        <v>106</v>
      </c>
      <c r="F28" t="s">
        <v>107</v>
      </c>
      <c r="G28" s="2" t="s">
        <v>21</v>
      </c>
      <c r="H28" s="2">
        <v>8</v>
      </c>
      <c r="I28" s="2" t="s">
        <v>142</v>
      </c>
      <c r="J28" s="2">
        <v>0</v>
      </c>
      <c r="K28" s="2" t="s">
        <v>74</v>
      </c>
      <c r="L28" s="2">
        <v>0.89</v>
      </c>
      <c r="M28" s="2" t="s">
        <v>88</v>
      </c>
      <c r="N28" s="2" t="s">
        <v>25</v>
      </c>
      <c r="O28" s="2">
        <v>6</v>
      </c>
      <c r="P28" s="2" t="str">
        <f>IF(global_freelancer_raw5[[#This Row],[No of projects ]]&lt;=5,"Entry level","Well Experienced")</f>
        <v>Well Experienced</v>
      </c>
      <c r="Q28" s="2">
        <v>1</v>
      </c>
    </row>
    <row r="29" spans="1:17" x14ac:dyDescent="0.3">
      <c r="A29" t="s">
        <v>143</v>
      </c>
      <c r="B29" t="s">
        <v>144</v>
      </c>
      <c r="C29" t="s">
        <v>97</v>
      </c>
      <c r="D29" s="2">
        <v>36</v>
      </c>
      <c r="E29" t="s">
        <v>145</v>
      </c>
      <c r="F29" t="s">
        <v>146</v>
      </c>
      <c r="G29" s="2" t="s">
        <v>39</v>
      </c>
      <c r="H29" s="2">
        <v>11</v>
      </c>
      <c r="I29" s="2" t="s">
        <v>2119</v>
      </c>
      <c r="J29" s="2">
        <v>1.8</v>
      </c>
      <c r="K29" s="2" t="s">
        <v>94</v>
      </c>
      <c r="L29" s="2">
        <v>0.86</v>
      </c>
      <c r="M29" s="2" t="s">
        <v>60</v>
      </c>
      <c r="N29" s="2" t="s">
        <v>25</v>
      </c>
      <c r="O29" s="2">
        <v>12</v>
      </c>
      <c r="P29" s="2" t="str">
        <f>IF(global_freelancer_raw5[[#This Row],[No of projects ]]&lt;=5,"Entry level","Well Experienced")</f>
        <v>Well Experienced</v>
      </c>
      <c r="Q29" s="2">
        <v>4</v>
      </c>
    </row>
    <row r="30" spans="1:17" x14ac:dyDescent="0.3">
      <c r="A30" t="s">
        <v>147</v>
      </c>
      <c r="B30" t="s">
        <v>148</v>
      </c>
      <c r="C30" t="s">
        <v>97</v>
      </c>
      <c r="D30" s="2">
        <v>47</v>
      </c>
      <c r="E30" t="s">
        <v>149</v>
      </c>
      <c r="F30" t="s">
        <v>30</v>
      </c>
      <c r="G30" s="2" t="s">
        <v>57</v>
      </c>
      <c r="H30" s="2">
        <v>22</v>
      </c>
      <c r="I30" s="2" t="s">
        <v>52</v>
      </c>
      <c r="J30" s="2">
        <v>1.3</v>
      </c>
      <c r="K30" s="2" t="s">
        <v>23</v>
      </c>
      <c r="L30" s="2">
        <v>0.62</v>
      </c>
      <c r="M30" s="2" t="s">
        <v>60</v>
      </c>
      <c r="N30" s="2" t="s">
        <v>25</v>
      </c>
      <c r="O30" s="2">
        <v>14</v>
      </c>
      <c r="P30" s="2" t="str">
        <f>IF(global_freelancer_raw5[[#This Row],[No of projects ]]&lt;=5,"Entry level","Well Experienced")</f>
        <v>Well Experienced</v>
      </c>
      <c r="Q30" s="2">
        <v>2</v>
      </c>
    </row>
    <row r="31" spans="1:17" x14ac:dyDescent="0.3">
      <c r="A31" t="s">
        <v>150</v>
      </c>
      <c r="B31" t="s">
        <v>151</v>
      </c>
      <c r="C31" t="s">
        <v>97</v>
      </c>
      <c r="D31" s="2">
        <v>41</v>
      </c>
      <c r="E31" t="s">
        <v>55</v>
      </c>
      <c r="F31" t="s">
        <v>56</v>
      </c>
      <c r="G31" s="2" t="s">
        <v>66</v>
      </c>
      <c r="H31" s="2">
        <v>14</v>
      </c>
      <c r="I31" s="2" t="s">
        <v>67</v>
      </c>
      <c r="J31" s="2">
        <v>1.2</v>
      </c>
      <c r="K31" s="2" t="s">
        <v>23</v>
      </c>
      <c r="L31" s="2" t="s">
        <v>2120</v>
      </c>
      <c r="M31" s="2" t="s">
        <v>88</v>
      </c>
      <c r="N31" s="2" t="s">
        <v>25</v>
      </c>
      <c r="O31" s="2">
        <v>6</v>
      </c>
      <c r="P31" s="2" t="str">
        <f>IF(global_freelancer_raw5[[#This Row],[No of projects ]]&lt;=5,"Entry level","Well Experienced")</f>
        <v>Well Experienced</v>
      </c>
      <c r="Q31" s="2">
        <v>5</v>
      </c>
    </row>
    <row r="32" spans="1:17" x14ac:dyDescent="0.3">
      <c r="A32" t="s">
        <v>152</v>
      </c>
      <c r="B32" t="s">
        <v>153</v>
      </c>
      <c r="C32" t="s">
        <v>118</v>
      </c>
      <c r="D32" s="2">
        <v>22</v>
      </c>
      <c r="E32" t="s">
        <v>55</v>
      </c>
      <c r="F32" t="s">
        <v>56</v>
      </c>
      <c r="G32" s="2" t="s">
        <v>110</v>
      </c>
      <c r="H32" s="2">
        <v>4</v>
      </c>
      <c r="I32" s="2" t="s">
        <v>2119</v>
      </c>
      <c r="J32" s="2">
        <v>1</v>
      </c>
      <c r="K32" s="2" t="s">
        <v>87</v>
      </c>
      <c r="L32" s="2" t="s">
        <v>2120</v>
      </c>
      <c r="M32" s="2" t="s">
        <v>88</v>
      </c>
      <c r="N32" s="2" t="s">
        <v>34</v>
      </c>
      <c r="O32" s="2">
        <v>3</v>
      </c>
      <c r="P32" s="2" t="str">
        <f>IF(global_freelancer_raw5[[#This Row],[No of projects ]]&lt;=5,"Entry level","Well Experienced")</f>
        <v>Entry level</v>
      </c>
      <c r="Q32" s="2">
        <v>1</v>
      </c>
    </row>
    <row r="33" spans="1:17" x14ac:dyDescent="0.3">
      <c r="A33" t="s">
        <v>154</v>
      </c>
      <c r="B33" t="s">
        <v>155</v>
      </c>
      <c r="C33" t="s">
        <v>118</v>
      </c>
      <c r="D33" s="2">
        <v>38</v>
      </c>
      <c r="E33" t="s">
        <v>156</v>
      </c>
      <c r="F33" t="s">
        <v>157</v>
      </c>
      <c r="G33" s="2" t="s">
        <v>135</v>
      </c>
      <c r="H33" s="2">
        <v>19</v>
      </c>
      <c r="I33" s="2" t="s">
        <v>32</v>
      </c>
      <c r="J33" s="2">
        <v>4.2</v>
      </c>
      <c r="K33" s="2" t="s">
        <v>41</v>
      </c>
      <c r="L33" s="2">
        <v>0.68</v>
      </c>
      <c r="M33" s="2" t="s">
        <v>24</v>
      </c>
      <c r="N33" s="2" t="s">
        <v>34</v>
      </c>
      <c r="O33" s="2">
        <v>10</v>
      </c>
      <c r="P33" s="2" t="str">
        <f>IF(global_freelancer_raw5[[#This Row],[No of projects ]]&lt;=5,"Entry level","Well Experienced")</f>
        <v>Well Experienced</v>
      </c>
      <c r="Q33" s="2">
        <v>10</v>
      </c>
    </row>
    <row r="34" spans="1:17" x14ac:dyDescent="0.3">
      <c r="A34" t="s">
        <v>158</v>
      </c>
      <c r="B34" t="s">
        <v>159</v>
      </c>
      <c r="C34" t="s">
        <v>118</v>
      </c>
      <c r="D34" s="2">
        <v>46</v>
      </c>
      <c r="E34" t="s">
        <v>160</v>
      </c>
      <c r="F34" t="s">
        <v>161</v>
      </c>
      <c r="G34" s="2" t="s">
        <v>57</v>
      </c>
      <c r="H34" s="2">
        <v>9</v>
      </c>
      <c r="I34" s="2" t="s">
        <v>162</v>
      </c>
      <c r="J34" s="2">
        <v>1.4</v>
      </c>
      <c r="K34" s="2" t="s">
        <v>74</v>
      </c>
      <c r="L34" s="2">
        <v>0.76</v>
      </c>
      <c r="M34" s="2" t="s">
        <v>88</v>
      </c>
      <c r="N34" s="2" t="s">
        <v>34</v>
      </c>
      <c r="O34" s="2">
        <v>13</v>
      </c>
      <c r="P34" s="2" t="str">
        <f>IF(global_freelancer_raw5[[#This Row],[No of projects ]]&lt;=5,"Entry level","Well Experienced")</f>
        <v>Well Experienced</v>
      </c>
      <c r="Q34" s="2">
        <v>6</v>
      </c>
    </row>
    <row r="35" spans="1:17" x14ac:dyDescent="0.3">
      <c r="A35" t="s">
        <v>163</v>
      </c>
      <c r="B35" t="s">
        <v>164</v>
      </c>
      <c r="C35" t="s">
        <v>118</v>
      </c>
      <c r="D35" s="2" t="s">
        <v>2119</v>
      </c>
      <c r="E35" t="s">
        <v>133</v>
      </c>
      <c r="F35" t="s">
        <v>134</v>
      </c>
      <c r="G35" s="2" t="s">
        <v>57</v>
      </c>
      <c r="H35" s="2">
        <v>9</v>
      </c>
      <c r="I35" s="2" t="s">
        <v>86</v>
      </c>
      <c r="J35" s="2">
        <v>2.4</v>
      </c>
      <c r="K35" s="2" t="s">
        <v>87</v>
      </c>
      <c r="L35" s="2">
        <v>82</v>
      </c>
      <c r="M35" s="2" t="s">
        <v>82</v>
      </c>
      <c r="N35" s="2" t="s">
        <v>75</v>
      </c>
      <c r="O35" s="2">
        <v>15</v>
      </c>
      <c r="P35" s="2" t="str">
        <f>IF(global_freelancer_raw5[[#This Row],[No of projects ]]&lt;=5,"Entry level","Well Experienced")</f>
        <v>Well Experienced</v>
      </c>
      <c r="Q35" s="2">
        <v>3</v>
      </c>
    </row>
    <row r="36" spans="1:17" x14ac:dyDescent="0.3">
      <c r="A36" t="s">
        <v>165</v>
      </c>
      <c r="B36" t="s">
        <v>166</v>
      </c>
      <c r="C36" t="s">
        <v>97</v>
      </c>
      <c r="D36" s="2">
        <v>54</v>
      </c>
      <c r="E36" t="s">
        <v>73</v>
      </c>
      <c r="F36" t="s">
        <v>30</v>
      </c>
      <c r="G36" s="2" t="s">
        <v>46</v>
      </c>
      <c r="H36" s="2">
        <v>32</v>
      </c>
      <c r="I36" s="2" t="s">
        <v>103</v>
      </c>
      <c r="J36" s="2">
        <v>1</v>
      </c>
      <c r="K36" s="2" t="s">
        <v>87</v>
      </c>
      <c r="L36" s="2">
        <v>0.81</v>
      </c>
      <c r="M36" s="2" t="s">
        <v>60</v>
      </c>
      <c r="N36" s="2" t="s">
        <v>75</v>
      </c>
      <c r="O36" s="2">
        <v>18</v>
      </c>
      <c r="P36" s="2" t="str">
        <f>IF(global_freelancer_raw5[[#This Row],[No of projects ]]&lt;=5,"Entry level","Well Experienced")</f>
        <v>Well Experienced</v>
      </c>
      <c r="Q36" s="2">
        <v>10</v>
      </c>
    </row>
    <row r="37" spans="1:17" x14ac:dyDescent="0.3">
      <c r="A37" t="s">
        <v>167</v>
      </c>
      <c r="B37" t="s">
        <v>168</v>
      </c>
      <c r="C37" t="s">
        <v>97</v>
      </c>
      <c r="D37" s="2">
        <v>52</v>
      </c>
      <c r="E37" t="s">
        <v>133</v>
      </c>
      <c r="F37" t="s">
        <v>134</v>
      </c>
      <c r="G37" s="2" t="s">
        <v>2120</v>
      </c>
      <c r="H37" s="2">
        <v>28</v>
      </c>
      <c r="I37" s="2" t="s">
        <v>142</v>
      </c>
      <c r="J37" s="2" t="s">
        <v>2120</v>
      </c>
      <c r="K37" s="2" t="s">
        <v>23</v>
      </c>
      <c r="L37" s="2" t="s">
        <v>2120</v>
      </c>
      <c r="M37" s="2" t="s">
        <v>60</v>
      </c>
      <c r="N37" s="2" t="s">
        <v>75</v>
      </c>
      <c r="O37" s="2">
        <v>18</v>
      </c>
      <c r="P37" s="2" t="str">
        <f>IF(global_freelancer_raw5[[#This Row],[No of projects ]]&lt;=5,"Entry level","Well Experienced")</f>
        <v>Well Experienced</v>
      </c>
      <c r="Q37" s="2">
        <v>2</v>
      </c>
    </row>
    <row r="38" spans="1:17" x14ac:dyDescent="0.3">
      <c r="A38" t="s">
        <v>169</v>
      </c>
      <c r="B38" t="s">
        <v>170</v>
      </c>
      <c r="C38" t="s">
        <v>97</v>
      </c>
      <c r="D38" s="2">
        <v>42</v>
      </c>
      <c r="E38" t="s">
        <v>106</v>
      </c>
      <c r="F38" t="s">
        <v>107</v>
      </c>
      <c r="G38" s="2" t="s">
        <v>31</v>
      </c>
      <c r="H38" s="2">
        <v>6</v>
      </c>
      <c r="I38" s="2" t="s">
        <v>86</v>
      </c>
      <c r="J38" s="2" t="s">
        <v>2120</v>
      </c>
      <c r="K38" s="2" t="s">
        <v>23</v>
      </c>
      <c r="L38" s="2">
        <v>0.63</v>
      </c>
      <c r="M38" s="2" t="s">
        <v>82</v>
      </c>
      <c r="N38" s="2" t="s">
        <v>75</v>
      </c>
      <c r="O38" s="2">
        <v>15</v>
      </c>
      <c r="P38" s="2" t="str">
        <f>IF(global_freelancer_raw5[[#This Row],[No of projects ]]&lt;=5,"Entry level","Well Experienced")</f>
        <v>Well Experienced</v>
      </c>
      <c r="Q38" s="2">
        <v>6</v>
      </c>
    </row>
    <row r="39" spans="1:17" x14ac:dyDescent="0.3">
      <c r="A39" t="s">
        <v>171</v>
      </c>
      <c r="B39" t="s">
        <v>172</v>
      </c>
      <c r="C39" t="s">
        <v>97</v>
      </c>
      <c r="D39" s="2">
        <v>29</v>
      </c>
      <c r="E39" t="s">
        <v>55</v>
      </c>
      <c r="F39" t="s">
        <v>56</v>
      </c>
      <c r="G39" s="2" t="s">
        <v>39</v>
      </c>
      <c r="H39" s="2">
        <v>10</v>
      </c>
      <c r="I39" s="2" t="s">
        <v>86</v>
      </c>
      <c r="J39" s="2">
        <v>2.2000000000000002</v>
      </c>
      <c r="K39" s="2" t="s">
        <v>41</v>
      </c>
      <c r="L39" s="2">
        <v>0.67</v>
      </c>
      <c r="M39" s="2" t="s">
        <v>88</v>
      </c>
      <c r="N39" s="2" t="s">
        <v>25</v>
      </c>
      <c r="O39" s="2">
        <v>10</v>
      </c>
      <c r="P39" s="2" t="str">
        <f>IF(global_freelancer_raw5[[#This Row],[No of projects ]]&lt;=5,"Entry level","Well Experienced")</f>
        <v>Well Experienced</v>
      </c>
      <c r="Q39" s="2">
        <v>9</v>
      </c>
    </row>
    <row r="40" spans="1:17" x14ac:dyDescent="0.3">
      <c r="A40" t="s">
        <v>173</v>
      </c>
      <c r="B40" t="s">
        <v>174</v>
      </c>
      <c r="C40" t="s">
        <v>97</v>
      </c>
      <c r="D40" s="2">
        <v>42</v>
      </c>
      <c r="E40" t="s">
        <v>175</v>
      </c>
      <c r="F40" t="s">
        <v>176</v>
      </c>
      <c r="G40" s="2" t="s">
        <v>31</v>
      </c>
      <c r="H40" s="2">
        <v>23</v>
      </c>
      <c r="I40" s="2" t="s">
        <v>40</v>
      </c>
      <c r="J40" s="2">
        <v>3.2</v>
      </c>
      <c r="K40" s="2" t="s">
        <v>87</v>
      </c>
      <c r="L40" s="2" t="s">
        <v>2120</v>
      </c>
      <c r="M40" s="2" t="s">
        <v>82</v>
      </c>
      <c r="N40" s="2" t="s">
        <v>25</v>
      </c>
      <c r="O40" s="2">
        <v>13</v>
      </c>
      <c r="P40" s="2" t="str">
        <f>IF(global_freelancer_raw5[[#This Row],[No of projects ]]&lt;=5,"Entry level","Well Experienced")</f>
        <v>Well Experienced</v>
      </c>
      <c r="Q40" s="2">
        <v>3</v>
      </c>
    </row>
    <row r="41" spans="1:17" x14ac:dyDescent="0.3">
      <c r="A41" t="s">
        <v>177</v>
      </c>
      <c r="B41" t="s">
        <v>178</v>
      </c>
      <c r="C41" t="s">
        <v>118</v>
      </c>
      <c r="D41" s="2">
        <v>60</v>
      </c>
      <c r="E41" t="s">
        <v>106</v>
      </c>
      <c r="F41" t="s">
        <v>107</v>
      </c>
      <c r="G41" s="2" t="s">
        <v>46</v>
      </c>
      <c r="H41" s="2">
        <v>13</v>
      </c>
      <c r="I41" s="2" t="s">
        <v>142</v>
      </c>
      <c r="J41" s="2">
        <v>3.6</v>
      </c>
      <c r="K41" s="2" t="s">
        <v>23</v>
      </c>
      <c r="L41" s="2">
        <v>0.8</v>
      </c>
      <c r="M41" s="2" t="s">
        <v>82</v>
      </c>
      <c r="N41" s="2" t="s">
        <v>25</v>
      </c>
      <c r="O41" s="2">
        <v>9</v>
      </c>
      <c r="P41" s="2" t="str">
        <f>IF(global_freelancer_raw5[[#This Row],[No of projects ]]&lt;=5,"Entry level","Well Experienced")</f>
        <v>Well Experienced</v>
      </c>
      <c r="Q41" s="2">
        <v>3</v>
      </c>
    </row>
    <row r="42" spans="1:17" x14ac:dyDescent="0.3">
      <c r="A42" t="s">
        <v>179</v>
      </c>
      <c r="B42" t="s">
        <v>180</v>
      </c>
      <c r="C42" t="s">
        <v>97</v>
      </c>
      <c r="D42" s="2">
        <v>59</v>
      </c>
      <c r="E42" t="s">
        <v>85</v>
      </c>
      <c r="F42" t="s">
        <v>30</v>
      </c>
      <c r="G42" s="2" t="s">
        <v>57</v>
      </c>
      <c r="H42" s="2">
        <v>3</v>
      </c>
      <c r="I42" s="2" t="s">
        <v>119</v>
      </c>
      <c r="J42" s="2">
        <v>0</v>
      </c>
      <c r="K42" s="2" t="s">
        <v>181</v>
      </c>
      <c r="L42" s="2" t="s">
        <v>2120</v>
      </c>
      <c r="M42" s="2" t="s">
        <v>24</v>
      </c>
      <c r="N42" s="2" t="s">
        <v>42</v>
      </c>
      <c r="O42" s="2">
        <v>3</v>
      </c>
      <c r="P42" s="2" t="str">
        <f>IF(global_freelancer_raw5[[#This Row],[No of projects ]]&lt;=5,"Entry level","Well Experienced")</f>
        <v>Entry level</v>
      </c>
      <c r="Q42" s="2">
        <v>1</v>
      </c>
    </row>
    <row r="43" spans="1:17" x14ac:dyDescent="0.3">
      <c r="A43" t="s">
        <v>182</v>
      </c>
      <c r="B43" t="s">
        <v>183</v>
      </c>
      <c r="C43" t="s">
        <v>97</v>
      </c>
      <c r="D43" s="2">
        <v>21</v>
      </c>
      <c r="E43" t="s">
        <v>149</v>
      </c>
      <c r="F43" t="s">
        <v>30</v>
      </c>
      <c r="G43" s="2" t="s">
        <v>46</v>
      </c>
      <c r="H43" s="2">
        <v>0</v>
      </c>
      <c r="I43" s="2" t="s">
        <v>52</v>
      </c>
      <c r="J43" s="2">
        <v>2.7</v>
      </c>
      <c r="K43" s="2" t="s">
        <v>33</v>
      </c>
      <c r="L43" s="2">
        <v>0.84</v>
      </c>
      <c r="M43" s="2" t="s">
        <v>82</v>
      </c>
      <c r="N43" s="2" t="s">
        <v>34</v>
      </c>
      <c r="O43" s="2">
        <v>5</v>
      </c>
      <c r="P43" s="2" t="str">
        <f>IF(global_freelancer_raw5[[#This Row],[No of projects ]]&lt;=5,"Entry level","Well Experienced")</f>
        <v>Entry level</v>
      </c>
      <c r="Q43" s="2">
        <v>1</v>
      </c>
    </row>
    <row r="44" spans="1:17" x14ac:dyDescent="0.3">
      <c r="A44" t="s">
        <v>184</v>
      </c>
      <c r="B44" t="s">
        <v>185</v>
      </c>
      <c r="C44" t="s">
        <v>97</v>
      </c>
      <c r="D44" s="2">
        <v>35</v>
      </c>
      <c r="E44" t="s">
        <v>38</v>
      </c>
      <c r="F44" t="s">
        <v>38</v>
      </c>
      <c r="G44" s="2" t="s">
        <v>110</v>
      </c>
      <c r="H44" s="2">
        <v>10</v>
      </c>
      <c r="I44" s="2" t="s">
        <v>81</v>
      </c>
      <c r="J44" s="2">
        <v>0</v>
      </c>
      <c r="K44" s="2" t="s">
        <v>181</v>
      </c>
      <c r="L44" s="2" t="s">
        <v>2120</v>
      </c>
      <c r="M44" s="2" t="s">
        <v>60</v>
      </c>
      <c r="N44" s="2" t="s">
        <v>75</v>
      </c>
      <c r="O44" s="2">
        <v>7</v>
      </c>
      <c r="P44" s="2" t="str">
        <f>IF(global_freelancer_raw5[[#This Row],[No of projects ]]&lt;=5,"Entry level","Well Experienced")</f>
        <v>Well Experienced</v>
      </c>
      <c r="Q44" s="2">
        <v>6</v>
      </c>
    </row>
    <row r="45" spans="1:17" x14ac:dyDescent="0.3">
      <c r="A45" t="s">
        <v>186</v>
      </c>
      <c r="B45" t="s">
        <v>187</v>
      </c>
      <c r="C45" t="s">
        <v>118</v>
      </c>
      <c r="D45" s="2">
        <v>41</v>
      </c>
      <c r="E45" t="s">
        <v>85</v>
      </c>
      <c r="F45" t="s">
        <v>30</v>
      </c>
      <c r="G45" s="2" t="s">
        <v>66</v>
      </c>
      <c r="H45" s="2" t="s">
        <v>2120</v>
      </c>
      <c r="I45" s="2" t="s">
        <v>162</v>
      </c>
      <c r="J45" s="2">
        <v>2.8</v>
      </c>
      <c r="K45" s="2" t="s">
        <v>74</v>
      </c>
      <c r="L45" s="2">
        <v>0.63</v>
      </c>
      <c r="M45" s="2" t="s">
        <v>82</v>
      </c>
      <c r="N45" s="2" t="s">
        <v>75</v>
      </c>
      <c r="O45" s="2">
        <v>1</v>
      </c>
      <c r="P45" s="2" t="str">
        <f>IF(global_freelancer_raw5[[#This Row],[No of projects ]]&lt;=5,"Entry level","Well Experienced")</f>
        <v>Entry level</v>
      </c>
      <c r="Q45" s="2">
        <v>1</v>
      </c>
    </row>
    <row r="46" spans="1:17" x14ac:dyDescent="0.3">
      <c r="A46" t="s">
        <v>188</v>
      </c>
      <c r="B46" t="s">
        <v>189</v>
      </c>
      <c r="C46" t="s">
        <v>97</v>
      </c>
      <c r="D46" s="2">
        <v>51</v>
      </c>
      <c r="E46" t="s">
        <v>55</v>
      </c>
      <c r="F46" t="s">
        <v>56</v>
      </c>
      <c r="G46" s="2" t="s">
        <v>135</v>
      </c>
      <c r="H46" s="2">
        <v>23</v>
      </c>
      <c r="I46" s="2" t="s">
        <v>162</v>
      </c>
      <c r="J46" s="2">
        <v>2.5</v>
      </c>
      <c r="K46" s="2" t="s">
        <v>59</v>
      </c>
      <c r="L46" s="2">
        <v>0.8</v>
      </c>
      <c r="M46" s="2" t="s">
        <v>60</v>
      </c>
      <c r="N46" s="2" t="s">
        <v>25</v>
      </c>
      <c r="O46" s="2">
        <v>17</v>
      </c>
      <c r="P46" s="2" t="str">
        <f>IF(global_freelancer_raw5[[#This Row],[No of projects ]]&lt;=5,"Entry level","Well Experienced")</f>
        <v>Well Experienced</v>
      </c>
      <c r="Q46" s="2">
        <v>15</v>
      </c>
    </row>
    <row r="47" spans="1:17" x14ac:dyDescent="0.3">
      <c r="A47" t="s">
        <v>190</v>
      </c>
      <c r="B47" t="s">
        <v>191</v>
      </c>
      <c r="C47" t="s">
        <v>118</v>
      </c>
      <c r="D47" s="2">
        <v>41</v>
      </c>
      <c r="E47" t="s">
        <v>175</v>
      </c>
      <c r="F47" t="s">
        <v>176</v>
      </c>
      <c r="G47" s="2" t="s">
        <v>46</v>
      </c>
      <c r="H47" s="2">
        <v>9</v>
      </c>
      <c r="I47" s="2" t="s">
        <v>192</v>
      </c>
      <c r="J47" s="2">
        <v>4.9000000000000004</v>
      </c>
      <c r="K47" s="2" t="s">
        <v>33</v>
      </c>
      <c r="L47" s="2">
        <v>0.74</v>
      </c>
      <c r="M47" s="2" t="s">
        <v>60</v>
      </c>
      <c r="N47" s="2" t="s">
        <v>75</v>
      </c>
      <c r="O47" s="2">
        <v>13</v>
      </c>
      <c r="P47" s="2" t="str">
        <f>IF(global_freelancer_raw5[[#This Row],[No of projects ]]&lt;=5,"Entry level","Well Experienced")</f>
        <v>Well Experienced</v>
      </c>
      <c r="Q47" s="2">
        <v>8</v>
      </c>
    </row>
    <row r="48" spans="1:17" x14ac:dyDescent="0.3">
      <c r="A48" t="s">
        <v>193</v>
      </c>
      <c r="B48" t="s">
        <v>194</v>
      </c>
      <c r="C48" t="s">
        <v>97</v>
      </c>
      <c r="D48" s="2">
        <v>47</v>
      </c>
      <c r="E48" t="s">
        <v>160</v>
      </c>
      <c r="F48" t="s">
        <v>161</v>
      </c>
      <c r="G48" s="2" t="s">
        <v>110</v>
      </c>
      <c r="H48" s="2">
        <v>15</v>
      </c>
      <c r="I48" s="2" t="s">
        <v>130</v>
      </c>
      <c r="J48" s="2">
        <v>4.5</v>
      </c>
      <c r="K48" s="2" t="s">
        <v>33</v>
      </c>
      <c r="L48" s="2">
        <v>0.85</v>
      </c>
      <c r="M48" s="2" t="s">
        <v>60</v>
      </c>
      <c r="N48" s="2" t="s">
        <v>75</v>
      </c>
      <c r="O48" s="2">
        <v>12</v>
      </c>
      <c r="P48" s="2" t="str">
        <f>IF(global_freelancer_raw5[[#This Row],[No of projects ]]&lt;=5,"Entry level","Well Experienced")</f>
        <v>Well Experienced</v>
      </c>
      <c r="Q48" s="2">
        <v>4</v>
      </c>
    </row>
    <row r="49" spans="1:17" x14ac:dyDescent="0.3">
      <c r="A49" t="s">
        <v>195</v>
      </c>
      <c r="B49" t="s">
        <v>196</v>
      </c>
      <c r="C49" t="s">
        <v>118</v>
      </c>
      <c r="D49" s="2">
        <v>25</v>
      </c>
      <c r="E49" t="s">
        <v>197</v>
      </c>
      <c r="F49" t="s">
        <v>198</v>
      </c>
      <c r="G49" s="2" t="s">
        <v>39</v>
      </c>
      <c r="H49" s="2">
        <v>4</v>
      </c>
      <c r="I49" s="2" t="s">
        <v>40</v>
      </c>
      <c r="J49" s="2">
        <v>2.7</v>
      </c>
      <c r="K49" s="2" t="s">
        <v>41</v>
      </c>
      <c r="L49" s="2">
        <v>0.77</v>
      </c>
      <c r="M49" s="2" t="s">
        <v>88</v>
      </c>
      <c r="N49" s="2" t="s">
        <v>34</v>
      </c>
      <c r="O49" s="2">
        <v>4</v>
      </c>
      <c r="P49" s="2" t="str">
        <f>IF(global_freelancer_raw5[[#This Row],[No of projects ]]&lt;=5,"Entry level","Well Experienced")</f>
        <v>Entry level</v>
      </c>
      <c r="Q49" s="2">
        <v>3</v>
      </c>
    </row>
    <row r="50" spans="1:17" x14ac:dyDescent="0.3">
      <c r="A50" t="s">
        <v>199</v>
      </c>
      <c r="B50" t="s">
        <v>200</v>
      </c>
      <c r="C50" t="s">
        <v>97</v>
      </c>
      <c r="D50" s="2">
        <v>25</v>
      </c>
      <c r="E50" t="s">
        <v>201</v>
      </c>
      <c r="F50" t="s">
        <v>92</v>
      </c>
      <c r="G50" s="2" t="s">
        <v>31</v>
      </c>
      <c r="H50" s="2">
        <v>7</v>
      </c>
      <c r="I50" s="2" t="s">
        <v>162</v>
      </c>
      <c r="J50" s="2">
        <v>1.9</v>
      </c>
      <c r="K50" s="2" t="s">
        <v>23</v>
      </c>
      <c r="L50" s="2" t="s">
        <v>2120</v>
      </c>
      <c r="M50" s="2" t="s">
        <v>24</v>
      </c>
      <c r="N50" s="2" t="s">
        <v>25</v>
      </c>
      <c r="O50" s="2">
        <v>12</v>
      </c>
      <c r="P50" s="2" t="str">
        <f>IF(global_freelancer_raw5[[#This Row],[No of projects ]]&lt;=5,"Entry level","Well Experienced")</f>
        <v>Well Experienced</v>
      </c>
      <c r="Q50" s="2">
        <v>10</v>
      </c>
    </row>
    <row r="51" spans="1:17" x14ac:dyDescent="0.3">
      <c r="A51" t="s">
        <v>202</v>
      </c>
      <c r="B51" t="s">
        <v>203</v>
      </c>
      <c r="C51" t="s">
        <v>118</v>
      </c>
      <c r="D51" s="2">
        <v>29</v>
      </c>
      <c r="E51" s="2" t="s">
        <v>2120</v>
      </c>
      <c r="F51" t="s">
        <v>56</v>
      </c>
      <c r="G51" s="2" t="s">
        <v>93</v>
      </c>
      <c r="H51" s="2">
        <v>1</v>
      </c>
      <c r="I51" s="2" t="s">
        <v>162</v>
      </c>
      <c r="J51" s="2">
        <v>1.4</v>
      </c>
      <c r="K51" s="2" t="s">
        <v>33</v>
      </c>
      <c r="L51" s="2">
        <v>0.63</v>
      </c>
      <c r="M51" s="2" t="s">
        <v>60</v>
      </c>
      <c r="N51" s="2" t="s">
        <v>34</v>
      </c>
      <c r="O51" s="2">
        <v>2</v>
      </c>
      <c r="P51" s="2" t="str">
        <f>IF(global_freelancer_raw5[[#This Row],[No of projects ]]&lt;=5,"Entry level","Well Experienced")</f>
        <v>Entry level</v>
      </c>
      <c r="Q51" s="2">
        <v>1</v>
      </c>
    </row>
    <row r="52" spans="1:17" x14ac:dyDescent="0.3">
      <c r="A52" t="s">
        <v>204</v>
      </c>
      <c r="B52" t="s">
        <v>205</v>
      </c>
      <c r="C52" t="s">
        <v>97</v>
      </c>
      <c r="D52" s="2">
        <v>23</v>
      </c>
      <c r="E52" t="s">
        <v>91</v>
      </c>
      <c r="F52" t="s">
        <v>92</v>
      </c>
      <c r="G52" s="2" t="s">
        <v>98</v>
      </c>
      <c r="H52" s="2">
        <v>0</v>
      </c>
      <c r="I52" s="2" t="s">
        <v>103</v>
      </c>
      <c r="J52" s="2">
        <v>1.9</v>
      </c>
      <c r="K52" s="2" t="s">
        <v>74</v>
      </c>
      <c r="L52" s="2">
        <v>0.79</v>
      </c>
      <c r="M52" s="2" t="s">
        <v>60</v>
      </c>
      <c r="N52" s="2" t="s">
        <v>42</v>
      </c>
      <c r="O52" s="2">
        <v>2</v>
      </c>
      <c r="P52" s="2" t="str">
        <f>IF(global_freelancer_raw5[[#This Row],[No of projects ]]&lt;=5,"Entry level","Well Experienced")</f>
        <v>Entry level</v>
      </c>
      <c r="Q52" s="2">
        <v>5</v>
      </c>
    </row>
    <row r="53" spans="1:17" x14ac:dyDescent="0.3">
      <c r="A53" t="s">
        <v>206</v>
      </c>
      <c r="B53" t="s">
        <v>207</v>
      </c>
      <c r="C53" t="s">
        <v>118</v>
      </c>
      <c r="D53" s="2">
        <v>31</v>
      </c>
      <c r="E53" t="s">
        <v>156</v>
      </c>
      <c r="F53" t="s">
        <v>157</v>
      </c>
      <c r="G53" s="2" t="s">
        <v>66</v>
      </c>
      <c r="H53" s="2">
        <v>8</v>
      </c>
      <c r="I53" s="2" t="s">
        <v>40</v>
      </c>
      <c r="J53" s="2">
        <v>3.4</v>
      </c>
      <c r="K53" s="2" t="s">
        <v>23</v>
      </c>
      <c r="L53" s="2" t="s">
        <v>2120</v>
      </c>
      <c r="M53" s="2" t="s">
        <v>88</v>
      </c>
      <c r="N53" s="2" t="s">
        <v>42</v>
      </c>
      <c r="O53" s="2">
        <v>11</v>
      </c>
      <c r="P53" s="2" t="str">
        <f>IF(global_freelancer_raw5[[#This Row],[No of projects ]]&lt;=5,"Entry level","Well Experienced")</f>
        <v>Well Experienced</v>
      </c>
      <c r="Q53" s="2">
        <v>3</v>
      </c>
    </row>
    <row r="54" spans="1:17" x14ac:dyDescent="0.3">
      <c r="A54" t="s">
        <v>208</v>
      </c>
      <c r="B54" t="s">
        <v>209</v>
      </c>
      <c r="C54" t="s">
        <v>118</v>
      </c>
      <c r="D54" s="2">
        <v>51</v>
      </c>
      <c r="E54" t="s">
        <v>38</v>
      </c>
      <c r="F54" t="s">
        <v>38</v>
      </c>
      <c r="G54" s="2" t="s">
        <v>135</v>
      </c>
      <c r="H54" s="2">
        <v>33</v>
      </c>
      <c r="I54" s="2" t="s">
        <v>103</v>
      </c>
      <c r="J54" s="2">
        <v>3.3</v>
      </c>
      <c r="K54" s="2" t="s">
        <v>2120</v>
      </c>
      <c r="L54" s="2">
        <v>0.68</v>
      </c>
      <c r="M54" s="2" t="s">
        <v>60</v>
      </c>
      <c r="N54" s="2" t="s">
        <v>42</v>
      </c>
      <c r="O54" s="2">
        <v>17</v>
      </c>
      <c r="P54" s="2" t="str">
        <f>IF(global_freelancer_raw5[[#This Row],[No of projects ]]&lt;=5,"Entry level","Well Experienced")</f>
        <v>Well Experienced</v>
      </c>
      <c r="Q54" s="2">
        <v>8</v>
      </c>
    </row>
    <row r="55" spans="1:17" x14ac:dyDescent="0.3">
      <c r="A55" t="s">
        <v>210</v>
      </c>
      <c r="B55" t="s">
        <v>211</v>
      </c>
      <c r="C55" t="s">
        <v>118</v>
      </c>
      <c r="D55" s="2" t="s">
        <v>2119</v>
      </c>
      <c r="E55" t="s">
        <v>212</v>
      </c>
      <c r="F55" t="s">
        <v>92</v>
      </c>
      <c r="G55" s="2" t="s">
        <v>93</v>
      </c>
      <c r="H55" s="2">
        <v>1</v>
      </c>
      <c r="I55" s="2" t="s">
        <v>52</v>
      </c>
      <c r="J55" s="2">
        <v>0</v>
      </c>
      <c r="K55" s="2" t="s">
        <v>23</v>
      </c>
      <c r="L55" s="2">
        <v>0.68</v>
      </c>
      <c r="M55" s="2" t="s">
        <v>82</v>
      </c>
      <c r="N55" s="2" t="s">
        <v>25</v>
      </c>
      <c r="O55" s="2">
        <v>1</v>
      </c>
      <c r="P55" s="2" t="str">
        <f>IF(global_freelancer_raw5[[#This Row],[No of projects ]]&lt;=5,"Entry level","Well Experienced")</f>
        <v>Entry level</v>
      </c>
      <c r="Q55" s="2">
        <v>2</v>
      </c>
    </row>
    <row r="56" spans="1:17" x14ac:dyDescent="0.3">
      <c r="A56" t="s">
        <v>213</v>
      </c>
      <c r="B56" t="s">
        <v>214</v>
      </c>
      <c r="C56" t="s">
        <v>97</v>
      </c>
      <c r="D56" s="2">
        <v>29</v>
      </c>
      <c r="E56" t="s">
        <v>79</v>
      </c>
      <c r="F56" t="s">
        <v>80</v>
      </c>
      <c r="G56" s="2" t="s">
        <v>98</v>
      </c>
      <c r="H56" s="2">
        <v>11</v>
      </c>
      <c r="I56" s="2" t="s">
        <v>22</v>
      </c>
      <c r="J56" s="2">
        <v>2.2999999999999998</v>
      </c>
      <c r="K56" s="2" t="s">
        <v>74</v>
      </c>
      <c r="L56" s="2">
        <v>0.72</v>
      </c>
      <c r="M56" s="2" t="s">
        <v>82</v>
      </c>
      <c r="N56" s="2" t="s">
        <v>75</v>
      </c>
      <c r="O56" s="2">
        <v>7</v>
      </c>
      <c r="P56" s="2" t="str">
        <f>IF(global_freelancer_raw5[[#This Row],[No of projects ]]&lt;=5,"Entry level","Well Experienced")</f>
        <v>Well Experienced</v>
      </c>
      <c r="Q56" s="2">
        <v>7</v>
      </c>
    </row>
    <row r="57" spans="1:17" x14ac:dyDescent="0.3">
      <c r="A57" t="s">
        <v>215</v>
      </c>
      <c r="B57" t="s">
        <v>216</v>
      </c>
      <c r="C57" t="s">
        <v>118</v>
      </c>
      <c r="D57" s="2">
        <v>50</v>
      </c>
      <c r="E57" t="s">
        <v>85</v>
      </c>
      <c r="F57" t="s">
        <v>30</v>
      </c>
      <c r="G57" s="2" t="s">
        <v>57</v>
      </c>
      <c r="H57" s="2">
        <v>15</v>
      </c>
      <c r="I57" s="2" t="s">
        <v>2119</v>
      </c>
      <c r="J57" s="2">
        <v>2</v>
      </c>
      <c r="K57" s="2" t="s">
        <v>87</v>
      </c>
      <c r="L57" s="2">
        <v>0.65</v>
      </c>
      <c r="M57" s="2" t="s">
        <v>24</v>
      </c>
      <c r="N57" s="2" t="s">
        <v>25</v>
      </c>
      <c r="O57" s="2">
        <v>7</v>
      </c>
      <c r="P57" s="2" t="str">
        <f>IF(global_freelancer_raw5[[#This Row],[No of projects ]]&lt;=5,"Entry level","Well Experienced")</f>
        <v>Well Experienced</v>
      </c>
      <c r="Q57" s="2">
        <v>7</v>
      </c>
    </row>
    <row r="58" spans="1:17" x14ac:dyDescent="0.3">
      <c r="A58" t="s">
        <v>217</v>
      </c>
      <c r="B58" t="s">
        <v>218</v>
      </c>
      <c r="C58" t="s">
        <v>97</v>
      </c>
      <c r="D58" s="2">
        <v>26</v>
      </c>
      <c r="E58" t="s">
        <v>85</v>
      </c>
      <c r="F58" t="s">
        <v>30</v>
      </c>
      <c r="G58" s="2" t="s">
        <v>110</v>
      </c>
      <c r="H58" s="2">
        <v>8</v>
      </c>
      <c r="I58" s="2" t="s">
        <v>40</v>
      </c>
      <c r="J58" s="2">
        <v>1.3</v>
      </c>
      <c r="K58" s="2" t="s">
        <v>59</v>
      </c>
      <c r="L58" s="2">
        <v>0.76</v>
      </c>
      <c r="M58" s="2" t="s">
        <v>60</v>
      </c>
      <c r="N58" s="2" t="s">
        <v>25</v>
      </c>
      <c r="O58" s="2">
        <v>7</v>
      </c>
      <c r="P58" s="2" t="str">
        <f>IF(global_freelancer_raw5[[#This Row],[No of projects ]]&lt;=5,"Entry level","Well Experienced")</f>
        <v>Well Experienced</v>
      </c>
      <c r="Q58" s="2">
        <v>5</v>
      </c>
    </row>
    <row r="59" spans="1:17" x14ac:dyDescent="0.3">
      <c r="A59" t="s">
        <v>219</v>
      </c>
      <c r="B59" t="s">
        <v>220</v>
      </c>
      <c r="C59" t="s">
        <v>118</v>
      </c>
      <c r="D59" s="2">
        <v>38</v>
      </c>
      <c r="E59" t="s">
        <v>149</v>
      </c>
      <c r="F59" t="s">
        <v>30</v>
      </c>
      <c r="G59" s="2" t="s">
        <v>57</v>
      </c>
      <c r="H59" s="2">
        <v>17</v>
      </c>
      <c r="I59" s="2" t="s">
        <v>70</v>
      </c>
      <c r="J59" s="2">
        <v>4</v>
      </c>
      <c r="K59" s="2" t="s">
        <v>74</v>
      </c>
      <c r="L59" s="2">
        <v>0.9</v>
      </c>
      <c r="M59" s="2" t="s">
        <v>88</v>
      </c>
      <c r="N59" s="2" t="s">
        <v>75</v>
      </c>
      <c r="O59" s="2">
        <v>16</v>
      </c>
      <c r="P59" s="2" t="str">
        <f>IF(global_freelancer_raw5[[#This Row],[No of projects ]]&lt;=5,"Entry level","Well Experienced")</f>
        <v>Well Experienced</v>
      </c>
      <c r="Q59" s="2">
        <v>11</v>
      </c>
    </row>
    <row r="60" spans="1:17" x14ac:dyDescent="0.3">
      <c r="A60" t="s">
        <v>221</v>
      </c>
      <c r="B60" t="s">
        <v>222</v>
      </c>
      <c r="C60" t="s">
        <v>97</v>
      </c>
      <c r="D60" s="2">
        <v>23</v>
      </c>
      <c r="E60" t="s">
        <v>114</v>
      </c>
      <c r="F60" t="s">
        <v>115</v>
      </c>
      <c r="G60" s="2" t="s">
        <v>31</v>
      </c>
      <c r="H60" s="2" t="s">
        <v>2120</v>
      </c>
      <c r="I60" s="2" t="s">
        <v>103</v>
      </c>
      <c r="J60" s="2">
        <v>3.6</v>
      </c>
      <c r="K60" s="2" t="s">
        <v>33</v>
      </c>
      <c r="L60" s="2">
        <v>0.65</v>
      </c>
      <c r="M60" s="2" t="s">
        <v>82</v>
      </c>
      <c r="N60" s="2" t="s">
        <v>34</v>
      </c>
      <c r="O60" s="2">
        <v>2</v>
      </c>
      <c r="P60" s="2" t="str">
        <f>IF(global_freelancer_raw5[[#This Row],[No of projects ]]&lt;=5,"Entry level","Well Experienced")</f>
        <v>Entry level</v>
      </c>
      <c r="Q60" s="2">
        <v>4</v>
      </c>
    </row>
    <row r="61" spans="1:17" x14ac:dyDescent="0.3">
      <c r="A61" t="s">
        <v>223</v>
      </c>
      <c r="B61" t="s">
        <v>224</v>
      </c>
      <c r="C61" t="s">
        <v>97</v>
      </c>
      <c r="D61" s="2">
        <v>51</v>
      </c>
      <c r="E61" t="s">
        <v>175</v>
      </c>
      <c r="F61" t="s">
        <v>176</v>
      </c>
      <c r="G61" s="2" t="s">
        <v>110</v>
      </c>
      <c r="H61" s="2">
        <v>28</v>
      </c>
      <c r="I61" s="2" t="s">
        <v>86</v>
      </c>
      <c r="J61" s="2">
        <v>3.9</v>
      </c>
      <c r="K61" s="2" t="s">
        <v>23</v>
      </c>
      <c r="L61" s="2">
        <v>0.63</v>
      </c>
      <c r="M61" s="2" t="s">
        <v>88</v>
      </c>
      <c r="N61" s="2" t="s">
        <v>42</v>
      </c>
      <c r="O61" s="2">
        <v>13</v>
      </c>
      <c r="P61" s="2" t="str">
        <f>IF(global_freelancer_raw5[[#This Row],[No of projects ]]&lt;=5,"Entry level","Well Experienced")</f>
        <v>Well Experienced</v>
      </c>
      <c r="Q61" s="2">
        <v>6</v>
      </c>
    </row>
    <row r="62" spans="1:17" x14ac:dyDescent="0.3">
      <c r="A62" t="s">
        <v>225</v>
      </c>
      <c r="B62" t="s">
        <v>226</v>
      </c>
      <c r="C62" t="s">
        <v>97</v>
      </c>
      <c r="D62" s="2">
        <v>51</v>
      </c>
      <c r="E62" t="s">
        <v>64</v>
      </c>
      <c r="F62" t="s">
        <v>65</v>
      </c>
      <c r="G62" s="2" t="s">
        <v>57</v>
      </c>
      <c r="H62" s="2">
        <v>33</v>
      </c>
      <c r="I62" s="2" t="s">
        <v>192</v>
      </c>
      <c r="J62" s="2">
        <v>0</v>
      </c>
      <c r="K62" s="2" t="s">
        <v>74</v>
      </c>
      <c r="L62" s="2" t="s">
        <v>2120</v>
      </c>
      <c r="M62" s="2" t="s">
        <v>88</v>
      </c>
      <c r="N62" s="2" t="s">
        <v>34</v>
      </c>
      <c r="O62" s="2">
        <v>14</v>
      </c>
      <c r="P62" s="2" t="str">
        <f>IF(global_freelancer_raw5[[#This Row],[No of projects ]]&lt;=5,"Entry level","Well Experienced")</f>
        <v>Well Experienced</v>
      </c>
      <c r="Q62" s="2">
        <v>8</v>
      </c>
    </row>
    <row r="63" spans="1:17" x14ac:dyDescent="0.3">
      <c r="A63" t="s">
        <v>227</v>
      </c>
      <c r="B63" t="s">
        <v>228</v>
      </c>
      <c r="C63" t="s">
        <v>118</v>
      </c>
      <c r="D63" s="2">
        <v>47</v>
      </c>
      <c r="E63" t="s">
        <v>38</v>
      </c>
      <c r="F63" t="s">
        <v>38</v>
      </c>
      <c r="G63" s="2" t="s">
        <v>57</v>
      </c>
      <c r="H63" s="2">
        <v>18</v>
      </c>
      <c r="I63" s="2" t="s">
        <v>103</v>
      </c>
      <c r="J63" s="2">
        <v>0</v>
      </c>
      <c r="K63" s="2" t="s">
        <v>23</v>
      </c>
      <c r="L63" s="2" t="s">
        <v>2120</v>
      </c>
      <c r="M63" s="2" t="s">
        <v>82</v>
      </c>
      <c r="N63" s="2" t="s">
        <v>42</v>
      </c>
      <c r="O63" s="2">
        <v>11</v>
      </c>
      <c r="P63" s="2" t="str">
        <f>IF(global_freelancer_raw5[[#This Row],[No of projects ]]&lt;=5,"Entry level","Well Experienced")</f>
        <v>Well Experienced</v>
      </c>
      <c r="Q63" s="2">
        <v>8</v>
      </c>
    </row>
    <row r="64" spans="1:17" x14ac:dyDescent="0.3">
      <c r="A64" t="s">
        <v>229</v>
      </c>
      <c r="B64" t="s">
        <v>230</v>
      </c>
      <c r="C64" t="s">
        <v>97</v>
      </c>
      <c r="D64" s="2">
        <v>34</v>
      </c>
      <c r="E64" t="s">
        <v>145</v>
      </c>
      <c r="F64" t="s">
        <v>146</v>
      </c>
      <c r="G64" s="2" t="s">
        <v>93</v>
      </c>
      <c r="H64" s="2">
        <v>16</v>
      </c>
      <c r="I64" s="2" t="s">
        <v>142</v>
      </c>
      <c r="J64" s="2">
        <v>2.2999999999999998</v>
      </c>
      <c r="K64" s="2" t="s">
        <v>87</v>
      </c>
      <c r="L64" s="2">
        <v>0.93</v>
      </c>
      <c r="M64" s="2" t="s">
        <v>88</v>
      </c>
      <c r="N64" s="2" t="s">
        <v>25</v>
      </c>
      <c r="O64" s="2">
        <v>15</v>
      </c>
      <c r="P64" s="2" t="str">
        <f>IF(global_freelancer_raw5[[#This Row],[No of projects ]]&lt;=5,"Entry level","Well Experienced")</f>
        <v>Well Experienced</v>
      </c>
      <c r="Q64" s="2">
        <v>5</v>
      </c>
    </row>
    <row r="65" spans="1:17" x14ac:dyDescent="0.3">
      <c r="A65" t="s">
        <v>231</v>
      </c>
      <c r="B65" t="s">
        <v>232</v>
      </c>
      <c r="C65" t="s">
        <v>97</v>
      </c>
      <c r="D65" s="2">
        <v>58</v>
      </c>
      <c r="E65" t="s">
        <v>64</v>
      </c>
      <c r="F65" t="s">
        <v>65</v>
      </c>
      <c r="G65" s="2" t="s">
        <v>66</v>
      </c>
      <c r="H65" s="2">
        <v>35</v>
      </c>
      <c r="I65" s="2" t="s">
        <v>119</v>
      </c>
      <c r="J65" s="2">
        <v>4.7</v>
      </c>
      <c r="K65" s="2" t="s">
        <v>181</v>
      </c>
      <c r="L65" s="2">
        <v>0.7</v>
      </c>
      <c r="M65" s="2" t="s">
        <v>82</v>
      </c>
      <c r="N65" s="2" t="s">
        <v>42</v>
      </c>
      <c r="O65" s="2">
        <v>17</v>
      </c>
      <c r="P65" s="2" t="str">
        <f>IF(global_freelancer_raw5[[#This Row],[No of projects ]]&lt;=5,"Entry level","Well Experienced")</f>
        <v>Well Experienced</v>
      </c>
      <c r="Q65" s="2">
        <v>13</v>
      </c>
    </row>
    <row r="66" spans="1:17" x14ac:dyDescent="0.3">
      <c r="A66" t="s">
        <v>233</v>
      </c>
      <c r="B66" t="s">
        <v>234</v>
      </c>
      <c r="C66" t="s">
        <v>97</v>
      </c>
      <c r="D66" s="2">
        <v>50</v>
      </c>
      <c r="E66" t="s">
        <v>145</v>
      </c>
      <c r="F66" t="s">
        <v>146</v>
      </c>
      <c r="G66" s="2" t="s">
        <v>57</v>
      </c>
      <c r="H66" s="2">
        <v>14</v>
      </c>
      <c r="I66" s="2" t="s">
        <v>2119</v>
      </c>
      <c r="J66" s="2">
        <v>3.5</v>
      </c>
      <c r="K66" s="2" t="s">
        <v>94</v>
      </c>
      <c r="L66" s="2">
        <v>0.83</v>
      </c>
      <c r="M66" s="2" t="s">
        <v>88</v>
      </c>
      <c r="N66" s="2" t="s">
        <v>25</v>
      </c>
      <c r="O66" s="2">
        <v>13</v>
      </c>
      <c r="P66" s="2" t="str">
        <f>IF(global_freelancer_raw5[[#This Row],[No of projects ]]&lt;=5,"Entry level","Well Experienced")</f>
        <v>Well Experienced</v>
      </c>
      <c r="Q66" s="2">
        <v>8</v>
      </c>
    </row>
    <row r="67" spans="1:17" x14ac:dyDescent="0.3">
      <c r="A67" t="s">
        <v>235</v>
      </c>
      <c r="B67" t="s">
        <v>236</v>
      </c>
      <c r="C67" t="s">
        <v>97</v>
      </c>
      <c r="D67" s="2">
        <v>34</v>
      </c>
      <c r="E67" t="s">
        <v>212</v>
      </c>
      <c r="F67" t="s">
        <v>92</v>
      </c>
      <c r="G67" s="2" t="s">
        <v>46</v>
      </c>
      <c r="H67" s="2">
        <v>12</v>
      </c>
      <c r="I67" s="2" t="s">
        <v>86</v>
      </c>
      <c r="J67" s="2">
        <v>2.4</v>
      </c>
      <c r="K67" s="2" t="s">
        <v>33</v>
      </c>
      <c r="L67" s="2">
        <v>64</v>
      </c>
      <c r="M67" s="2" t="s">
        <v>82</v>
      </c>
      <c r="N67" s="2" t="s">
        <v>34</v>
      </c>
      <c r="O67" s="2">
        <v>14</v>
      </c>
      <c r="P67" s="2" t="str">
        <f>IF(global_freelancer_raw5[[#This Row],[No of projects ]]&lt;=5,"Entry level","Well Experienced")</f>
        <v>Well Experienced</v>
      </c>
      <c r="Q67" s="2">
        <v>12</v>
      </c>
    </row>
    <row r="68" spans="1:17" x14ac:dyDescent="0.3">
      <c r="A68" t="s">
        <v>237</v>
      </c>
      <c r="B68" t="s">
        <v>238</v>
      </c>
      <c r="C68" t="s">
        <v>97</v>
      </c>
      <c r="D68" s="2">
        <v>45</v>
      </c>
      <c r="E68" t="s">
        <v>128</v>
      </c>
      <c r="F68" t="s">
        <v>129</v>
      </c>
      <c r="G68" s="2" t="s">
        <v>57</v>
      </c>
      <c r="H68" s="2">
        <v>11</v>
      </c>
      <c r="I68" s="2" t="s">
        <v>67</v>
      </c>
      <c r="J68" s="2">
        <v>4</v>
      </c>
      <c r="K68" s="2" t="s">
        <v>41</v>
      </c>
      <c r="L68" s="2">
        <v>1</v>
      </c>
      <c r="M68" s="2" t="s">
        <v>60</v>
      </c>
      <c r="N68" s="2" t="s">
        <v>25</v>
      </c>
      <c r="O68" s="2">
        <v>9</v>
      </c>
      <c r="P68" s="2" t="str">
        <f>IF(global_freelancer_raw5[[#This Row],[No of projects ]]&lt;=5,"Entry level","Well Experienced")</f>
        <v>Well Experienced</v>
      </c>
      <c r="Q68" s="2">
        <v>2</v>
      </c>
    </row>
    <row r="69" spans="1:17" x14ac:dyDescent="0.3">
      <c r="A69" t="s">
        <v>239</v>
      </c>
      <c r="B69" t="s">
        <v>240</v>
      </c>
      <c r="C69" t="s">
        <v>97</v>
      </c>
      <c r="D69" s="2">
        <v>55</v>
      </c>
      <c r="E69" t="s">
        <v>128</v>
      </c>
      <c r="F69" t="s">
        <v>129</v>
      </c>
      <c r="G69" s="2" t="s">
        <v>46</v>
      </c>
      <c r="H69" s="2">
        <v>0</v>
      </c>
      <c r="I69" s="2" t="s">
        <v>47</v>
      </c>
      <c r="J69" s="2">
        <v>0</v>
      </c>
      <c r="K69" s="2" t="s">
        <v>74</v>
      </c>
      <c r="L69" s="2" t="s">
        <v>2120</v>
      </c>
      <c r="M69" s="2" t="s">
        <v>24</v>
      </c>
      <c r="N69" s="2" t="s">
        <v>34</v>
      </c>
      <c r="O69" s="2">
        <v>5</v>
      </c>
      <c r="P69" s="2" t="str">
        <f>IF(global_freelancer_raw5[[#This Row],[No of projects ]]&lt;=5,"Entry level","Well Experienced")</f>
        <v>Entry level</v>
      </c>
      <c r="Q69" s="2">
        <v>5</v>
      </c>
    </row>
    <row r="70" spans="1:17" x14ac:dyDescent="0.3">
      <c r="A70" t="s">
        <v>241</v>
      </c>
      <c r="B70" t="s">
        <v>242</v>
      </c>
      <c r="C70" t="s">
        <v>118</v>
      </c>
      <c r="D70" s="2" t="s">
        <v>2119</v>
      </c>
      <c r="E70" t="s">
        <v>91</v>
      </c>
      <c r="F70" t="s">
        <v>92</v>
      </c>
      <c r="G70" s="2" t="s">
        <v>93</v>
      </c>
      <c r="H70" s="2">
        <v>6</v>
      </c>
      <c r="I70" s="2" t="s">
        <v>22</v>
      </c>
      <c r="J70" s="2">
        <v>1.5</v>
      </c>
      <c r="K70" s="2" t="s">
        <v>59</v>
      </c>
      <c r="L70" s="2" t="s">
        <v>2120</v>
      </c>
      <c r="M70" s="2" t="s">
        <v>82</v>
      </c>
      <c r="N70" s="2" t="s">
        <v>75</v>
      </c>
      <c r="O70" s="2">
        <v>8</v>
      </c>
      <c r="P70" s="2" t="str">
        <f>IF(global_freelancer_raw5[[#This Row],[No of projects ]]&lt;=5,"Entry level","Well Experienced")</f>
        <v>Well Experienced</v>
      </c>
      <c r="Q70" s="2">
        <v>2</v>
      </c>
    </row>
    <row r="71" spans="1:17" x14ac:dyDescent="0.3">
      <c r="A71" t="s">
        <v>243</v>
      </c>
      <c r="B71" t="s">
        <v>244</v>
      </c>
      <c r="C71" t="s">
        <v>97</v>
      </c>
      <c r="D71" s="2">
        <v>60</v>
      </c>
      <c r="E71" t="s">
        <v>197</v>
      </c>
      <c r="F71" t="s">
        <v>198</v>
      </c>
      <c r="G71" s="2" t="s">
        <v>93</v>
      </c>
      <c r="H71" s="2">
        <v>38</v>
      </c>
      <c r="I71" s="2" t="s">
        <v>142</v>
      </c>
      <c r="J71" s="2">
        <v>2</v>
      </c>
      <c r="K71" s="2" t="s">
        <v>181</v>
      </c>
      <c r="L71" s="2">
        <v>0.71</v>
      </c>
      <c r="M71" s="2" t="s">
        <v>82</v>
      </c>
      <c r="N71" s="2" t="s">
        <v>75</v>
      </c>
      <c r="O71" s="2">
        <v>19</v>
      </c>
      <c r="P71" s="2" t="str">
        <f>IF(global_freelancer_raw5[[#This Row],[No of projects ]]&lt;=5,"Entry level","Well Experienced")</f>
        <v>Well Experienced</v>
      </c>
      <c r="Q71" s="2">
        <v>7</v>
      </c>
    </row>
    <row r="72" spans="1:17" x14ac:dyDescent="0.3">
      <c r="A72" t="s">
        <v>245</v>
      </c>
      <c r="B72" t="s">
        <v>246</v>
      </c>
      <c r="C72" t="s">
        <v>97</v>
      </c>
      <c r="D72" s="2">
        <v>33</v>
      </c>
      <c r="E72" t="s">
        <v>175</v>
      </c>
      <c r="F72" t="s">
        <v>176</v>
      </c>
      <c r="G72" s="2" t="s">
        <v>31</v>
      </c>
      <c r="H72" s="2">
        <v>11</v>
      </c>
      <c r="I72" s="2" t="s">
        <v>2119</v>
      </c>
      <c r="J72" s="2" t="s">
        <v>2120</v>
      </c>
      <c r="K72" s="2" t="s">
        <v>87</v>
      </c>
      <c r="L72" s="2">
        <v>0.84</v>
      </c>
      <c r="M72" s="2" t="s">
        <v>24</v>
      </c>
      <c r="N72" s="2" t="s">
        <v>75</v>
      </c>
      <c r="O72" s="2">
        <v>6</v>
      </c>
      <c r="P72" s="2" t="str">
        <f>IF(global_freelancer_raw5[[#This Row],[No of projects ]]&lt;=5,"Entry level","Well Experienced")</f>
        <v>Well Experienced</v>
      </c>
      <c r="Q72" s="2">
        <v>3</v>
      </c>
    </row>
    <row r="73" spans="1:17" x14ac:dyDescent="0.3">
      <c r="A73" t="s">
        <v>247</v>
      </c>
      <c r="B73" t="s">
        <v>248</v>
      </c>
      <c r="C73" t="s">
        <v>118</v>
      </c>
      <c r="D73" s="2">
        <v>60</v>
      </c>
      <c r="E73" t="s">
        <v>19</v>
      </c>
      <c r="F73" t="s">
        <v>20</v>
      </c>
      <c r="G73" s="2" t="s">
        <v>110</v>
      </c>
      <c r="H73" s="2">
        <v>13</v>
      </c>
      <c r="I73" s="2" t="s">
        <v>119</v>
      </c>
      <c r="J73" s="2">
        <v>1</v>
      </c>
      <c r="K73" s="2" t="s">
        <v>59</v>
      </c>
      <c r="L73" s="2" t="s">
        <v>2120</v>
      </c>
      <c r="M73" s="2" t="s">
        <v>82</v>
      </c>
      <c r="N73" s="2" t="s">
        <v>25</v>
      </c>
      <c r="O73" s="2">
        <v>15</v>
      </c>
      <c r="P73" s="2" t="str">
        <f>IF(global_freelancer_raw5[[#This Row],[No of projects ]]&lt;=5,"Entry level","Well Experienced")</f>
        <v>Well Experienced</v>
      </c>
      <c r="Q73" s="2">
        <v>1</v>
      </c>
    </row>
    <row r="74" spans="1:17" x14ac:dyDescent="0.3">
      <c r="A74" t="s">
        <v>249</v>
      </c>
      <c r="B74" t="s">
        <v>250</v>
      </c>
      <c r="C74" t="s">
        <v>118</v>
      </c>
      <c r="D74" s="2">
        <v>40</v>
      </c>
      <c r="E74" t="s">
        <v>73</v>
      </c>
      <c r="F74" t="s">
        <v>30</v>
      </c>
      <c r="G74" s="2" t="s">
        <v>46</v>
      </c>
      <c r="H74" s="2">
        <v>9</v>
      </c>
      <c r="I74" s="2" t="s">
        <v>251</v>
      </c>
      <c r="J74" s="2">
        <v>4.5</v>
      </c>
      <c r="K74" s="2" t="s">
        <v>87</v>
      </c>
      <c r="L74" s="2">
        <v>0.69</v>
      </c>
      <c r="M74" s="2" t="s">
        <v>82</v>
      </c>
      <c r="N74" s="2" t="s">
        <v>75</v>
      </c>
      <c r="O74" s="2">
        <v>11</v>
      </c>
      <c r="P74" s="2" t="str">
        <f>IF(global_freelancer_raw5[[#This Row],[No of projects ]]&lt;=5,"Entry level","Well Experienced")</f>
        <v>Well Experienced</v>
      </c>
      <c r="Q74" s="2">
        <v>10</v>
      </c>
    </row>
    <row r="75" spans="1:17" x14ac:dyDescent="0.3">
      <c r="A75" t="s">
        <v>252</v>
      </c>
      <c r="B75" t="s">
        <v>253</v>
      </c>
      <c r="C75" t="s">
        <v>118</v>
      </c>
      <c r="D75" s="2">
        <v>59</v>
      </c>
      <c r="E75" t="s">
        <v>29</v>
      </c>
      <c r="F75" t="s">
        <v>30</v>
      </c>
      <c r="G75" s="2" t="s">
        <v>21</v>
      </c>
      <c r="H75" s="2">
        <v>4</v>
      </c>
      <c r="I75" s="2" t="s">
        <v>2119</v>
      </c>
      <c r="J75" s="2">
        <v>1.9</v>
      </c>
      <c r="K75" s="2" t="s">
        <v>59</v>
      </c>
      <c r="L75" s="2">
        <v>88</v>
      </c>
      <c r="M75" s="2" t="s">
        <v>88</v>
      </c>
      <c r="N75" s="2" t="s">
        <v>42</v>
      </c>
      <c r="O75" s="2">
        <v>5</v>
      </c>
      <c r="P75" s="2" t="str">
        <f>IF(global_freelancer_raw5[[#This Row],[No of projects ]]&lt;=5,"Entry level","Well Experienced")</f>
        <v>Entry level</v>
      </c>
      <c r="Q75" s="2">
        <v>1</v>
      </c>
    </row>
    <row r="76" spans="1:17" x14ac:dyDescent="0.3">
      <c r="A76" t="s">
        <v>254</v>
      </c>
      <c r="B76" t="s">
        <v>255</v>
      </c>
      <c r="C76" t="s">
        <v>118</v>
      </c>
      <c r="D76" s="2">
        <v>36</v>
      </c>
      <c r="E76" s="2" t="s">
        <v>2120</v>
      </c>
      <c r="F76" t="s">
        <v>20</v>
      </c>
      <c r="G76" s="2" t="s">
        <v>135</v>
      </c>
      <c r="H76" s="2">
        <v>14</v>
      </c>
      <c r="I76" s="2" t="s">
        <v>251</v>
      </c>
      <c r="J76" s="2">
        <v>3.7</v>
      </c>
      <c r="K76" s="2" t="s">
        <v>23</v>
      </c>
      <c r="L76" s="2" t="s">
        <v>2120</v>
      </c>
      <c r="M76" s="2" t="s">
        <v>24</v>
      </c>
      <c r="N76" s="2" t="s">
        <v>34</v>
      </c>
      <c r="O76" s="2">
        <v>9</v>
      </c>
      <c r="P76" s="2" t="str">
        <f>IF(global_freelancer_raw5[[#This Row],[No of projects ]]&lt;=5,"Entry level","Well Experienced")</f>
        <v>Well Experienced</v>
      </c>
      <c r="Q76" s="2">
        <v>5</v>
      </c>
    </row>
    <row r="77" spans="1:17" x14ac:dyDescent="0.3">
      <c r="A77" t="s">
        <v>256</v>
      </c>
      <c r="B77" t="s">
        <v>257</v>
      </c>
      <c r="C77" t="s">
        <v>118</v>
      </c>
      <c r="D77" s="2">
        <v>32</v>
      </c>
      <c r="E77" t="s">
        <v>114</v>
      </c>
      <c r="F77" t="s">
        <v>115</v>
      </c>
      <c r="G77" s="2" t="s">
        <v>66</v>
      </c>
      <c r="H77" s="2" t="s">
        <v>2120</v>
      </c>
      <c r="I77" s="2" t="s">
        <v>52</v>
      </c>
      <c r="J77" s="2">
        <v>1.9</v>
      </c>
      <c r="K77" s="2" t="s">
        <v>74</v>
      </c>
      <c r="L77" s="2">
        <v>0.96</v>
      </c>
      <c r="M77" s="2" t="s">
        <v>60</v>
      </c>
      <c r="N77" s="2" t="s">
        <v>34</v>
      </c>
      <c r="O77" s="2">
        <v>2</v>
      </c>
      <c r="P77" s="2" t="str">
        <f>IF(global_freelancer_raw5[[#This Row],[No of projects ]]&lt;=5,"Entry level","Well Experienced")</f>
        <v>Entry level</v>
      </c>
      <c r="Q77" s="2">
        <v>2</v>
      </c>
    </row>
    <row r="78" spans="1:17" x14ac:dyDescent="0.3">
      <c r="A78" t="s">
        <v>258</v>
      </c>
      <c r="B78" t="s">
        <v>259</v>
      </c>
      <c r="C78" t="s">
        <v>118</v>
      </c>
      <c r="D78" s="2">
        <v>59</v>
      </c>
      <c r="E78" t="s">
        <v>29</v>
      </c>
      <c r="F78" t="s">
        <v>30</v>
      </c>
      <c r="G78" s="2" t="s">
        <v>57</v>
      </c>
      <c r="H78" s="2">
        <v>9</v>
      </c>
      <c r="I78" s="2" t="s">
        <v>67</v>
      </c>
      <c r="J78" s="2">
        <v>4</v>
      </c>
      <c r="K78" s="2" t="s">
        <v>33</v>
      </c>
      <c r="L78" s="2">
        <v>96</v>
      </c>
      <c r="M78" s="2" t="s">
        <v>82</v>
      </c>
      <c r="N78" s="2" t="s">
        <v>42</v>
      </c>
      <c r="O78" s="2">
        <v>14</v>
      </c>
      <c r="P78" s="2" t="str">
        <f>IF(global_freelancer_raw5[[#This Row],[No of projects ]]&lt;=5,"Entry level","Well Experienced")</f>
        <v>Well Experienced</v>
      </c>
      <c r="Q78" s="2">
        <v>5</v>
      </c>
    </row>
    <row r="79" spans="1:17" x14ac:dyDescent="0.3">
      <c r="A79" t="s">
        <v>260</v>
      </c>
      <c r="B79" t="s">
        <v>261</v>
      </c>
      <c r="C79" t="s">
        <v>97</v>
      </c>
      <c r="D79" s="2">
        <v>54</v>
      </c>
      <c r="E79" t="s">
        <v>212</v>
      </c>
      <c r="F79" t="s">
        <v>92</v>
      </c>
      <c r="G79" s="2" t="s">
        <v>110</v>
      </c>
      <c r="H79" s="2">
        <v>32</v>
      </c>
      <c r="I79" s="2" t="s">
        <v>70</v>
      </c>
      <c r="J79" s="2">
        <v>1.8</v>
      </c>
      <c r="K79" s="2" t="s">
        <v>41</v>
      </c>
      <c r="L79" s="2" t="s">
        <v>2120</v>
      </c>
      <c r="M79" s="2" t="s">
        <v>24</v>
      </c>
      <c r="N79" s="2" t="s">
        <v>25</v>
      </c>
      <c r="O79" s="2">
        <v>10</v>
      </c>
      <c r="P79" s="2" t="str">
        <f>IF(global_freelancer_raw5[[#This Row],[No of projects ]]&lt;=5,"Entry level","Well Experienced")</f>
        <v>Well Experienced</v>
      </c>
      <c r="Q79" s="2">
        <v>7</v>
      </c>
    </row>
    <row r="80" spans="1:17" x14ac:dyDescent="0.3">
      <c r="A80" t="s">
        <v>262</v>
      </c>
      <c r="B80" t="s">
        <v>263</v>
      </c>
      <c r="C80" t="s">
        <v>97</v>
      </c>
      <c r="D80" s="2">
        <v>37</v>
      </c>
      <c r="E80" t="s">
        <v>149</v>
      </c>
      <c r="F80" t="s">
        <v>30</v>
      </c>
      <c r="G80" s="2" t="s">
        <v>39</v>
      </c>
      <c r="H80" s="2">
        <v>9</v>
      </c>
      <c r="I80" s="2" t="s">
        <v>2119</v>
      </c>
      <c r="J80" s="2">
        <v>0</v>
      </c>
      <c r="K80" s="2" t="s">
        <v>33</v>
      </c>
      <c r="L80" s="2">
        <v>0.89</v>
      </c>
      <c r="M80" s="2" t="s">
        <v>88</v>
      </c>
      <c r="N80" s="2" t="s">
        <v>25</v>
      </c>
      <c r="O80" s="2">
        <v>14</v>
      </c>
      <c r="P80" s="2" t="str">
        <f>IF(global_freelancer_raw5[[#This Row],[No of projects ]]&lt;=5,"Entry level","Well Experienced")</f>
        <v>Well Experienced</v>
      </c>
      <c r="Q80" s="2">
        <v>6</v>
      </c>
    </row>
    <row r="81" spans="1:17" x14ac:dyDescent="0.3">
      <c r="A81" t="s">
        <v>264</v>
      </c>
      <c r="B81" t="s">
        <v>265</v>
      </c>
      <c r="C81" t="s">
        <v>118</v>
      </c>
      <c r="D81" s="2">
        <v>54</v>
      </c>
      <c r="E81" t="s">
        <v>114</v>
      </c>
      <c r="F81" t="s">
        <v>115</v>
      </c>
      <c r="G81" s="2" t="s">
        <v>135</v>
      </c>
      <c r="H81" s="2">
        <v>21</v>
      </c>
      <c r="I81" s="2" t="s">
        <v>251</v>
      </c>
      <c r="J81" s="2">
        <v>4.5999999999999996</v>
      </c>
      <c r="K81" s="2" t="s">
        <v>59</v>
      </c>
      <c r="L81" s="2" t="s">
        <v>2120</v>
      </c>
      <c r="M81" s="2" t="s">
        <v>60</v>
      </c>
      <c r="N81" s="2" t="s">
        <v>34</v>
      </c>
      <c r="O81" s="2">
        <v>20</v>
      </c>
      <c r="P81" s="2" t="str">
        <f>IF(global_freelancer_raw5[[#This Row],[No of projects ]]&lt;=5,"Entry level","Well Experienced")</f>
        <v>Well Experienced</v>
      </c>
      <c r="Q81" s="2">
        <v>3</v>
      </c>
    </row>
    <row r="82" spans="1:17" x14ac:dyDescent="0.3">
      <c r="A82" t="s">
        <v>266</v>
      </c>
      <c r="B82" t="s">
        <v>267</v>
      </c>
      <c r="C82" t="s">
        <v>97</v>
      </c>
      <c r="D82" s="2">
        <v>33</v>
      </c>
      <c r="E82" t="s">
        <v>91</v>
      </c>
      <c r="F82" t="s">
        <v>92</v>
      </c>
      <c r="G82" s="2" t="s">
        <v>93</v>
      </c>
      <c r="H82" s="2">
        <v>12</v>
      </c>
      <c r="I82" s="2" t="s">
        <v>22</v>
      </c>
      <c r="J82" s="2">
        <v>3.6</v>
      </c>
      <c r="K82" s="2" t="s">
        <v>23</v>
      </c>
      <c r="L82" s="2">
        <v>0.63</v>
      </c>
      <c r="M82" s="2" t="s">
        <v>24</v>
      </c>
      <c r="N82" s="2" t="s">
        <v>75</v>
      </c>
      <c r="O82" s="2">
        <v>10</v>
      </c>
      <c r="P82" s="2" t="str">
        <f>IF(global_freelancer_raw5[[#This Row],[No of projects ]]&lt;=5,"Entry level","Well Experienced")</f>
        <v>Well Experienced</v>
      </c>
      <c r="Q82" s="2">
        <v>2</v>
      </c>
    </row>
    <row r="83" spans="1:17" x14ac:dyDescent="0.3">
      <c r="A83" t="s">
        <v>268</v>
      </c>
      <c r="B83" t="s">
        <v>269</v>
      </c>
      <c r="C83" t="s">
        <v>97</v>
      </c>
      <c r="D83" s="2">
        <v>25</v>
      </c>
      <c r="E83" t="s">
        <v>160</v>
      </c>
      <c r="F83" t="s">
        <v>161</v>
      </c>
      <c r="G83" s="2" t="s">
        <v>46</v>
      </c>
      <c r="H83" s="2">
        <v>7</v>
      </c>
      <c r="I83" s="2" t="s">
        <v>70</v>
      </c>
      <c r="J83" s="2">
        <v>4.4000000000000004</v>
      </c>
      <c r="K83" s="2" t="s">
        <v>2120</v>
      </c>
      <c r="L83" s="2">
        <v>81</v>
      </c>
      <c r="M83" s="2" t="s">
        <v>60</v>
      </c>
      <c r="N83" s="2" t="s">
        <v>25</v>
      </c>
      <c r="O83" s="2">
        <v>11</v>
      </c>
      <c r="P83" s="2" t="str">
        <f>IF(global_freelancer_raw5[[#This Row],[No of projects ]]&lt;=5,"Entry level","Well Experienced")</f>
        <v>Well Experienced</v>
      </c>
      <c r="Q83" s="2">
        <v>8</v>
      </c>
    </row>
    <row r="84" spans="1:17" x14ac:dyDescent="0.3">
      <c r="A84" t="s">
        <v>270</v>
      </c>
      <c r="B84" t="s">
        <v>271</v>
      </c>
      <c r="C84" t="s">
        <v>118</v>
      </c>
      <c r="D84" s="2" t="s">
        <v>2119</v>
      </c>
      <c r="E84" t="s">
        <v>197</v>
      </c>
      <c r="F84" t="s">
        <v>198</v>
      </c>
      <c r="G84" s="2" t="s">
        <v>110</v>
      </c>
      <c r="H84" s="2">
        <v>3</v>
      </c>
      <c r="I84" s="2" t="s">
        <v>86</v>
      </c>
      <c r="J84" s="2">
        <v>4.5999999999999996</v>
      </c>
      <c r="K84" s="2" t="s">
        <v>41</v>
      </c>
      <c r="L84" s="2">
        <v>0.74</v>
      </c>
      <c r="M84" s="2" t="s">
        <v>60</v>
      </c>
      <c r="N84" s="2" t="s">
        <v>25</v>
      </c>
      <c r="O84" s="2">
        <v>1</v>
      </c>
      <c r="P84" s="2" t="str">
        <f>IF(global_freelancer_raw5[[#This Row],[No of projects ]]&lt;=5,"Entry level","Well Experienced")</f>
        <v>Entry level</v>
      </c>
      <c r="Q84" s="2">
        <v>1</v>
      </c>
    </row>
    <row r="85" spans="1:17" x14ac:dyDescent="0.3">
      <c r="A85" t="s">
        <v>272</v>
      </c>
      <c r="B85" t="s">
        <v>273</v>
      </c>
      <c r="C85" t="s">
        <v>118</v>
      </c>
      <c r="D85" s="2">
        <v>35</v>
      </c>
      <c r="E85" t="s">
        <v>133</v>
      </c>
      <c r="F85" t="s">
        <v>134</v>
      </c>
      <c r="G85" s="2" t="s">
        <v>46</v>
      </c>
      <c r="H85" s="2">
        <v>5</v>
      </c>
      <c r="I85" s="2" t="s">
        <v>192</v>
      </c>
      <c r="J85" s="2">
        <v>3.2</v>
      </c>
      <c r="K85" s="2" t="s">
        <v>59</v>
      </c>
      <c r="L85" s="2">
        <v>0.72</v>
      </c>
      <c r="M85" s="2" t="s">
        <v>60</v>
      </c>
      <c r="N85" s="2" t="s">
        <v>42</v>
      </c>
      <c r="O85" s="2">
        <v>2</v>
      </c>
      <c r="P85" s="2" t="str">
        <f>IF(global_freelancer_raw5[[#This Row],[No of projects ]]&lt;=5,"Entry level","Well Experienced")</f>
        <v>Entry level</v>
      </c>
      <c r="Q85" s="2">
        <v>1</v>
      </c>
    </row>
    <row r="86" spans="1:17" x14ac:dyDescent="0.3">
      <c r="A86" t="s">
        <v>274</v>
      </c>
      <c r="B86" t="s">
        <v>275</v>
      </c>
      <c r="C86" t="s">
        <v>118</v>
      </c>
      <c r="D86" s="2">
        <v>59</v>
      </c>
      <c r="E86" t="s">
        <v>133</v>
      </c>
      <c r="F86" t="s">
        <v>134</v>
      </c>
      <c r="G86" s="2" t="s">
        <v>57</v>
      </c>
      <c r="H86" s="2">
        <v>30</v>
      </c>
      <c r="I86" s="2" t="s">
        <v>47</v>
      </c>
      <c r="J86" s="2">
        <v>0</v>
      </c>
      <c r="K86" s="2" t="s">
        <v>74</v>
      </c>
      <c r="L86" s="2" t="s">
        <v>2120</v>
      </c>
      <c r="M86" s="2" t="s">
        <v>82</v>
      </c>
      <c r="N86" s="2" t="s">
        <v>42</v>
      </c>
      <c r="O86" s="2">
        <v>13</v>
      </c>
      <c r="P86" s="2" t="str">
        <f>IF(global_freelancer_raw5[[#This Row],[No of projects ]]&lt;=5,"Entry level","Well Experienced")</f>
        <v>Well Experienced</v>
      </c>
      <c r="Q86" s="2">
        <v>13</v>
      </c>
    </row>
    <row r="87" spans="1:17" x14ac:dyDescent="0.3">
      <c r="A87" t="s">
        <v>276</v>
      </c>
      <c r="B87" t="s">
        <v>277</v>
      </c>
      <c r="C87" t="s">
        <v>97</v>
      </c>
      <c r="D87" s="2">
        <v>21</v>
      </c>
      <c r="E87" t="s">
        <v>197</v>
      </c>
      <c r="F87" t="s">
        <v>198</v>
      </c>
      <c r="G87" s="2" t="s">
        <v>110</v>
      </c>
      <c r="H87" s="2">
        <v>2</v>
      </c>
      <c r="I87" s="2" t="s">
        <v>22</v>
      </c>
      <c r="J87" s="2">
        <v>2.6</v>
      </c>
      <c r="K87" s="2" t="s">
        <v>94</v>
      </c>
      <c r="L87" s="2">
        <v>0.85</v>
      </c>
      <c r="M87" s="2" t="s">
        <v>82</v>
      </c>
      <c r="N87" s="2" t="s">
        <v>75</v>
      </c>
      <c r="O87" s="2">
        <v>5</v>
      </c>
      <c r="P87" s="2" t="str">
        <f>IF(global_freelancer_raw5[[#This Row],[No of projects ]]&lt;=5,"Entry level","Well Experienced")</f>
        <v>Entry level</v>
      </c>
      <c r="Q87" s="2">
        <v>3</v>
      </c>
    </row>
    <row r="88" spans="1:17" x14ac:dyDescent="0.3">
      <c r="A88" t="s">
        <v>278</v>
      </c>
      <c r="B88" t="s">
        <v>279</v>
      </c>
      <c r="C88" t="s">
        <v>118</v>
      </c>
      <c r="D88" s="2">
        <v>25</v>
      </c>
      <c r="E88" t="s">
        <v>73</v>
      </c>
      <c r="F88" t="s">
        <v>30</v>
      </c>
      <c r="G88" s="2" t="s">
        <v>31</v>
      </c>
      <c r="H88" s="2">
        <v>2</v>
      </c>
      <c r="I88" s="2" t="s">
        <v>192</v>
      </c>
      <c r="J88" s="2">
        <v>3.7</v>
      </c>
      <c r="K88" s="2" t="s">
        <v>41</v>
      </c>
      <c r="L88" s="2" t="s">
        <v>2120</v>
      </c>
      <c r="M88" s="2" t="s">
        <v>88</v>
      </c>
      <c r="N88" s="2" t="s">
        <v>25</v>
      </c>
      <c r="O88" s="2">
        <v>1</v>
      </c>
      <c r="P88" s="2" t="str">
        <f>IF(global_freelancer_raw5[[#This Row],[No of projects ]]&lt;=5,"Entry level","Well Experienced")</f>
        <v>Entry level</v>
      </c>
      <c r="Q88" s="2">
        <v>1</v>
      </c>
    </row>
    <row r="89" spans="1:17" x14ac:dyDescent="0.3">
      <c r="A89" t="s">
        <v>280</v>
      </c>
      <c r="B89" t="s">
        <v>281</v>
      </c>
      <c r="C89" t="s">
        <v>97</v>
      </c>
      <c r="D89" s="2">
        <v>38</v>
      </c>
      <c r="E89" t="s">
        <v>201</v>
      </c>
      <c r="F89" t="s">
        <v>92</v>
      </c>
      <c r="G89" s="2" t="s">
        <v>46</v>
      </c>
      <c r="H89" s="2">
        <v>19</v>
      </c>
      <c r="I89" s="2" t="s">
        <v>103</v>
      </c>
      <c r="J89" s="2">
        <v>2.2999999999999998</v>
      </c>
      <c r="K89" s="2" t="s">
        <v>59</v>
      </c>
      <c r="L89" s="2">
        <v>0.61</v>
      </c>
      <c r="M89" s="2" t="s">
        <v>88</v>
      </c>
      <c r="N89" s="2" t="s">
        <v>25</v>
      </c>
      <c r="O89" s="2">
        <v>20</v>
      </c>
      <c r="P89" s="2" t="str">
        <f>IF(global_freelancer_raw5[[#This Row],[No of projects ]]&lt;=5,"Entry level","Well Experienced")</f>
        <v>Well Experienced</v>
      </c>
      <c r="Q89" s="2">
        <v>9</v>
      </c>
    </row>
    <row r="90" spans="1:17" x14ac:dyDescent="0.3">
      <c r="A90" t="s">
        <v>282</v>
      </c>
      <c r="B90" t="s">
        <v>283</v>
      </c>
      <c r="C90" t="s">
        <v>118</v>
      </c>
      <c r="D90" s="2">
        <v>57</v>
      </c>
      <c r="E90" t="s">
        <v>145</v>
      </c>
      <c r="F90" t="s">
        <v>146</v>
      </c>
      <c r="G90" s="2" t="s">
        <v>57</v>
      </c>
      <c r="H90" s="2">
        <v>16</v>
      </c>
      <c r="I90" s="2" t="s">
        <v>22</v>
      </c>
      <c r="J90" s="2">
        <v>3.1</v>
      </c>
      <c r="K90" s="2" t="s">
        <v>59</v>
      </c>
      <c r="L90" s="2" t="s">
        <v>2120</v>
      </c>
      <c r="M90" s="2" t="s">
        <v>24</v>
      </c>
      <c r="N90" s="2" t="s">
        <v>42</v>
      </c>
      <c r="O90" s="2">
        <v>18</v>
      </c>
      <c r="P90" s="2" t="str">
        <f>IF(global_freelancer_raw5[[#This Row],[No of projects ]]&lt;=5,"Entry level","Well Experienced")</f>
        <v>Well Experienced</v>
      </c>
      <c r="Q90" s="2">
        <v>4</v>
      </c>
    </row>
    <row r="91" spans="1:17" x14ac:dyDescent="0.3">
      <c r="A91" t="s">
        <v>284</v>
      </c>
      <c r="B91" t="s">
        <v>285</v>
      </c>
      <c r="C91" t="s">
        <v>118</v>
      </c>
      <c r="D91" s="2">
        <v>32</v>
      </c>
      <c r="E91" t="s">
        <v>114</v>
      </c>
      <c r="F91" t="s">
        <v>115</v>
      </c>
      <c r="G91" s="2" t="s">
        <v>31</v>
      </c>
      <c r="H91" s="2">
        <v>10</v>
      </c>
      <c r="I91" s="2" t="s">
        <v>142</v>
      </c>
      <c r="J91" s="2">
        <v>2.4</v>
      </c>
      <c r="K91" s="2" t="s">
        <v>23</v>
      </c>
      <c r="L91" s="2">
        <v>0.86</v>
      </c>
      <c r="M91" s="2" t="s">
        <v>88</v>
      </c>
      <c r="N91" s="2" t="s">
        <v>25</v>
      </c>
      <c r="O91" s="2">
        <v>9</v>
      </c>
      <c r="P91" s="2" t="str">
        <f>IF(global_freelancer_raw5[[#This Row],[No of projects ]]&lt;=5,"Entry level","Well Experienced")</f>
        <v>Well Experienced</v>
      </c>
      <c r="Q91" s="2">
        <v>3</v>
      </c>
    </row>
    <row r="92" spans="1:17" x14ac:dyDescent="0.3">
      <c r="A92" t="s">
        <v>286</v>
      </c>
      <c r="B92" t="s">
        <v>287</v>
      </c>
      <c r="C92" t="s">
        <v>118</v>
      </c>
      <c r="D92" s="2">
        <v>21</v>
      </c>
      <c r="E92" t="s">
        <v>19</v>
      </c>
      <c r="F92" t="s">
        <v>20</v>
      </c>
      <c r="G92" s="2" t="s">
        <v>110</v>
      </c>
      <c r="H92" s="2">
        <v>2</v>
      </c>
      <c r="I92" s="2" t="s">
        <v>32</v>
      </c>
      <c r="J92" s="2">
        <v>1.6</v>
      </c>
      <c r="K92" s="2" t="s">
        <v>87</v>
      </c>
      <c r="L92" s="2">
        <v>0.97</v>
      </c>
      <c r="M92" s="2" t="s">
        <v>60</v>
      </c>
      <c r="N92" s="2" t="s">
        <v>34</v>
      </c>
      <c r="O92" s="2">
        <v>4</v>
      </c>
      <c r="P92" s="2" t="str">
        <f>IF(global_freelancer_raw5[[#This Row],[No of projects ]]&lt;=5,"Entry level","Well Experienced")</f>
        <v>Entry level</v>
      </c>
      <c r="Q92" s="2">
        <v>2</v>
      </c>
    </row>
    <row r="93" spans="1:17" x14ac:dyDescent="0.3">
      <c r="A93" t="s">
        <v>288</v>
      </c>
      <c r="B93" t="s">
        <v>289</v>
      </c>
      <c r="C93" t="s">
        <v>97</v>
      </c>
      <c r="D93" s="2">
        <v>57</v>
      </c>
      <c r="E93" t="s">
        <v>149</v>
      </c>
      <c r="F93" t="s">
        <v>30</v>
      </c>
      <c r="G93" s="2" t="s">
        <v>98</v>
      </c>
      <c r="H93" s="2">
        <v>18</v>
      </c>
      <c r="I93" s="2" t="s">
        <v>40</v>
      </c>
      <c r="J93" s="2">
        <v>2.4</v>
      </c>
      <c r="K93" s="2" t="s">
        <v>33</v>
      </c>
      <c r="L93" s="2">
        <v>0.63</v>
      </c>
      <c r="M93" s="2" t="s">
        <v>60</v>
      </c>
      <c r="N93" s="2" t="s">
        <v>42</v>
      </c>
      <c r="O93" s="2">
        <v>11</v>
      </c>
      <c r="P93" s="2" t="str">
        <f>IF(global_freelancer_raw5[[#This Row],[No of projects ]]&lt;=5,"Entry level","Well Experienced")</f>
        <v>Well Experienced</v>
      </c>
      <c r="Q93" s="2">
        <v>9</v>
      </c>
    </row>
    <row r="94" spans="1:17" x14ac:dyDescent="0.3">
      <c r="A94" t="s">
        <v>290</v>
      </c>
      <c r="B94" t="s">
        <v>291</v>
      </c>
      <c r="C94" t="s">
        <v>118</v>
      </c>
      <c r="D94" s="2">
        <v>53</v>
      </c>
      <c r="E94" t="s">
        <v>197</v>
      </c>
      <c r="F94" t="s">
        <v>198</v>
      </c>
      <c r="G94" s="2" t="s">
        <v>93</v>
      </c>
      <c r="H94" s="2">
        <v>21</v>
      </c>
      <c r="I94" s="2" t="s">
        <v>32</v>
      </c>
      <c r="J94" s="2" t="s">
        <v>2120</v>
      </c>
      <c r="K94" s="2" t="s">
        <v>94</v>
      </c>
      <c r="L94" s="2">
        <v>0.97</v>
      </c>
      <c r="M94" s="2" t="s">
        <v>82</v>
      </c>
      <c r="N94" s="2" t="s">
        <v>75</v>
      </c>
      <c r="O94" s="2">
        <v>20</v>
      </c>
      <c r="P94" s="2" t="str">
        <f>IF(global_freelancer_raw5[[#This Row],[No of projects ]]&lt;=5,"Entry level","Well Experienced")</f>
        <v>Well Experienced</v>
      </c>
      <c r="Q94" s="2">
        <v>10</v>
      </c>
    </row>
    <row r="95" spans="1:17" x14ac:dyDescent="0.3">
      <c r="A95" t="s">
        <v>292</v>
      </c>
      <c r="B95" t="s">
        <v>293</v>
      </c>
      <c r="C95" t="s">
        <v>118</v>
      </c>
      <c r="D95" s="2">
        <v>35</v>
      </c>
      <c r="E95" t="s">
        <v>145</v>
      </c>
      <c r="F95" t="s">
        <v>146</v>
      </c>
      <c r="G95" s="2" t="s">
        <v>21</v>
      </c>
      <c r="H95" s="2">
        <v>3</v>
      </c>
      <c r="I95" s="2" t="s">
        <v>130</v>
      </c>
      <c r="J95" s="2">
        <v>3.8</v>
      </c>
      <c r="K95" s="2" t="s">
        <v>87</v>
      </c>
      <c r="L95" s="2">
        <v>0.81</v>
      </c>
      <c r="M95" s="2" t="s">
        <v>60</v>
      </c>
      <c r="N95" s="2" t="s">
        <v>42</v>
      </c>
      <c r="O95" s="2">
        <v>3</v>
      </c>
      <c r="P95" s="2" t="str">
        <f>IF(global_freelancer_raw5[[#This Row],[No of projects ]]&lt;=5,"Entry level","Well Experienced")</f>
        <v>Entry level</v>
      </c>
      <c r="Q95" s="2">
        <v>2</v>
      </c>
    </row>
    <row r="96" spans="1:17" x14ac:dyDescent="0.3">
      <c r="A96" t="s">
        <v>294</v>
      </c>
      <c r="B96" t="s">
        <v>295</v>
      </c>
      <c r="C96" t="s">
        <v>97</v>
      </c>
      <c r="D96" s="2">
        <v>54</v>
      </c>
      <c r="E96" t="s">
        <v>197</v>
      </c>
      <c r="F96" t="s">
        <v>198</v>
      </c>
      <c r="G96" s="2" t="s">
        <v>135</v>
      </c>
      <c r="H96" s="2">
        <v>17</v>
      </c>
      <c r="I96" s="2" t="s">
        <v>162</v>
      </c>
      <c r="J96" s="2">
        <v>1.7</v>
      </c>
      <c r="K96" s="2" t="s">
        <v>23</v>
      </c>
      <c r="L96" s="2">
        <v>0.69</v>
      </c>
      <c r="M96" s="2" t="s">
        <v>24</v>
      </c>
      <c r="N96" s="2" t="s">
        <v>25</v>
      </c>
      <c r="O96" s="2">
        <v>17</v>
      </c>
      <c r="P96" s="2" t="str">
        <f>IF(global_freelancer_raw5[[#This Row],[No of projects ]]&lt;=5,"Entry level","Well Experienced")</f>
        <v>Well Experienced</v>
      </c>
      <c r="Q96" s="2">
        <v>15</v>
      </c>
    </row>
    <row r="97" spans="1:17" x14ac:dyDescent="0.3">
      <c r="A97" t="s">
        <v>296</v>
      </c>
      <c r="B97" t="s">
        <v>297</v>
      </c>
      <c r="C97" t="s">
        <v>97</v>
      </c>
      <c r="D97" s="2">
        <v>36</v>
      </c>
      <c r="E97" t="s">
        <v>19</v>
      </c>
      <c r="F97" t="s">
        <v>20</v>
      </c>
      <c r="G97" s="2" t="s">
        <v>93</v>
      </c>
      <c r="H97" s="2">
        <v>0</v>
      </c>
      <c r="I97" s="2" t="s">
        <v>162</v>
      </c>
      <c r="J97" s="2">
        <v>1.3</v>
      </c>
      <c r="K97" s="2" t="s">
        <v>94</v>
      </c>
      <c r="L97" s="2">
        <v>0.64</v>
      </c>
      <c r="M97" s="2" t="s">
        <v>60</v>
      </c>
      <c r="N97" s="2" t="s">
        <v>75</v>
      </c>
      <c r="O97" s="2">
        <v>2</v>
      </c>
      <c r="P97" s="2" t="str">
        <f>IF(global_freelancer_raw5[[#This Row],[No of projects ]]&lt;=5,"Entry level","Well Experienced")</f>
        <v>Entry level</v>
      </c>
      <c r="Q97" s="2">
        <v>2</v>
      </c>
    </row>
    <row r="98" spans="1:17" x14ac:dyDescent="0.3">
      <c r="A98" t="s">
        <v>298</v>
      </c>
      <c r="B98" t="s">
        <v>299</v>
      </c>
      <c r="C98" t="s">
        <v>97</v>
      </c>
      <c r="D98" s="2">
        <v>49</v>
      </c>
      <c r="E98" t="s">
        <v>212</v>
      </c>
      <c r="F98" t="s">
        <v>92</v>
      </c>
      <c r="G98" s="2" t="s">
        <v>98</v>
      </c>
      <c r="H98" s="2">
        <v>25</v>
      </c>
      <c r="I98" s="2" t="s">
        <v>40</v>
      </c>
      <c r="J98" s="2">
        <v>5</v>
      </c>
      <c r="K98" s="2" t="s">
        <v>41</v>
      </c>
      <c r="L98" s="2">
        <v>0.77</v>
      </c>
      <c r="M98" s="2" t="s">
        <v>60</v>
      </c>
      <c r="N98" s="2" t="s">
        <v>42</v>
      </c>
      <c r="O98" s="2">
        <v>14</v>
      </c>
      <c r="P98" s="2" t="str">
        <f>IF(global_freelancer_raw5[[#This Row],[No of projects ]]&lt;=5,"Entry level","Well Experienced")</f>
        <v>Well Experienced</v>
      </c>
      <c r="Q98" s="2">
        <v>8</v>
      </c>
    </row>
    <row r="99" spans="1:17" x14ac:dyDescent="0.3">
      <c r="A99" t="s">
        <v>300</v>
      </c>
      <c r="B99" t="s">
        <v>301</v>
      </c>
      <c r="C99" t="s">
        <v>118</v>
      </c>
      <c r="D99" s="2">
        <v>37</v>
      </c>
      <c r="E99" t="s">
        <v>73</v>
      </c>
      <c r="F99" t="s">
        <v>30</v>
      </c>
      <c r="G99" s="2" t="s">
        <v>21</v>
      </c>
      <c r="H99" s="2">
        <v>17</v>
      </c>
      <c r="I99" s="2" t="s">
        <v>162</v>
      </c>
      <c r="J99" s="2">
        <v>3.3</v>
      </c>
      <c r="K99" s="2" t="s">
        <v>23</v>
      </c>
      <c r="L99" s="2">
        <v>96</v>
      </c>
      <c r="M99" s="2" t="s">
        <v>24</v>
      </c>
      <c r="N99" s="2" t="s">
        <v>34</v>
      </c>
      <c r="O99" s="2">
        <v>20</v>
      </c>
      <c r="P99" s="2" t="str">
        <f>IF(global_freelancer_raw5[[#This Row],[No of projects ]]&lt;=5,"Entry level","Well Experienced")</f>
        <v>Well Experienced</v>
      </c>
      <c r="Q99" s="2">
        <v>11</v>
      </c>
    </row>
    <row r="100" spans="1:17" x14ac:dyDescent="0.3">
      <c r="A100" t="s">
        <v>302</v>
      </c>
      <c r="B100" t="s">
        <v>303</v>
      </c>
      <c r="C100" t="s">
        <v>118</v>
      </c>
      <c r="D100" s="2" t="s">
        <v>2119</v>
      </c>
      <c r="E100" t="s">
        <v>73</v>
      </c>
      <c r="F100" t="s">
        <v>30</v>
      </c>
      <c r="G100" s="2" t="s">
        <v>93</v>
      </c>
      <c r="H100" s="2">
        <v>5</v>
      </c>
      <c r="I100" s="2" t="s">
        <v>142</v>
      </c>
      <c r="J100" s="2">
        <v>1.1000000000000001</v>
      </c>
      <c r="K100" s="2" t="s">
        <v>181</v>
      </c>
      <c r="L100" s="2">
        <v>0.74</v>
      </c>
      <c r="M100" s="2" t="s">
        <v>88</v>
      </c>
      <c r="N100" s="2" t="s">
        <v>34</v>
      </c>
      <c r="O100" s="2">
        <v>2</v>
      </c>
      <c r="P100" s="2" t="str">
        <f>IF(global_freelancer_raw5[[#This Row],[No of projects ]]&lt;=5,"Entry level","Well Experienced")</f>
        <v>Entry level</v>
      </c>
      <c r="Q100" s="2">
        <v>1</v>
      </c>
    </row>
    <row r="101" spans="1:17" x14ac:dyDescent="0.3">
      <c r="A101" t="s">
        <v>304</v>
      </c>
      <c r="B101" t="s">
        <v>305</v>
      </c>
      <c r="C101" t="s">
        <v>118</v>
      </c>
      <c r="D101" s="2">
        <v>32</v>
      </c>
      <c r="E101" t="s">
        <v>160</v>
      </c>
      <c r="F101" t="s">
        <v>161</v>
      </c>
      <c r="G101" s="2" t="s">
        <v>93</v>
      </c>
      <c r="H101" s="2">
        <v>10</v>
      </c>
      <c r="I101" s="2" t="s">
        <v>40</v>
      </c>
      <c r="J101" s="2">
        <v>1.2</v>
      </c>
      <c r="K101" s="2" t="s">
        <v>59</v>
      </c>
      <c r="L101" s="2">
        <v>0.89</v>
      </c>
      <c r="M101" s="2" t="s">
        <v>88</v>
      </c>
      <c r="N101" s="2" t="s">
        <v>42</v>
      </c>
      <c r="O101" s="2">
        <v>8</v>
      </c>
      <c r="P101" s="2" t="str">
        <f>IF(global_freelancer_raw5[[#This Row],[No of projects ]]&lt;=5,"Entry level","Well Experienced")</f>
        <v>Well Experienced</v>
      </c>
      <c r="Q101" s="2">
        <v>12</v>
      </c>
    </row>
    <row r="102" spans="1:17" x14ac:dyDescent="0.3">
      <c r="A102" t="s">
        <v>306</v>
      </c>
      <c r="B102" t="s">
        <v>307</v>
      </c>
      <c r="C102" t="s">
        <v>118</v>
      </c>
      <c r="D102" s="2">
        <v>35</v>
      </c>
      <c r="E102" t="s">
        <v>114</v>
      </c>
      <c r="F102" t="s">
        <v>115</v>
      </c>
      <c r="G102" s="2" t="s">
        <v>31</v>
      </c>
      <c r="H102" s="2">
        <v>0</v>
      </c>
      <c r="I102" s="2" t="s">
        <v>2119</v>
      </c>
      <c r="J102" s="2">
        <v>2</v>
      </c>
      <c r="K102" s="2" t="s">
        <v>33</v>
      </c>
      <c r="L102" s="2">
        <v>0.64</v>
      </c>
      <c r="M102" s="2" t="s">
        <v>24</v>
      </c>
      <c r="N102" s="2" t="s">
        <v>34</v>
      </c>
      <c r="O102" s="2">
        <v>4</v>
      </c>
      <c r="P102" s="2" t="str">
        <f>IF(global_freelancer_raw5[[#This Row],[No of projects ]]&lt;=5,"Entry level","Well Experienced")</f>
        <v>Entry level</v>
      </c>
      <c r="Q102" s="2">
        <v>1</v>
      </c>
    </row>
    <row r="103" spans="1:17" x14ac:dyDescent="0.3">
      <c r="A103" t="s">
        <v>308</v>
      </c>
      <c r="B103" t="s">
        <v>309</v>
      </c>
      <c r="C103" t="s">
        <v>97</v>
      </c>
      <c r="D103" s="2">
        <v>51</v>
      </c>
      <c r="E103" t="s">
        <v>145</v>
      </c>
      <c r="F103" t="s">
        <v>146</v>
      </c>
      <c r="G103" s="2" t="s">
        <v>39</v>
      </c>
      <c r="H103" s="2">
        <v>2</v>
      </c>
      <c r="I103" s="2" t="s">
        <v>58</v>
      </c>
      <c r="J103" s="2">
        <v>4.5</v>
      </c>
      <c r="K103" s="2" t="s">
        <v>23</v>
      </c>
      <c r="L103" s="2">
        <v>64</v>
      </c>
      <c r="M103" s="2" t="s">
        <v>82</v>
      </c>
      <c r="N103" s="2" t="s">
        <v>34</v>
      </c>
      <c r="O103" s="2">
        <v>5</v>
      </c>
      <c r="P103" s="2" t="str">
        <f>IF(global_freelancer_raw5[[#This Row],[No of projects ]]&lt;=5,"Entry level","Well Experienced")</f>
        <v>Entry level</v>
      </c>
      <c r="Q103" s="2">
        <v>1</v>
      </c>
    </row>
    <row r="104" spans="1:17" x14ac:dyDescent="0.3">
      <c r="A104" t="s">
        <v>310</v>
      </c>
      <c r="B104" t="s">
        <v>311</v>
      </c>
      <c r="C104" t="s">
        <v>97</v>
      </c>
      <c r="D104" s="2">
        <v>50</v>
      </c>
      <c r="E104" t="s">
        <v>145</v>
      </c>
      <c r="F104" t="s">
        <v>146</v>
      </c>
      <c r="G104" s="2" t="s">
        <v>110</v>
      </c>
      <c r="H104" s="2">
        <v>30</v>
      </c>
      <c r="I104" s="2" t="s">
        <v>22</v>
      </c>
      <c r="J104" s="2">
        <v>3</v>
      </c>
      <c r="K104" s="2" t="s">
        <v>33</v>
      </c>
      <c r="L104" s="2">
        <v>0.73</v>
      </c>
      <c r="M104" s="2" t="s">
        <v>60</v>
      </c>
      <c r="N104" s="2" t="s">
        <v>34</v>
      </c>
      <c r="O104" s="2">
        <v>13</v>
      </c>
      <c r="P104" s="2" t="str">
        <f>IF(global_freelancer_raw5[[#This Row],[No of projects ]]&lt;=5,"Entry level","Well Experienced")</f>
        <v>Well Experienced</v>
      </c>
      <c r="Q104" s="2">
        <v>6</v>
      </c>
    </row>
    <row r="105" spans="1:17" x14ac:dyDescent="0.3">
      <c r="A105" t="s">
        <v>312</v>
      </c>
      <c r="B105" t="s">
        <v>313</v>
      </c>
      <c r="C105" t="s">
        <v>97</v>
      </c>
      <c r="D105" s="2">
        <v>21</v>
      </c>
      <c r="E105" t="s">
        <v>79</v>
      </c>
      <c r="F105" t="s">
        <v>80</v>
      </c>
      <c r="G105" s="2" t="s">
        <v>21</v>
      </c>
      <c r="H105" s="2">
        <v>2</v>
      </c>
      <c r="I105" s="2" t="s">
        <v>81</v>
      </c>
      <c r="J105" s="2">
        <v>4.9000000000000004</v>
      </c>
      <c r="K105" s="2" t="s">
        <v>87</v>
      </c>
      <c r="L105" s="2">
        <v>0.68</v>
      </c>
      <c r="M105" s="2" t="s">
        <v>24</v>
      </c>
      <c r="N105" s="2" t="s">
        <v>75</v>
      </c>
      <c r="O105" s="2">
        <v>2</v>
      </c>
      <c r="P105" s="2" t="str">
        <f>IF(global_freelancer_raw5[[#This Row],[No of projects ]]&lt;=5,"Entry level","Well Experienced")</f>
        <v>Entry level</v>
      </c>
      <c r="Q105" s="2">
        <v>3</v>
      </c>
    </row>
    <row r="106" spans="1:17" x14ac:dyDescent="0.3">
      <c r="A106" t="s">
        <v>314</v>
      </c>
      <c r="B106" t="s">
        <v>315</v>
      </c>
      <c r="C106" t="s">
        <v>118</v>
      </c>
      <c r="D106" s="2">
        <v>25</v>
      </c>
      <c r="E106" t="s">
        <v>73</v>
      </c>
      <c r="F106" t="s">
        <v>30</v>
      </c>
      <c r="G106" s="2" t="s">
        <v>39</v>
      </c>
      <c r="H106" s="2">
        <v>3</v>
      </c>
      <c r="I106" s="2" t="s">
        <v>58</v>
      </c>
      <c r="J106" s="2" t="s">
        <v>2120</v>
      </c>
      <c r="K106" s="2" t="s">
        <v>181</v>
      </c>
      <c r="L106" s="2">
        <v>0.88</v>
      </c>
      <c r="M106" s="2" t="s">
        <v>60</v>
      </c>
      <c r="N106" s="2" t="s">
        <v>34</v>
      </c>
      <c r="O106" s="2">
        <v>2</v>
      </c>
      <c r="P106" s="2" t="str">
        <f>IF(global_freelancer_raw5[[#This Row],[No of projects ]]&lt;=5,"Entry level","Well Experienced")</f>
        <v>Entry level</v>
      </c>
      <c r="Q106" s="2">
        <v>4</v>
      </c>
    </row>
    <row r="107" spans="1:17" x14ac:dyDescent="0.3">
      <c r="A107" t="s">
        <v>316</v>
      </c>
      <c r="B107" t="s">
        <v>317</v>
      </c>
      <c r="C107" t="s">
        <v>97</v>
      </c>
      <c r="D107" s="2">
        <v>57</v>
      </c>
      <c r="E107" t="s">
        <v>156</v>
      </c>
      <c r="F107" t="s">
        <v>157</v>
      </c>
      <c r="G107" s="2" t="s">
        <v>110</v>
      </c>
      <c r="H107" s="2">
        <v>21</v>
      </c>
      <c r="I107" s="2" t="s">
        <v>47</v>
      </c>
      <c r="J107" s="2">
        <v>2.5</v>
      </c>
      <c r="K107" s="2" t="s">
        <v>23</v>
      </c>
      <c r="L107" s="2">
        <v>0.77</v>
      </c>
      <c r="M107" s="2" t="s">
        <v>82</v>
      </c>
      <c r="N107" s="2" t="s">
        <v>34</v>
      </c>
      <c r="O107" s="2">
        <v>13</v>
      </c>
      <c r="P107" s="2" t="str">
        <f>IF(global_freelancer_raw5[[#This Row],[No of projects ]]&lt;=5,"Entry level","Well Experienced")</f>
        <v>Well Experienced</v>
      </c>
      <c r="Q107" s="2">
        <v>10</v>
      </c>
    </row>
    <row r="108" spans="1:17" x14ac:dyDescent="0.3">
      <c r="A108" t="s">
        <v>318</v>
      </c>
      <c r="B108" t="s">
        <v>319</v>
      </c>
      <c r="C108" t="s">
        <v>118</v>
      </c>
      <c r="D108" s="2">
        <v>58</v>
      </c>
      <c r="E108" t="s">
        <v>145</v>
      </c>
      <c r="F108" t="s">
        <v>146</v>
      </c>
      <c r="G108" s="2" t="s">
        <v>21</v>
      </c>
      <c r="H108" s="2">
        <v>3</v>
      </c>
      <c r="I108" s="2" t="s">
        <v>2119</v>
      </c>
      <c r="J108" s="2">
        <v>0</v>
      </c>
      <c r="K108" s="2" t="s">
        <v>33</v>
      </c>
      <c r="L108" s="2" t="s">
        <v>2120</v>
      </c>
      <c r="M108" s="2" t="s">
        <v>60</v>
      </c>
      <c r="N108" s="2" t="s">
        <v>34</v>
      </c>
      <c r="O108" s="2">
        <v>3</v>
      </c>
      <c r="P108" s="2" t="str">
        <f>IF(global_freelancer_raw5[[#This Row],[No of projects ]]&lt;=5,"Entry level","Well Experienced")</f>
        <v>Entry level</v>
      </c>
      <c r="Q108" s="2">
        <v>4</v>
      </c>
    </row>
    <row r="109" spans="1:17" x14ac:dyDescent="0.3">
      <c r="A109" t="s">
        <v>320</v>
      </c>
      <c r="B109" t="s">
        <v>321</v>
      </c>
      <c r="C109" t="s">
        <v>97</v>
      </c>
      <c r="D109" s="2">
        <v>45</v>
      </c>
      <c r="E109" t="s">
        <v>64</v>
      </c>
      <c r="F109" t="s">
        <v>65</v>
      </c>
      <c r="G109" s="2" t="s">
        <v>31</v>
      </c>
      <c r="H109" s="2">
        <v>19</v>
      </c>
      <c r="I109" s="2" t="s">
        <v>86</v>
      </c>
      <c r="J109" s="2" t="s">
        <v>2120</v>
      </c>
      <c r="K109" s="2" t="s">
        <v>33</v>
      </c>
      <c r="L109" s="2">
        <v>0.72</v>
      </c>
      <c r="M109" s="2" t="s">
        <v>24</v>
      </c>
      <c r="N109" s="2" t="s">
        <v>75</v>
      </c>
      <c r="O109" s="2">
        <v>12</v>
      </c>
      <c r="P109" s="2" t="str">
        <f>IF(global_freelancer_raw5[[#This Row],[No of projects ]]&lt;=5,"Entry level","Well Experienced")</f>
        <v>Well Experienced</v>
      </c>
      <c r="Q109" s="2">
        <v>6</v>
      </c>
    </row>
    <row r="110" spans="1:17" x14ac:dyDescent="0.3">
      <c r="A110" t="s">
        <v>322</v>
      </c>
      <c r="B110" t="s">
        <v>323</v>
      </c>
      <c r="C110" t="s">
        <v>97</v>
      </c>
      <c r="D110" s="2">
        <v>23</v>
      </c>
      <c r="E110" t="s">
        <v>73</v>
      </c>
      <c r="F110" t="s">
        <v>30</v>
      </c>
      <c r="G110" s="2" t="s">
        <v>46</v>
      </c>
      <c r="H110" s="2">
        <v>0</v>
      </c>
      <c r="I110" s="2" t="s">
        <v>162</v>
      </c>
      <c r="J110" s="2">
        <v>4.7</v>
      </c>
      <c r="K110" s="2" t="s">
        <v>94</v>
      </c>
      <c r="L110" s="2">
        <v>0.6</v>
      </c>
      <c r="M110" s="2" t="s">
        <v>60</v>
      </c>
      <c r="N110" s="2" t="s">
        <v>42</v>
      </c>
      <c r="O110" s="2">
        <v>2</v>
      </c>
      <c r="P110" s="2" t="str">
        <f>IF(global_freelancer_raw5[[#This Row],[No of projects ]]&lt;=5,"Entry level","Well Experienced")</f>
        <v>Entry level</v>
      </c>
      <c r="Q110" s="2">
        <v>1</v>
      </c>
    </row>
    <row r="111" spans="1:17" x14ac:dyDescent="0.3">
      <c r="A111" t="s">
        <v>324</v>
      </c>
      <c r="B111" t="s">
        <v>325</v>
      </c>
      <c r="C111" t="s">
        <v>97</v>
      </c>
      <c r="D111" s="2">
        <v>46</v>
      </c>
      <c r="E111" t="s">
        <v>73</v>
      </c>
      <c r="F111" t="s">
        <v>30</v>
      </c>
      <c r="G111" s="2" t="s">
        <v>57</v>
      </c>
      <c r="H111" s="2">
        <v>9</v>
      </c>
      <c r="I111" s="2" t="s">
        <v>58</v>
      </c>
      <c r="J111" s="2">
        <v>3.5</v>
      </c>
      <c r="K111" s="2" t="s">
        <v>2120</v>
      </c>
      <c r="L111" s="2">
        <v>72</v>
      </c>
      <c r="M111" s="2" t="s">
        <v>88</v>
      </c>
      <c r="N111" s="2" t="s">
        <v>25</v>
      </c>
      <c r="O111" s="2">
        <v>15</v>
      </c>
      <c r="P111" s="2" t="str">
        <f>IF(global_freelancer_raw5[[#This Row],[No of projects ]]&lt;=5,"Entry level","Well Experienced")</f>
        <v>Well Experienced</v>
      </c>
      <c r="Q111" s="2">
        <v>9</v>
      </c>
    </row>
    <row r="112" spans="1:17" x14ac:dyDescent="0.3">
      <c r="A112" t="s">
        <v>326</v>
      </c>
      <c r="B112" t="s">
        <v>327</v>
      </c>
      <c r="C112" t="s">
        <v>118</v>
      </c>
      <c r="D112" s="2">
        <v>27</v>
      </c>
      <c r="E112" t="s">
        <v>91</v>
      </c>
      <c r="F112" t="s">
        <v>92</v>
      </c>
      <c r="G112" s="2" t="s">
        <v>93</v>
      </c>
      <c r="H112" s="2">
        <v>5</v>
      </c>
      <c r="I112" s="2" t="s">
        <v>52</v>
      </c>
      <c r="J112" s="2" t="s">
        <v>2120</v>
      </c>
      <c r="K112" s="2" t="s">
        <v>41</v>
      </c>
      <c r="L112" s="2">
        <v>0.92</v>
      </c>
      <c r="M112" s="2" t="s">
        <v>82</v>
      </c>
      <c r="N112" s="2" t="s">
        <v>34</v>
      </c>
      <c r="O112" s="2">
        <v>3</v>
      </c>
      <c r="P112" s="2" t="str">
        <f>IF(global_freelancer_raw5[[#This Row],[No of projects ]]&lt;=5,"Entry level","Well Experienced")</f>
        <v>Entry level</v>
      </c>
      <c r="Q112" s="2">
        <v>3</v>
      </c>
    </row>
    <row r="113" spans="1:17" x14ac:dyDescent="0.3">
      <c r="A113" t="s">
        <v>328</v>
      </c>
      <c r="B113" t="s">
        <v>329</v>
      </c>
      <c r="C113" t="s">
        <v>97</v>
      </c>
      <c r="D113" s="2">
        <v>32</v>
      </c>
      <c r="E113" t="s">
        <v>73</v>
      </c>
      <c r="F113" t="s">
        <v>30</v>
      </c>
      <c r="G113" s="2" t="s">
        <v>135</v>
      </c>
      <c r="H113" s="2">
        <v>6</v>
      </c>
      <c r="I113" s="2" t="s">
        <v>119</v>
      </c>
      <c r="J113" s="2">
        <v>3.4</v>
      </c>
      <c r="K113" s="2" t="s">
        <v>33</v>
      </c>
      <c r="L113" s="2" t="s">
        <v>2120</v>
      </c>
      <c r="M113" s="2" t="s">
        <v>82</v>
      </c>
      <c r="N113" s="2" t="s">
        <v>42</v>
      </c>
      <c r="O113" s="2">
        <v>11</v>
      </c>
      <c r="P113" s="2" t="str">
        <f>IF(global_freelancer_raw5[[#This Row],[No of projects ]]&lt;=5,"Entry level","Well Experienced")</f>
        <v>Well Experienced</v>
      </c>
      <c r="Q113" s="2">
        <v>4</v>
      </c>
    </row>
    <row r="114" spans="1:17" x14ac:dyDescent="0.3">
      <c r="A114" t="s">
        <v>330</v>
      </c>
      <c r="B114" t="s">
        <v>331</v>
      </c>
      <c r="C114" t="s">
        <v>97</v>
      </c>
      <c r="D114" s="2">
        <v>48</v>
      </c>
      <c r="E114" t="s">
        <v>91</v>
      </c>
      <c r="F114" t="s">
        <v>92</v>
      </c>
      <c r="G114" s="2" t="s">
        <v>135</v>
      </c>
      <c r="H114" s="2">
        <v>6</v>
      </c>
      <c r="I114" s="2" t="s">
        <v>67</v>
      </c>
      <c r="J114" s="2">
        <v>2.5</v>
      </c>
      <c r="K114" s="2" t="s">
        <v>2120</v>
      </c>
      <c r="L114" s="2">
        <v>0.92</v>
      </c>
      <c r="M114" s="2" t="s">
        <v>82</v>
      </c>
      <c r="N114" s="2" t="s">
        <v>34</v>
      </c>
      <c r="O114" s="2">
        <v>13</v>
      </c>
      <c r="P114" s="2" t="str">
        <f>IF(global_freelancer_raw5[[#This Row],[No of projects ]]&lt;=5,"Entry level","Well Experienced")</f>
        <v>Well Experienced</v>
      </c>
      <c r="Q114" s="2">
        <v>1</v>
      </c>
    </row>
    <row r="115" spans="1:17" x14ac:dyDescent="0.3">
      <c r="A115" t="s">
        <v>332</v>
      </c>
      <c r="B115" t="s">
        <v>333</v>
      </c>
      <c r="C115" t="s">
        <v>118</v>
      </c>
      <c r="D115" s="2">
        <v>30</v>
      </c>
      <c r="E115" t="s">
        <v>79</v>
      </c>
      <c r="F115" t="s">
        <v>80</v>
      </c>
      <c r="G115" s="2" t="s">
        <v>31</v>
      </c>
      <c r="H115" s="2">
        <v>3</v>
      </c>
      <c r="I115" s="2" t="s">
        <v>58</v>
      </c>
      <c r="J115" s="2">
        <v>1.1000000000000001</v>
      </c>
      <c r="K115" s="2" t="s">
        <v>74</v>
      </c>
      <c r="L115" s="2" t="s">
        <v>2120</v>
      </c>
      <c r="M115" s="2" t="s">
        <v>24</v>
      </c>
      <c r="N115" s="2" t="s">
        <v>75</v>
      </c>
      <c r="O115" s="2">
        <v>2</v>
      </c>
      <c r="P115" s="2" t="str">
        <f>IF(global_freelancer_raw5[[#This Row],[No of projects ]]&lt;=5,"Entry level","Well Experienced")</f>
        <v>Entry level</v>
      </c>
      <c r="Q115" s="2">
        <v>1</v>
      </c>
    </row>
    <row r="116" spans="1:17" x14ac:dyDescent="0.3">
      <c r="A116" t="s">
        <v>334</v>
      </c>
      <c r="B116" t="s">
        <v>335</v>
      </c>
      <c r="C116" t="s">
        <v>118</v>
      </c>
      <c r="D116" s="2">
        <v>59</v>
      </c>
      <c r="E116" t="s">
        <v>79</v>
      </c>
      <c r="F116" t="s">
        <v>80</v>
      </c>
      <c r="G116" s="2" t="s">
        <v>57</v>
      </c>
      <c r="H116" s="2">
        <v>13</v>
      </c>
      <c r="I116" s="2" t="s">
        <v>336</v>
      </c>
      <c r="J116" s="2">
        <v>4.8</v>
      </c>
      <c r="K116" s="2" t="s">
        <v>2120</v>
      </c>
      <c r="L116" s="2" t="s">
        <v>2120</v>
      </c>
      <c r="M116" s="2" t="s">
        <v>82</v>
      </c>
      <c r="N116" s="2" t="s">
        <v>42</v>
      </c>
      <c r="O116" s="2">
        <v>7</v>
      </c>
      <c r="P116" s="2" t="str">
        <f>IF(global_freelancer_raw5[[#This Row],[No of projects ]]&lt;=5,"Entry level","Well Experienced")</f>
        <v>Well Experienced</v>
      </c>
      <c r="Q116" s="2">
        <v>10</v>
      </c>
    </row>
    <row r="117" spans="1:17" x14ac:dyDescent="0.3">
      <c r="A117" t="s">
        <v>337</v>
      </c>
      <c r="B117" t="s">
        <v>338</v>
      </c>
      <c r="C117" t="s">
        <v>97</v>
      </c>
      <c r="D117" s="2">
        <v>32</v>
      </c>
      <c r="E117" t="s">
        <v>201</v>
      </c>
      <c r="F117" t="s">
        <v>92</v>
      </c>
      <c r="G117" s="2" t="s">
        <v>57</v>
      </c>
      <c r="H117" s="2">
        <v>5</v>
      </c>
      <c r="I117" s="2" t="s">
        <v>58</v>
      </c>
      <c r="J117" s="2" t="s">
        <v>2120</v>
      </c>
      <c r="K117" s="2" t="s">
        <v>23</v>
      </c>
      <c r="L117" s="2">
        <v>0.86</v>
      </c>
      <c r="M117" s="2" t="s">
        <v>88</v>
      </c>
      <c r="N117" s="2" t="s">
        <v>75</v>
      </c>
      <c r="O117" s="2">
        <v>3</v>
      </c>
      <c r="P117" s="2" t="str">
        <f>IF(global_freelancer_raw5[[#This Row],[No of projects ]]&lt;=5,"Entry level","Well Experienced")</f>
        <v>Entry level</v>
      </c>
      <c r="Q117" s="2">
        <v>1</v>
      </c>
    </row>
    <row r="118" spans="1:17" x14ac:dyDescent="0.3">
      <c r="A118" t="s">
        <v>339</v>
      </c>
      <c r="B118" t="s">
        <v>340</v>
      </c>
      <c r="C118" t="s">
        <v>97</v>
      </c>
      <c r="D118" s="2">
        <v>57</v>
      </c>
      <c r="E118" t="s">
        <v>160</v>
      </c>
      <c r="F118" t="s">
        <v>161</v>
      </c>
      <c r="G118" s="2" t="s">
        <v>93</v>
      </c>
      <c r="H118" s="2">
        <v>4</v>
      </c>
      <c r="I118" s="2" t="s">
        <v>70</v>
      </c>
      <c r="J118" s="2">
        <v>3.4</v>
      </c>
      <c r="K118" s="2" t="s">
        <v>33</v>
      </c>
      <c r="L118" s="2">
        <v>0.68</v>
      </c>
      <c r="M118" s="2" t="s">
        <v>24</v>
      </c>
      <c r="N118" s="2" t="s">
        <v>34</v>
      </c>
      <c r="O118" s="2">
        <v>1</v>
      </c>
      <c r="P118" s="2" t="str">
        <f>IF(global_freelancer_raw5[[#This Row],[No of projects ]]&lt;=5,"Entry level","Well Experienced")</f>
        <v>Entry level</v>
      </c>
      <c r="Q118" s="2">
        <v>4</v>
      </c>
    </row>
    <row r="119" spans="1:17" x14ac:dyDescent="0.3">
      <c r="A119" t="s">
        <v>341</v>
      </c>
      <c r="B119" t="s">
        <v>342</v>
      </c>
      <c r="C119" t="s">
        <v>118</v>
      </c>
      <c r="D119" s="2">
        <v>27</v>
      </c>
      <c r="E119" t="s">
        <v>29</v>
      </c>
      <c r="F119" t="s">
        <v>30</v>
      </c>
      <c r="G119" s="2" t="s">
        <v>135</v>
      </c>
      <c r="H119" s="2">
        <v>7</v>
      </c>
      <c r="I119" s="2" t="s">
        <v>336</v>
      </c>
      <c r="J119" s="2">
        <v>3.2</v>
      </c>
      <c r="K119" s="2" t="s">
        <v>33</v>
      </c>
      <c r="L119" s="2">
        <v>0.62</v>
      </c>
      <c r="M119" s="2" t="s">
        <v>88</v>
      </c>
      <c r="N119" s="2" t="s">
        <v>34</v>
      </c>
      <c r="O119" s="2">
        <v>9</v>
      </c>
      <c r="P119" s="2" t="str">
        <f>IF(global_freelancer_raw5[[#This Row],[No of projects ]]&lt;=5,"Entry level","Well Experienced")</f>
        <v>Well Experienced</v>
      </c>
      <c r="Q119" s="2">
        <v>3</v>
      </c>
    </row>
    <row r="120" spans="1:17" x14ac:dyDescent="0.3">
      <c r="A120" t="s">
        <v>343</v>
      </c>
      <c r="B120" t="s">
        <v>344</v>
      </c>
      <c r="C120" t="s">
        <v>97</v>
      </c>
      <c r="D120" s="2">
        <v>33</v>
      </c>
      <c r="E120" s="2" t="s">
        <v>2120</v>
      </c>
      <c r="F120" t="s">
        <v>65</v>
      </c>
      <c r="G120" s="2" t="s">
        <v>135</v>
      </c>
      <c r="H120" s="2">
        <v>13</v>
      </c>
      <c r="I120" s="2" t="s">
        <v>162</v>
      </c>
      <c r="J120" s="2">
        <v>3.2</v>
      </c>
      <c r="K120" s="2" t="s">
        <v>59</v>
      </c>
      <c r="L120" s="2" t="s">
        <v>2120</v>
      </c>
      <c r="M120" s="2" t="s">
        <v>60</v>
      </c>
      <c r="N120" s="2" t="s">
        <v>75</v>
      </c>
      <c r="O120" s="2">
        <v>8</v>
      </c>
      <c r="P120" s="2" t="str">
        <f>IF(global_freelancer_raw5[[#This Row],[No of projects ]]&lt;=5,"Entry level","Well Experienced")</f>
        <v>Well Experienced</v>
      </c>
      <c r="Q120" s="2">
        <v>9</v>
      </c>
    </row>
    <row r="121" spans="1:17" x14ac:dyDescent="0.3">
      <c r="A121" t="s">
        <v>345</v>
      </c>
      <c r="B121" t="s">
        <v>346</v>
      </c>
      <c r="C121" t="s">
        <v>118</v>
      </c>
      <c r="D121" s="2">
        <v>29</v>
      </c>
      <c r="E121" t="s">
        <v>133</v>
      </c>
      <c r="F121" t="s">
        <v>134</v>
      </c>
      <c r="G121" s="2" t="s">
        <v>66</v>
      </c>
      <c r="H121" s="2">
        <v>4</v>
      </c>
      <c r="I121" s="2" t="s">
        <v>52</v>
      </c>
      <c r="J121" s="2">
        <v>0</v>
      </c>
      <c r="K121" s="2" t="s">
        <v>94</v>
      </c>
      <c r="L121" s="2">
        <v>0.82</v>
      </c>
      <c r="M121" s="2" t="s">
        <v>60</v>
      </c>
      <c r="N121" s="2" t="s">
        <v>25</v>
      </c>
      <c r="O121" s="2">
        <v>5</v>
      </c>
      <c r="P121" s="2" t="str">
        <f>IF(global_freelancer_raw5[[#This Row],[No of projects ]]&lt;=5,"Entry level","Well Experienced")</f>
        <v>Entry level</v>
      </c>
      <c r="Q121" s="2">
        <v>3</v>
      </c>
    </row>
    <row r="122" spans="1:17" x14ac:dyDescent="0.3">
      <c r="A122" t="s">
        <v>347</v>
      </c>
      <c r="B122" t="s">
        <v>348</v>
      </c>
      <c r="C122" t="s">
        <v>97</v>
      </c>
      <c r="D122" s="2">
        <v>36</v>
      </c>
      <c r="E122" t="s">
        <v>64</v>
      </c>
      <c r="F122" t="s">
        <v>65</v>
      </c>
      <c r="G122" s="2" t="s">
        <v>93</v>
      </c>
      <c r="H122" s="2">
        <v>13</v>
      </c>
      <c r="I122" s="2" t="s">
        <v>103</v>
      </c>
      <c r="J122" s="2" t="s">
        <v>2120</v>
      </c>
      <c r="K122" s="2" t="s">
        <v>33</v>
      </c>
      <c r="L122" s="2" t="s">
        <v>2120</v>
      </c>
      <c r="M122" s="2" t="s">
        <v>60</v>
      </c>
      <c r="N122" s="2" t="s">
        <v>75</v>
      </c>
      <c r="O122" s="2">
        <v>14</v>
      </c>
      <c r="P122" s="2" t="str">
        <f>IF(global_freelancer_raw5[[#This Row],[No of projects ]]&lt;=5,"Entry level","Well Experienced")</f>
        <v>Well Experienced</v>
      </c>
      <c r="Q122" s="2">
        <v>4</v>
      </c>
    </row>
    <row r="123" spans="1:17" x14ac:dyDescent="0.3">
      <c r="A123" t="s">
        <v>349</v>
      </c>
      <c r="B123" t="s">
        <v>350</v>
      </c>
      <c r="C123" t="s">
        <v>97</v>
      </c>
      <c r="D123" s="2">
        <v>47</v>
      </c>
      <c r="E123" t="s">
        <v>19</v>
      </c>
      <c r="F123" t="s">
        <v>20</v>
      </c>
      <c r="G123" s="2" t="s">
        <v>110</v>
      </c>
      <c r="H123" s="2">
        <v>5</v>
      </c>
      <c r="I123" s="2" t="s">
        <v>47</v>
      </c>
      <c r="J123" s="2">
        <v>3.7</v>
      </c>
      <c r="K123" s="2" t="s">
        <v>59</v>
      </c>
      <c r="L123" s="2">
        <v>93</v>
      </c>
      <c r="M123" s="2" t="s">
        <v>60</v>
      </c>
      <c r="N123" s="2" t="s">
        <v>34</v>
      </c>
      <c r="O123" s="2">
        <v>3</v>
      </c>
      <c r="P123" s="2" t="str">
        <f>IF(global_freelancer_raw5[[#This Row],[No of projects ]]&lt;=5,"Entry level","Well Experienced")</f>
        <v>Entry level</v>
      </c>
      <c r="Q123" s="2">
        <v>1</v>
      </c>
    </row>
    <row r="124" spans="1:17" x14ac:dyDescent="0.3">
      <c r="A124" t="s">
        <v>351</v>
      </c>
      <c r="B124" t="s">
        <v>352</v>
      </c>
      <c r="C124" t="s">
        <v>118</v>
      </c>
      <c r="D124" s="2">
        <v>48</v>
      </c>
      <c r="E124" t="s">
        <v>149</v>
      </c>
      <c r="F124" t="s">
        <v>30</v>
      </c>
      <c r="G124" s="2" t="s">
        <v>135</v>
      </c>
      <c r="H124" s="2">
        <v>15</v>
      </c>
      <c r="I124" s="2" t="s">
        <v>119</v>
      </c>
      <c r="J124" s="2">
        <v>1</v>
      </c>
      <c r="K124" s="2" t="s">
        <v>94</v>
      </c>
      <c r="L124" s="2">
        <v>0.64</v>
      </c>
      <c r="M124" s="2" t="s">
        <v>88</v>
      </c>
      <c r="N124" s="2" t="s">
        <v>75</v>
      </c>
      <c r="O124" s="2">
        <v>14</v>
      </c>
      <c r="P124" s="2" t="str">
        <f>IF(global_freelancer_raw5[[#This Row],[No of projects ]]&lt;=5,"Entry level","Well Experienced")</f>
        <v>Well Experienced</v>
      </c>
      <c r="Q124" s="2">
        <v>5</v>
      </c>
    </row>
    <row r="125" spans="1:17" x14ac:dyDescent="0.3">
      <c r="A125" t="s">
        <v>353</v>
      </c>
      <c r="B125" t="s">
        <v>354</v>
      </c>
      <c r="C125" t="s">
        <v>97</v>
      </c>
      <c r="D125" s="2">
        <v>27</v>
      </c>
      <c r="E125" t="s">
        <v>197</v>
      </c>
      <c r="F125" t="s">
        <v>198</v>
      </c>
      <c r="G125" s="2" t="s">
        <v>93</v>
      </c>
      <c r="H125" s="2">
        <v>8</v>
      </c>
      <c r="I125" s="2" t="s">
        <v>81</v>
      </c>
      <c r="J125" s="2">
        <v>0</v>
      </c>
      <c r="K125" s="2" t="s">
        <v>2120</v>
      </c>
      <c r="L125" s="2" t="s">
        <v>2120</v>
      </c>
      <c r="M125" s="2" t="s">
        <v>24</v>
      </c>
      <c r="N125" s="2" t="s">
        <v>25</v>
      </c>
      <c r="O125" s="2">
        <v>14</v>
      </c>
      <c r="P125" s="2" t="str">
        <f>IF(global_freelancer_raw5[[#This Row],[No of projects ]]&lt;=5,"Entry level","Well Experienced")</f>
        <v>Well Experienced</v>
      </c>
      <c r="Q125" s="2">
        <v>6</v>
      </c>
    </row>
    <row r="126" spans="1:17" x14ac:dyDescent="0.3">
      <c r="A126" t="s">
        <v>355</v>
      </c>
      <c r="B126" t="s">
        <v>356</v>
      </c>
      <c r="C126" t="s">
        <v>118</v>
      </c>
      <c r="D126" s="2">
        <v>34</v>
      </c>
      <c r="E126" t="s">
        <v>29</v>
      </c>
      <c r="F126" t="s">
        <v>30</v>
      </c>
      <c r="G126" s="2" t="s">
        <v>46</v>
      </c>
      <c r="H126" s="2">
        <v>10</v>
      </c>
      <c r="I126" s="2" t="s">
        <v>2119</v>
      </c>
      <c r="J126" s="2">
        <v>1.7</v>
      </c>
      <c r="K126" s="2" t="s">
        <v>41</v>
      </c>
      <c r="L126" s="2">
        <v>0.96</v>
      </c>
      <c r="M126" s="2" t="s">
        <v>24</v>
      </c>
      <c r="N126" s="2" t="s">
        <v>75</v>
      </c>
      <c r="O126" s="2">
        <v>7</v>
      </c>
      <c r="P126" s="2" t="str">
        <f>IF(global_freelancer_raw5[[#This Row],[No of projects ]]&lt;=5,"Entry level","Well Experienced")</f>
        <v>Well Experienced</v>
      </c>
      <c r="Q126" s="2">
        <v>9</v>
      </c>
    </row>
    <row r="127" spans="1:17" x14ac:dyDescent="0.3">
      <c r="A127" t="s">
        <v>357</v>
      </c>
      <c r="B127" t="s">
        <v>358</v>
      </c>
      <c r="C127" t="s">
        <v>118</v>
      </c>
      <c r="D127" s="2">
        <v>49</v>
      </c>
      <c r="E127" t="s">
        <v>133</v>
      </c>
      <c r="F127" t="s">
        <v>134</v>
      </c>
      <c r="G127" s="2" t="s">
        <v>66</v>
      </c>
      <c r="H127" s="2">
        <v>19</v>
      </c>
      <c r="I127" s="2" t="s">
        <v>2119</v>
      </c>
      <c r="J127" s="2">
        <v>5</v>
      </c>
      <c r="K127" s="2" t="s">
        <v>94</v>
      </c>
      <c r="L127" s="2">
        <v>0.83</v>
      </c>
      <c r="M127" s="2" t="s">
        <v>82</v>
      </c>
      <c r="N127" s="2" t="s">
        <v>25</v>
      </c>
      <c r="O127" s="2">
        <v>11</v>
      </c>
      <c r="P127" s="2" t="str">
        <f>IF(global_freelancer_raw5[[#This Row],[No of projects ]]&lt;=5,"Entry level","Well Experienced")</f>
        <v>Well Experienced</v>
      </c>
      <c r="Q127" s="2">
        <v>5</v>
      </c>
    </row>
    <row r="128" spans="1:17" x14ac:dyDescent="0.3">
      <c r="A128" t="s">
        <v>359</v>
      </c>
      <c r="B128" t="s">
        <v>360</v>
      </c>
      <c r="C128" t="s">
        <v>118</v>
      </c>
      <c r="D128" s="2">
        <v>30</v>
      </c>
      <c r="E128" t="s">
        <v>128</v>
      </c>
      <c r="F128" t="s">
        <v>129</v>
      </c>
      <c r="G128" s="2" t="s">
        <v>31</v>
      </c>
      <c r="H128" s="2">
        <v>10</v>
      </c>
      <c r="I128" s="2" t="s">
        <v>251</v>
      </c>
      <c r="J128" s="2">
        <v>1.7</v>
      </c>
      <c r="K128" s="2" t="s">
        <v>87</v>
      </c>
      <c r="L128" s="2">
        <v>0.64</v>
      </c>
      <c r="M128" s="2" t="s">
        <v>88</v>
      </c>
      <c r="N128" s="2" t="s">
        <v>25</v>
      </c>
      <c r="O128" s="2">
        <v>14</v>
      </c>
      <c r="P128" s="2" t="str">
        <f>IF(global_freelancer_raw5[[#This Row],[No of projects ]]&lt;=5,"Entry level","Well Experienced")</f>
        <v>Well Experienced</v>
      </c>
      <c r="Q128" s="2">
        <v>9</v>
      </c>
    </row>
    <row r="129" spans="1:17" x14ac:dyDescent="0.3">
      <c r="A129" t="s">
        <v>361</v>
      </c>
      <c r="B129" t="s">
        <v>362</v>
      </c>
      <c r="C129" t="s">
        <v>118</v>
      </c>
      <c r="D129" s="2">
        <v>31</v>
      </c>
      <c r="E129" t="s">
        <v>160</v>
      </c>
      <c r="F129" t="s">
        <v>161</v>
      </c>
      <c r="G129" s="2" t="s">
        <v>39</v>
      </c>
      <c r="H129" s="2">
        <v>8</v>
      </c>
      <c r="I129" s="2" t="s">
        <v>86</v>
      </c>
      <c r="J129" s="2">
        <v>4.4000000000000004</v>
      </c>
      <c r="K129" s="2" t="s">
        <v>23</v>
      </c>
      <c r="L129" s="2">
        <v>0.7</v>
      </c>
      <c r="M129" s="2" t="s">
        <v>60</v>
      </c>
      <c r="N129" s="2" t="s">
        <v>75</v>
      </c>
      <c r="O129" s="2">
        <v>15</v>
      </c>
      <c r="P129" s="2" t="str">
        <f>IF(global_freelancer_raw5[[#This Row],[No of projects ]]&lt;=5,"Entry level","Well Experienced")</f>
        <v>Well Experienced</v>
      </c>
      <c r="Q129" s="2">
        <v>5</v>
      </c>
    </row>
    <row r="130" spans="1:17" x14ac:dyDescent="0.3">
      <c r="A130" t="s">
        <v>363</v>
      </c>
      <c r="B130" t="s">
        <v>364</v>
      </c>
      <c r="C130" t="s">
        <v>118</v>
      </c>
      <c r="D130" s="2">
        <v>58</v>
      </c>
      <c r="E130" t="s">
        <v>197</v>
      </c>
      <c r="F130" t="s">
        <v>198</v>
      </c>
      <c r="G130" s="2" t="s">
        <v>135</v>
      </c>
      <c r="H130" s="2">
        <v>9</v>
      </c>
      <c r="I130" s="2" t="s">
        <v>162</v>
      </c>
      <c r="J130" s="2">
        <v>0</v>
      </c>
      <c r="K130" s="2" t="s">
        <v>41</v>
      </c>
      <c r="L130" s="2">
        <v>0.65</v>
      </c>
      <c r="M130" s="2" t="s">
        <v>88</v>
      </c>
      <c r="N130" s="2" t="s">
        <v>75</v>
      </c>
      <c r="O130" s="2">
        <v>15</v>
      </c>
      <c r="P130" s="2" t="str">
        <f>IF(global_freelancer_raw5[[#This Row],[No of projects ]]&lt;=5,"Entry level","Well Experienced")</f>
        <v>Well Experienced</v>
      </c>
      <c r="Q130" s="2">
        <v>7</v>
      </c>
    </row>
    <row r="131" spans="1:17" x14ac:dyDescent="0.3">
      <c r="A131" t="s">
        <v>365</v>
      </c>
      <c r="B131" t="s">
        <v>366</v>
      </c>
      <c r="C131" t="s">
        <v>118</v>
      </c>
      <c r="D131" s="2">
        <v>47</v>
      </c>
      <c r="E131" t="s">
        <v>156</v>
      </c>
      <c r="F131" t="s">
        <v>157</v>
      </c>
      <c r="G131" s="2" t="s">
        <v>135</v>
      </c>
      <c r="H131" s="2">
        <v>13</v>
      </c>
      <c r="I131" s="2" t="s">
        <v>86</v>
      </c>
      <c r="J131" s="2">
        <v>3.4</v>
      </c>
      <c r="K131" s="2" t="s">
        <v>2120</v>
      </c>
      <c r="L131" s="2">
        <v>0.67</v>
      </c>
      <c r="M131" s="2" t="s">
        <v>82</v>
      </c>
      <c r="N131" s="2" t="s">
        <v>42</v>
      </c>
      <c r="O131" s="2">
        <v>7</v>
      </c>
      <c r="P131" s="2" t="str">
        <f>IF(global_freelancer_raw5[[#This Row],[No of projects ]]&lt;=5,"Entry level","Well Experienced")</f>
        <v>Well Experienced</v>
      </c>
      <c r="Q131" s="2">
        <v>3</v>
      </c>
    </row>
    <row r="132" spans="1:17" x14ac:dyDescent="0.3">
      <c r="A132" t="s">
        <v>367</v>
      </c>
      <c r="B132" t="s">
        <v>368</v>
      </c>
      <c r="C132" t="s">
        <v>97</v>
      </c>
      <c r="D132" s="2">
        <v>45</v>
      </c>
      <c r="E132" t="s">
        <v>85</v>
      </c>
      <c r="F132" t="s">
        <v>30</v>
      </c>
      <c r="G132" s="2" t="s">
        <v>98</v>
      </c>
      <c r="H132" s="2">
        <v>14</v>
      </c>
      <c r="I132" s="2" t="s">
        <v>32</v>
      </c>
      <c r="J132" s="2">
        <v>1.1000000000000001</v>
      </c>
      <c r="K132" s="2" t="s">
        <v>181</v>
      </c>
      <c r="L132" s="2">
        <v>93</v>
      </c>
      <c r="M132" s="2" t="s">
        <v>82</v>
      </c>
      <c r="N132" s="2" t="s">
        <v>34</v>
      </c>
      <c r="O132" s="2">
        <v>12</v>
      </c>
      <c r="P132" s="2" t="str">
        <f>IF(global_freelancer_raw5[[#This Row],[No of projects ]]&lt;=5,"Entry level","Well Experienced")</f>
        <v>Well Experienced</v>
      </c>
      <c r="Q132" s="2">
        <v>12</v>
      </c>
    </row>
    <row r="133" spans="1:17" x14ac:dyDescent="0.3">
      <c r="A133" t="s">
        <v>369</v>
      </c>
      <c r="B133" t="s">
        <v>370</v>
      </c>
      <c r="C133" t="s">
        <v>97</v>
      </c>
      <c r="D133" s="2">
        <v>57</v>
      </c>
      <c r="E133" t="s">
        <v>156</v>
      </c>
      <c r="F133" t="s">
        <v>157</v>
      </c>
      <c r="G133" s="2" t="s">
        <v>135</v>
      </c>
      <c r="H133" s="2">
        <v>0</v>
      </c>
      <c r="I133" s="2" t="s">
        <v>40</v>
      </c>
      <c r="J133" s="2">
        <v>1.6</v>
      </c>
      <c r="K133" s="2" t="s">
        <v>41</v>
      </c>
      <c r="L133" s="2">
        <v>0.6</v>
      </c>
      <c r="M133" s="2" t="s">
        <v>88</v>
      </c>
      <c r="N133" s="2" t="s">
        <v>25</v>
      </c>
      <c r="O133" s="2">
        <v>3</v>
      </c>
      <c r="P133" s="2" t="str">
        <f>IF(global_freelancer_raw5[[#This Row],[No of projects ]]&lt;=5,"Entry level","Well Experienced")</f>
        <v>Entry level</v>
      </c>
      <c r="Q133" s="2">
        <v>2</v>
      </c>
    </row>
    <row r="134" spans="1:17" x14ac:dyDescent="0.3">
      <c r="A134" t="s">
        <v>371</v>
      </c>
      <c r="B134" t="s">
        <v>372</v>
      </c>
      <c r="C134" t="s">
        <v>118</v>
      </c>
      <c r="D134" s="2">
        <v>50</v>
      </c>
      <c r="E134" t="s">
        <v>114</v>
      </c>
      <c r="F134" t="s">
        <v>115</v>
      </c>
      <c r="G134" s="2" t="s">
        <v>46</v>
      </c>
      <c r="H134" s="2">
        <v>22</v>
      </c>
      <c r="I134" s="2" t="s">
        <v>22</v>
      </c>
      <c r="J134" s="2">
        <v>4.0999999999999996</v>
      </c>
      <c r="K134" s="2" t="s">
        <v>41</v>
      </c>
      <c r="L134" s="2">
        <v>0.62</v>
      </c>
      <c r="M134" s="2" t="s">
        <v>88</v>
      </c>
      <c r="N134" s="2" t="s">
        <v>42</v>
      </c>
      <c r="O134" s="2">
        <v>17</v>
      </c>
      <c r="P134" s="2" t="str">
        <f>IF(global_freelancer_raw5[[#This Row],[No of projects ]]&lt;=5,"Entry level","Well Experienced")</f>
        <v>Well Experienced</v>
      </c>
      <c r="Q134" s="2">
        <v>6</v>
      </c>
    </row>
    <row r="135" spans="1:17" x14ac:dyDescent="0.3">
      <c r="A135" t="s">
        <v>373</v>
      </c>
      <c r="B135" t="s">
        <v>374</v>
      </c>
      <c r="C135" t="s">
        <v>97</v>
      </c>
      <c r="D135" s="2" t="s">
        <v>2119</v>
      </c>
      <c r="E135" t="s">
        <v>128</v>
      </c>
      <c r="F135" t="s">
        <v>129</v>
      </c>
      <c r="G135" s="2" t="s">
        <v>135</v>
      </c>
      <c r="H135" s="2">
        <v>4</v>
      </c>
      <c r="I135" s="2" t="s">
        <v>2119</v>
      </c>
      <c r="J135" s="2">
        <v>2.5</v>
      </c>
      <c r="K135" s="2" t="s">
        <v>2120</v>
      </c>
      <c r="L135" s="2">
        <v>0.7</v>
      </c>
      <c r="M135" s="2" t="s">
        <v>88</v>
      </c>
      <c r="N135" s="2" t="s">
        <v>75</v>
      </c>
      <c r="O135" s="2">
        <v>2</v>
      </c>
      <c r="P135" s="2" t="str">
        <f>IF(global_freelancer_raw5[[#This Row],[No of projects ]]&lt;=5,"Entry level","Well Experienced")</f>
        <v>Entry level</v>
      </c>
      <c r="Q135" s="2">
        <v>1</v>
      </c>
    </row>
    <row r="136" spans="1:17" x14ac:dyDescent="0.3">
      <c r="A136" t="s">
        <v>375</v>
      </c>
      <c r="B136" t="s">
        <v>376</v>
      </c>
      <c r="C136" t="s">
        <v>97</v>
      </c>
      <c r="D136" s="2">
        <v>45</v>
      </c>
      <c r="E136" t="s">
        <v>64</v>
      </c>
      <c r="F136" t="s">
        <v>65</v>
      </c>
      <c r="G136" s="2" t="s">
        <v>21</v>
      </c>
      <c r="H136" s="2">
        <v>22</v>
      </c>
      <c r="I136" s="2" t="s">
        <v>251</v>
      </c>
      <c r="J136" s="2">
        <v>4</v>
      </c>
      <c r="K136" s="2" t="s">
        <v>94</v>
      </c>
      <c r="L136" s="2">
        <v>0.75</v>
      </c>
      <c r="M136" s="2" t="s">
        <v>24</v>
      </c>
      <c r="N136" s="2" t="s">
        <v>34</v>
      </c>
      <c r="O136" s="2">
        <v>16</v>
      </c>
      <c r="P136" s="2" t="str">
        <f>IF(global_freelancer_raw5[[#This Row],[No of projects ]]&lt;=5,"Entry level","Well Experienced")</f>
        <v>Well Experienced</v>
      </c>
      <c r="Q136" s="2">
        <v>4</v>
      </c>
    </row>
    <row r="137" spans="1:17" x14ac:dyDescent="0.3">
      <c r="A137" t="s">
        <v>377</v>
      </c>
      <c r="B137" t="s">
        <v>378</v>
      </c>
      <c r="C137" t="s">
        <v>118</v>
      </c>
      <c r="D137" s="2">
        <v>60</v>
      </c>
      <c r="E137" t="s">
        <v>175</v>
      </c>
      <c r="F137" t="s">
        <v>176</v>
      </c>
      <c r="G137" s="2" t="s">
        <v>98</v>
      </c>
      <c r="H137" s="2">
        <v>39</v>
      </c>
      <c r="I137" s="2" t="s">
        <v>103</v>
      </c>
      <c r="J137" s="2">
        <v>1.4</v>
      </c>
      <c r="K137" s="2" t="s">
        <v>181</v>
      </c>
      <c r="L137" s="2">
        <v>0.7</v>
      </c>
      <c r="M137" s="2" t="s">
        <v>60</v>
      </c>
      <c r="N137" s="2" t="s">
        <v>42</v>
      </c>
      <c r="O137" s="2">
        <v>10</v>
      </c>
      <c r="P137" s="2" t="str">
        <f>IF(global_freelancer_raw5[[#This Row],[No of projects ]]&lt;=5,"Entry level","Well Experienced")</f>
        <v>Well Experienced</v>
      </c>
      <c r="Q137" s="2">
        <v>3</v>
      </c>
    </row>
    <row r="138" spans="1:17" x14ac:dyDescent="0.3">
      <c r="A138" t="s">
        <v>379</v>
      </c>
      <c r="B138" t="s">
        <v>380</v>
      </c>
      <c r="C138" t="s">
        <v>97</v>
      </c>
      <c r="D138" s="2">
        <v>43</v>
      </c>
      <c r="E138" t="s">
        <v>85</v>
      </c>
      <c r="F138" t="s">
        <v>30</v>
      </c>
      <c r="G138" s="2" t="s">
        <v>98</v>
      </c>
      <c r="H138" s="2">
        <v>5</v>
      </c>
      <c r="I138" s="2" t="s">
        <v>119</v>
      </c>
      <c r="J138" s="2" t="s">
        <v>2120</v>
      </c>
      <c r="K138" s="2" t="s">
        <v>33</v>
      </c>
      <c r="L138" s="2">
        <v>0.84</v>
      </c>
      <c r="M138" s="2" t="s">
        <v>88</v>
      </c>
      <c r="N138" s="2" t="s">
        <v>25</v>
      </c>
      <c r="O138" s="2">
        <v>1</v>
      </c>
      <c r="P138" s="2" t="str">
        <f>IF(global_freelancer_raw5[[#This Row],[No of projects ]]&lt;=5,"Entry level","Well Experienced")</f>
        <v>Entry level</v>
      </c>
      <c r="Q138" s="2">
        <v>3</v>
      </c>
    </row>
    <row r="139" spans="1:17" x14ac:dyDescent="0.3">
      <c r="A139" t="s">
        <v>381</v>
      </c>
      <c r="B139" t="s">
        <v>382</v>
      </c>
      <c r="C139" t="s">
        <v>97</v>
      </c>
      <c r="D139" s="2">
        <v>39</v>
      </c>
      <c r="E139" t="s">
        <v>156</v>
      </c>
      <c r="F139" t="s">
        <v>157</v>
      </c>
      <c r="G139" s="2" t="s">
        <v>98</v>
      </c>
      <c r="H139" s="2">
        <v>5</v>
      </c>
      <c r="I139" s="2" t="s">
        <v>70</v>
      </c>
      <c r="J139" s="2">
        <v>1.2</v>
      </c>
      <c r="K139" s="2" t="s">
        <v>23</v>
      </c>
      <c r="L139" s="2">
        <v>83</v>
      </c>
      <c r="M139" s="2" t="s">
        <v>88</v>
      </c>
      <c r="N139" s="2" t="s">
        <v>42</v>
      </c>
      <c r="O139" s="2">
        <v>4</v>
      </c>
      <c r="P139" s="2" t="str">
        <f>IF(global_freelancer_raw5[[#This Row],[No of projects ]]&lt;=5,"Entry level","Well Experienced")</f>
        <v>Entry level</v>
      </c>
      <c r="Q139" s="2">
        <v>1</v>
      </c>
    </row>
    <row r="140" spans="1:17" x14ac:dyDescent="0.3">
      <c r="A140" t="s">
        <v>383</v>
      </c>
      <c r="B140" t="s">
        <v>384</v>
      </c>
      <c r="C140" t="s">
        <v>118</v>
      </c>
      <c r="D140" s="2">
        <v>26</v>
      </c>
      <c r="E140" t="s">
        <v>201</v>
      </c>
      <c r="F140" t="s">
        <v>92</v>
      </c>
      <c r="G140" s="2" t="s">
        <v>93</v>
      </c>
      <c r="H140" s="2">
        <v>5</v>
      </c>
      <c r="I140" s="2" t="s">
        <v>40</v>
      </c>
      <c r="J140" s="2">
        <v>0</v>
      </c>
      <c r="K140" s="2" t="s">
        <v>41</v>
      </c>
      <c r="L140" s="2" t="s">
        <v>2120</v>
      </c>
      <c r="M140" s="2" t="s">
        <v>88</v>
      </c>
      <c r="N140" s="2" t="s">
        <v>25</v>
      </c>
      <c r="O140" s="2">
        <v>3</v>
      </c>
      <c r="P140" s="2" t="str">
        <f>IF(global_freelancer_raw5[[#This Row],[No of projects ]]&lt;=5,"Entry level","Well Experienced")</f>
        <v>Entry level</v>
      </c>
      <c r="Q140" s="2">
        <v>1</v>
      </c>
    </row>
    <row r="141" spans="1:17" x14ac:dyDescent="0.3">
      <c r="A141" t="s">
        <v>385</v>
      </c>
      <c r="B141" t="s">
        <v>386</v>
      </c>
      <c r="C141" t="s">
        <v>118</v>
      </c>
      <c r="D141" s="2">
        <v>31</v>
      </c>
      <c r="E141" t="s">
        <v>38</v>
      </c>
      <c r="F141" t="s">
        <v>38</v>
      </c>
      <c r="G141" s="2" t="s">
        <v>98</v>
      </c>
      <c r="H141" s="2">
        <v>11</v>
      </c>
      <c r="I141" s="2" t="s">
        <v>40</v>
      </c>
      <c r="J141" s="2">
        <v>3.1</v>
      </c>
      <c r="K141" s="2" t="s">
        <v>59</v>
      </c>
      <c r="L141" s="2">
        <v>0.88</v>
      </c>
      <c r="M141" s="2" t="s">
        <v>82</v>
      </c>
      <c r="N141" s="2" t="s">
        <v>75</v>
      </c>
      <c r="O141" s="2">
        <v>14</v>
      </c>
      <c r="P141" s="2" t="str">
        <f>IF(global_freelancer_raw5[[#This Row],[No of projects ]]&lt;=5,"Entry level","Well Experienced")</f>
        <v>Well Experienced</v>
      </c>
      <c r="Q141" s="2">
        <v>3</v>
      </c>
    </row>
    <row r="142" spans="1:17" x14ac:dyDescent="0.3">
      <c r="A142" t="s">
        <v>387</v>
      </c>
      <c r="B142" t="s">
        <v>388</v>
      </c>
      <c r="C142" t="s">
        <v>118</v>
      </c>
      <c r="D142" s="2">
        <v>52</v>
      </c>
      <c r="E142" t="s">
        <v>156</v>
      </c>
      <c r="F142" t="s">
        <v>157</v>
      </c>
      <c r="G142" s="2" t="s">
        <v>93</v>
      </c>
      <c r="H142" s="2">
        <v>15</v>
      </c>
      <c r="I142" s="2" t="s">
        <v>40</v>
      </c>
      <c r="J142" s="2">
        <v>0</v>
      </c>
      <c r="K142" s="2" t="s">
        <v>87</v>
      </c>
      <c r="L142" s="2">
        <v>0.81</v>
      </c>
      <c r="M142" s="2" t="s">
        <v>82</v>
      </c>
      <c r="N142" s="2" t="s">
        <v>34</v>
      </c>
      <c r="O142" s="2">
        <v>10</v>
      </c>
      <c r="P142" s="2" t="str">
        <f>IF(global_freelancer_raw5[[#This Row],[No of projects ]]&lt;=5,"Entry level","Well Experienced")</f>
        <v>Well Experienced</v>
      </c>
      <c r="Q142" s="2">
        <v>12</v>
      </c>
    </row>
    <row r="143" spans="1:17" x14ac:dyDescent="0.3">
      <c r="A143" t="s">
        <v>389</v>
      </c>
      <c r="B143" t="s">
        <v>390</v>
      </c>
      <c r="C143" t="s">
        <v>97</v>
      </c>
      <c r="D143" s="2">
        <v>34</v>
      </c>
      <c r="E143" t="s">
        <v>114</v>
      </c>
      <c r="F143" t="s">
        <v>115</v>
      </c>
      <c r="G143" s="2" t="s">
        <v>66</v>
      </c>
      <c r="H143" s="2">
        <v>5</v>
      </c>
      <c r="I143" s="2" t="s">
        <v>336</v>
      </c>
      <c r="J143" s="2">
        <v>2.2000000000000002</v>
      </c>
      <c r="K143" s="2" t="s">
        <v>94</v>
      </c>
      <c r="L143" s="2">
        <v>0.8</v>
      </c>
      <c r="M143" s="2" t="s">
        <v>24</v>
      </c>
      <c r="N143" s="2" t="s">
        <v>34</v>
      </c>
      <c r="O143" s="2">
        <v>3</v>
      </c>
      <c r="P143" s="2" t="str">
        <f>IF(global_freelancer_raw5[[#This Row],[No of projects ]]&lt;=5,"Entry level","Well Experienced")</f>
        <v>Entry level</v>
      </c>
      <c r="Q143" s="2">
        <v>3</v>
      </c>
    </row>
    <row r="144" spans="1:17" x14ac:dyDescent="0.3">
      <c r="A144" t="s">
        <v>391</v>
      </c>
      <c r="B144" t="s">
        <v>392</v>
      </c>
      <c r="C144" t="s">
        <v>118</v>
      </c>
      <c r="D144" s="2">
        <v>45</v>
      </c>
      <c r="E144" t="s">
        <v>85</v>
      </c>
      <c r="F144" t="s">
        <v>30</v>
      </c>
      <c r="G144" s="2" t="s">
        <v>46</v>
      </c>
      <c r="H144" s="2">
        <v>7</v>
      </c>
      <c r="I144" s="2" t="s">
        <v>103</v>
      </c>
      <c r="J144" s="2">
        <v>3</v>
      </c>
      <c r="K144" s="2" t="s">
        <v>33</v>
      </c>
      <c r="L144" s="2">
        <v>0.67</v>
      </c>
      <c r="M144" s="2" t="s">
        <v>60</v>
      </c>
      <c r="N144" s="2" t="s">
        <v>34</v>
      </c>
      <c r="O144" s="2">
        <v>7</v>
      </c>
      <c r="P144" s="2" t="str">
        <f>IF(global_freelancer_raw5[[#This Row],[No of projects ]]&lt;=5,"Entry level","Well Experienced")</f>
        <v>Well Experienced</v>
      </c>
      <c r="Q144" s="2">
        <v>8</v>
      </c>
    </row>
    <row r="145" spans="1:17" x14ac:dyDescent="0.3">
      <c r="A145" t="s">
        <v>393</v>
      </c>
      <c r="B145" t="s">
        <v>394</v>
      </c>
      <c r="C145" t="s">
        <v>118</v>
      </c>
      <c r="D145" s="2">
        <v>46</v>
      </c>
      <c r="E145" t="s">
        <v>85</v>
      </c>
      <c r="F145" t="s">
        <v>30</v>
      </c>
      <c r="G145" s="2" t="s">
        <v>98</v>
      </c>
      <c r="H145" s="2">
        <v>9</v>
      </c>
      <c r="I145" s="2" t="s">
        <v>142</v>
      </c>
      <c r="J145" s="2">
        <v>0</v>
      </c>
      <c r="K145" s="2" t="s">
        <v>41</v>
      </c>
      <c r="L145" s="2">
        <v>0.82</v>
      </c>
      <c r="M145" s="2" t="s">
        <v>24</v>
      </c>
      <c r="N145" s="2" t="s">
        <v>75</v>
      </c>
      <c r="O145" s="2">
        <v>14</v>
      </c>
      <c r="P145" s="2" t="str">
        <f>IF(global_freelancer_raw5[[#This Row],[No of projects ]]&lt;=5,"Entry level","Well Experienced")</f>
        <v>Well Experienced</v>
      </c>
      <c r="Q145" s="2">
        <v>6</v>
      </c>
    </row>
    <row r="146" spans="1:17" x14ac:dyDescent="0.3">
      <c r="A146" t="s">
        <v>395</v>
      </c>
      <c r="B146" t="s">
        <v>396</v>
      </c>
      <c r="C146" t="s">
        <v>118</v>
      </c>
      <c r="D146" s="2">
        <v>56</v>
      </c>
      <c r="E146" t="s">
        <v>156</v>
      </c>
      <c r="F146" t="s">
        <v>157</v>
      </c>
      <c r="G146" s="2" t="s">
        <v>93</v>
      </c>
      <c r="H146" s="2">
        <v>21</v>
      </c>
      <c r="I146" s="2" t="s">
        <v>32</v>
      </c>
      <c r="J146" s="2">
        <v>0</v>
      </c>
      <c r="K146" s="2" t="s">
        <v>74</v>
      </c>
      <c r="L146" s="2">
        <v>78</v>
      </c>
      <c r="M146" s="2" t="s">
        <v>60</v>
      </c>
      <c r="N146" s="2" t="s">
        <v>25</v>
      </c>
      <c r="O146" s="2">
        <v>18</v>
      </c>
      <c r="P146" s="2" t="str">
        <f>IF(global_freelancer_raw5[[#This Row],[No of projects ]]&lt;=5,"Entry level","Well Experienced")</f>
        <v>Well Experienced</v>
      </c>
      <c r="Q146" s="2">
        <v>13</v>
      </c>
    </row>
    <row r="147" spans="1:17" x14ac:dyDescent="0.3">
      <c r="A147" t="s">
        <v>397</v>
      </c>
      <c r="B147" t="s">
        <v>398</v>
      </c>
      <c r="C147" t="s">
        <v>97</v>
      </c>
      <c r="D147" s="2">
        <v>59</v>
      </c>
      <c r="E147" t="s">
        <v>38</v>
      </c>
      <c r="F147" t="s">
        <v>38</v>
      </c>
      <c r="G147" s="2" t="s">
        <v>57</v>
      </c>
      <c r="H147" s="2">
        <v>7</v>
      </c>
      <c r="I147" s="2" t="s">
        <v>47</v>
      </c>
      <c r="J147" s="2">
        <v>1.4</v>
      </c>
      <c r="K147" s="2" t="s">
        <v>59</v>
      </c>
      <c r="L147" s="2">
        <v>0.81</v>
      </c>
      <c r="M147" s="2" t="s">
        <v>82</v>
      </c>
      <c r="N147" s="2" t="s">
        <v>75</v>
      </c>
      <c r="O147" s="2">
        <v>9</v>
      </c>
      <c r="P147" s="2" t="str">
        <f>IF(global_freelancer_raw5[[#This Row],[No of projects ]]&lt;=5,"Entry level","Well Experienced")</f>
        <v>Well Experienced</v>
      </c>
      <c r="Q147" s="2">
        <v>11</v>
      </c>
    </row>
    <row r="148" spans="1:17" x14ac:dyDescent="0.3">
      <c r="A148" t="s">
        <v>399</v>
      </c>
      <c r="B148" t="s">
        <v>400</v>
      </c>
      <c r="C148" t="s">
        <v>97</v>
      </c>
      <c r="D148" s="2">
        <v>54</v>
      </c>
      <c r="E148" t="s">
        <v>160</v>
      </c>
      <c r="F148" t="s">
        <v>161</v>
      </c>
      <c r="G148" s="2" t="s">
        <v>21</v>
      </c>
      <c r="H148" s="2">
        <v>4</v>
      </c>
      <c r="I148" s="2" t="s">
        <v>2119</v>
      </c>
      <c r="J148" s="2">
        <v>1.4</v>
      </c>
      <c r="K148" s="2" t="s">
        <v>74</v>
      </c>
      <c r="L148" s="2">
        <v>0.74</v>
      </c>
      <c r="M148" s="2" t="s">
        <v>82</v>
      </c>
      <c r="N148" s="2" t="s">
        <v>34</v>
      </c>
      <c r="O148" s="2">
        <v>5</v>
      </c>
      <c r="P148" s="2" t="str">
        <f>IF(global_freelancer_raw5[[#This Row],[No of projects ]]&lt;=5,"Entry level","Well Experienced")</f>
        <v>Entry level</v>
      </c>
      <c r="Q148" s="2">
        <v>1</v>
      </c>
    </row>
    <row r="149" spans="1:17" x14ac:dyDescent="0.3">
      <c r="A149" t="s">
        <v>401</v>
      </c>
      <c r="B149" t="s">
        <v>402</v>
      </c>
      <c r="C149" t="s">
        <v>118</v>
      </c>
      <c r="D149" s="2">
        <v>36</v>
      </c>
      <c r="E149" t="s">
        <v>38</v>
      </c>
      <c r="F149" t="s">
        <v>38</v>
      </c>
      <c r="G149" s="2" t="s">
        <v>93</v>
      </c>
      <c r="H149" s="2">
        <v>7</v>
      </c>
      <c r="I149" s="2" t="s">
        <v>52</v>
      </c>
      <c r="J149" s="2">
        <v>0</v>
      </c>
      <c r="K149" s="2" t="s">
        <v>41</v>
      </c>
      <c r="L149" s="2">
        <v>0.88</v>
      </c>
      <c r="M149" s="2" t="s">
        <v>82</v>
      </c>
      <c r="N149" s="2" t="s">
        <v>75</v>
      </c>
      <c r="O149" s="2">
        <v>7</v>
      </c>
      <c r="P149" s="2" t="str">
        <f>IF(global_freelancer_raw5[[#This Row],[No of projects ]]&lt;=5,"Entry level","Well Experienced")</f>
        <v>Well Experienced</v>
      </c>
      <c r="Q149" s="2">
        <v>2</v>
      </c>
    </row>
    <row r="150" spans="1:17" x14ac:dyDescent="0.3">
      <c r="A150" t="s">
        <v>403</v>
      </c>
      <c r="B150" t="s">
        <v>404</v>
      </c>
      <c r="C150" t="s">
        <v>118</v>
      </c>
      <c r="D150" s="2">
        <v>25</v>
      </c>
      <c r="E150" t="s">
        <v>201</v>
      </c>
      <c r="F150" t="s">
        <v>92</v>
      </c>
      <c r="G150" s="2" t="s">
        <v>66</v>
      </c>
      <c r="H150" s="2">
        <v>0</v>
      </c>
      <c r="I150" s="2" t="s">
        <v>86</v>
      </c>
      <c r="J150" s="2">
        <v>0</v>
      </c>
      <c r="K150" s="2" t="s">
        <v>23</v>
      </c>
      <c r="L150" s="2">
        <v>0.9</v>
      </c>
      <c r="M150" s="2" t="s">
        <v>24</v>
      </c>
      <c r="N150" s="2" t="s">
        <v>75</v>
      </c>
      <c r="O150" s="2">
        <v>1</v>
      </c>
      <c r="P150" s="2" t="str">
        <f>IF(global_freelancer_raw5[[#This Row],[No of projects ]]&lt;=5,"Entry level","Well Experienced")</f>
        <v>Entry level</v>
      </c>
      <c r="Q150" s="2">
        <v>2</v>
      </c>
    </row>
    <row r="151" spans="1:17" x14ac:dyDescent="0.3">
      <c r="A151" t="s">
        <v>405</v>
      </c>
      <c r="B151" t="s">
        <v>406</v>
      </c>
      <c r="C151" t="s">
        <v>97</v>
      </c>
      <c r="D151" s="2">
        <v>37</v>
      </c>
      <c r="E151" t="s">
        <v>145</v>
      </c>
      <c r="F151" t="s">
        <v>146</v>
      </c>
      <c r="G151" s="2" t="s">
        <v>66</v>
      </c>
      <c r="H151" s="2">
        <v>15</v>
      </c>
      <c r="I151" s="2" t="s">
        <v>47</v>
      </c>
      <c r="J151" s="2">
        <v>2.9</v>
      </c>
      <c r="K151" s="2" t="s">
        <v>59</v>
      </c>
      <c r="L151" s="2" t="s">
        <v>2120</v>
      </c>
      <c r="M151" s="2" t="s">
        <v>88</v>
      </c>
      <c r="N151" s="2" t="s">
        <v>75</v>
      </c>
      <c r="O151" s="2">
        <v>6</v>
      </c>
      <c r="P151" s="2" t="str">
        <f>IF(global_freelancer_raw5[[#This Row],[No of projects ]]&lt;=5,"Entry level","Well Experienced")</f>
        <v>Well Experienced</v>
      </c>
      <c r="Q151" s="2">
        <v>8</v>
      </c>
    </row>
    <row r="152" spans="1:17" x14ac:dyDescent="0.3">
      <c r="A152" t="s">
        <v>407</v>
      </c>
      <c r="B152" t="s">
        <v>408</v>
      </c>
      <c r="C152" t="s">
        <v>118</v>
      </c>
      <c r="D152" s="2" t="s">
        <v>2119</v>
      </c>
      <c r="E152" t="s">
        <v>79</v>
      </c>
      <c r="F152" t="s">
        <v>80</v>
      </c>
      <c r="G152" s="2" t="s">
        <v>66</v>
      </c>
      <c r="H152" s="2">
        <v>10</v>
      </c>
      <c r="I152" s="2" t="s">
        <v>70</v>
      </c>
      <c r="J152" s="2">
        <v>0</v>
      </c>
      <c r="K152" s="2" t="s">
        <v>2120</v>
      </c>
      <c r="L152" s="2" t="s">
        <v>2120</v>
      </c>
      <c r="M152" s="2" t="s">
        <v>88</v>
      </c>
      <c r="N152" s="2" t="s">
        <v>25</v>
      </c>
      <c r="O152" s="2">
        <v>6</v>
      </c>
      <c r="P152" s="2" t="str">
        <f>IF(global_freelancer_raw5[[#This Row],[No of projects ]]&lt;=5,"Entry level","Well Experienced")</f>
        <v>Well Experienced</v>
      </c>
      <c r="Q152" s="2">
        <v>2</v>
      </c>
    </row>
    <row r="153" spans="1:17" x14ac:dyDescent="0.3">
      <c r="A153" t="s">
        <v>409</v>
      </c>
      <c r="B153" t="s">
        <v>410</v>
      </c>
      <c r="C153" t="s">
        <v>118</v>
      </c>
      <c r="D153" s="2">
        <v>29</v>
      </c>
      <c r="E153" t="s">
        <v>212</v>
      </c>
      <c r="F153" t="s">
        <v>92</v>
      </c>
      <c r="G153" s="2" t="s">
        <v>66</v>
      </c>
      <c r="H153" s="2">
        <v>11</v>
      </c>
      <c r="I153" s="2" t="s">
        <v>162</v>
      </c>
      <c r="J153" s="2">
        <v>2.7</v>
      </c>
      <c r="K153" s="2" t="s">
        <v>181</v>
      </c>
      <c r="L153" s="2">
        <v>0.93</v>
      </c>
      <c r="M153" s="2" t="s">
        <v>82</v>
      </c>
      <c r="N153" s="2" t="s">
        <v>42</v>
      </c>
      <c r="O153" s="2">
        <v>13</v>
      </c>
      <c r="P153" s="2" t="str">
        <f>IF(global_freelancer_raw5[[#This Row],[No of projects ]]&lt;=5,"Entry level","Well Experienced")</f>
        <v>Well Experienced</v>
      </c>
      <c r="Q153" s="2">
        <v>7</v>
      </c>
    </row>
    <row r="154" spans="1:17" x14ac:dyDescent="0.3">
      <c r="A154" t="s">
        <v>411</v>
      </c>
      <c r="B154" t="s">
        <v>412</v>
      </c>
      <c r="C154" t="s">
        <v>97</v>
      </c>
      <c r="D154" s="2">
        <v>55</v>
      </c>
      <c r="E154" t="s">
        <v>91</v>
      </c>
      <c r="F154" t="s">
        <v>92</v>
      </c>
      <c r="G154" s="2" t="s">
        <v>31</v>
      </c>
      <c r="H154" s="2">
        <v>12</v>
      </c>
      <c r="I154" s="2" t="s">
        <v>22</v>
      </c>
      <c r="J154" s="2">
        <v>1.8</v>
      </c>
      <c r="K154" s="2" t="s">
        <v>33</v>
      </c>
      <c r="L154" s="2" t="s">
        <v>2120</v>
      </c>
      <c r="M154" s="2" t="s">
        <v>88</v>
      </c>
      <c r="N154" s="2" t="s">
        <v>42</v>
      </c>
      <c r="O154" s="2">
        <v>11</v>
      </c>
      <c r="P154" s="2" t="str">
        <f>IF(global_freelancer_raw5[[#This Row],[No of projects ]]&lt;=5,"Entry level","Well Experienced")</f>
        <v>Well Experienced</v>
      </c>
      <c r="Q154" s="2">
        <v>3</v>
      </c>
    </row>
    <row r="155" spans="1:17" x14ac:dyDescent="0.3">
      <c r="A155" t="s">
        <v>413</v>
      </c>
      <c r="B155" t="s">
        <v>414</v>
      </c>
      <c r="C155" t="s">
        <v>97</v>
      </c>
      <c r="D155" s="2">
        <v>38</v>
      </c>
      <c r="E155" t="s">
        <v>106</v>
      </c>
      <c r="F155" t="s">
        <v>107</v>
      </c>
      <c r="G155" s="2" t="s">
        <v>110</v>
      </c>
      <c r="H155" s="2">
        <v>20</v>
      </c>
      <c r="I155" s="2" t="s">
        <v>192</v>
      </c>
      <c r="J155" s="2">
        <v>1.1000000000000001</v>
      </c>
      <c r="K155" s="2" t="s">
        <v>181</v>
      </c>
      <c r="L155" s="2">
        <v>0.71</v>
      </c>
      <c r="M155" s="2" t="s">
        <v>88</v>
      </c>
      <c r="N155" s="2" t="s">
        <v>75</v>
      </c>
      <c r="O155" s="2">
        <v>19</v>
      </c>
      <c r="P155" s="2" t="str">
        <f>IF(global_freelancer_raw5[[#This Row],[No of projects ]]&lt;=5,"Entry level","Well Experienced")</f>
        <v>Well Experienced</v>
      </c>
      <c r="Q155" s="2">
        <v>7</v>
      </c>
    </row>
    <row r="156" spans="1:17" x14ac:dyDescent="0.3">
      <c r="A156" t="s">
        <v>415</v>
      </c>
      <c r="B156" t="s">
        <v>416</v>
      </c>
      <c r="C156" t="s">
        <v>118</v>
      </c>
      <c r="D156" s="2">
        <v>47</v>
      </c>
      <c r="E156" t="s">
        <v>133</v>
      </c>
      <c r="F156" t="s">
        <v>134</v>
      </c>
      <c r="G156" s="2" t="s">
        <v>110</v>
      </c>
      <c r="H156" s="2">
        <v>29</v>
      </c>
      <c r="I156" s="2" t="s">
        <v>47</v>
      </c>
      <c r="J156" s="2">
        <v>4.3</v>
      </c>
      <c r="K156" s="2" t="s">
        <v>33</v>
      </c>
      <c r="L156" s="2">
        <v>0.95</v>
      </c>
      <c r="M156" s="2" t="s">
        <v>24</v>
      </c>
      <c r="N156" s="2" t="s">
        <v>42</v>
      </c>
      <c r="O156" s="2">
        <v>11</v>
      </c>
      <c r="P156" s="2" t="str">
        <f>IF(global_freelancer_raw5[[#This Row],[No of projects ]]&lt;=5,"Entry level","Well Experienced")</f>
        <v>Well Experienced</v>
      </c>
      <c r="Q156" s="2">
        <v>8</v>
      </c>
    </row>
    <row r="157" spans="1:17" x14ac:dyDescent="0.3">
      <c r="A157" t="s">
        <v>417</v>
      </c>
      <c r="B157" t="s">
        <v>418</v>
      </c>
      <c r="C157" t="s">
        <v>118</v>
      </c>
      <c r="D157" s="2">
        <v>60</v>
      </c>
      <c r="E157" t="s">
        <v>128</v>
      </c>
      <c r="F157" t="s">
        <v>129</v>
      </c>
      <c r="G157" s="2" t="s">
        <v>46</v>
      </c>
      <c r="H157" s="2">
        <v>15</v>
      </c>
      <c r="I157" s="2" t="s">
        <v>22</v>
      </c>
      <c r="J157" s="2">
        <v>1.5</v>
      </c>
      <c r="K157" s="2" t="s">
        <v>23</v>
      </c>
      <c r="L157" s="2">
        <v>80</v>
      </c>
      <c r="M157" s="2" t="s">
        <v>60</v>
      </c>
      <c r="N157" s="2" t="s">
        <v>42</v>
      </c>
      <c r="O157" s="2">
        <v>8</v>
      </c>
      <c r="P157" s="2" t="str">
        <f>IF(global_freelancer_raw5[[#This Row],[No of projects ]]&lt;=5,"Entry level","Well Experienced")</f>
        <v>Well Experienced</v>
      </c>
      <c r="Q157" s="2">
        <v>14</v>
      </c>
    </row>
    <row r="158" spans="1:17" x14ac:dyDescent="0.3">
      <c r="A158" t="s">
        <v>419</v>
      </c>
      <c r="B158" t="s">
        <v>420</v>
      </c>
      <c r="C158" t="s">
        <v>97</v>
      </c>
      <c r="D158" s="2">
        <v>43</v>
      </c>
      <c r="E158" t="s">
        <v>19</v>
      </c>
      <c r="F158" t="s">
        <v>20</v>
      </c>
      <c r="G158" s="2" t="s">
        <v>66</v>
      </c>
      <c r="H158" s="2">
        <v>9</v>
      </c>
      <c r="I158" s="2" t="s">
        <v>142</v>
      </c>
      <c r="J158" s="2">
        <v>2.2000000000000002</v>
      </c>
      <c r="K158" s="2" t="s">
        <v>41</v>
      </c>
      <c r="L158" s="2" t="s">
        <v>2120</v>
      </c>
      <c r="M158" s="2" t="s">
        <v>82</v>
      </c>
      <c r="N158" s="2" t="s">
        <v>75</v>
      </c>
      <c r="O158" s="2">
        <v>12</v>
      </c>
      <c r="P158" s="2" t="str">
        <f>IF(global_freelancer_raw5[[#This Row],[No of projects ]]&lt;=5,"Entry level","Well Experienced")</f>
        <v>Well Experienced</v>
      </c>
      <c r="Q158" s="2">
        <v>5</v>
      </c>
    </row>
    <row r="159" spans="1:17" x14ac:dyDescent="0.3">
      <c r="A159" t="s">
        <v>421</v>
      </c>
      <c r="B159" t="s">
        <v>422</v>
      </c>
      <c r="C159" t="s">
        <v>118</v>
      </c>
      <c r="D159" s="2">
        <v>56</v>
      </c>
      <c r="E159" t="s">
        <v>175</v>
      </c>
      <c r="F159" t="s">
        <v>176</v>
      </c>
      <c r="G159" s="2" t="s">
        <v>66</v>
      </c>
      <c r="H159" s="2" t="s">
        <v>2120</v>
      </c>
      <c r="I159" s="2" t="s">
        <v>22</v>
      </c>
      <c r="J159" s="2">
        <v>3.2</v>
      </c>
      <c r="K159" s="2" t="s">
        <v>23</v>
      </c>
      <c r="L159" s="2">
        <v>0.62</v>
      </c>
      <c r="M159" s="2" t="s">
        <v>82</v>
      </c>
      <c r="N159" s="2" t="s">
        <v>75</v>
      </c>
      <c r="O159" s="2">
        <v>4</v>
      </c>
      <c r="P159" s="2" t="str">
        <f>IF(global_freelancer_raw5[[#This Row],[No of projects ]]&lt;=5,"Entry level","Well Experienced")</f>
        <v>Entry level</v>
      </c>
      <c r="Q159" s="2">
        <v>1</v>
      </c>
    </row>
    <row r="160" spans="1:17" x14ac:dyDescent="0.3">
      <c r="A160" t="s">
        <v>423</v>
      </c>
      <c r="B160" t="s">
        <v>424</v>
      </c>
      <c r="C160" t="s">
        <v>118</v>
      </c>
      <c r="D160" s="2">
        <v>42</v>
      </c>
      <c r="E160" t="s">
        <v>145</v>
      </c>
      <c r="F160" t="s">
        <v>146</v>
      </c>
      <c r="G160" s="2" t="s">
        <v>110</v>
      </c>
      <c r="H160" s="2">
        <v>2</v>
      </c>
      <c r="I160" s="2" t="s">
        <v>81</v>
      </c>
      <c r="J160" s="2">
        <v>1.9</v>
      </c>
      <c r="K160" s="2" t="s">
        <v>59</v>
      </c>
      <c r="L160" s="2">
        <v>0.95</v>
      </c>
      <c r="M160" s="2" t="s">
        <v>24</v>
      </c>
      <c r="N160" s="2" t="s">
        <v>34</v>
      </c>
      <c r="O160" s="2">
        <v>2</v>
      </c>
      <c r="P160" s="2" t="str">
        <f>IF(global_freelancer_raw5[[#This Row],[No of projects ]]&lt;=5,"Entry level","Well Experienced")</f>
        <v>Entry level</v>
      </c>
      <c r="Q160" s="2">
        <v>3</v>
      </c>
    </row>
    <row r="161" spans="1:17" x14ac:dyDescent="0.3">
      <c r="A161" t="s">
        <v>425</v>
      </c>
      <c r="B161" t="s">
        <v>426</v>
      </c>
      <c r="C161" t="s">
        <v>97</v>
      </c>
      <c r="D161" s="2">
        <v>20</v>
      </c>
      <c r="E161" t="s">
        <v>212</v>
      </c>
      <c r="F161" t="s">
        <v>92</v>
      </c>
      <c r="G161" s="2" t="s">
        <v>39</v>
      </c>
      <c r="H161" s="2">
        <v>0</v>
      </c>
      <c r="I161" s="2" t="s">
        <v>86</v>
      </c>
      <c r="J161" s="2">
        <v>2.5</v>
      </c>
      <c r="K161" s="2" t="s">
        <v>23</v>
      </c>
      <c r="L161" s="2">
        <v>0.79</v>
      </c>
      <c r="M161" s="2" t="s">
        <v>24</v>
      </c>
      <c r="N161" s="2" t="s">
        <v>42</v>
      </c>
      <c r="O161" s="2">
        <v>4</v>
      </c>
      <c r="P161" s="2" t="str">
        <f>IF(global_freelancer_raw5[[#This Row],[No of projects ]]&lt;=5,"Entry level","Well Experienced")</f>
        <v>Entry level</v>
      </c>
      <c r="Q161" s="2">
        <v>2</v>
      </c>
    </row>
    <row r="162" spans="1:17" x14ac:dyDescent="0.3">
      <c r="A162" t="s">
        <v>427</v>
      </c>
      <c r="B162" t="s">
        <v>428</v>
      </c>
      <c r="C162" t="s">
        <v>97</v>
      </c>
      <c r="D162" s="2">
        <v>47</v>
      </c>
      <c r="E162" t="s">
        <v>64</v>
      </c>
      <c r="F162" t="s">
        <v>65</v>
      </c>
      <c r="G162" s="2" t="s">
        <v>93</v>
      </c>
      <c r="H162" s="2">
        <v>12</v>
      </c>
      <c r="I162" s="2" t="s">
        <v>86</v>
      </c>
      <c r="J162" s="2">
        <v>4.5</v>
      </c>
      <c r="K162" s="2" t="s">
        <v>181</v>
      </c>
      <c r="L162" s="2">
        <v>0.62</v>
      </c>
      <c r="M162" s="2" t="s">
        <v>88</v>
      </c>
      <c r="N162" s="2" t="s">
        <v>25</v>
      </c>
      <c r="O162" s="2">
        <v>15</v>
      </c>
      <c r="P162" s="2" t="str">
        <f>IF(global_freelancer_raw5[[#This Row],[No of projects ]]&lt;=5,"Entry level","Well Experienced")</f>
        <v>Well Experienced</v>
      </c>
      <c r="Q162" s="2">
        <v>10</v>
      </c>
    </row>
    <row r="163" spans="1:17" x14ac:dyDescent="0.3">
      <c r="A163" t="s">
        <v>429</v>
      </c>
      <c r="B163" t="s">
        <v>430</v>
      </c>
      <c r="C163" t="s">
        <v>118</v>
      </c>
      <c r="D163" s="2" t="s">
        <v>2119</v>
      </c>
      <c r="E163" t="s">
        <v>91</v>
      </c>
      <c r="F163" t="s">
        <v>92</v>
      </c>
      <c r="G163" s="2" t="s">
        <v>66</v>
      </c>
      <c r="H163" s="2">
        <v>12</v>
      </c>
      <c r="I163" s="2" t="s">
        <v>58</v>
      </c>
      <c r="J163" s="2">
        <v>4.0999999999999996</v>
      </c>
      <c r="K163" s="2" t="s">
        <v>181</v>
      </c>
      <c r="L163" s="2">
        <v>0.68</v>
      </c>
      <c r="M163" s="2" t="s">
        <v>82</v>
      </c>
      <c r="N163" s="2" t="s">
        <v>75</v>
      </c>
      <c r="O163" s="2">
        <v>15</v>
      </c>
      <c r="P163" s="2" t="str">
        <f>IF(global_freelancer_raw5[[#This Row],[No of projects ]]&lt;=5,"Entry level","Well Experienced")</f>
        <v>Well Experienced</v>
      </c>
      <c r="Q163" s="2">
        <v>11</v>
      </c>
    </row>
    <row r="164" spans="1:17" x14ac:dyDescent="0.3">
      <c r="A164" t="s">
        <v>431</v>
      </c>
      <c r="B164" t="s">
        <v>432</v>
      </c>
      <c r="C164" t="s">
        <v>118</v>
      </c>
      <c r="D164" s="2">
        <v>56</v>
      </c>
      <c r="E164" t="s">
        <v>64</v>
      </c>
      <c r="F164" t="s">
        <v>65</v>
      </c>
      <c r="G164" s="2" t="s">
        <v>110</v>
      </c>
      <c r="H164" s="2">
        <v>15</v>
      </c>
      <c r="I164" s="2" t="s">
        <v>67</v>
      </c>
      <c r="J164" s="2">
        <v>0</v>
      </c>
      <c r="K164" s="2" t="s">
        <v>181</v>
      </c>
      <c r="L164" s="2" t="s">
        <v>2120</v>
      </c>
      <c r="M164" s="2" t="s">
        <v>60</v>
      </c>
      <c r="N164" s="2" t="s">
        <v>34</v>
      </c>
      <c r="O164" s="2">
        <v>9</v>
      </c>
      <c r="P164" s="2" t="str">
        <f>IF(global_freelancer_raw5[[#This Row],[No of projects ]]&lt;=5,"Entry level","Well Experienced")</f>
        <v>Well Experienced</v>
      </c>
      <c r="Q164" s="2">
        <v>9</v>
      </c>
    </row>
    <row r="165" spans="1:17" x14ac:dyDescent="0.3">
      <c r="A165" t="s">
        <v>433</v>
      </c>
      <c r="B165" t="s">
        <v>434</v>
      </c>
      <c r="C165" t="s">
        <v>118</v>
      </c>
      <c r="D165" s="2">
        <v>59</v>
      </c>
      <c r="E165" t="s">
        <v>85</v>
      </c>
      <c r="F165" t="s">
        <v>30</v>
      </c>
      <c r="G165" s="2" t="s">
        <v>110</v>
      </c>
      <c r="H165" s="2">
        <v>29</v>
      </c>
      <c r="I165" s="2" t="s">
        <v>67</v>
      </c>
      <c r="J165" s="2" t="s">
        <v>2120</v>
      </c>
      <c r="K165" s="2" t="s">
        <v>23</v>
      </c>
      <c r="L165" s="2">
        <v>0.8</v>
      </c>
      <c r="M165" s="2" t="s">
        <v>24</v>
      </c>
      <c r="N165" s="2" t="s">
        <v>25</v>
      </c>
      <c r="O165" s="2">
        <v>19</v>
      </c>
      <c r="P165" s="2" t="str">
        <f>IF(global_freelancer_raw5[[#This Row],[No of projects ]]&lt;=5,"Entry level","Well Experienced")</f>
        <v>Well Experienced</v>
      </c>
      <c r="Q165" s="2">
        <v>7</v>
      </c>
    </row>
    <row r="166" spans="1:17" x14ac:dyDescent="0.3">
      <c r="A166" t="s">
        <v>435</v>
      </c>
      <c r="B166" t="s">
        <v>436</v>
      </c>
      <c r="C166" t="s">
        <v>118</v>
      </c>
      <c r="D166" s="2">
        <v>56</v>
      </c>
      <c r="E166" t="s">
        <v>106</v>
      </c>
      <c r="F166" t="s">
        <v>107</v>
      </c>
      <c r="G166" s="2" t="s">
        <v>98</v>
      </c>
      <c r="H166" s="2">
        <v>15</v>
      </c>
      <c r="I166" s="2" t="s">
        <v>86</v>
      </c>
      <c r="J166" s="2">
        <v>3.7</v>
      </c>
      <c r="K166" s="2" t="s">
        <v>2120</v>
      </c>
      <c r="L166" s="2">
        <v>0.92</v>
      </c>
      <c r="M166" s="2" t="s">
        <v>60</v>
      </c>
      <c r="N166" s="2" t="s">
        <v>42</v>
      </c>
      <c r="O166" s="2">
        <v>14</v>
      </c>
      <c r="P166" s="2" t="str">
        <f>IF(global_freelancer_raw5[[#This Row],[No of projects ]]&lt;=5,"Entry level","Well Experienced")</f>
        <v>Well Experienced</v>
      </c>
      <c r="Q166" s="2">
        <v>9</v>
      </c>
    </row>
    <row r="167" spans="1:17" x14ac:dyDescent="0.3">
      <c r="A167" t="s">
        <v>437</v>
      </c>
      <c r="B167" t="s">
        <v>438</v>
      </c>
      <c r="C167" t="s">
        <v>97</v>
      </c>
      <c r="D167" s="2">
        <v>31</v>
      </c>
      <c r="E167" t="s">
        <v>175</v>
      </c>
      <c r="F167" t="s">
        <v>176</v>
      </c>
      <c r="G167" s="2" t="s">
        <v>46</v>
      </c>
      <c r="H167" s="2" t="s">
        <v>2120</v>
      </c>
      <c r="I167" s="2" t="s">
        <v>67</v>
      </c>
      <c r="J167" s="2">
        <v>1.3</v>
      </c>
      <c r="K167" s="2" t="s">
        <v>33</v>
      </c>
      <c r="L167" s="2">
        <v>0.65</v>
      </c>
      <c r="M167" s="2" t="s">
        <v>60</v>
      </c>
      <c r="N167" s="2" t="s">
        <v>34</v>
      </c>
      <c r="O167" s="2">
        <v>1</v>
      </c>
      <c r="P167" s="2" t="str">
        <f>IF(global_freelancer_raw5[[#This Row],[No of projects ]]&lt;=5,"Entry level","Well Experienced")</f>
        <v>Entry level</v>
      </c>
      <c r="Q167" s="2">
        <v>1</v>
      </c>
    </row>
    <row r="168" spans="1:17" x14ac:dyDescent="0.3">
      <c r="A168" t="s">
        <v>439</v>
      </c>
      <c r="B168" t="s">
        <v>440</v>
      </c>
      <c r="C168" t="s">
        <v>118</v>
      </c>
      <c r="D168" s="2">
        <v>60</v>
      </c>
      <c r="E168" t="s">
        <v>133</v>
      </c>
      <c r="F168" t="s">
        <v>134</v>
      </c>
      <c r="G168" s="2" t="s">
        <v>31</v>
      </c>
      <c r="H168" s="2">
        <v>33</v>
      </c>
      <c r="I168" s="2" t="s">
        <v>86</v>
      </c>
      <c r="J168" s="2">
        <v>3.6</v>
      </c>
      <c r="K168" s="2" t="s">
        <v>33</v>
      </c>
      <c r="L168" s="2">
        <v>0.87</v>
      </c>
      <c r="M168" s="2" t="s">
        <v>82</v>
      </c>
      <c r="N168" s="2" t="s">
        <v>75</v>
      </c>
      <c r="O168" s="2">
        <v>13</v>
      </c>
      <c r="P168" s="2" t="str">
        <f>IF(global_freelancer_raw5[[#This Row],[No of projects ]]&lt;=5,"Entry level","Well Experienced")</f>
        <v>Well Experienced</v>
      </c>
      <c r="Q168" s="2">
        <v>10</v>
      </c>
    </row>
    <row r="169" spans="1:17" x14ac:dyDescent="0.3">
      <c r="A169" t="s">
        <v>441</v>
      </c>
      <c r="B169" t="s">
        <v>442</v>
      </c>
      <c r="C169" t="s">
        <v>97</v>
      </c>
      <c r="D169" s="2">
        <v>31</v>
      </c>
      <c r="E169" t="s">
        <v>149</v>
      </c>
      <c r="F169" t="s">
        <v>30</v>
      </c>
      <c r="G169" s="2" t="s">
        <v>46</v>
      </c>
      <c r="H169" s="2">
        <v>10</v>
      </c>
      <c r="I169" s="2" t="s">
        <v>103</v>
      </c>
      <c r="J169" s="2">
        <v>0</v>
      </c>
      <c r="K169" s="2" t="s">
        <v>181</v>
      </c>
      <c r="L169" s="2">
        <v>0.7</v>
      </c>
      <c r="M169" s="2" t="s">
        <v>82</v>
      </c>
      <c r="N169" s="2" t="s">
        <v>25</v>
      </c>
      <c r="O169" s="2">
        <v>11</v>
      </c>
      <c r="P169" s="2" t="str">
        <f>IF(global_freelancer_raw5[[#This Row],[No of projects ]]&lt;=5,"Entry level","Well Experienced")</f>
        <v>Well Experienced</v>
      </c>
      <c r="Q169" s="2">
        <v>9</v>
      </c>
    </row>
    <row r="170" spans="1:17" x14ac:dyDescent="0.3">
      <c r="A170" t="s">
        <v>443</v>
      </c>
      <c r="B170" t="s">
        <v>444</v>
      </c>
      <c r="C170" t="s">
        <v>118</v>
      </c>
      <c r="D170" s="2">
        <v>60</v>
      </c>
      <c r="E170" t="s">
        <v>91</v>
      </c>
      <c r="F170" t="s">
        <v>92</v>
      </c>
      <c r="G170" s="2" t="s">
        <v>98</v>
      </c>
      <c r="H170" s="2">
        <v>20</v>
      </c>
      <c r="I170" s="2" t="s">
        <v>86</v>
      </c>
      <c r="J170" s="2">
        <v>1.4</v>
      </c>
      <c r="K170" s="2" t="s">
        <v>181</v>
      </c>
      <c r="L170" s="2">
        <v>87</v>
      </c>
      <c r="M170" s="2" t="s">
        <v>24</v>
      </c>
      <c r="N170" s="2" t="s">
        <v>75</v>
      </c>
      <c r="O170" s="2">
        <v>18</v>
      </c>
      <c r="P170" s="2" t="str">
        <f>IF(global_freelancer_raw5[[#This Row],[No of projects ]]&lt;=5,"Entry level","Well Experienced")</f>
        <v>Well Experienced</v>
      </c>
      <c r="Q170" s="2">
        <v>17</v>
      </c>
    </row>
    <row r="171" spans="1:17" x14ac:dyDescent="0.3">
      <c r="A171" t="s">
        <v>445</v>
      </c>
      <c r="B171" t="s">
        <v>446</v>
      </c>
      <c r="C171" t="s">
        <v>118</v>
      </c>
      <c r="D171" s="2">
        <v>46</v>
      </c>
      <c r="E171" t="s">
        <v>156</v>
      </c>
      <c r="F171" t="s">
        <v>157</v>
      </c>
      <c r="G171" s="2" t="s">
        <v>110</v>
      </c>
      <c r="H171" s="2">
        <v>23</v>
      </c>
      <c r="I171" s="2" t="s">
        <v>162</v>
      </c>
      <c r="J171" s="2">
        <v>2.9</v>
      </c>
      <c r="K171" s="2" t="s">
        <v>41</v>
      </c>
      <c r="L171" s="2">
        <v>0.72</v>
      </c>
      <c r="M171" s="2" t="s">
        <v>82</v>
      </c>
      <c r="N171" s="2" t="s">
        <v>42</v>
      </c>
      <c r="O171" s="2">
        <v>19</v>
      </c>
      <c r="P171" s="2" t="str">
        <f>IF(global_freelancer_raw5[[#This Row],[No of projects ]]&lt;=5,"Entry level","Well Experienced")</f>
        <v>Well Experienced</v>
      </c>
      <c r="Q171" s="2">
        <v>5</v>
      </c>
    </row>
    <row r="172" spans="1:17" x14ac:dyDescent="0.3">
      <c r="A172" t="s">
        <v>447</v>
      </c>
      <c r="B172" t="s">
        <v>448</v>
      </c>
      <c r="C172" t="s">
        <v>97</v>
      </c>
      <c r="D172" s="2" t="s">
        <v>2119</v>
      </c>
      <c r="E172" t="s">
        <v>55</v>
      </c>
      <c r="F172" t="s">
        <v>56</v>
      </c>
      <c r="G172" s="2" t="s">
        <v>21</v>
      </c>
      <c r="H172" s="2" t="s">
        <v>2120</v>
      </c>
      <c r="I172" s="2" t="s">
        <v>86</v>
      </c>
      <c r="J172" s="2">
        <v>2.8</v>
      </c>
      <c r="K172" s="2" t="s">
        <v>41</v>
      </c>
      <c r="L172" s="2">
        <v>0.8</v>
      </c>
      <c r="M172" s="2" t="s">
        <v>82</v>
      </c>
      <c r="N172" s="2" t="s">
        <v>25</v>
      </c>
      <c r="O172" s="2">
        <v>4</v>
      </c>
      <c r="P172" s="2" t="str">
        <f>IF(global_freelancer_raw5[[#This Row],[No of projects ]]&lt;=5,"Entry level","Well Experienced")</f>
        <v>Entry level</v>
      </c>
      <c r="Q172" s="2">
        <v>1</v>
      </c>
    </row>
    <row r="173" spans="1:17" x14ac:dyDescent="0.3">
      <c r="A173" t="s">
        <v>449</v>
      </c>
      <c r="B173" t="s">
        <v>450</v>
      </c>
      <c r="C173" t="s">
        <v>118</v>
      </c>
      <c r="D173" s="2">
        <v>34</v>
      </c>
      <c r="E173" t="s">
        <v>106</v>
      </c>
      <c r="F173" t="s">
        <v>107</v>
      </c>
      <c r="G173" s="2" t="s">
        <v>93</v>
      </c>
      <c r="H173" s="2">
        <v>0</v>
      </c>
      <c r="I173" s="2" t="s">
        <v>162</v>
      </c>
      <c r="J173" s="2">
        <v>1.7</v>
      </c>
      <c r="K173" s="2" t="s">
        <v>23</v>
      </c>
      <c r="L173" s="2">
        <v>0.66</v>
      </c>
      <c r="M173" s="2" t="s">
        <v>82</v>
      </c>
      <c r="N173" s="2" t="s">
        <v>42</v>
      </c>
      <c r="O173" s="2">
        <v>1</v>
      </c>
      <c r="P173" s="2" t="str">
        <f>IF(global_freelancer_raw5[[#This Row],[No of projects ]]&lt;=5,"Entry level","Well Experienced")</f>
        <v>Entry level</v>
      </c>
      <c r="Q173" s="2">
        <v>3</v>
      </c>
    </row>
    <row r="174" spans="1:17" x14ac:dyDescent="0.3">
      <c r="A174" t="s">
        <v>451</v>
      </c>
      <c r="B174" t="s">
        <v>452</v>
      </c>
      <c r="C174" t="s">
        <v>97</v>
      </c>
      <c r="D174" s="2">
        <v>42</v>
      </c>
      <c r="E174" t="s">
        <v>55</v>
      </c>
      <c r="F174" t="s">
        <v>56</v>
      </c>
      <c r="G174" s="2" t="s">
        <v>39</v>
      </c>
      <c r="H174" s="2">
        <v>7</v>
      </c>
      <c r="I174" s="2" t="s">
        <v>70</v>
      </c>
      <c r="J174" s="2">
        <v>0</v>
      </c>
      <c r="K174" s="2" t="s">
        <v>33</v>
      </c>
      <c r="L174" s="2" t="s">
        <v>2120</v>
      </c>
      <c r="M174" s="2" t="s">
        <v>60</v>
      </c>
      <c r="N174" s="2" t="s">
        <v>42</v>
      </c>
      <c r="O174" s="2">
        <v>14</v>
      </c>
      <c r="P174" s="2" t="str">
        <f>IF(global_freelancer_raw5[[#This Row],[No of projects ]]&lt;=5,"Entry level","Well Experienced")</f>
        <v>Well Experienced</v>
      </c>
      <c r="Q174" s="2">
        <v>5</v>
      </c>
    </row>
    <row r="175" spans="1:17" x14ac:dyDescent="0.3">
      <c r="A175" t="s">
        <v>453</v>
      </c>
      <c r="B175" t="s">
        <v>454</v>
      </c>
      <c r="C175" t="s">
        <v>118</v>
      </c>
      <c r="D175" s="2">
        <v>31</v>
      </c>
      <c r="E175" t="s">
        <v>85</v>
      </c>
      <c r="F175" t="s">
        <v>30</v>
      </c>
      <c r="G175" s="2" t="s">
        <v>66</v>
      </c>
      <c r="H175" s="2">
        <v>4</v>
      </c>
      <c r="I175" s="2" t="s">
        <v>67</v>
      </c>
      <c r="J175" s="2">
        <v>1.1000000000000001</v>
      </c>
      <c r="K175" s="2" t="s">
        <v>74</v>
      </c>
      <c r="L175" s="2">
        <v>0.64</v>
      </c>
      <c r="M175" s="2" t="s">
        <v>24</v>
      </c>
      <c r="N175" s="2" t="s">
        <v>34</v>
      </c>
      <c r="O175" s="2">
        <v>4</v>
      </c>
      <c r="P175" s="2" t="str">
        <f>IF(global_freelancer_raw5[[#This Row],[No of projects ]]&lt;=5,"Entry level","Well Experienced")</f>
        <v>Entry level</v>
      </c>
      <c r="Q175" s="2">
        <v>2</v>
      </c>
    </row>
    <row r="176" spans="1:17" x14ac:dyDescent="0.3">
      <c r="A176" t="s">
        <v>455</v>
      </c>
      <c r="B176" t="s">
        <v>456</v>
      </c>
      <c r="C176" t="s">
        <v>118</v>
      </c>
      <c r="D176" s="2">
        <v>29</v>
      </c>
      <c r="E176" t="s">
        <v>128</v>
      </c>
      <c r="F176" t="s">
        <v>129</v>
      </c>
      <c r="G176" s="2" t="s">
        <v>93</v>
      </c>
      <c r="H176" s="2">
        <v>9</v>
      </c>
      <c r="I176" s="2" t="s">
        <v>162</v>
      </c>
      <c r="J176" s="2" t="s">
        <v>2120</v>
      </c>
      <c r="K176" s="2" t="s">
        <v>2120</v>
      </c>
      <c r="L176" s="2">
        <v>0.68</v>
      </c>
      <c r="M176" s="2" t="s">
        <v>88</v>
      </c>
      <c r="N176" s="2" t="s">
        <v>75</v>
      </c>
      <c r="O176" s="2">
        <v>11</v>
      </c>
      <c r="P176" s="2" t="str">
        <f>IF(global_freelancer_raw5[[#This Row],[No of projects ]]&lt;=5,"Entry level","Well Experienced")</f>
        <v>Well Experienced</v>
      </c>
      <c r="Q176" s="2">
        <v>5</v>
      </c>
    </row>
    <row r="177" spans="1:17" x14ac:dyDescent="0.3">
      <c r="A177" t="s">
        <v>457</v>
      </c>
      <c r="B177" t="s">
        <v>458</v>
      </c>
      <c r="C177" t="s">
        <v>97</v>
      </c>
      <c r="D177" s="2">
        <v>57</v>
      </c>
      <c r="E177" t="s">
        <v>29</v>
      </c>
      <c r="F177" t="s">
        <v>30</v>
      </c>
      <c r="G177" s="2" t="s">
        <v>39</v>
      </c>
      <c r="H177" s="2">
        <v>17</v>
      </c>
      <c r="I177" s="2" t="s">
        <v>162</v>
      </c>
      <c r="J177" s="2">
        <v>3.6</v>
      </c>
      <c r="K177" s="2" t="s">
        <v>23</v>
      </c>
      <c r="L177" s="2">
        <v>0.63</v>
      </c>
      <c r="M177" s="2" t="s">
        <v>60</v>
      </c>
      <c r="N177" s="2" t="s">
        <v>25</v>
      </c>
      <c r="O177" s="2">
        <v>10</v>
      </c>
      <c r="P177" s="2" t="str">
        <f>IF(global_freelancer_raw5[[#This Row],[No of projects ]]&lt;=5,"Entry level","Well Experienced")</f>
        <v>Well Experienced</v>
      </c>
      <c r="Q177" s="2">
        <v>4</v>
      </c>
    </row>
    <row r="178" spans="1:17" x14ac:dyDescent="0.3">
      <c r="A178" t="s">
        <v>459</v>
      </c>
      <c r="B178" t="s">
        <v>460</v>
      </c>
      <c r="C178" t="s">
        <v>118</v>
      </c>
      <c r="D178" s="2">
        <v>47</v>
      </c>
      <c r="E178" t="s">
        <v>114</v>
      </c>
      <c r="F178" t="s">
        <v>115</v>
      </c>
      <c r="G178" s="2" t="s">
        <v>110</v>
      </c>
      <c r="H178" s="2">
        <v>8</v>
      </c>
      <c r="I178" s="2" t="s">
        <v>162</v>
      </c>
      <c r="J178" s="2">
        <v>4.5</v>
      </c>
      <c r="K178" s="2" t="s">
        <v>33</v>
      </c>
      <c r="L178" s="2">
        <v>0.72</v>
      </c>
      <c r="M178" s="2" t="s">
        <v>82</v>
      </c>
      <c r="N178" s="2" t="s">
        <v>42</v>
      </c>
      <c r="O178" s="2">
        <v>12</v>
      </c>
      <c r="P178" s="2" t="str">
        <f>IF(global_freelancer_raw5[[#This Row],[No of projects ]]&lt;=5,"Entry level","Well Experienced")</f>
        <v>Well Experienced</v>
      </c>
      <c r="Q178" s="2">
        <v>10</v>
      </c>
    </row>
    <row r="179" spans="1:17" x14ac:dyDescent="0.3">
      <c r="A179" t="s">
        <v>461</v>
      </c>
      <c r="B179" t="s">
        <v>462</v>
      </c>
      <c r="C179" t="s">
        <v>118</v>
      </c>
      <c r="D179" s="2">
        <v>47</v>
      </c>
      <c r="E179" t="s">
        <v>175</v>
      </c>
      <c r="F179" t="s">
        <v>176</v>
      </c>
      <c r="G179" s="2" t="s">
        <v>57</v>
      </c>
      <c r="H179" s="2">
        <v>14</v>
      </c>
      <c r="I179" s="2" t="s">
        <v>58</v>
      </c>
      <c r="J179" s="2">
        <v>0</v>
      </c>
      <c r="K179" s="2" t="s">
        <v>74</v>
      </c>
      <c r="L179" s="2">
        <v>0.86</v>
      </c>
      <c r="M179" s="2" t="s">
        <v>60</v>
      </c>
      <c r="N179" s="2" t="s">
        <v>42</v>
      </c>
      <c r="O179" s="2">
        <v>14</v>
      </c>
      <c r="P179" s="2" t="str">
        <f>IF(global_freelancer_raw5[[#This Row],[No of projects ]]&lt;=5,"Entry level","Well Experienced")</f>
        <v>Well Experienced</v>
      </c>
      <c r="Q179" s="2">
        <v>3</v>
      </c>
    </row>
    <row r="180" spans="1:17" x14ac:dyDescent="0.3">
      <c r="A180" t="s">
        <v>463</v>
      </c>
      <c r="B180" t="s">
        <v>464</v>
      </c>
      <c r="C180" t="s">
        <v>97</v>
      </c>
      <c r="D180" s="2">
        <v>45</v>
      </c>
      <c r="E180" t="s">
        <v>156</v>
      </c>
      <c r="F180" t="s">
        <v>157</v>
      </c>
      <c r="G180" s="2" t="s">
        <v>39</v>
      </c>
      <c r="H180" s="2">
        <v>21</v>
      </c>
      <c r="I180" s="2" t="s">
        <v>130</v>
      </c>
      <c r="J180" s="2">
        <v>1.5</v>
      </c>
      <c r="K180" s="2" t="s">
        <v>33</v>
      </c>
      <c r="L180" s="2">
        <v>0.73</v>
      </c>
      <c r="M180" s="2" t="s">
        <v>82</v>
      </c>
      <c r="N180" s="2" t="s">
        <v>25</v>
      </c>
      <c r="O180" s="2">
        <v>15</v>
      </c>
      <c r="P180" s="2" t="str">
        <f>IF(global_freelancer_raw5[[#This Row],[No of projects ]]&lt;=5,"Entry level","Well Experienced")</f>
        <v>Well Experienced</v>
      </c>
      <c r="Q180" s="2">
        <v>17</v>
      </c>
    </row>
    <row r="181" spans="1:17" x14ac:dyDescent="0.3">
      <c r="A181" t="s">
        <v>465</v>
      </c>
      <c r="B181" t="s">
        <v>466</v>
      </c>
      <c r="C181" t="s">
        <v>118</v>
      </c>
      <c r="D181" s="2">
        <v>24</v>
      </c>
      <c r="E181" t="s">
        <v>79</v>
      </c>
      <c r="F181" t="s">
        <v>80</v>
      </c>
      <c r="G181" s="2" t="s">
        <v>135</v>
      </c>
      <c r="H181" s="2">
        <v>1</v>
      </c>
      <c r="I181" s="2" t="s">
        <v>58</v>
      </c>
      <c r="J181" s="2">
        <v>3.7</v>
      </c>
      <c r="K181" s="2" t="s">
        <v>181</v>
      </c>
      <c r="L181" s="2">
        <v>0.95</v>
      </c>
      <c r="M181" s="2" t="s">
        <v>82</v>
      </c>
      <c r="N181" s="2" t="s">
        <v>42</v>
      </c>
      <c r="O181" s="2">
        <v>3</v>
      </c>
      <c r="P181" s="2" t="str">
        <f>IF(global_freelancer_raw5[[#This Row],[No of projects ]]&lt;=5,"Entry level","Well Experienced")</f>
        <v>Entry level</v>
      </c>
      <c r="Q181" s="2">
        <v>1</v>
      </c>
    </row>
    <row r="182" spans="1:17" x14ac:dyDescent="0.3">
      <c r="A182" t="s">
        <v>467</v>
      </c>
      <c r="B182" t="s">
        <v>468</v>
      </c>
      <c r="C182" t="s">
        <v>97</v>
      </c>
      <c r="D182" s="2">
        <v>31</v>
      </c>
      <c r="E182" t="s">
        <v>91</v>
      </c>
      <c r="F182" t="s">
        <v>92</v>
      </c>
      <c r="G182" s="2" t="s">
        <v>31</v>
      </c>
      <c r="H182" s="2">
        <v>12</v>
      </c>
      <c r="I182" s="2" t="s">
        <v>162</v>
      </c>
      <c r="J182" s="2">
        <v>2.2999999999999998</v>
      </c>
      <c r="K182" s="2" t="s">
        <v>59</v>
      </c>
      <c r="L182" s="2">
        <v>0.9</v>
      </c>
      <c r="M182" s="2" t="s">
        <v>60</v>
      </c>
      <c r="N182" s="2" t="s">
        <v>34</v>
      </c>
      <c r="O182" s="2">
        <v>11</v>
      </c>
      <c r="P182" s="2" t="str">
        <f>IF(global_freelancer_raw5[[#This Row],[No of projects ]]&lt;=5,"Entry level","Well Experienced")</f>
        <v>Well Experienced</v>
      </c>
      <c r="Q182" s="2">
        <v>6</v>
      </c>
    </row>
    <row r="183" spans="1:17" x14ac:dyDescent="0.3">
      <c r="A183" t="s">
        <v>469</v>
      </c>
      <c r="B183" t="s">
        <v>470</v>
      </c>
      <c r="C183" t="s">
        <v>97</v>
      </c>
      <c r="D183" s="2">
        <v>20</v>
      </c>
      <c r="E183" t="s">
        <v>201</v>
      </c>
      <c r="F183" t="s">
        <v>92</v>
      </c>
      <c r="G183" s="2" t="s">
        <v>39</v>
      </c>
      <c r="H183" s="2">
        <v>2</v>
      </c>
      <c r="I183" s="2" t="s">
        <v>142</v>
      </c>
      <c r="J183" s="2">
        <v>2.8</v>
      </c>
      <c r="K183" s="2" t="s">
        <v>23</v>
      </c>
      <c r="L183" s="2">
        <v>0.78</v>
      </c>
      <c r="M183" s="2" t="s">
        <v>24</v>
      </c>
      <c r="N183" s="2" t="s">
        <v>34</v>
      </c>
      <c r="O183" s="2">
        <v>5</v>
      </c>
      <c r="P183" s="2" t="str">
        <f>IF(global_freelancer_raw5[[#This Row],[No of projects ]]&lt;=5,"Entry level","Well Experienced")</f>
        <v>Entry level</v>
      </c>
      <c r="Q183" s="2">
        <v>1</v>
      </c>
    </row>
    <row r="184" spans="1:17" x14ac:dyDescent="0.3">
      <c r="A184" t="s">
        <v>471</v>
      </c>
      <c r="B184" t="s">
        <v>472</v>
      </c>
      <c r="C184" t="s">
        <v>118</v>
      </c>
      <c r="D184" s="2">
        <v>38</v>
      </c>
      <c r="E184" t="s">
        <v>106</v>
      </c>
      <c r="F184" t="s">
        <v>107</v>
      </c>
      <c r="G184" s="2" t="s">
        <v>46</v>
      </c>
      <c r="H184" s="2">
        <v>3</v>
      </c>
      <c r="I184" s="2" t="s">
        <v>52</v>
      </c>
      <c r="J184" s="2">
        <v>3.5</v>
      </c>
      <c r="K184" s="2" t="s">
        <v>181</v>
      </c>
      <c r="L184" s="2">
        <v>0.97</v>
      </c>
      <c r="M184" s="2" t="s">
        <v>82</v>
      </c>
      <c r="N184" s="2" t="s">
        <v>34</v>
      </c>
      <c r="O184" s="2">
        <v>3</v>
      </c>
      <c r="P184" s="2" t="str">
        <f>IF(global_freelancer_raw5[[#This Row],[No of projects ]]&lt;=5,"Entry level","Well Experienced")</f>
        <v>Entry level</v>
      </c>
      <c r="Q184" s="2">
        <v>1</v>
      </c>
    </row>
    <row r="185" spans="1:17" x14ac:dyDescent="0.3">
      <c r="A185" t="s">
        <v>473</v>
      </c>
      <c r="B185" t="s">
        <v>474</v>
      </c>
      <c r="C185" t="s">
        <v>97</v>
      </c>
      <c r="D185" s="2">
        <v>33</v>
      </c>
      <c r="E185" t="s">
        <v>38</v>
      </c>
      <c r="F185" t="s">
        <v>38</v>
      </c>
      <c r="G185" s="2" t="s">
        <v>93</v>
      </c>
      <c r="H185" s="2">
        <v>11</v>
      </c>
      <c r="I185" s="2" t="s">
        <v>2119</v>
      </c>
      <c r="J185" s="2">
        <v>0</v>
      </c>
      <c r="K185" s="2" t="s">
        <v>87</v>
      </c>
      <c r="L185" s="2">
        <v>0.65</v>
      </c>
      <c r="M185" s="2" t="s">
        <v>24</v>
      </c>
      <c r="N185" s="2" t="s">
        <v>34</v>
      </c>
      <c r="O185" s="2">
        <v>12</v>
      </c>
      <c r="P185" s="2" t="str">
        <f>IF(global_freelancer_raw5[[#This Row],[No of projects ]]&lt;=5,"Entry level","Well Experienced")</f>
        <v>Well Experienced</v>
      </c>
      <c r="Q185" s="2">
        <v>7</v>
      </c>
    </row>
    <row r="186" spans="1:17" x14ac:dyDescent="0.3">
      <c r="A186" t="s">
        <v>475</v>
      </c>
      <c r="B186" t="s">
        <v>476</v>
      </c>
      <c r="C186" t="s">
        <v>97</v>
      </c>
      <c r="D186" s="2">
        <v>31</v>
      </c>
      <c r="E186" t="s">
        <v>29</v>
      </c>
      <c r="F186" t="s">
        <v>30</v>
      </c>
      <c r="G186" s="2" t="s">
        <v>46</v>
      </c>
      <c r="H186" s="2">
        <v>4</v>
      </c>
      <c r="I186" s="2" t="s">
        <v>86</v>
      </c>
      <c r="J186" s="2">
        <v>3.2</v>
      </c>
      <c r="K186" s="2" t="s">
        <v>33</v>
      </c>
      <c r="L186" s="2">
        <v>0.78</v>
      </c>
      <c r="M186" s="2" t="s">
        <v>88</v>
      </c>
      <c r="N186" s="2" t="s">
        <v>42</v>
      </c>
      <c r="O186" s="2">
        <v>4</v>
      </c>
      <c r="P186" s="2" t="str">
        <f>IF(global_freelancer_raw5[[#This Row],[No of projects ]]&lt;=5,"Entry level","Well Experienced")</f>
        <v>Entry level</v>
      </c>
      <c r="Q186" s="2">
        <v>1</v>
      </c>
    </row>
    <row r="187" spans="1:17" x14ac:dyDescent="0.3">
      <c r="A187" t="s">
        <v>477</v>
      </c>
      <c r="B187" t="s">
        <v>478</v>
      </c>
      <c r="C187" t="s">
        <v>118</v>
      </c>
      <c r="D187" s="2">
        <v>41</v>
      </c>
      <c r="E187" t="s">
        <v>212</v>
      </c>
      <c r="F187" t="s">
        <v>92</v>
      </c>
      <c r="G187" s="2" t="s">
        <v>135</v>
      </c>
      <c r="H187" s="2">
        <v>21</v>
      </c>
      <c r="I187" s="2" t="s">
        <v>40</v>
      </c>
      <c r="J187" s="2">
        <v>3.3</v>
      </c>
      <c r="K187" s="2" t="s">
        <v>94</v>
      </c>
      <c r="L187" s="2">
        <v>0.65</v>
      </c>
      <c r="M187" s="2" t="s">
        <v>82</v>
      </c>
      <c r="N187" s="2" t="s">
        <v>25</v>
      </c>
      <c r="O187" s="2">
        <v>20</v>
      </c>
      <c r="P187" s="2" t="str">
        <f>IF(global_freelancer_raw5[[#This Row],[No of projects ]]&lt;=5,"Entry level","Well Experienced")</f>
        <v>Well Experienced</v>
      </c>
      <c r="Q187" s="2">
        <v>4</v>
      </c>
    </row>
    <row r="188" spans="1:17" x14ac:dyDescent="0.3">
      <c r="A188" t="s">
        <v>479</v>
      </c>
      <c r="B188" t="s">
        <v>480</v>
      </c>
      <c r="C188" t="s">
        <v>118</v>
      </c>
      <c r="D188" s="2">
        <v>54</v>
      </c>
      <c r="E188" t="s">
        <v>79</v>
      </c>
      <c r="F188" t="s">
        <v>80</v>
      </c>
      <c r="G188" s="2" t="s">
        <v>46</v>
      </c>
      <c r="H188" s="2">
        <v>0</v>
      </c>
      <c r="I188" s="2" t="s">
        <v>142</v>
      </c>
      <c r="J188" s="2">
        <v>4.9000000000000004</v>
      </c>
      <c r="K188" s="2" t="s">
        <v>2120</v>
      </c>
      <c r="L188" s="2" t="s">
        <v>2120</v>
      </c>
      <c r="M188" s="2" t="s">
        <v>24</v>
      </c>
      <c r="N188" s="2" t="s">
        <v>25</v>
      </c>
      <c r="O188" s="2">
        <v>2</v>
      </c>
      <c r="P188" s="2" t="str">
        <f>IF(global_freelancer_raw5[[#This Row],[No of projects ]]&lt;=5,"Entry level","Well Experienced")</f>
        <v>Entry level</v>
      </c>
      <c r="Q188" s="2">
        <v>4</v>
      </c>
    </row>
    <row r="189" spans="1:17" x14ac:dyDescent="0.3">
      <c r="A189" t="s">
        <v>481</v>
      </c>
      <c r="B189" t="s">
        <v>482</v>
      </c>
      <c r="C189" t="s">
        <v>118</v>
      </c>
      <c r="D189" s="2">
        <v>50</v>
      </c>
      <c r="E189" t="s">
        <v>201</v>
      </c>
      <c r="F189" t="s">
        <v>92</v>
      </c>
      <c r="G189" s="2" t="s">
        <v>66</v>
      </c>
      <c r="H189" s="2">
        <v>6</v>
      </c>
      <c r="I189" s="2" t="s">
        <v>52</v>
      </c>
      <c r="J189" s="2">
        <v>2.2000000000000002</v>
      </c>
      <c r="K189" s="2" t="s">
        <v>33</v>
      </c>
      <c r="L189" s="2">
        <v>0.95</v>
      </c>
      <c r="M189" s="2" t="s">
        <v>24</v>
      </c>
      <c r="N189" s="2" t="s">
        <v>25</v>
      </c>
      <c r="O189" s="2">
        <v>13</v>
      </c>
      <c r="P189" s="2" t="str">
        <f>IF(global_freelancer_raw5[[#This Row],[No of projects ]]&lt;=5,"Entry level","Well Experienced")</f>
        <v>Well Experienced</v>
      </c>
      <c r="Q189" s="2">
        <v>2</v>
      </c>
    </row>
    <row r="190" spans="1:17" x14ac:dyDescent="0.3">
      <c r="A190" t="s">
        <v>483</v>
      </c>
      <c r="B190" t="s">
        <v>484</v>
      </c>
      <c r="C190" t="s">
        <v>118</v>
      </c>
      <c r="D190" s="2">
        <v>48</v>
      </c>
      <c r="E190" t="s">
        <v>128</v>
      </c>
      <c r="F190" t="s">
        <v>129</v>
      </c>
      <c r="G190" s="2" t="s">
        <v>135</v>
      </c>
      <c r="H190" s="2">
        <v>18</v>
      </c>
      <c r="I190" s="2" t="s">
        <v>70</v>
      </c>
      <c r="J190" s="2" t="s">
        <v>2120</v>
      </c>
      <c r="K190" s="2" t="s">
        <v>33</v>
      </c>
      <c r="L190" s="2">
        <v>0.88</v>
      </c>
      <c r="M190" s="2" t="s">
        <v>88</v>
      </c>
      <c r="N190" s="2" t="s">
        <v>25</v>
      </c>
      <c r="O190" s="2">
        <v>14</v>
      </c>
      <c r="P190" s="2" t="str">
        <f>IF(global_freelancer_raw5[[#This Row],[No of projects ]]&lt;=5,"Entry level","Well Experienced")</f>
        <v>Well Experienced</v>
      </c>
      <c r="Q190" s="2">
        <v>2</v>
      </c>
    </row>
    <row r="191" spans="1:17" x14ac:dyDescent="0.3">
      <c r="A191" t="s">
        <v>485</v>
      </c>
      <c r="B191" t="s">
        <v>486</v>
      </c>
      <c r="C191" t="s">
        <v>97</v>
      </c>
      <c r="D191" s="2">
        <v>49</v>
      </c>
      <c r="E191" t="s">
        <v>201</v>
      </c>
      <c r="F191" t="s">
        <v>92</v>
      </c>
      <c r="G191" s="2" t="s">
        <v>39</v>
      </c>
      <c r="H191" s="2" t="s">
        <v>2120</v>
      </c>
      <c r="I191" s="2" t="s">
        <v>2119</v>
      </c>
      <c r="J191" s="2">
        <v>1.8</v>
      </c>
      <c r="K191" s="2" t="s">
        <v>23</v>
      </c>
      <c r="L191" s="2" t="s">
        <v>2120</v>
      </c>
      <c r="M191" s="2" t="s">
        <v>24</v>
      </c>
      <c r="N191" s="2" t="s">
        <v>75</v>
      </c>
      <c r="O191" s="2">
        <v>5</v>
      </c>
      <c r="P191" s="2" t="str">
        <f>IF(global_freelancer_raw5[[#This Row],[No of projects ]]&lt;=5,"Entry level","Well Experienced")</f>
        <v>Entry level</v>
      </c>
      <c r="Q191" s="2">
        <v>5</v>
      </c>
    </row>
    <row r="192" spans="1:17" x14ac:dyDescent="0.3">
      <c r="A192" t="s">
        <v>487</v>
      </c>
      <c r="B192" t="s">
        <v>488</v>
      </c>
      <c r="C192" t="s">
        <v>118</v>
      </c>
      <c r="D192" s="2">
        <v>21</v>
      </c>
      <c r="E192" t="s">
        <v>133</v>
      </c>
      <c r="F192" t="s">
        <v>134</v>
      </c>
      <c r="G192" s="2" t="s">
        <v>39</v>
      </c>
      <c r="H192" s="2">
        <v>1</v>
      </c>
      <c r="I192" s="2" t="s">
        <v>103</v>
      </c>
      <c r="J192" s="2">
        <v>4.5999999999999996</v>
      </c>
      <c r="K192" s="2" t="s">
        <v>23</v>
      </c>
      <c r="L192" s="2">
        <v>0.92</v>
      </c>
      <c r="M192" s="2" t="s">
        <v>24</v>
      </c>
      <c r="N192" s="2" t="s">
        <v>25</v>
      </c>
      <c r="O192" s="2">
        <v>2</v>
      </c>
      <c r="P192" s="2" t="str">
        <f>IF(global_freelancer_raw5[[#This Row],[No of projects ]]&lt;=5,"Entry level","Well Experienced")</f>
        <v>Entry level</v>
      </c>
      <c r="Q192" s="2">
        <v>1</v>
      </c>
    </row>
    <row r="193" spans="1:17" x14ac:dyDescent="0.3">
      <c r="A193" t="s">
        <v>489</v>
      </c>
      <c r="B193" t="s">
        <v>490</v>
      </c>
      <c r="C193" t="s">
        <v>118</v>
      </c>
      <c r="D193" s="2">
        <v>58</v>
      </c>
      <c r="E193" t="s">
        <v>29</v>
      </c>
      <c r="F193" t="s">
        <v>30</v>
      </c>
      <c r="G193" s="2" t="s">
        <v>39</v>
      </c>
      <c r="H193" s="2">
        <v>20</v>
      </c>
      <c r="I193" s="2" t="s">
        <v>103</v>
      </c>
      <c r="J193" s="2">
        <v>2.8</v>
      </c>
      <c r="K193" s="2" t="s">
        <v>181</v>
      </c>
      <c r="L193" s="2">
        <v>0.75</v>
      </c>
      <c r="M193" s="2" t="s">
        <v>88</v>
      </c>
      <c r="N193" s="2" t="s">
        <v>75</v>
      </c>
      <c r="O193" s="2">
        <v>13</v>
      </c>
      <c r="P193" s="2" t="str">
        <f>IF(global_freelancer_raw5[[#This Row],[No of projects ]]&lt;=5,"Entry level","Well Experienced")</f>
        <v>Well Experienced</v>
      </c>
      <c r="Q193" s="2">
        <v>1</v>
      </c>
    </row>
    <row r="194" spans="1:17" x14ac:dyDescent="0.3">
      <c r="A194" t="s">
        <v>491</v>
      </c>
      <c r="B194" t="s">
        <v>285</v>
      </c>
      <c r="C194" t="s">
        <v>118</v>
      </c>
      <c r="D194" s="2">
        <v>41</v>
      </c>
      <c r="E194" t="s">
        <v>19</v>
      </c>
      <c r="F194" t="s">
        <v>20</v>
      </c>
      <c r="G194" s="2" t="s">
        <v>110</v>
      </c>
      <c r="H194" s="2" t="s">
        <v>2120</v>
      </c>
      <c r="I194" s="2" t="s">
        <v>58</v>
      </c>
      <c r="J194" s="2">
        <v>1.4</v>
      </c>
      <c r="K194" s="2" t="s">
        <v>59</v>
      </c>
      <c r="L194" s="2">
        <v>0.74</v>
      </c>
      <c r="M194" s="2" t="s">
        <v>82</v>
      </c>
      <c r="N194" s="2" t="s">
        <v>75</v>
      </c>
      <c r="O194" s="2">
        <v>2</v>
      </c>
      <c r="P194" s="2" t="str">
        <f>IF(global_freelancer_raw5[[#This Row],[No of projects ]]&lt;=5,"Entry level","Well Experienced")</f>
        <v>Entry level</v>
      </c>
      <c r="Q194" s="2">
        <v>4</v>
      </c>
    </row>
    <row r="195" spans="1:17" x14ac:dyDescent="0.3">
      <c r="A195" t="s">
        <v>492</v>
      </c>
      <c r="B195" t="s">
        <v>493</v>
      </c>
      <c r="C195" t="s">
        <v>97</v>
      </c>
      <c r="D195" s="2">
        <v>58</v>
      </c>
      <c r="E195" t="s">
        <v>145</v>
      </c>
      <c r="F195" t="s">
        <v>146</v>
      </c>
      <c r="G195" s="2" t="s">
        <v>21</v>
      </c>
      <c r="H195" s="2">
        <v>25</v>
      </c>
      <c r="I195" s="2" t="s">
        <v>58</v>
      </c>
      <c r="J195" s="2">
        <v>4.2</v>
      </c>
      <c r="K195" s="2" t="s">
        <v>94</v>
      </c>
      <c r="L195" s="2">
        <v>0.71</v>
      </c>
      <c r="M195" s="2" t="s">
        <v>24</v>
      </c>
      <c r="N195" s="2" t="s">
        <v>34</v>
      </c>
      <c r="O195" s="2">
        <v>11</v>
      </c>
      <c r="P195" s="2" t="str">
        <f>IF(global_freelancer_raw5[[#This Row],[No of projects ]]&lt;=5,"Entry level","Well Experienced")</f>
        <v>Well Experienced</v>
      </c>
      <c r="Q195" s="2">
        <v>13</v>
      </c>
    </row>
    <row r="196" spans="1:17" x14ac:dyDescent="0.3">
      <c r="A196" t="s">
        <v>494</v>
      </c>
      <c r="B196" t="s">
        <v>495</v>
      </c>
      <c r="C196" t="s">
        <v>97</v>
      </c>
      <c r="D196" s="2">
        <v>50</v>
      </c>
      <c r="E196" t="s">
        <v>175</v>
      </c>
      <c r="F196" t="s">
        <v>176</v>
      </c>
      <c r="G196" s="2" t="s">
        <v>39</v>
      </c>
      <c r="H196" s="2">
        <v>20</v>
      </c>
      <c r="I196" s="2" t="s">
        <v>70</v>
      </c>
      <c r="J196" s="2">
        <v>3.6</v>
      </c>
      <c r="K196" s="2" t="s">
        <v>33</v>
      </c>
      <c r="L196" s="2">
        <v>0.89</v>
      </c>
      <c r="M196" s="2" t="s">
        <v>24</v>
      </c>
      <c r="N196" s="2" t="s">
        <v>75</v>
      </c>
      <c r="O196" s="2">
        <v>17</v>
      </c>
      <c r="P196" s="2" t="str">
        <f>IF(global_freelancer_raw5[[#This Row],[No of projects ]]&lt;=5,"Entry level","Well Experienced")</f>
        <v>Well Experienced</v>
      </c>
      <c r="Q196" s="2">
        <v>2</v>
      </c>
    </row>
    <row r="197" spans="1:17" x14ac:dyDescent="0.3">
      <c r="A197" t="s">
        <v>496</v>
      </c>
      <c r="B197" t="s">
        <v>497</v>
      </c>
      <c r="C197" t="s">
        <v>118</v>
      </c>
      <c r="D197" s="2">
        <v>52</v>
      </c>
      <c r="E197" t="s">
        <v>64</v>
      </c>
      <c r="F197" t="s">
        <v>65</v>
      </c>
      <c r="G197" s="2" t="s">
        <v>46</v>
      </c>
      <c r="H197" s="2">
        <v>33</v>
      </c>
      <c r="I197" s="2" t="s">
        <v>251</v>
      </c>
      <c r="J197" s="2">
        <v>1.6</v>
      </c>
      <c r="K197" s="2" t="s">
        <v>2120</v>
      </c>
      <c r="L197" s="2">
        <v>0.66</v>
      </c>
      <c r="M197" s="2" t="s">
        <v>24</v>
      </c>
      <c r="N197" s="2" t="s">
        <v>42</v>
      </c>
      <c r="O197" s="2">
        <v>14</v>
      </c>
      <c r="P197" s="2" t="str">
        <f>IF(global_freelancer_raw5[[#This Row],[No of projects ]]&lt;=5,"Entry level","Well Experienced")</f>
        <v>Well Experienced</v>
      </c>
      <c r="Q197" s="2">
        <v>17</v>
      </c>
    </row>
    <row r="198" spans="1:17" x14ac:dyDescent="0.3">
      <c r="A198" t="s">
        <v>498</v>
      </c>
      <c r="B198" t="s">
        <v>499</v>
      </c>
      <c r="C198" t="s">
        <v>118</v>
      </c>
      <c r="D198" s="2">
        <v>34</v>
      </c>
      <c r="E198" t="s">
        <v>55</v>
      </c>
      <c r="F198" t="s">
        <v>56</v>
      </c>
      <c r="G198" s="2" t="s">
        <v>66</v>
      </c>
      <c r="H198" s="2">
        <v>6</v>
      </c>
      <c r="I198" s="2" t="s">
        <v>251</v>
      </c>
      <c r="J198" s="2">
        <v>2</v>
      </c>
      <c r="K198" s="2" t="s">
        <v>181</v>
      </c>
      <c r="L198" s="2" t="s">
        <v>2120</v>
      </c>
      <c r="M198" s="2" t="s">
        <v>60</v>
      </c>
      <c r="N198" s="2" t="s">
        <v>75</v>
      </c>
      <c r="O198" s="2">
        <v>13</v>
      </c>
      <c r="P198" s="2" t="str">
        <f>IF(global_freelancer_raw5[[#This Row],[No of projects ]]&lt;=5,"Entry level","Well Experienced")</f>
        <v>Well Experienced</v>
      </c>
      <c r="Q198" s="2">
        <v>1</v>
      </c>
    </row>
    <row r="199" spans="1:17" x14ac:dyDescent="0.3">
      <c r="A199" t="s">
        <v>500</v>
      </c>
      <c r="B199" t="s">
        <v>501</v>
      </c>
      <c r="C199" t="s">
        <v>118</v>
      </c>
      <c r="D199" s="2">
        <v>32</v>
      </c>
      <c r="E199" t="s">
        <v>156</v>
      </c>
      <c r="F199" t="s">
        <v>157</v>
      </c>
      <c r="G199" s="2" t="s">
        <v>135</v>
      </c>
      <c r="H199" s="2">
        <v>11</v>
      </c>
      <c r="I199" s="2" t="s">
        <v>86</v>
      </c>
      <c r="J199" s="2">
        <v>4.3</v>
      </c>
      <c r="K199" s="2" t="s">
        <v>74</v>
      </c>
      <c r="L199" s="2">
        <v>0.86</v>
      </c>
      <c r="M199" s="2" t="s">
        <v>88</v>
      </c>
      <c r="N199" s="2" t="s">
        <v>34</v>
      </c>
      <c r="O199" s="2">
        <v>9</v>
      </c>
      <c r="P199" s="2" t="str">
        <f>IF(global_freelancer_raw5[[#This Row],[No of projects ]]&lt;=5,"Entry level","Well Experienced")</f>
        <v>Well Experienced</v>
      </c>
      <c r="Q199" s="2">
        <v>2</v>
      </c>
    </row>
    <row r="200" spans="1:17" x14ac:dyDescent="0.3">
      <c r="A200" t="s">
        <v>502</v>
      </c>
      <c r="B200" t="s">
        <v>503</v>
      </c>
      <c r="C200" t="s">
        <v>97</v>
      </c>
      <c r="D200" s="2">
        <v>50</v>
      </c>
      <c r="E200" t="s">
        <v>114</v>
      </c>
      <c r="F200" t="s">
        <v>115</v>
      </c>
      <c r="G200" s="2" t="s">
        <v>39</v>
      </c>
      <c r="H200" s="2">
        <v>28</v>
      </c>
      <c r="I200" s="2" t="s">
        <v>251</v>
      </c>
      <c r="J200" s="2">
        <v>4.9000000000000004</v>
      </c>
      <c r="K200" s="2" t="s">
        <v>94</v>
      </c>
      <c r="L200" s="2">
        <v>0.86</v>
      </c>
      <c r="M200" s="2" t="s">
        <v>60</v>
      </c>
      <c r="N200" s="2" t="s">
        <v>75</v>
      </c>
      <c r="O200" s="2">
        <v>12</v>
      </c>
      <c r="P200" s="2" t="str">
        <f>IF(global_freelancer_raw5[[#This Row],[No of projects ]]&lt;=5,"Entry level","Well Experienced")</f>
        <v>Well Experienced</v>
      </c>
      <c r="Q200" s="2">
        <v>3</v>
      </c>
    </row>
    <row r="201" spans="1:17" x14ac:dyDescent="0.3">
      <c r="A201" t="s">
        <v>504</v>
      </c>
      <c r="B201" t="s">
        <v>505</v>
      </c>
      <c r="C201" t="s">
        <v>97</v>
      </c>
      <c r="D201" s="2">
        <v>39</v>
      </c>
      <c r="E201" t="s">
        <v>91</v>
      </c>
      <c r="F201" t="s">
        <v>92</v>
      </c>
      <c r="G201" s="2" t="s">
        <v>66</v>
      </c>
      <c r="H201" s="2">
        <v>11</v>
      </c>
      <c r="I201" s="2" t="s">
        <v>22</v>
      </c>
      <c r="J201" s="2">
        <v>3.5</v>
      </c>
      <c r="K201" s="2" t="s">
        <v>94</v>
      </c>
      <c r="L201" s="2">
        <v>0.82</v>
      </c>
      <c r="M201" s="2" t="s">
        <v>88</v>
      </c>
      <c r="N201" s="2" t="s">
        <v>42</v>
      </c>
      <c r="O201" s="2">
        <v>12</v>
      </c>
      <c r="P201" s="2" t="str">
        <f>IF(global_freelancer_raw5[[#This Row],[No of projects ]]&lt;=5,"Entry level","Well Experienced")</f>
        <v>Well Experienced</v>
      </c>
      <c r="Q201" s="2">
        <v>2</v>
      </c>
    </row>
    <row r="202" spans="1:17" x14ac:dyDescent="0.3">
      <c r="A202" t="s">
        <v>506</v>
      </c>
      <c r="B202" t="s">
        <v>507</v>
      </c>
      <c r="C202" t="s">
        <v>97</v>
      </c>
      <c r="D202" s="2">
        <v>25</v>
      </c>
      <c r="E202" t="s">
        <v>212</v>
      </c>
      <c r="F202" t="s">
        <v>92</v>
      </c>
      <c r="G202" s="2" t="s">
        <v>57</v>
      </c>
      <c r="H202" s="2">
        <v>2</v>
      </c>
      <c r="I202" s="2" t="s">
        <v>22</v>
      </c>
      <c r="J202" s="2">
        <v>2.5</v>
      </c>
      <c r="K202" s="2" t="s">
        <v>181</v>
      </c>
      <c r="L202" s="2">
        <v>87</v>
      </c>
      <c r="M202" s="2" t="s">
        <v>82</v>
      </c>
      <c r="N202" s="2" t="s">
        <v>42</v>
      </c>
      <c r="O202" s="2">
        <v>1</v>
      </c>
      <c r="P202" s="2" t="str">
        <f>IF(global_freelancer_raw5[[#This Row],[No of projects ]]&lt;=5,"Entry level","Well Experienced")</f>
        <v>Entry level</v>
      </c>
      <c r="Q202" s="2">
        <v>1</v>
      </c>
    </row>
    <row r="203" spans="1:17" x14ac:dyDescent="0.3">
      <c r="A203" t="s">
        <v>508</v>
      </c>
      <c r="B203" t="s">
        <v>509</v>
      </c>
      <c r="C203" t="s">
        <v>97</v>
      </c>
      <c r="D203" s="2">
        <v>55</v>
      </c>
      <c r="E203" t="s">
        <v>197</v>
      </c>
      <c r="F203" t="s">
        <v>198</v>
      </c>
      <c r="G203" s="2" t="s">
        <v>135</v>
      </c>
      <c r="H203" s="2">
        <v>7</v>
      </c>
      <c r="I203" s="2" t="s">
        <v>22</v>
      </c>
      <c r="J203" s="2">
        <v>1.7</v>
      </c>
      <c r="K203" s="2" t="s">
        <v>33</v>
      </c>
      <c r="L203" s="2">
        <v>0.8</v>
      </c>
      <c r="M203" s="2" t="s">
        <v>82</v>
      </c>
      <c r="N203" s="2" t="s">
        <v>42</v>
      </c>
      <c r="O203" s="2">
        <v>14</v>
      </c>
      <c r="P203" s="2" t="str">
        <f>IF(global_freelancer_raw5[[#This Row],[No of projects ]]&lt;=5,"Entry level","Well Experienced")</f>
        <v>Well Experienced</v>
      </c>
      <c r="Q203" s="2">
        <v>4</v>
      </c>
    </row>
    <row r="204" spans="1:17" x14ac:dyDescent="0.3">
      <c r="A204" t="s">
        <v>510</v>
      </c>
      <c r="B204" t="s">
        <v>511</v>
      </c>
      <c r="C204" t="s">
        <v>118</v>
      </c>
      <c r="D204" s="2">
        <v>42</v>
      </c>
      <c r="E204" t="s">
        <v>19</v>
      </c>
      <c r="F204" t="s">
        <v>20</v>
      </c>
      <c r="G204" s="2" t="s">
        <v>110</v>
      </c>
      <c r="H204" s="2">
        <v>10</v>
      </c>
      <c r="I204" s="2" t="s">
        <v>32</v>
      </c>
      <c r="J204" s="2">
        <v>4.5999999999999996</v>
      </c>
      <c r="K204" s="2" t="s">
        <v>94</v>
      </c>
      <c r="L204" s="2">
        <v>0.71</v>
      </c>
      <c r="M204" s="2" t="s">
        <v>24</v>
      </c>
      <c r="N204" s="2" t="s">
        <v>34</v>
      </c>
      <c r="O204" s="2">
        <v>15</v>
      </c>
      <c r="P204" s="2" t="str">
        <f>IF(global_freelancer_raw5[[#This Row],[No of projects ]]&lt;=5,"Entry level","Well Experienced")</f>
        <v>Well Experienced</v>
      </c>
      <c r="Q204" s="2">
        <v>10</v>
      </c>
    </row>
    <row r="205" spans="1:17" x14ac:dyDescent="0.3">
      <c r="A205" t="s">
        <v>512</v>
      </c>
      <c r="B205" t="s">
        <v>513</v>
      </c>
      <c r="C205" t="s">
        <v>118</v>
      </c>
      <c r="D205" s="2">
        <v>43</v>
      </c>
      <c r="E205" t="s">
        <v>145</v>
      </c>
      <c r="F205" t="s">
        <v>146</v>
      </c>
      <c r="G205" s="2" t="s">
        <v>31</v>
      </c>
      <c r="H205" s="2">
        <v>6</v>
      </c>
      <c r="I205" s="2" t="s">
        <v>40</v>
      </c>
      <c r="J205" s="2" t="s">
        <v>2120</v>
      </c>
      <c r="K205" s="2" t="s">
        <v>41</v>
      </c>
      <c r="L205" s="2">
        <v>0.77</v>
      </c>
      <c r="M205" s="2" t="s">
        <v>88</v>
      </c>
      <c r="N205" s="2" t="s">
        <v>34</v>
      </c>
      <c r="O205" s="2">
        <v>6</v>
      </c>
      <c r="P205" s="2" t="str">
        <f>IF(global_freelancer_raw5[[#This Row],[No of projects ]]&lt;=5,"Entry level","Well Experienced")</f>
        <v>Well Experienced</v>
      </c>
      <c r="Q205" s="2">
        <v>9</v>
      </c>
    </row>
    <row r="206" spans="1:17" x14ac:dyDescent="0.3">
      <c r="A206" t="s">
        <v>514</v>
      </c>
      <c r="B206" t="s">
        <v>515</v>
      </c>
      <c r="C206" t="s">
        <v>118</v>
      </c>
      <c r="D206" s="2">
        <v>54</v>
      </c>
      <c r="E206" t="s">
        <v>19</v>
      </c>
      <c r="F206" t="s">
        <v>20</v>
      </c>
      <c r="G206" s="2" t="s">
        <v>110</v>
      </c>
      <c r="H206" s="2">
        <v>29</v>
      </c>
      <c r="I206" s="2" t="s">
        <v>58</v>
      </c>
      <c r="J206" s="2">
        <v>1.7</v>
      </c>
      <c r="K206" s="2" t="s">
        <v>23</v>
      </c>
      <c r="L206" s="2">
        <v>68</v>
      </c>
      <c r="M206" s="2" t="s">
        <v>82</v>
      </c>
      <c r="N206" s="2" t="s">
        <v>25</v>
      </c>
      <c r="O206" s="2">
        <v>19</v>
      </c>
      <c r="P206" s="2" t="str">
        <f>IF(global_freelancer_raw5[[#This Row],[No of projects ]]&lt;=5,"Entry level","Well Experienced")</f>
        <v>Well Experienced</v>
      </c>
      <c r="Q206" s="2">
        <v>2</v>
      </c>
    </row>
    <row r="207" spans="1:17" x14ac:dyDescent="0.3">
      <c r="A207" t="s">
        <v>516</v>
      </c>
      <c r="B207" t="s">
        <v>517</v>
      </c>
      <c r="C207" t="s">
        <v>97</v>
      </c>
      <c r="D207" s="2">
        <v>21</v>
      </c>
      <c r="E207" t="s">
        <v>160</v>
      </c>
      <c r="F207" t="s">
        <v>161</v>
      </c>
      <c r="G207" s="2" t="s">
        <v>39</v>
      </c>
      <c r="H207" s="2">
        <v>0</v>
      </c>
      <c r="I207" s="2" t="s">
        <v>162</v>
      </c>
      <c r="J207" s="2">
        <v>1.8</v>
      </c>
      <c r="K207" s="2" t="s">
        <v>41</v>
      </c>
      <c r="L207" s="2">
        <v>0.91</v>
      </c>
      <c r="M207" s="2" t="s">
        <v>88</v>
      </c>
      <c r="N207" s="2" t="s">
        <v>34</v>
      </c>
      <c r="O207" s="2">
        <v>4</v>
      </c>
      <c r="P207" s="2" t="str">
        <f>IF(global_freelancer_raw5[[#This Row],[No of projects ]]&lt;=5,"Entry level","Well Experienced")</f>
        <v>Entry level</v>
      </c>
      <c r="Q207" s="2">
        <v>1</v>
      </c>
    </row>
    <row r="208" spans="1:17" x14ac:dyDescent="0.3">
      <c r="A208" t="s">
        <v>518</v>
      </c>
      <c r="B208" t="s">
        <v>519</v>
      </c>
      <c r="C208" t="s">
        <v>118</v>
      </c>
      <c r="D208" s="2">
        <v>46</v>
      </c>
      <c r="E208" t="s">
        <v>149</v>
      </c>
      <c r="F208" t="s">
        <v>30</v>
      </c>
      <c r="G208" s="2" t="s">
        <v>93</v>
      </c>
      <c r="H208" s="2">
        <v>5</v>
      </c>
      <c r="I208" s="2" t="s">
        <v>162</v>
      </c>
      <c r="J208" s="2">
        <v>2.2000000000000002</v>
      </c>
      <c r="K208" s="2" t="s">
        <v>59</v>
      </c>
      <c r="L208" s="2">
        <v>0.75</v>
      </c>
      <c r="M208" s="2" t="s">
        <v>82</v>
      </c>
      <c r="N208" s="2" t="s">
        <v>42</v>
      </c>
      <c r="O208" s="2">
        <v>1</v>
      </c>
      <c r="P208" s="2" t="str">
        <f>IF(global_freelancer_raw5[[#This Row],[No of projects ]]&lt;=5,"Entry level","Well Experienced")</f>
        <v>Entry level</v>
      </c>
      <c r="Q208" s="2">
        <v>5</v>
      </c>
    </row>
    <row r="209" spans="1:17" x14ac:dyDescent="0.3">
      <c r="A209" t="s">
        <v>520</v>
      </c>
      <c r="B209" t="s">
        <v>521</v>
      </c>
      <c r="C209" t="s">
        <v>97</v>
      </c>
      <c r="D209" s="2">
        <v>30</v>
      </c>
      <c r="E209" t="s">
        <v>212</v>
      </c>
      <c r="F209" t="s">
        <v>92</v>
      </c>
      <c r="G209" s="2" t="s">
        <v>21</v>
      </c>
      <c r="H209" s="2">
        <v>11</v>
      </c>
      <c r="I209" s="2" t="s">
        <v>86</v>
      </c>
      <c r="J209" s="2">
        <v>1</v>
      </c>
      <c r="K209" s="2" t="s">
        <v>41</v>
      </c>
      <c r="L209" s="2">
        <v>0.9</v>
      </c>
      <c r="M209" s="2" t="s">
        <v>60</v>
      </c>
      <c r="N209" s="2" t="s">
        <v>42</v>
      </c>
      <c r="O209" s="2">
        <v>11</v>
      </c>
      <c r="P209" s="2" t="str">
        <f>IF(global_freelancer_raw5[[#This Row],[No of projects ]]&lt;=5,"Entry level","Well Experienced")</f>
        <v>Well Experienced</v>
      </c>
      <c r="Q209" s="2">
        <v>1</v>
      </c>
    </row>
    <row r="210" spans="1:17" x14ac:dyDescent="0.3">
      <c r="A210" t="s">
        <v>522</v>
      </c>
      <c r="B210" t="s">
        <v>523</v>
      </c>
      <c r="C210" t="s">
        <v>118</v>
      </c>
      <c r="D210" s="2">
        <v>36</v>
      </c>
      <c r="E210" t="s">
        <v>197</v>
      </c>
      <c r="F210" t="s">
        <v>198</v>
      </c>
      <c r="G210" s="2" t="s">
        <v>135</v>
      </c>
      <c r="H210" s="2">
        <v>11</v>
      </c>
      <c r="I210" s="2" t="s">
        <v>192</v>
      </c>
      <c r="J210" s="2">
        <v>3.2</v>
      </c>
      <c r="K210" s="2" t="s">
        <v>23</v>
      </c>
      <c r="L210" s="2">
        <v>93</v>
      </c>
      <c r="M210" s="2" t="s">
        <v>82</v>
      </c>
      <c r="N210" s="2" t="s">
        <v>34</v>
      </c>
      <c r="O210" s="2">
        <v>10</v>
      </c>
      <c r="P210" s="2" t="str">
        <f>IF(global_freelancer_raw5[[#This Row],[No of projects ]]&lt;=5,"Entry level","Well Experienced")</f>
        <v>Well Experienced</v>
      </c>
      <c r="Q210" s="2">
        <v>3</v>
      </c>
    </row>
    <row r="211" spans="1:17" x14ac:dyDescent="0.3">
      <c r="A211" t="s">
        <v>524</v>
      </c>
      <c r="B211" t="s">
        <v>525</v>
      </c>
      <c r="C211" t="s">
        <v>97</v>
      </c>
      <c r="D211" s="2">
        <v>47</v>
      </c>
      <c r="E211" t="s">
        <v>38</v>
      </c>
      <c r="F211" t="s">
        <v>38</v>
      </c>
      <c r="G211" s="2" t="s">
        <v>66</v>
      </c>
      <c r="H211" s="2">
        <v>15</v>
      </c>
      <c r="I211" s="2" t="s">
        <v>86</v>
      </c>
      <c r="J211" s="2">
        <v>2.1</v>
      </c>
      <c r="K211" s="2" t="s">
        <v>87</v>
      </c>
      <c r="L211" s="2">
        <v>0.94</v>
      </c>
      <c r="M211" s="2" t="s">
        <v>60</v>
      </c>
      <c r="N211" s="2" t="s">
        <v>75</v>
      </c>
      <c r="O211" s="2">
        <v>8</v>
      </c>
      <c r="P211" s="2" t="str">
        <f>IF(global_freelancer_raw5[[#This Row],[No of projects ]]&lt;=5,"Entry level","Well Experienced")</f>
        <v>Well Experienced</v>
      </c>
      <c r="Q211" s="2">
        <v>10</v>
      </c>
    </row>
    <row r="212" spans="1:17" x14ac:dyDescent="0.3">
      <c r="A212" t="s">
        <v>526</v>
      </c>
      <c r="B212" t="s">
        <v>527</v>
      </c>
      <c r="C212" t="s">
        <v>97</v>
      </c>
      <c r="D212" s="2">
        <v>43</v>
      </c>
      <c r="E212" t="s">
        <v>149</v>
      </c>
      <c r="F212" t="s">
        <v>30</v>
      </c>
      <c r="G212" s="2" t="s">
        <v>31</v>
      </c>
      <c r="H212" s="2">
        <v>1</v>
      </c>
      <c r="I212" s="2" t="s">
        <v>119</v>
      </c>
      <c r="J212" s="2">
        <v>4.5999999999999996</v>
      </c>
      <c r="K212" s="2" t="s">
        <v>74</v>
      </c>
      <c r="L212" s="2">
        <v>64</v>
      </c>
      <c r="M212" s="2" t="s">
        <v>82</v>
      </c>
      <c r="N212" s="2" t="s">
        <v>34</v>
      </c>
      <c r="O212" s="2">
        <v>4</v>
      </c>
      <c r="P212" s="2" t="str">
        <f>IF(global_freelancer_raw5[[#This Row],[No of projects ]]&lt;=5,"Entry level","Well Experienced")</f>
        <v>Entry level</v>
      </c>
      <c r="Q212" s="2">
        <v>2</v>
      </c>
    </row>
    <row r="213" spans="1:17" x14ac:dyDescent="0.3">
      <c r="A213" t="s">
        <v>528</v>
      </c>
      <c r="B213" t="s">
        <v>529</v>
      </c>
      <c r="C213" t="s">
        <v>118</v>
      </c>
      <c r="D213" s="2">
        <v>57</v>
      </c>
      <c r="E213" t="s">
        <v>133</v>
      </c>
      <c r="F213" t="s">
        <v>134</v>
      </c>
      <c r="G213" s="2" t="s">
        <v>98</v>
      </c>
      <c r="H213" s="2">
        <v>8</v>
      </c>
      <c r="I213" s="2" t="s">
        <v>142</v>
      </c>
      <c r="J213" s="2">
        <v>0</v>
      </c>
      <c r="K213" s="2" t="s">
        <v>87</v>
      </c>
      <c r="L213" s="2">
        <v>0.84</v>
      </c>
      <c r="M213" s="2" t="s">
        <v>24</v>
      </c>
      <c r="N213" s="2" t="s">
        <v>34</v>
      </c>
      <c r="O213" s="2">
        <v>8</v>
      </c>
      <c r="P213" s="2" t="str">
        <f>IF(global_freelancer_raw5[[#This Row],[No of projects ]]&lt;=5,"Entry level","Well Experienced")</f>
        <v>Well Experienced</v>
      </c>
      <c r="Q213" s="2">
        <v>5</v>
      </c>
    </row>
    <row r="214" spans="1:17" x14ac:dyDescent="0.3">
      <c r="A214" t="s">
        <v>530</v>
      </c>
      <c r="B214" t="s">
        <v>531</v>
      </c>
      <c r="C214" t="s">
        <v>118</v>
      </c>
      <c r="D214" s="2">
        <v>52</v>
      </c>
      <c r="E214" t="s">
        <v>19</v>
      </c>
      <c r="F214" t="s">
        <v>20</v>
      </c>
      <c r="G214" s="2" t="s">
        <v>135</v>
      </c>
      <c r="H214" s="2">
        <v>30</v>
      </c>
      <c r="I214" s="2" t="s">
        <v>142</v>
      </c>
      <c r="J214" s="2">
        <v>2.8</v>
      </c>
      <c r="K214" s="2" t="s">
        <v>181</v>
      </c>
      <c r="L214" s="2">
        <v>0.87</v>
      </c>
      <c r="M214" s="2" t="s">
        <v>60</v>
      </c>
      <c r="N214" s="2" t="s">
        <v>42</v>
      </c>
      <c r="O214" s="2">
        <v>12</v>
      </c>
      <c r="P214" s="2" t="str">
        <f>IF(global_freelancer_raw5[[#This Row],[No of projects ]]&lt;=5,"Entry level","Well Experienced")</f>
        <v>Well Experienced</v>
      </c>
      <c r="Q214" s="2">
        <v>5</v>
      </c>
    </row>
    <row r="215" spans="1:17" x14ac:dyDescent="0.3">
      <c r="A215" t="s">
        <v>532</v>
      </c>
      <c r="B215" t="s">
        <v>533</v>
      </c>
      <c r="C215" t="s">
        <v>118</v>
      </c>
      <c r="D215" s="2" t="s">
        <v>2119</v>
      </c>
      <c r="E215" t="s">
        <v>38</v>
      </c>
      <c r="F215" t="s">
        <v>38</v>
      </c>
      <c r="G215" s="2" t="s">
        <v>21</v>
      </c>
      <c r="H215" s="2">
        <v>8</v>
      </c>
      <c r="I215" s="2" t="s">
        <v>47</v>
      </c>
      <c r="J215" s="2">
        <v>0</v>
      </c>
      <c r="K215" s="2" t="s">
        <v>41</v>
      </c>
      <c r="L215" s="2">
        <v>0.64</v>
      </c>
      <c r="M215" s="2" t="s">
        <v>82</v>
      </c>
      <c r="N215" s="2" t="s">
        <v>25</v>
      </c>
      <c r="O215" s="2">
        <v>14</v>
      </c>
      <c r="P215" s="2" t="str">
        <f>IF(global_freelancer_raw5[[#This Row],[No of projects ]]&lt;=5,"Entry level","Well Experienced")</f>
        <v>Well Experienced</v>
      </c>
      <c r="Q215" s="2">
        <v>4</v>
      </c>
    </row>
    <row r="216" spans="1:17" x14ac:dyDescent="0.3">
      <c r="A216" t="s">
        <v>534</v>
      </c>
      <c r="B216" t="s">
        <v>535</v>
      </c>
      <c r="C216" t="s">
        <v>97</v>
      </c>
      <c r="D216" s="2">
        <v>22</v>
      </c>
      <c r="E216" t="s">
        <v>64</v>
      </c>
      <c r="F216" t="s">
        <v>65</v>
      </c>
      <c r="G216" s="2" t="s">
        <v>135</v>
      </c>
      <c r="H216" s="2">
        <v>0</v>
      </c>
      <c r="I216" s="2" t="s">
        <v>22</v>
      </c>
      <c r="J216" s="2">
        <v>2.7</v>
      </c>
      <c r="K216" s="2" t="s">
        <v>74</v>
      </c>
      <c r="L216" s="2">
        <v>0.64</v>
      </c>
      <c r="M216" s="2" t="s">
        <v>24</v>
      </c>
      <c r="N216" s="2" t="s">
        <v>42</v>
      </c>
      <c r="O216" s="2">
        <v>1</v>
      </c>
      <c r="P216" s="2" t="str">
        <f>IF(global_freelancer_raw5[[#This Row],[No of projects ]]&lt;=5,"Entry level","Well Experienced")</f>
        <v>Entry level</v>
      </c>
      <c r="Q216" s="2">
        <v>1</v>
      </c>
    </row>
    <row r="217" spans="1:17" x14ac:dyDescent="0.3">
      <c r="A217" t="s">
        <v>536</v>
      </c>
      <c r="B217" t="s">
        <v>537</v>
      </c>
      <c r="C217" t="s">
        <v>118</v>
      </c>
      <c r="D217" s="2" t="s">
        <v>2119</v>
      </c>
      <c r="E217" t="s">
        <v>114</v>
      </c>
      <c r="F217" t="s">
        <v>115</v>
      </c>
      <c r="G217" s="2" t="s">
        <v>135</v>
      </c>
      <c r="H217" s="2">
        <v>12</v>
      </c>
      <c r="I217" s="2" t="s">
        <v>142</v>
      </c>
      <c r="J217" s="2">
        <v>0</v>
      </c>
      <c r="K217" s="2" t="s">
        <v>74</v>
      </c>
      <c r="L217" s="2">
        <v>0.8</v>
      </c>
      <c r="M217" s="2" t="s">
        <v>60</v>
      </c>
      <c r="N217" s="2" t="s">
        <v>25</v>
      </c>
      <c r="O217" s="2">
        <v>8</v>
      </c>
      <c r="P217" s="2" t="str">
        <f>IF(global_freelancer_raw5[[#This Row],[No of projects ]]&lt;=5,"Entry level","Well Experienced")</f>
        <v>Well Experienced</v>
      </c>
      <c r="Q217" s="2">
        <v>13</v>
      </c>
    </row>
    <row r="218" spans="1:17" x14ac:dyDescent="0.3">
      <c r="A218" t="s">
        <v>538</v>
      </c>
      <c r="B218" t="s">
        <v>539</v>
      </c>
      <c r="C218" t="s">
        <v>97</v>
      </c>
      <c r="D218" s="2">
        <v>58</v>
      </c>
      <c r="E218" t="s">
        <v>212</v>
      </c>
      <c r="F218" t="s">
        <v>92</v>
      </c>
      <c r="G218" s="2" t="s">
        <v>31</v>
      </c>
      <c r="H218" s="2">
        <v>4</v>
      </c>
      <c r="I218" s="2" t="s">
        <v>81</v>
      </c>
      <c r="J218" s="2">
        <v>3.1</v>
      </c>
      <c r="K218" s="2" t="s">
        <v>23</v>
      </c>
      <c r="L218" s="2">
        <v>0.9</v>
      </c>
      <c r="M218" s="2" t="s">
        <v>24</v>
      </c>
      <c r="N218" s="2" t="s">
        <v>42</v>
      </c>
      <c r="O218" s="2">
        <v>2</v>
      </c>
      <c r="P218" s="2" t="str">
        <f>IF(global_freelancer_raw5[[#This Row],[No of projects ]]&lt;=5,"Entry level","Well Experienced")</f>
        <v>Entry level</v>
      </c>
      <c r="Q218" s="2">
        <v>1</v>
      </c>
    </row>
    <row r="219" spans="1:17" x14ac:dyDescent="0.3">
      <c r="A219" t="s">
        <v>540</v>
      </c>
      <c r="B219" t="s">
        <v>541</v>
      </c>
      <c r="C219" t="s">
        <v>118</v>
      </c>
      <c r="D219" s="2">
        <v>39</v>
      </c>
      <c r="E219" t="s">
        <v>133</v>
      </c>
      <c r="F219" t="s">
        <v>134</v>
      </c>
      <c r="G219" s="2" t="s">
        <v>46</v>
      </c>
      <c r="H219" s="2">
        <v>14</v>
      </c>
      <c r="I219" s="2" t="s">
        <v>32</v>
      </c>
      <c r="J219" s="2">
        <v>0</v>
      </c>
      <c r="K219" s="2" t="s">
        <v>94</v>
      </c>
      <c r="L219" s="2">
        <v>0.92</v>
      </c>
      <c r="M219" s="2" t="s">
        <v>88</v>
      </c>
      <c r="N219" s="2" t="s">
        <v>34</v>
      </c>
      <c r="O219" s="2">
        <v>7</v>
      </c>
      <c r="P219" s="2" t="str">
        <f>IF(global_freelancer_raw5[[#This Row],[No of projects ]]&lt;=5,"Entry level","Well Experienced")</f>
        <v>Well Experienced</v>
      </c>
      <c r="Q219" s="2">
        <v>9</v>
      </c>
    </row>
    <row r="220" spans="1:17" x14ac:dyDescent="0.3">
      <c r="A220" t="s">
        <v>542</v>
      </c>
      <c r="B220" t="s">
        <v>543</v>
      </c>
      <c r="C220" t="s">
        <v>118</v>
      </c>
      <c r="D220" s="2">
        <v>32</v>
      </c>
      <c r="E220" t="s">
        <v>64</v>
      </c>
      <c r="F220" t="s">
        <v>65</v>
      </c>
      <c r="G220" s="2" t="s">
        <v>39</v>
      </c>
      <c r="H220" s="2">
        <v>14</v>
      </c>
      <c r="I220" s="2" t="s">
        <v>2119</v>
      </c>
      <c r="J220" s="2" t="s">
        <v>2120</v>
      </c>
      <c r="K220" s="2" t="s">
        <v>23</v>
      </c>
      <c r="L220" s="2">
        <v>0.96</v>
      </c>
      <c r="M220" s="2" t="s">
        <v>88</v>
      </c>
      <c r="N220" s="2" t="s">
        <v>42</v>
      </c>
      <c r="O220" s="2">
        <v>14</v>
      </c>
      <c r="P220" s="2" t="str">
        <f>IF(global_freelancer_raw5[[#This Row],[No of projects ]]&lt;=5,"Entry level","Well Experienced")</f>
        <v>Well Experienced</v>
      </c>
      <c r="Q220" s="2">
        <v>3</v>
      </c>
    </row>
    <row r="221" spans="1:17" x14ac:dyDescent="0.3">
      <c r="A221" t="s">
        <v>544</v>
      </c>
      <c r="B221" t="s">
        <v>545</v>
      </c>
      <c r="C221" t="s">
        <v>118</v>
      </c>
      <c r="D221" s="2">
        <v>37</v>
      </c>
      <c r="E221" t="s">
        <v>149</v>
      </c>
      <c r="F221" t="s">
        <v>30</v>
      </c>
      <c r="G221" s="2" t="s">
        <v>93</v>
      </c>
      <c r="H221" s="2">
        <v>2</v>
      </c>
      <c r="I221" s="2" t="s">
        <v>58</v>
      </c>
      <c r="J221" s="2">
        <v>2.2999999999999998</v>
      </c>
      <c r="K221" s="2" t="s">
        <v>87</v>
      </c>
      <c r="L221" s="2" t="s">
        <v>2120</v>
      </c>
      <c r="M221" s="2" t="s">
        <v>60</v>
      </c>
      <c r="N221" s="2" t="s">
        <v>42</v>
      </c>
      <c r="O221" s="2">
        <v>4</v>
      </c>
      <c r="P221" s="2" t="str">
        <f>IF(global_freelancer_raw5[[#This Row],[No of projects ]]&lt;=5,"Entry level","Well Experienced")</f>
        <v>Entry level</v>
      </c>
      <c r="Q221" s="2">
        <v>4</v>
      </c>
    </row>
    <row r="222" spans="1:17" x14ac:dyDescent="0.3">
      <c r="A222" t="s">
        <v>546</v>
      </c>
      <c r="B222" t="s">
        <v>547</v>
      </c>
      <c r="C222" t="s">
        <v>97</v>
      </c>
      <c r="D222" s="2">
        <v>21</v>
      </c>
      <c r="E222" t="s">
        <v>197</v>
      </c>
      <c r="F222" t="s">
        <v>198</v>
      </c>
      <c r="G222" s="2" t="s">
        <v>98</v>
      </c>
      <c r="H222" s="2">
        <v>2</v>
      </c>
      <c r="I222" s="2" t="s">
        <v>22</v>
      </c>
      <c r="J222" s="2">
        <v>2.4</v>
      </c>
      <c r="K222" s="2" t="s">
        <v>94</v>
      </c>
      <c r="L222" s="2" t="s">
        <v>2120</v>
      </c>
      <c r="M222" s="2" t="s">
        <v>82</v>
      </c>
      <c r="N222" s="2" t="s">
        <v>42</v>
      </c>
      <c r="O222" s="2">
        <v>3</v>
      </c>
      <c r="P222" s="2" t="str">
        <f>IF(global_freelancer_raw5[[#This Row],[No of projects ]]&lt;=5,"Entry level","Well Experienced")</f>
        <v>Entry level</v>
      </c>
      <c r="Q222" s="2">
        <v>1</v>
      </c>
    </row>
    <row r="223" spans="1:17" x14ac:dyDescent="0.3">
      <c r="A223" t="s">
        <v>548</v>
      </c>
      <c r="B223" t="s">
        <v>549</v>
      </c>
      <c r="C223" t="s">
        <v>118</v>
      </c>
      <c r="D223" s="2">
        <v>41</v>
      </c>
      <c r="E223" t="s">
        <v>133</v>
      </c>
      <c r="F223" t="s">
        <v>134</v>
      </c>
      <c r="G223" s="2" t="s">
        <v>135</v>
      </c>
      <c r="H223" s="2">
        <v>4</v>
      </c>
      <c r="I223" s="2" t="s">
        <v>103</v>
      </c>
      <c r="J223" s="2">
        <v>2.6</v>
      </c>
      <c r="K223" s="2" t="s">
        <v>2120</v>
      </c>
      <c r="L223" s="2">
        <v>0.85</v>
      </c>
      <c r="M223" s="2" t="s">
        <v>60</v>
      </c>
      <c r="N223" s="2" t="s">
        <v>34</v>
      </c>
      <c r="O223" s="2">
        <v>4</v>
      </c>
      <c r="P223" s="2" t="str">
        <f>IF(global_freelancer_raw5[[#This Row],[No of projects ]]&lt;=5,"Entry level","Well Experienced")</f>
        <v>Entry level</v>
      </c>
      <c r="Q223" s="2">
        <v>1</v>
      </c>
    </row>
    <row r="224" spans="1:17" x14ac:dyDescent="0.3">
      <c r="A224" t="s">
        <v>550</v>
      </c>
      <c r="B224" t="s">
        <v>551</v>
      </c>
      <c r="C224" t="s">
        <v>97</v>
      </c>
      <c r="D224" s="2">
        <v>21</v>
      </c>
      <c r="E224" t="s">
        <v>149</v>
      </c>
      <c r="F224" t="s">
        <v>30</v>
      </c>
      <c r="G224" s="2" t="s">
        <v>57</v>
      </c>
      <c r="H224" s="2">
        <v>0</v>
      </c>
      <c r="I224" s="2" t="s">
        <v>70</v>
      </c>
      <c r="J224" s="2">
        <v>1.1000000000000001</v>
      </c>
      <c r="K224" s="2" t="s">
        <v>23</v>
      </c>
      <c r="L224" s="2">
        <v>0.79</v>
      </c>
      <c r="M224" s="2" t="s">
        <v>24</v>
      </c>
      <c r="N224" s="2" t="s">
        <v>34</v>
      </c>
      <c r="O224" s="2">
        <v>5</v>
      </c>
      <c r="P224" s="2" t="str">
        <f>IF(global_freelancer_raw5[[#This Row],[No of projects ]]&lt;=5,"Entry level","Well Experienced")</f>
        <v>Entry level</v>
      </c>
      <c r="Q224" s="2">
        <v>2</v>
      </c>
    </row>
    <row r="225" spans="1:17" x14ac:dyDescent="0.3">
      <c r="A225" t="s">
        <v>552</v>
      </c>
      <c r="B225" t="s">
        <v>553</v>
      </c>
      <c r="C225" t="s">
        <v>97</v>
      </c>
      <c r="D225" s="2">
        <v>58</v>
      </c>
      <c r="E225" t="s">
        <v>197</v>
      </c>
      <c r="F225" t="s">
        <v>198</v>
      </c>
      <c r="G225" s="2" t="s">
        <v>135</v>
      </c>
      <c r="H225" s="2">
        <v>9</v>
      </c>
      <c r="I225" s="2" t="s">
        <v>52</v>
      </c>
      <c r="J225" s="2">
        <v>0</v>
      </c>
      <c r="K225" s="2" t="s">
        <v>33</v>
      </c>
      <c r="L225" s="2">
        <v>0.65</v>
      </c>
      <c r="M225" s="2" t="s">
        <v>82</v>
      </c>
      <c r="N225" s="2" t="s">
        <v>34</v>
      </c>
      <c r="O225" s="2">
        <v>15</v>
      </c>
      <c r="P225" s="2" t="str">
        <f>IF(global_freelancer_raw5[[#This Row],[No of projects ]]&lt;=5,"Entry level","Well Experienced")</f>
        <v>Well Experienced</v>
      </c>
      <c r="Q225" s="2">
        <v>6</v>
      </c>
    </row>
    <row r="226" spans="1:17" x14ac:dyDescent="0.3">
      <c r="A226" t="s">
        <v>554</v>
      </c>
      <c r="B226" t="s">
        <v>555</v>
      </c>
      <c r="C226" t="s">
        <v>118</v>
      </c>
      <c r="D226" s="2">
        <v>60</v>
      </c>
      <c r="E226" t="s">
        <v>149</v>
      </c>
      <c r="F226" t="s">
        <v>30</v>
      </c>
      <c r="G226" s="2" t="s">
        <v>135</v>
      </c>
      <c r="H226" s="2">
        <v>3</v>
      </c>
      <c r="I226" s="2" t="s">
        <v>86</v>
      </c>
      <c r="J226" s="2">
        <v>4.7</v>
      </c>
      <c r="K226" s="2" t="s">
        <v>59</v>
      </c>
      <c r="L226" s="2">
        <v>0.63</v>
      </c>
      <c r="M226" s="2" t="s">
        <v>88</v>
      </c>
      <c r="N226" s="2" t="s">
        <v>34</v>
      </c>
      <c r="O226" s="2">
        <v>1</v>
      </c>
      <c r="P226" s="2" t="str">
        <f>IF(global_freelancer_raw5[[#This Row],[No of projects ]]&lt;=5,"Entry level","Well Experienced")</f>
        <v>Entry level</v>
      </c>
      <c r="Q226" s="2">
        <v>5</v>
      </c>
    </row>
    <row r="227" spans="1:17" x14ac:dyDescent="0.3">
      <c r="A227" t="s">
        <v>556</v>
      </c>
      <c r="B227" t="s">
        <v>557</v>
      </c>
      <c r="C227" t="s">
        <v>118</v>
      </c>
      <c r="D227" s="2">
        <v>27</v>
      </c>
      <c r="E227" t="s">
        <v>175</v>
      </c>
      <c r="F227" t="s">
        <v>176</v>
      </c>
      <c r="G227" s="2" t="s">
        <v>46</v>
      </c>
      <c r="H227" s="2">
        <v>2</v>
      </c>
      <c r="I227" s="2" t="s">
        <v>47</v>
      </c>
      <c r="J227" s="2">
        <v>1.2</v>
      </c>
      <c r="K227" s="2" t="s">
        <v>59</v>
      </c>
      <c r="L227" s="2" t="s">
        <v>2120</v>
      </c>
      <c r="M227" s="2" t="s">
        <v>82</v>
      </c>
      <c r="N227" s="2" t="s">
        <v>25</v>
      </c>
      <c r="O227" s="2">
        <v>1</v>
      </c>
      <c r="P227" s="2" t="str">
        <f>IF(global_freelancer_raw5[[#This Row],[No of projects ]]&lt;=5,"Entry level","Well Experienced")</f>
        <v>Entry level</v>
      </c>
      <c r="Q227" s="2">
        <v>1</v>
      </c>
    </row>
    <row r="228" spans="1:17" x14ac:dyDescent="0.3">
      <c r="A228" t="s">
        <v>558</v>
      </c>
      <c r="B228" t="s">
        <v>559</v>
      </c>
      <c r="C228" t="s">
        <v>97</v>
      </c>
      <c r="D228" s="2">
        <v>29</v>
      </c>
      <c r="E228" t="s">
        <v>38</v>
      </c>
      <c r="F228" t="s">
        <v>38</v>
      </c>
      <c r="G228" s="2" t="s">
        <v>135</v>
      </c>
      <c r="H228" s="2">
        <v>10</v>
      </c>
      <c r="I228" s="2" t="s">
        <v>70</v>
      </c>
      <c r="J228" s="2">
        <v>1.2</v>
      </c>
      <c r="K228" s="2" t="s">
        <v>59</v>
      </c>
      <c r="L228" s="2">
        <v>0.78</v>
      </c>
      <c r="M228" s="2" t="s">
        <v>88</v>
      </c>
      <c r="N228" s="2" t="s">
        <v>25</v>
      </c>
      <c r="O228" s="2">
        <v>7</v>
      </c>
      <c r="P228" s="2" t="str">
        <f>IF(global_freelancer_raw5[[#This Row],[No of projects ]]&lt;=5,"Entry level","Well Experienced")</f>
        <v>Well Experienced</v>
      </c>
      <c r="Q228" s="2">
        <v>6</v>
      </c>
    </row>
    <row r="229" spans="1:17" x14ac:dyDescent="0.3">
      <c r="A229" t="s">
        <v>560</v>
      </c>
      <c r="B229" t="s">
        <v>561</v>
      </c>
      <c r="C229" t="s">
        <v>97</v>
      </c>
      <c r="D229" s="2">
        <v>54</v>
      </c>
      <c r="E229" t="s">
        <v>149</v>
      </c>
      <c r="F229" t="s">
        <v>30</v>
      </c>
      <c r="G229" s="2" t="s">
        <v>39</v>
      </c>
      <c r="H229" s="2">
        <v>33</v>
      </c>
      <c r="I229" s="2" t="s">
        <v>192</v>
      </c>
      <c r="J229" s="2">
        <v>0</v>
      </c>
      <c r="K229" s="2" t="s">
        <v>33</v>
      </c>
      <c r="L229" s="2">
        <v>0.62</v>
      </c>
      <c r="M229" s="2" t="s">
        <v>82</v>
      </c>
      <c r="N229" s="2" t="s">
        <v>75</v>
      </c>
      <c r="O229" s="2">
        <v>18</v>
      </c>
      <c r="P229" s="2" t="str">
        <f>IF(global_freelancer_raw5[[#This Row],[No of projects ]]&lt;=5,"Entry level","Well Experienced")</f>
        <v>Well Experienced</v>
      </c>
      <c r="Q229" s="2">
        <v>9</v>
      </c>
    </row>
    <row r="230" spans="1:17" x14ac:dyDescent="0.3">
      <c r="A230" t="s">
        <v>562</v>
      </c>
      <c r="B230" t="s">
        <v>563</v>
      </c>
      <c r="C230" t="s">
        <v>118</v>
      </c>
      <c r="D230" s="2">
        <v>52</v>
      </c>
      <c r="E230" t="s">
        <v>201</v>
      </c>
      <c r="F230" t="s">
        <v>92</v>
      </c>
      <c r="G230" s="2" t="s">
        <v>135</v>
      </c>
      <c r="H230" s="2">
        <v>12</v>
      </c>
      <c r="I230" s="2" t="s">
        <v>86</v>
      </c>
      <c r="J230" s="2">
        <v>1.2</v>
      </c>
      <c r="K230" s="2" t="s">
        <v>23</v>
      </c>
      <c r="L230" s="2">
        <v>0.76</v>
      </c>
      <c r="M230" s="2" t="s">
        <v>82</v>
      </c>
      <c r="N230" s="2" t="s">
        <v>34</v>
      </c>
      <c r="O230" s="2">
        <v>14</v>
      </c>
      <c r="P230" s="2" t="str">
        <f>IF(global_freelancer_raw5[[#This Row],[No of projects ]]&lt;=5,"Entry level","Well Experienced")</f>
        <v>Well Experienced</v>
      </c>
      <c r="Q230" s="2">
        <v>3</v>
      </c>
    </row>
    <row r="231" spans="1:17" x14ac:dyDescent="0.3">
      <c r="A231" t="s">
        <v>564</v>
      </c>
      <c r="B231" t="s">
        <v>565</v>
      </c>
      <c r="C231" t="s">
        <v>97</v>
      </c>
      <c r="D231" s="2">
        <v>55</v>
      </c>
      <c r="E231" t="s">
        <v>64</v>
      </c>
      <c r="F231" t="s">
        <v>65</v>
      </c>
      <c r="G231" s="2" t="s">
        <v>21</v>
      </c>
      <c r="H231" s="2">
        <v>18</v>
      </c>
      <c r="I231" s="2" t="s">
        <v>22</v>
      </c>
      <c r="J231" s="2">
        <v>2.9</v>
      </c>
      <c r="K231" s="2" t="s">
        <v>23</v>
      </c>
      <c r="L231" s="2">
        <v>97</v>
      </c>
      <c r="M231" s="2" t="s">
        <v>82</v>
      </c>
      <c r="N231" s="2" t="s">
        <v>25</v>
      </c>
      <c r="O231" s="2">
        <v>12</v>
      </c>
      <c r="P231" s="2" t="str">
        <f>IF(global_freelancer_raw5[[#This Row],[No of projects ]]&lt;=5,"Entry level","Well Experienced")</f>
        <v>Well Experienced</v>
      </c>
      <c r="Q231" s="2">
        <v>9</v>
      </c>
    </row>
    <row r="232" spans="1:17" x14ac:dyDescent="0.3">
      <c r="A232" t="s">
        <v>566</v>
      </c>
      <c r="B232" t="s">
        <v>567</v>
      </c>
      <c r="C232" t="s">
        <v>118</v>
      </c>
      <c r="D232" s="2">
        <v>37</v>
      </c>
      <c r="E232" t="s">
        <v>128</v>
      </c>
      <c r="F232" t="s">
        <v>129</v>
      </c>
      <c r="G232" s="2" t="s">
        <v>21</v>
      </c>
      <c r="H232" s="2">
        <v>4</v>
      </c>
      <c r="I232" s="2" t="s">
        <v>2119</v>
      </c>
      <c r="J232" s="2" t="s">
        <v>2120</v>
      </c>
      <c r="K232" s="2" t="s">
        <v>41</v>
      </c>
      <c r="L232" s="2" t="s">
        <v>2120</v>
      </c>
      <c r="M232" s="2" t="s">
        <v>24</v>
      </c>
      <c r="N232" s="2" t="s">
        <v>42</v>
      </c>
      <c r="O232" s="2">
        <v>3</v>
      </c>
      <c r="P232" s="2" t="str">
        <f>IF(global_freelancer_raw5[[#This Row],[No of projects ]]&lt;=5,"Entry level","Well Experienced")</f>
        <v>Entry level</v>
      </c>
      <c r="Q232" s="2">
        <v>2</v>
      </c>
    </row>
    <row r="233" spans="1:17" x14ac:dyDescent="0.3">
      <c r="A233" t="s">
        <v>568</v>
      </c>
      <c r="B233" t="s">
        <v>569</v>
      </c>
      <c r="C233" t="s">
        <v>97</v>
      </c>
      <c r="D233" s="2">
        <v>34</v>
      </c>
      <c r="E233" t="s">
        <v>160</v>
      </c>
      <c r="F233" t="s">
        <v>161</v>
      </c>
      <c r="G233" s="2" t="s">
        <v>66</v>
      </c>
      <c r="H233" s="2">
        <v>11</v>
      </c>
      <c r="I233" s="2" t="s">
        <v>81</v>
      </c>
      <c r="J233" s="2">
        <v>3.9</v>
      </c>
      <c r="K233" s="2" t="s">
        <v>33</v>
      </c>
      <c r="L233" s="2">
        <v>0.82</v>
      </c>
      <c r="M233" s="2" t="s">
        <v>24</v>
      </c>
      <c r="N233" s="2" t="s">
        <v>34</v>
      </c>
      <c r="O233" s="2">
        <v>13</v>
      </c>
      <c r="P233" s="2" t="str">
        <f>IF(global_freelancer_raw5[[#This Row],[No of projects ]]&lt;=5,"Entry level","Well Experienced")</f>
        <v>Well Experienced</v>
      </c>
      <c r="Q233" s="2">
        <v>2</v>
      </c>
    </row>
    <row r="234" spans="1:17" x14ac:dyDescent="0.3">
      <c r="A234" t="s">
        <v>570</v>
      </c>
      <c r="B234" t="s">
        <v>571</v>
      </c>
      <c r="C234" t="s">
        <v>118</v>
      </c>
      <c r="D234" s="2">
        <v>20</v>
      </c>
      <c r="E234" t="s">
        <v>156</v>
      </c>
      <c r="F234" t="s">
        <v>157</v>
      </c>
      <c r="G234" s="2" t="s">
        <v>66</v>
      </c>
      <c r="H234" s="2">
        <v>1</v>
      </c>
      <c r="I234" s="2" t="s">
        <v>40</v>
      </c>
      <c r="J234" s="2">
        <v>3.1</v>
      </c>
      <c r="K234" s="2" t="s">
        <v>2120</v>
      </c>
      <c r="L234" s="2">
        <v>0.71</v>
      </c>
      <c r="M234" s="2" t="s">
        <v>60</v>
      </c>
      <c r="N234" s="2" t="s">
        <v>75</v>
      </c>
      <c r="O234" s="2">
        <v>4</v>
      </c>
      <c r="P234" s="2" t="str">
        <f>IF(global_freelancer_raw5[[#This Row],[No of projects ]]&lt;=5,"Entry level","Well Experienced")</f>
        <v>Entry level</v>
      </c>
      <c r="Q234" s="2">
        <v>3</v>
      </c>
    </row>
    <row r="235" spans="1:17" x14ac:dyDescent="0.3">
      <c r="A235" t="s">
        <v>572</v>
      </c>
      <c r="B235" t="s">
        <v>573</v>
      </c>
      <c r="C235" t="s">
        <v>118</v>
      </c>
      <c r="D235" s="2">
        <v>22</v>
      </c>
      <c r="E235" t="s">
        <v>201</v>
      </c>
      <c r="F235" t="s">
        <v>92</v>
      </c>
      <c r="G235" s="2" t="s">
        <v>93</v>
      </c>
      <c r="H235" s="2">
        <v>2</v>
      </c>
      <c r="I235" s="2" t="s">
        <v>2119</v>
      </c>
      <c r="J235" s="2">
        <v>0</v>
      </c>
      <c r="K235" s="2" t="s">
        <v>33</v>
      </c>
      <c r="L235" s="2" t="s">
        <v>2120</v>
      </c>
      <c r="M235" s="2" t="s">
        <v>60</v>
      </c>
      <c r="N235" s="2" t="s">
        <v>75</v>
      </c>
      <c r="O235" s="2">
        <v>5</v>
      </c>
      <c r="P235" s="2" t="str">
        <f>IF(global_freelancer_raw5[[#This Row],[No of projects ]]&lt;=5,"Entry level","Well Experienced")</f>
        <v>Entry level</v>
      </c>
      <c r="Q235" s="2">
        <v>1</v>
      </c>
    </row>
    <row r="236" spans="1:17" x14ac:dyDescent="0.3">
      <c r="A236" t="s">
        <v>574</v>
      </c>
      <c r="B236" t="s">
        <v>575</v>
      </c>
      <c r="C236" t="s">
        <v>97</v>
      </c>
      <c r="D236" s="2">
        <v>23</v>
      </c>
      <c r="E236" t="s">
        <v>133</v>
      </c>
      <c r="F236" t="s">
        <v>134</v>
      </c>
      <c r="G236" s="2" t="s">
        <v>39</v>
      </c>
      <c r="H236" s="2">
        <v>2</v>
      </c>
      <c r="I236" s="2" t="s">
        <v>40</v>
      </c>
      <c r="J236" s="2">
        <v>3.2</v>
      </c>
      <c r="K236" s="2" t="s">
        <v>74</v>
      </c>
      <c r="L236" s="2" t="s">
        <v>2120</v>
      </c>
      <c r="M236" s="2" t="s">
        <v>88</v>
      </c>
      <c r="N236" s="2" t="s">
        <v>75</v>
      </c>
      <c r="O236" s="2">
        <v>2</v>
      </c>
      <c r="P236" s="2" t="str">
        <f>IF(global_freelancer_raw5[[#This Row],[No of projects ]]&lt;=5,"Entry level","Well Experienced")</f>
        <v>Entry level</v>
      </c>
      <c r="Q236" s="2">
        <v>1</v>
      </c>
    </row>
    <row r="237" spans="1:17" x14ac:dyDescent="0.3">
      <c r="A237" t="s">
        <v>576</v>
      </c>
      <c r="B237" t="s">
        <v>577</v>
      </c>
      <c r="C237" t="s">
        <v>97</v>
      </c>
      <c r="D237" s="2">
        <v>53</v>
      </c>
      <c r="E237" t="s">
        <v>133</v>
      </c>
      <c r="F237" t="s">
        <v>134</v>
      </c>
      <c r="G237" s="2" t="s">
        <v>21</v>
      </c>
      <c r="H237" s="2">
        <v>34</v>
      </c>
      <c r="I237" s="2" t="s">
        <v>52</v>
      </c>
      <c r="J237" s="2" t="s">
        <v>2120</v>
      </c>
      <c r="K237" s="2" t="s">
        <v>94</v>
      </c>
      <c r="L237" s="2" t="s">
        <v>2120</v>
      </c>
      <c r="M237" s="2" t="s">
        <v>24</v>
      </c>
      <c r="N237" s="2" t="s">
        <v>42</v>
      </c>
      <c r="O237" s="2">
        <v>14</v>
      </c>
      <c r="P237" s="2" t="str">
        <f>IF(global_freelancer_raw5[[#This Row],[No of projects ]]&lt;=5,"Entry level","Well Experienced")</f>
        <v>Well Experienced</v>
      </c>
      <c r="Q237" s="2">
        <v>9</v>
      </c>
    </row>
    <row r="238" spans="1:17" x14ac:dyDescent="0.3">
      <c r="A238" t="s">
        <v>578</v>
      </c>
      <c r="B238" t="s">
        <v>579</v>
      </c>
      <c r="C238" t="s">
        <v>97</v>
      </c>
      <c r="D238" s="2">
        <v>56</v>
      </c>
      <c r="E238" t="s">
        <v>133</v>
      </c>
      <c r="F238" t="s">
        <v>134</v>
      </c>
      <c r="G238" s="2" t="s">
        <v>39</v>
      </c>
      <c r="H238" s="2">
        <v>27</v>
      </c>
      <c r="I238" s="2" t="s">
        <v>22</v>
      </c>
      <c r="J238" s="2">
        <v>4.7</v>
      </c>
      <c r="K238" s="2" t="s">
        <v>74</v>
      </c>
      <c r="L238" s="2">
        <v>0.69</v>
      </c>
      <c r="M238" s="2" t="s">
        <v>88</v>
      </c>
      <c r="N238" s="2" t="s">
        <v>25</v>
      </c>
      <c r="O238" s="2">
        <v>19</v>
      </c>
      <c r="P238" s="2" t="str">
        <f>IF(global_freelancer_raw5[[#This Row],[No of projects ]]&lt;=5,"Entry level","Well Experienced")</f>
        <v>Well Experienced</v>
      </c>
      <c r="Q238" s="2">
        <v>7</v>
      </c>
    </row>
    <row r="239" spans="1:17" x14ac:dyDescent="0.3">
      <c r="A239" t="s">
        <v>580</v>
      </c>
      <c r="B239" t="s">
        <v>581</v>
      </c>
      <c r="C239" t="s">
        <v>118</v>
      </c>
      <c r="D239" s="2">
        <v>27</v>
      </c>
      <c r="E239" t="s">
        <v>149</v>
      </c>
      <c r="F239" t="s">
        <v>30</v>
      </c>
      <c r="G239" s="2" t="s">
        <v>57</v>
      </c>
      <c r="H239" s="2">
        <v>4</v>
      </c>
      <c r="I239" s="2" t="s">
        <v>103</v>
      </c>
      <c r="J239" s="2">
        <v>5</v>
      </c>
      <c r="K239" s="2" t="s">
        <v>23</v>
      </c>
      <c r="L239" s="2">
        <v>0.88</v>
      </c>
      <c r="M239" s="2" t="s">
        <v>60</v>
      </c>
      <c r="N239" s="2" t="s">
        <v>42</v>
      </c>
      <c r="O239" s="2">
        <v>5</v>
      </c>
      <c r="P239" s="2" t="str">
        <f>IF(global_freelancer_raw5[[#This Row],[No of projects ]]&lt;=5,"Entry level","Well Experienced")</f>
        <v>Entry level</v>
      </c>
      <c r="Q239" s="2">
        <v>1</v>
      </c>
    </row>
    <row r="240" spans="1:17" x14ac:dyDescent="0.3">
      <c r="A240" t="s">
        <v>582</v>
      </c>
      <c r="B240" t="s">
        <v>583</v>
      </c>
      <c r="C240" t="s">
        <v>118</v>
      </c>
      <c r="D240" s="2">
        <v>34</v>
      </c>
      <c r="E240" t="s">
        <v>19</v>
      </c>
      <c r="F240" t="s">
        <v>20</v>
      </c>
      <c r="G240" s="2" t="s">
        <v>31</v>
      </c>
      <c r="H240" s="2">
        <v>11</v>
      </c>
      <c r="I240" s="2" t="s">
        <v>70</v>
      </c>
      <c r="J240" s="2" t="s">
        <v>2120</v>
      </c>
      <c r="K240" s="2" t="s">
        <v>59</v>
      </c>
      <c r="L240" s="2">
        <v>0.67</v>
      </c>
      <c r="M240" s="2" t="s">
        <v>88</v>
      </c>
      <c r="N240" s="2" t="s">
        <v>34</v>
      </c>
      <c r="O240" s="2">
        <v>13</v>
      </c>
      <c r="P240" s="2" t="str">
        <f>IF(global_freelancer_raw5[[#This Row],[No of projects ]]&lt;=5,"Entry level","Well Experienced")</f>
        <v>Well Experienced</v>
      </c>
      <c r="Q240" s="2">
        <v>9</v>
      </c>
    </row>
    <row r="241" spans="1:17" x14ac:dyDescent="0.3">
      <c r="A241" t="s">
        <v>584</v>
      </c>
      <c r="B241" t="s">
        <v>585</v>
      </c>
      <c r="C241" t="s">
        <v>118</v>
      </c>
      <c r="D241" s="2">
        <v>29</v>
      </c>
      <c r="E241" t="s">
        <v>73</v>
      </c>
      <c r="F241" t="s">
        <v>30</v>
      </c>
      <c r="G241" s="2" t="s">
        <v>46</v>
      </c>
      <c r="H241" s="2">
        <v>4</v>
      </c>
      <c r="I241" s="2" t="s">
        <v>119</v>
      </c>
      <c r="J241" s="2">
        <v>4</v>
      </c>
      <c r="K241" s="2" t="s">
        <v>23</v>
      </c>
      <c r="L241" s="2" t="s">
        <v>2120</v>
      </c>
      <c r="M241" s="2" t="s">
        <v>60</v>
      </c>
      <c r="N241" s="2" t="s">
        <v>75</v>
      </c>
      <c r="O241" s="2">
        <v>3</v>
      </c>
      <c r="P241" s="2" t="str">
        <f>IF(global_freelancer_raw5[[#This Row],[No of projects ]]&lt;=5,"Entry level","Well Experienced")</f>
        <v>Entry level</v>
      </c>
      <c r="Q241" s="2">
        <v>2</v>
      </c>
    </row>
    <row r="242" spans="1:17" x14ac:dyDescent="0.3">
      <c r="A242" t="s">
        <v>586</v>
      </c>
      <c r="B242" t="s">
        <v>587</v>
      </c>
      <c r="C242" t="s">
        <v>118</v>
      </c>
      <c r="D242" s="2">
        <v>34</v>
      </c>
      <c r="E242" t="s">
        <v>114</v>
      </c>
      <c r="F242" t="s">
        <v>115</v>
      </c>
      <c r="G242" s="2" t="s">
        <v>57</v>
      </c>
      <c r="H242" s="2">
        <v>11</v>
      </c>
      <c r="I242" s="2" t="s">
        <v>2119</v>
      </c>
      <c r="J242" s="2">
        <v>1.2</v>
      </c>
      <c r="K242" s="2" t="s">
        <v>33</v>
      </c>
      <c r="L242" s="2" t="s">
        <v>2120</v>
      </c>
      <c r="M242" s="2" t="s">
        <v>24</v>
      </c>
      <c r="N242" s="2" t="s">
        <v>42</v>
      </c>
      <c r="O242" s="2">
        <v>11</v>
      </c>
      <c r="P242" s="2" t="str">
        <f>IF(global_freelancer_raw5[[#This Row],[No of projects ]]&lt;=5,"Entry level","Well Experienced")</f>
        <v>Well Experienced</v>
      </c>
      <c r="Q242" s="2">
        <v>4</v>
      </c>
    </row>
    <row r="243" spans="1:17" x14ac:dyDescent="0.3">
      <c r="A243" t="s">
        <v>588</v>
      </c>
      <c r="B243" t="s">
        <v>589</v>
      </c>
      <c r="C243" t="s">
        <v>97</v>
      </c>
      <c r="D243" s="2">
        <v>32</v>
      </c>
      <c r="E243" t="s">
        <v>201</v>
      </c>
      <c r="F243" t="s">
        <v>92</v>
      </c>
      <c r="G243" s="2" t="s">
        <v>57</v>
      </c>
      <c r="H243" s="2">
        <v>1</v>
      </c>
      <c r="I243" s="2" t="s">
        <v>22</v>
      </c>
      <c r="J243" s="2">
        <v>4.7</v>
      </c>
      <c r="K243" s="2" t="s">
        <v>23</v>
      </c>
      <c r="L243" s="2">
        <v>0.67</v>
      </c>
      <c r="M243" s="2" t="s">
        <v>82</v>
      </c>
      <c r="N243" s="2" t="s">
        <v>42</v>
      </c>
      <c r="O243" s="2">
        <v>5</v>
      </c>
      <c r="P243" s="2" t="str">
        <f>IF(global_freelancer_raw5[[#This Row],[No of projects ]]&lt;=5,"Entry level","Well Experienced")</f>
        <v>Entry level</v>
      </c>
      <c r="Q243" s="2">
        <v>1</v>
      </c>
    </row>
    <row r="244" spans="1:17" x14ac:dyDescent="0.3">
      <c r="A244" t="s">
        <v>590</v>
      </c>
      <c r="B244" t="s">
        <v>591</v>
      </c>
      <c r="C244" t="s">
        <v>97</v>
      </c>
      <c r="D244" s="2">
        <v>21</v>
      </c>
      <c r="E244" t="s">
        <v>175</v>
      </c>
      <c r="F244" t="s">
        <v>176</v>
      </c>
      <c r="G244" s="2" t="s">
        <v>135</v>
      </c>
      <c r="H244" s="2">
        <v>2</v>
      </c>
      <c r="I244" s="2" t="s">
        <v>162</v>
      </c>
      <c r="J244" s="2">
        <v>2.4</v>
      </c>
      <c r="K244" s="2" t="s">
        <v>2120</v>
      </c>
      <c r="L244" s="2">
        <v>0.86</v>
      </c>
      <c r="M244" s="2" t="s">
        <v>24</v>
      </c>
      <c r="N244" s="2" t="s">
        <v>25</v>
      </c>
      <c r="O244" s="2">
        <v>4</v>
      </c>
      <c r="P244" s="2" t="str">
        <f>IF(global_freelancer_raw5[[#This Row],[No of projects ]]&lt;=5,"Entry level","Well Experienced")</f>
        <v>Entry level</v>
      </c>
      <c r="Q244" s="2">
        <v>2</v>
      </c>
    </row>
    <row r="245" spans="1:17" x14ac:dyDescent="0.3">
      <c r="A245" t="s">
        <v>592</v>
      </c>
      <c r="B245" t="s">
        <v>593</v>
      </c>
      <c r="C245" t="s">
        <v>118</v>
      </c>
      <c r="D245" s="2">
        <v>20</v>
      </c>
      <c r="E245" t="s">
        <v>201</v>
      </c>
      <c r="F245" t="s">
        <v>92</v>
      </c>
      <c r="G245" s="2" t="s">
        <v>39</v>
      </c>
      <c r="H245" s="2">
        <v>2</v>
      </c>
      <c r="I245" s="2" t="s">
        <v>2119</v>
      </c>
      <c r="J245" s="2">
        <v>1.1000000000000001</v>
      </c>
      <c r="K245" s="2" t="s">
        <v>59</v>
      </c>
      <c r="L245" s="2">
        <v>0.69</v>
      </c>
      <c r="M245" s="2" t="s">
        <v>88</v>
      </c>
      <c r="N245" s="2" t="s">
        <v>25</v>
      </c>
      <c r="O245" s="2">
        <v>3</v>
      </c>
      <c r="P245" s="2" t="str">
        <f>IF(global_freelancer_raw5[[#This Row],[No of projects ]]&lt;=5,"Entry level","Well Experienced")</f>
        <v>Entry level</v>
      </c>
      <c r="Q245" s="2">
        <v>1</v>
      </c>
    </row>
    <row r="246" spans="1:17" x14ac:dyDescent="0.3">
      <c r="A246" t="s">
        <v>594</v>
      </c>
      <c r="B246" t="s">
        <v>595</v>
      </c>
      <c r="C246" t="s">
        <v>97</v>
      </c>
      <c r="D246" s="2">
        <v>35</v>
      </c>
      <c r="E246" t="s">
        <v>73</v>
      </c>
      <c r="F246" t="s">
        <v>30</v>
      </c>
      <c r="G246" s="2" t="s">
        <v>31</v>
      </c>
      <c r="H246" s="2">
        <v>10</v>
      </c>
      <c r="I246" s="2" t="s">
        <v>40</v>
      </c>
      <c r="J246" s="2">
        <v>1.4</v>
      </c>
      <c r="K246" s="2" t="s">
        <v>74</v>
      </c>
      <c r="L246" s="2">
        <v>0.85</v>
      </c>
      <c r="M246" s="2" t="s">
        <v>88</v>
      </c>
      <c r="N246" s="2" t="s">
        <v>75</v>
      </c>
      <c r="O246" s="2">
        <v>8</v>
      </c>
      <c r="P246" s="2" t="str">
        <f>IF(global_freelancer_raw5[[#This Row],[No of projects ]]&lt;=5,"Entry level","Well Experienced")</f>
        <v>Well Experienced</v>
      </c>
      <c r="Q246" s="2">
        <v>4</v>
      </c>
    </row>
    <row r="247" spans="1:17" x14ac:dyDescent="0.3">
      <c r="A247" t="s">
        <v>596</v>
      </c>
      <c r="B247" t="s">
        <v>597</v>
      </c>
      <c r="C247" t="s">
        <v>97</v>
      </c>
      <c r="D247" s="2">
        <v>47</v>
      </c>
      <c r="E247" t="s">
        <v>73</v>
      </c>
      <c r="F247" t="s">
        <v>30</v>
      </c>
      <c r="G247" s="2" t="s">
        <v>93</v>
      </c>
      <c r="H247" s="2">
        <v>18</v>
      </c>
      <c r="I247" s="2" t="s">
        <v>86</v>
      </c>
      <c r="J247" s="2">
        <v>3.4</v>
      </c>
      <c r="K247" s="2" t="s">
        <v>23</v>
      </c>
      <c r="L247" s="2">
        <v>60</v>
      </c>
      <c r="M247" s="2" t="s">
        <v>24</v>
      </c>
      <c r="N247" s="2" t="s">
        <v>42</v>
      </c>
      <c r="O247" s="2">
        <v>11</v>
      </c>
      <c r="P247" s="2" t="str">
        <f>IF(global_freelancer_raw5[[#This Row],[No of projects ]]&lt;=5,"Entry level","Well Experienced")</f>
        <v>Well Experienced</v>
      </c>
      <c r="Q247" s="2">
        <v>10</v>
      </c>
    </row>
    <row r="248" spans="1:17" x14ac:dyDescent="0.3">
      <c r="A248" t="s">
        <v>598</v>
      </c>
      <c r="B248" t="s">
        <v>599</v>
      </c>
      <c r="C248" t="s">
        <v>97</v>
      </c>
      <c r="D248" s="2">
        <v>41</v>
      </c>
      <c r="E248" t="s">
        <v>79</v>
      </c>
      <c r="F248" t="s">
        <v>80</v>
      </c>
      <c r="G248" s="2" t="s">
        <v>21</v>
      </c>
      <c r="H248" s="2">
        <v>4</v>
      </c>
      <c r="I248" s="2" t="s">
        <v>86</v>
      </c>
      <c r="J248" s="2">
        <v>2.7</v>
      </c>
      <c r="K248" s="2" t="s">
        <v>33</v>
      </c>
      <c r="L248" s="2">
        <v>70</v>
      </c>
      <c r="M248" s="2" t="s">
        <v>24</v>
      </c>
      <c r="N248" s="2" t="s">
        <v>42</v>
      </c>
      <c r="O248" s="2">
        <v>2</v>
      </c>
      <c r="P248" s="2" t="str">
        <f>IF(global_freelancer_raw5[[#This Row],[No of projects ]]&lt;=5,"Entry level","Well Experienced")</f>
        <v>Entry level</v>
      </c>
      <c r="Q248" s="2">
        <v>2</v>
      </c>
    </row>
    <row r="249" spans="1:17" x14ac:dyDescent="0.3">
      <c r="A249" t="s">
        <v>600</v>
      </c>
      <c r="B249" t="s">
        <v>601</v>
      </c>
      <c r="C249" t="s">
        <v>118</v>
      </c>
      <c r="D249" s="2">
        <v>58</v>
      </c>
      <c r="E249" t="s">
        <v>91</v>
      </c>
      <c r="F249" t="s">
        <v>92</v>
      </c>
      <c r="G249" s="2" t="s">
        <v>46</v>
      </c>
      <c r="H249" s="2">
        <v>23</v>
      </c>
      <c r="I249" s="2" t="s">
        <v>2119</v>
      </c>
      <c r="J249" s="2">
        <v>4.9000000000000004</v>
      </c>
      <c r="K249" s="2" t="s">
        <v>59</v>
      </c>
      <c r="L249" s="2" t="s">
        <v>2120</v>
      </c>
      <c r="M249" s="2" t="s">
        <v>60</v>
      </c>
      <c r="N249" s="2" t="s">
        <v>25</v>
      </c>
      <c r="O249" s="2">
        <v>19</v>
      </c>
      <c r="P249" s="2" t="str">
        <f>IF(global_freelancer_raw5[[#This Row],[No of projects ]]&lt;=5,"Entry level","Well Experienced")</f>
        <v>Well Experienced</v>
      </c>
      <c r="Q249" s="2">
        <v>5</v>
      </c>
    </row>
    <row r="250" spans="1:17" x14ac:dyDescent="0.3">
      <c r="A250" t="s">
        <v>602</v>
      </c>
      <c r="B250" t="s">
        <v>603</v>
      </c>
      <c r="C250" t="s">
        <v>118</v>
      </c>
      <c r="D250" s="2">
        <v>34</v>
      </c>
      <c r="E250" t="s">
        <v>197</v>
      </c>
      <c r="F250" t="s">
        <v>198</v>
      </c>
      <c r="G250" s="2" t="s">
        <v>66</v>
      </c>
      <c r="H250" s="2">
        <v>6</v>
      </c>
      <c r="I250" s="2" t="s">
        <v>103</v>
      </c>
      <c r="J250" s="2">
        <v>1.9</v>
      </c>
      <c r="K250" s="2" t="s">
        <v>33</v>
      </c>
      <c r="L250" s="2">
        <v>0.81</v>
      </c>
      <c r="M250" s="2" t="s">
        <v>88</v>
      </c>
      <c r="N250" s="2" t="s">
        <v>42</v>
      </c>
      <c r="O250" s="2">
        <v>9</v>
      </c>
      <c r="P250" s="2" t="str">
        <f>IF(global_freelancer_raw5[[#This Row],[No of projects ]]&lt;=5,"Entry level","Well Experienced")</f>
        <v>Well Experienced</v>
      </c>
      <c r="Q250" s="2">
        <v>6</v>
      </c>
    </row>
    <row r="251" spans="1:17" x14ac:dyDescent="0.3">
      <c r="A251" t="s">
        <v>604</v>
      </c>
      <c r="B251" t="s">
        <v>605</v>
      </c>
      <c r="C251" t="s">
        <v>97</v>
      </c>
      <c r="D251" s="2">
        <v>50</v>
      </c>
      <c r="E251" t="s">
        <v>114</v>
      </c>
      <c r="F251" t="s">
        <v>115</v>
      </c>
      <c r="G251" s="2" t="s">
        <v>31</v>
      </c>
      <c r="H251" s="2">
        <v>5</v>
      </c>
      <c r="I251" s="2" t="s">
        <v>22</v>
      </c>
      <c r="J251" s="2" t="s">
        <v>2120</v>
      </c>
      <c r="K251" s="2" t="s">
        <v>33</v>
      </c>
      <c r="L251" s="2" t="s">
        <v>2120</v>
      </c>
      <c r="M251" s="2" t="s">
        <v>88</v>
      </c>
      <c r="N251" s="2" t="s">
        <v>42</v>
      </c>
      <c r="O251" s="2">
        <v>4</v>
      </c>
      <c r="P251" s="2" t="str">
        <f>IF(global_freelancer_raw5[[#This Row],[No of projects ]]&lt;=5,"Entry level","Well Experienced")</f>
        <v>Entry level</v>
      </c>
      <c r="Q251" s="2">
        <v>1</v>
      </c>
    </row>
    <row r="252" spans="1:17" x14ac:dyDescent="0.3">
      <c r="A252" t="s">
        <v>606</v>
      </c>
      <c r="B252" t="s">
        <v>607</v>
      </c>
      <c r="C252" t="s">
        <v>97</v>
      </c>
      <c r="D252" s="2">
        <v>42</v>
      </c>
      <c r="E252" t="s">
        <v>201</v>
      </c>
      <c r="F252" t="s">
        <v>92</v>
      </c>
      <c r="G252" s="2" t="s">
        <v>110</v>
      </c>
      <c r="H252" s="2">
        <v>19</v>
      </c>
      <c r="I252" s="2" t="s">
        <v>67</v>
      </c>
      <c r="J252" s="2">
        <v>4.5999999999999996</v>
      </c>
      <c r="K252" s="2" t="s">
        <v>23</v>
      </c>
      <c r="L252" s="2">
        <v>0.78</v>
      </c>
      <c r="M252" s="2" t="s">
        <v>24</v>
      </c>
      <c r="N252" s="2" t="s">
        <v>42</v>
      </c>
      <c r="O252" s="2">
        <v>18</v>
      </c>
      <c r="P252" s="2" t="str">
        <f>IF(global_freelancer_raw5[[#This Row],[No of projects ]]&lt;=5,"Entry level","Well Experienced")</f>
        <v>Well Experienced</v>
      </c>
      <c r="Q252" s="2">
        <v>13</v>
      </c>
    </row>
    <row r="253" spans="1:17" x14ac:dyDescent="0.3">
      <c r="A253" t="s">
        <v>608</v>
      </c>
      <c r="B253" t="s">
        <v>609</v>
      </c>
      <c r="C253" t="s">
        <v>118</v>
      </c>
      <c r="D253" s="2">
        <v>43</v>
      </c>
      <c r="E253" t="s">
        <v>38</v>
      </c>
      <c r="F253" t="s">
        <v>38</v>
      </c>
      <c r="G253" s="2" t="s">
        <v>93</v>
      </c>
      <c r="H253" s="2">
        <v>6</v>
      </c>
      <c r="I253" s="2" t="s">
        <v>40</v>
      </c>
      <c r="J253" s="2">
        <v>0</v>
      </c>
      <c r="K253" s="2" t="s">
        <v>23</v>
      </c>
      <c r="L253" s="2">
        <v>81</v>
      </c>
      <c r="M253" s="2" t="s">
        <v>82</v>
      </c>
      <c r="N253" s="2" t="s">
        <v>25</v>
      </c>
      <c r="O253" s="2">
        <v>8</v>
      </c>
      <c r="P253" s="2" t="str">
        <f>IF(global_freelancer_raw5[[#This Row],[No of projects ]]&lt;=5,"Entry level","Well Experienced")</f>
        <v>Well Experienced</v>
      </c>
      <c r="Q253" s="2">
        <v>13</v>
      </c>
    </row>
    <row r="254" spans="1:17" x14ac:dyDescent="0.3">
      <c r="A254" t="s">
        <v>610</v>
      </c>
      <c r="B254" t="s">
        <v>611</v>
      </c>
      <c r="C254" t="s">
        <v>118</v>
      </c>
      <c r="D254" s="2">
        <v>34</v>
      </c>
      <c r="E254" t="s">
        <v>38</v>
      </c>
      <c r="F254" t="s">
        <v>38</v>
      </c>
      <c r="G254" s="2" t="s">
        <v>66</v>
      </c>
      <c r="H254" s="2">
        <v>8</v>
      </c>
      <c r="I254" s="2" t="s">
        <v>103</v>
      </c>
      <c r="J254" s="2">
        <v>1.8</v>
      </c>
      <c r="K254" s="2" t="s">
        <v>33</v>
      </c>
      <c r="L254" s="2">
        <v>0.71</v>
      </c>
      <c r="M254" s="2" t="s">
        <v>88</v>
      </c>
      <c r="N254" s="2" t="s">
        <v>75</v>
      </c>
      <c r="O254" s="2">
        <v>8</v>
      </c>
      <c r="P254" s="2" t="str">
        <f>IF(global_freelancer_raw5[[#This Row],[No of projects ]]&lt;=5,"Entry level","Well Experienced")</f>
        <v>Well Experienced</v>
      </c>
      <c r="Q254" s="2">
        <v>9</v>
      </c>
    </row>
    <row r="255" spans="1:17" x14ac:dyDescent="0.3">
      <c r="A255" t="s">
        <v>612</v>
      </c>
      <c r="B255" t="s">
        <v>613</v>
      </c>
      <c r="C255" t="s">
        <v>118</v>
      </c>
      <c r="D255" s="2">
        <v>24</v>
      </c>
      <c r="E255" t="s">
        <v>212</v>
      </c>
      <c r="F255" t="s">
        <v>92</v>
      </c>
      <c r="G255" s="2" t="s">
        <v>31</v>
      </c>
      <c r="H255" s="2">
        <v>3</v>
      </c>
      <c r="I255" s="2" t="s">
        <v>103</v>
      </c>
      <c r="J255" s="2">
        <v>2</v>
      </c>
      <c r="K255" s="2" t="s">
        <v>59</v>
      </c>
      <c r="L255" s="2" t="s">
        <v>2120</v>
      </c>
      <c r="M255" s="2" t="s">
        <v>82</v>
      </c>
      <c r="N255" s="2" t="s">
        <v>34</v>
      </c>
      <c r="O255" s="2">
        <v>2</v>
      </c>
      <c r="P255" s="2" t="str">
        <f>IF(global_freelancer_raw5[[#This Row],[No of projects ]]&lt;=5,"Entry level","Well Experienced")</f>
        <v>Entry level</v>
      </c>
      <c r="Q255" s="2">
        <v>1</v>
      </c>
    </row>
    <row r="256" spans="1:17" x14ac:dyDescent="0.3">
      <c r="A256" t="s">
        <v>614</v>
      </c>
      <c r="B256" t="s">
        <v>615</v>
      </c>
      <c r="C256" t="s">
        <v>118</v>
      </c>
      <c r="D256" s="2">
        <v>48</v>
      </c>
      <c r="E256" t="s">
        <v>175</v>
      </c>
      <c r="F256" t="s">
        <v>176</v>
      </c>
      <c r="G256" s="2" t="s">
        <v>93</v>
      </c>
      <c r="H256" s="2">
        <v>8</v>
      </c>
      <c r="I256" s="2" t="s">
        <v>52</v>
      </c>
      <c r="J256" s="2">
        <v>5</v>
      </c>
      <c r="K256" s="2" t="s">
        <v>33</v>
      </c>
      <c r="L256" s="2">
        <v>0.99</v>
      </c>
      <c r="M256" s="2" t="s">
        <v>24</v>
      </c>
      <c r="N256" s="2" t="s">
        <v>75</v>
      </c>
      <c r="O256" s="2">
        <v>6</v>
      </c>
      <c r="P256" s="2" t="str">
        <f>IF(global_freelancer_raw5[[#This Row],[No of projects ]]&lt;=5,"Entry level","Well Experienced")</f>
        <v>Well Experienced</v>
      </c>
      <c r="Q256" s="2">
        <v>9</v>
      </c>
    </row>
    <row r="257" spans="1:17" x14ac:dyDescent="0.3">
      <c r="A257" t="s">
        <v>616</v>
      </c>
      <c r="B257" t="s">
        <v>617</v>
      </c>
      <c r="C257" t="s">
        <v>97</v>
      </c>
      <c r="D257" s="2">
        <v>39</v>
      </c>
      <c r="E257" t="s">
        <v>133</v>
      </c>
      <c r="F257" t="s">
        <v>134</v>
      </c>
      <c r="G257" s="2" t="s">
        <v>66</v>
      </c>
      <c r="H257" s="2">
        <v>12</v>
      </c>
      <c r="I257" s="2" t="s">
        <v>142</v>
      </c>
      <c r="J257" s="2">
        <v>3.2</v>
      </c>
      <c r="K257" s="2" t="s">
        <v>74</v>
      </c>
      <c r="L257" s="2">
        <v>0.66</v>
      </c>
      <c r="M257" s="2" t="s">
        <v>24</v>
      </c>
      <c r="N257" s="2" t="s">
        <v>34</v>
      </c>
      <c r="O257" s="2">
        <v>15</v>
      </c>
      <c r="P257" s="2" t="str">
        <f>IF(global_freelancer_raw5[[#This Row],[No of projects ]]&lt;=5,"Entry level","Well Experienced")</f>
        <v>Well Experienced</v>
      </c>
      <c r="Q257" s="2">
        <v>6</v>
      </c>
    </row>
    <row r="258" spans="1:17" x14ac:dyDescent="0.3">
      <c r="A258" t="s">
        <v>618</v>
      </c>
      <c r="B258" t="s">
        <v>619</v>
      </c>
      <c r="C258" t="s">
        <v>97</v>
      </c>
      <c r="D258" s="2">
        <v>57</v>
      </c>
      <c r="E258" t="s">
        <v>29</v>
      </c>
      <c r="F258" t="s">
        <v>30</v>
      </c>
      <c r="G258" s="2" t="s">
        <v>21</v>
      </c>
      <c r="H258" s="2">
        <v>30</v>
      </c>
      <c r="I258" s="2" t="s">
        <v>58</v>
      </c>
      <c r="J258" s="2">
        <v>2.4</v>
      </c>
      <c r="K258" s="2" t="s">
        <v>2120</v>
      </c>
      <c r="L258" s="2">
        <v>0.8</v>
      </c>
      <c r="M258" s="2" t="s">
        <v>60</v>
      </c>
      <c r="N258" s="2" t="s">
        <v>42</v>
      </c>
      <c r="O258" s="2">
        <v>13</v>
      </c>
      <c r="P258" s="2" t="str">
        <f>IF(global_freelancer_raw5[[#This Row],[No of projects ]]&lt;=5,"Entry level","Well Experienced")</f>
        <v>Well Experienced</v>
      </c>
      <c r="Q258" s="2">
        <v>8</v>
      </c>
    </row>
    <row r="259" spans="1:17" x14ac:dyDescent="0.3">
      <c r="A259" t="s">
        <v>620</v>
      </c>
      <c r="B259" t="s">
        <v>621</v>
      </c>
      <c r="C259" t="s">
        <v>97</v>
      </c>
      <c r="D259" s="2">
        <v>44</v>
      </c>
      <c r="E259" t="s">
        <v>149</v>
      </c>
      <c r="F259" t="s">
        <v>30</v>
      </c>
      <c r="G259" s="2" t="s">
        <v>46</v>
      </c>
      <c r="H259" s="2">
        <v>21</v>
      </c>
      <c r="I259" s="2" t="s">
        <v>22</v>
      </c>
      <c r="J259" s="2">
        <v>2.9</v>
      </c>
      <c r="K259" s="2" t="s">
        <v>23</v>
      </c>
      <c r="L259" s="2">
        <v>0.83</v>
      </c>
      <c r="M259" s="2" t="s">
        <v>88</v>
      </c>
      <c r="N259" s="2" t="s">
        <v>75</v>
      </c>
      <c r="O259" s="2">
        <v>17</v>
      </c>
      <c r="P259" s="2" t="str">
        <f>IF(global_freelancer_raw5[[#This Row],[No of projects ]]&lt;=5,"Entry level","Well Experienced")</f>
        <v>Well Experienced</v>
      </c>
      <c r="Q259" s="2">
        <v>1</v>
      </c>
    </row>
    <row r="260" spans="1:17" x14ac:dyDescent="0.3">
      <c r="A260" t="s">
        <v>622</v>
      </c>
      <c r="B260" t="s">
        <v>623</v>
      </c>
      <c r="C260" t="s">
        <v>118</v>
      </c>
      <c r="D260" s="2">
        <v>37</v>
      </c>
      <c r="E260" t="s">
        <v>128</v>
      </c>
      <c r="F260" t="s">
        <v>129</v>
      </c>
      <c r="G260" s="2" t="s">
        <v>93</v>
      </c>
      <c r="H260" s="2">
        <v>17</v>
      </c>
      <c r="I260" s="2" t="s">
        <v>336</v>
      </c>
      <c r="J260" s="2">
        <v>0</v>
      </c>
      <c r="K260" s="2" t="s">
        <v>87</v>
      </c>
      <c r="L260" s="2">
        <v>87</v>
      </c>
      <c r="M260" s="2" t="s">
        <v>82</v>
      </c>
      <c r="N260" s="2" t="s">
        <v>34</v>
      </c>
      <c r="O260" s="2">
        <v>16</v>
      </c>
      <c r="P260" s="2" t="str">
        <f>IF(global_freelancer_raw5[[#This Row],[No of projects ]]&lt;=5,"Entry level","Well Experienced")</f>
        <v>Well Experienced</v>
      </c>
      <c r="Q260" s="2">
        <v>7</v>
      </c>
    </row>
    <row r="261" spans="1:17" x14ac:dyDescent="0.3">
      <c r="A261" t="s">
        <v>624</v>
      </c>
      <c r="B261" t="s">
        <v>625</v>
      </c>
      <c r="C261" t="s">
        <v>118</v>
      </c>
      <c r="D261" s="2">
        <v>50</v>
      </c>
      <c r="E261" t="s">
        <v>79</v>
      </c>
      <c r="F261" t="s">
        <v>80</v>
      </c>
      <c r="G261" s="2" t="s">
        <v>66</v>
      </c>
      <c r="H261" s="2">
        <v>9</v>
      </c>
      <c r="I261" s="2" t="s">
        <v>52</v>
      </c>
      <c r="J261" s="2">
        <v>3</v>
      </c>
      <c r="K261" s="2" t="s">
        <v>23</v>
      </c>
      <c r="L261" s="2">
        <v>76</v>
      </c>
      <c r="M261" s="2" t="s">
        <v>60</v>
      </c>
      <c r="N261" s="2" t="s">
        <v>25</v>
      </c>
      <c r="O261" s="2">
        <v>15</v>
      </c>
      <c r="P261" s="2" t="str">
        <f>IF(global_freelancer_raw5[[#This Row],[No of projects ]]&lt;=5,"Entry level","Well Experienced")</f>
        <v>Well Experienced</v>
      </c>
      <c r="Q261" s="2">
        <v>3</v>
      </c>
    </row>
    <row r="262" spans="1:17" x14ac:dyDescent="0.3">
      <c r="A262" t="s">
        <v>626</v>
      </c>
      <c r="B262" t="s">
        <v>627</v>
      </c>
      <c r="C262" t="s">
        <v>118</v>
      </c>
      <c r="D262" s="2">
        <v>50</v>
      </c>
      <c r="E262" t="s">
        <v>212</v>
      </c>
      <c r="F262" t="s">
        <v>92</v>
      </c>
      <c r="G262" s="2" t="s">
        <v>93</v>
      </c>
      <c r="H262" s="2">
        <v>2</v>
      </c>
      <c r="I262" s="2" t="s">
        <v>40</v>
      </c>
      <c r="J262" s="2">
        <v>1.6</v>
      </c>
      <c r="K262" s="2" t="s">
        <v>181</v>
      </c>
      <c r="L262" s="2">
        <v>0.89</v>
      </c>
      <c r="M262" s="2" t="s">
        <v>88</v>
      </c>
      <c r="N262" s="2" t="s">
        <v>25</v>
      </c>
      <c r="O262" s="2">
        <v>3</v>
      </c>
      <c r="P262" s="2" t="str">
        <f>IF(global_freelancer_raw5[[#This Row],[No of projects ]]&lt;=5,"Entry level","Well Experienced")</f>
        <v>Entry level</v>
      </c>
      <c r="Q262" s="2">
        <v>1</v>
      </c>
    </row>
    <row r="263" spans="1:17" x14ac:dyDescent="0.3">
      <c r="A263" t="s">
        <v>628</v>
      </c>
      <c r="B263" t="s">
        <v>629</v>
      </c>
      <c r="C263" t="s">
        <v>97</v>
      </c>
      <c r="D263" s="2">
        <v>28</v>
      </c>
      <c r="E263" t="s">
        <v>156</v>
      </c>
      <c r="F263" t="s">
        <v>157</v>
      </c>
      <c r="G263" s="2" t="s">
        <v>39</v>
      </c>
      <c r="H263" s="2">
        <v>1</v>
      </c>
      <c r="I263" s="2" t="s">
        <v>162</v>
      </c>
      <c r="J263" s="2">
        <v>3.6</v>
      </c>
      <c r="K263" s="2" t="s">
        <v>87</v>
      </c>
      <c r="L263" s="2">
        <v>0.94</v>
      </c>
      <c r="M263" s="2" t="s">
        <v>60</v>
      </c>
      <c r="N263" s="2" t="s">
        <v>75</v>
      </c>
      <c r="O263" s="2">
        <v>3</v>
      </c>
      <c r="P263" s="2" t="str">
        <f>IF(global_freelancer_raw5[[#This Row],[No of projects ]]&lt;=5,"Entry level","Well Experienced")</f>
        <v>Entry level</v>
      </c>
      <c r="Q263" s="2">
        <v>1</v>
      </c>
    </row>
    <row r="264" spans="1:17" x14ac:dyDescent="0.3">
      <c r="A264" t="s">
        <v>630</v>
      </c>
      <c r="B264" t="s">
        <v>631</v>
      </c>
      <c r="C264" t="s">
        <v>118</v>
      </c>
      <c r="D264" s="2">
        <v>48</v>
      </c>
      <c r="E264" t="s">
        <v>19</v>
      </c>
      <c r="F264" t="s">
        <v>20</v>
      </c>
      <c r="G264" s="2" t="s">
        <v>46</v>
      </c>
      <c r="H264" s="2">
        <v>23</v>
      </c>
      <c r="I264" s="2" t="s">
        <v>2119</v>
      </c>
      <c r="J264" s="2">
        <v>2.1</v>
      </c>
      <c r="K264" s="2" t="s">
        <v>23</v>
      </c>
      <c r="L264" s="2">
        <v>0.68</v>
      </c>
      <c r="M264" s="2" t="s">
        <v>24</v>
      </c>
      <c r="N264" s="2" t="s">
        <v>75</v>
      </c>
      <c r="O264" s="2">
        <v>14</v>
      </c>
      <c r="P264" s="2" t="str">
        <f>IF(global_freelancer_raw5[[#This Row],[No of projects ]]&lt;=5,"Entry level","Well Experienced")</f>
        <v>Well Experienced</v>
      </c>
      <c r="Q264" s="2">
        <v>7</v>
      </c>
    </row>
    <row r="265" spans="1:17" x14ac:dyDescent="0.3">
      <c r="A265" t="s">
        <v>632</v>
      </c>
      <c r="B265" t="s">
        <v>633</v>
      </c>
      <c r="C265" t="s">
        <v>118</v>
      </c>
      <c r="D265" s="2">
        <v>42</v>
      </c>
      <c r="E265" t="s">
        <v>38</v>
      </c>
      <c r="F265" t="s">
        <v>38</v>
      </c>
      <c r="G265" s="2" t="s">
        <v>110</v>
      </c>
      <c r="H265" s="2">
        <v>8</v>
      </c>
      <c r="I265" s="2" t="s">
        <v>52</v>
      </c>
      <c r="J265" s="2">
        <v>3.6</v>
      </c>
      <c r="K265" s="2" t="s">
        <v>33</v>
      </c>
      <c r="L265" s="2">
        <v>0.96</v>
      </c>
      <c r="M265" s="2" t="s">
        <v>88</v>
      </c>
      <c r="N265" s="2" t="s">
        <v>42</v>
      </c>
      <c r="O265" s="2">
        <v>9</v>
      </c>
      <c r="P265" s="2" t="str">
        <f>IF(global_freelancer_raw5[[#This Row],[No of projects ]]&lt;=5,"Entry level","Well Experienced")</f>
        <v>Well Experienced</v>
      </c>
      <c r="Q265" s="2">
        <v>7</v>
      </c>
    </row>
    <row r="266" spans="1:17" x14ac:dyDescent="0.3">
      <c r="A266" t="s">
        <v>634</v>
      </c>
      <c r="B266" t="s">
        <v>635</v>
      </c>
      <c r="C266" t="s">
        <v>97</v>
      </c>
      <c r="D266" s="2">
        <v>37</v>
      </c>
      <c r="E266" t="s">
        <v>149</v>
      </c>
      <c r="F266" t="s">
        <v>30</v>
      </c>
      <c r="G266" s="2" t="s">
        <v>66</v>
      </c>
      <c r="H266" s="2">
        <v>6</v>
      </c>
      <c r="I266" s="2" t="s">
        <v>142</v>
      </c>
      <c r="J266" s="2">
        <v>2.7</v>
      </c>
      <c r="K266" s="2" t="s">
        <v>74</v>
      </c>
      <c r="L266" s="2">
        <v>0.91</v>
      </c>
      <c r="M266" s="2" t="s">
        <v>60</v>
      </c>
      <c r="N266" s="2" t="s">
        <v>75</v>
      </c>
      <c r="O266" s="2">
        <v>6</v>
      </c>
      <c r="P266" s="2" t="str">
        <f>IF(global_freelancer_raw5[[#This Row],[No of projects ]]&lt;=5,"Entry level","Well Experienced")</f>
        <v>Well Experienced</v>
      </c>
      <c r="Q266" s="2">
        <v>4</v>
      </c>
    </row>
    <row r="267" spans="1:17" x14ac:dyDescent="0.3">
      <c r="A267" t="s">
        <v>636</v>
      </c>
      <c r="B267" t="s">
        <v>637</v>
      </c>
      <c r="C267" t="s">
        <v>118</v>
      </c>
      <c r="D267" s="2">
        <v>21</v>
      </c>
      <c r="E267" t="s">
        <v>114</v>
      </c>
      <c r="F267" t="s">
        <v>115</v>
      </c>
      <c r="G267" s="2" t="s">
        <v>21</v>
      </c>
      <c r="H267" s="2">
        <v>1</v>
      </c>
      <c r="I267" s="2" t="s">
        <v>22</v>
      </c>
      <c r="J267" s="2">
        <v>2.1</v>
      </c>
      <c r="K267" s="2" t="s">
        <v>33</v>
      </c>
      <c r="L267" s="2">
        <v>0.92</v>
      </c>
      <c r="M267" s="2" t="s">
        <v>60</v>
      </c>
      <c r="N267" s="2" t="s">
        <v>42</v>
      </c>
      <c r="O267" s="2">
        <v>5</v>
      </c>
      <c r="P267" s="2" t="str">
        <f>IF(global_freelancer_raw5[[#This Row],[No of projects ]]&lt;=5,"Entry level","Well Experienced")</f>
        <v>Entry level</v>
      </c>
      <c r="Q267" s="2">
        <v>4</v>
      </c>
    </row>
    <row r="268" spans="1:17" x14ac:dyDescent="0.3">
      <c r="A268" t="s">
        <v>638</v>
      </c>
      <c r="B268" t="s">
        <v>639</v>
      </c>
      <c r="C268" t="s">
        <v>118</v>
      </c>
      <c r="D268" s="2">
        <v>50</v>
      </c>
      <c r="E268" t="s">
        <v>133</v>
      </c>
      <c r="F268" t="s">
        <v>134</v>
      </c>
      <c r="G268" s="2" t="s">
        <v>46</v>
      </c>
      <c r="H268" s="2">
        <v>19</v>
      </c>
      <c r="I268" s="2" t="s">
        <v>47</v>
      </c>
      <c r="J268" s="2">
        <v>4.9000000000000004</v>
      </c>
      <c r="K268" s="2" t="s">
        <v>2120</v>
      </c>
      <c r="L268" s="2">
        <v>0.82</v>
      </c>
      <c r="M268" s="2" t="s">
        <v>82</v>
      </c>
      <c r="N268" s="2" t="s">
        <v>42</v>
      </c>
      <c r="O268" s="2">
        <v>15</v>
      </c>
      <c r="P268" s="2" t="str">
        <f>IF(global_freelancer_raw5[[#This Row],[No of projects ]]&lt;=5,"Entry level","Well Experienced")</f>
        <v>Well Experienced</v>
      </c>
      <c r="Q268" s="2">
        <v>15</v>
      </c>
    </row>
    <row r="269" spans="1:17" x14ac:dyDescent="0.3">
      <c r="A269" t="s">
        <v>640</v>
      </c>
      <c r="B269" t="s">
        <v>641</v>
      </c>
      <c r="C269" t="s">
        <v>97</v>
      </c>
      <c r="D269" s="2">
        <v>22</v>
      </c>
      <c r="E269" t="s">
        <v>91</v>
      </c>
      <c r="F269" t="s">
        <v>92</v>
      </c>
      <c r="G269" s="2" t="s">
        <v>57</v>
      </c>
      <c r="H269" s="2">
        <v>2</v>
      </c>
      <c r="I269" s="2" t="s">
        <v>52</v>
      </c>
      <c r="J269" s="2">
        <v>2.1</v>
      </c>
      <c r="K269" s="2" t="s">
        <v>2120</v>
      </c>
      <c r="L269" s="2" t="s">
        <v>2120</v>
      </c>
      <c r="M269" s="2" t="s">
        <v>60</v>
      </c>
      <c r="N269" s="2" t="s">
        <v>25</v>
      </c>
      <c r="O269" s="2">
        <v>2</v>
      </c>
      <c r="P269" s="2" t="str">
        <f>IF(global_freelancer_raw5[[#This Row],[No of projects ]]&lt;=5,"Entry level","Well Experienced")</f>
        <v>Entry level</v>
      </c>
      <c r="Q269" s="2">
        <v>2</v>
      </c>
    </row>
    <row r="270" spans="1:17" x14ac:dyDescent="0.3">
      <c r="A270" t="s">
        <v>642</v>
      </c>
      <c r="B270" t="s">
        <v>643</v>
      </c>
      <c r="C270" t="s">
        <v>97</v>
      </c>
      <c r="D270" s="2">
        <v>39</v>
      </c>
      <c r="E270" t="s">
        <v>106</v>
      </c>
      <c r="F270" t="s">
        <v>107</v>
      </c>
      <c r="G270" s="2" t="s">
        <v>46</v>
      </c>
      <c r="H270" s="2">
        <v>21</v>
      </c>
      <c r="I270" s="2" t="s">
        <v>22</v>
      </c>
      <c r="J270" s="2">
        <v>0</v>
      </c>
      <c r="K270" s="2" t="s">
        <v>181</v>
      </c>
      <c r="L270" s="2">
        <v>0.91</v>
      </c>
      <c r="M270" s="2" t="s">
        <v>88</v>
      </c>
      <c r="N270" s="2" t="s">
        <v>25</v>
      </c>
      <c r="O270" s="2">
        <v>17</v>
      </c>
      <c r="P270" s="2" t="str">
        <f>IF(global_freelancer_raw5[[#This Row],[No of projects ]]&lt;=5,"Entry level","Well Experienced")</f>
        <v>Well Experienced</v>
      </c>
      <c r="Q270" s="2">
        <v>13</v>
      </c>
    </row>
    <row r="271" spans="1:17" x14ac:dyDescent="0.3">
      <c r="A271" t="s">
        <v>644</v>
      </c>
      <c r="B271" t="s">
        <v>645</v>
      </c>
      <c r="C271" t="s">
        <v>97</v>
      </c>
      <c r="D271" s="2">
        <v>25</v>
      </c>
      <c r="E271" t="s">
        <v>106</v>
      </c>
      <c r="F271" t="s">
        <v>107</v>
      </c>
      <c r="G271" s="2" t="s">
        <v>135</v>
      </c>
      <c r="H271" s="2">
        <v>3</v>
      </c>
      <c r="I271" s="2" t="s">
        <v>81</v>
      </c>
      <c r="J271" s="2">
        <v>2.8</v>
      </c>
      <c r="K271" s="2" t="s">
        <v>87</v>
      </c>
      <c r="L271" s="2">
        <v>86</v>
      </c>
      <c r="M271" s="2" t="s">
        <v>88</v>
      </c>
      <c r="N271" s="2" t="s">
        <v>34</v>
      </c>
      <c r="O271" s="2">
        <v>3</v>
      </c>
      <c r="P271" s="2" t="str">
        <f>IF(global_freelancer_raw5[[#This Row],[No of projects ]]&lt;=5,"Entry level","Well Experienced")</f>
        <v>Entry level</v>
      </c>
      <c r="Q271" s="2">
        <v>2</v>
      </c>
    </row>
    <row r="272" spans="1:17" x14ac:dyDescent="0.3">
      <c r="A272" t="s">
        <v>646</v>
      </c>
      <c r="B272" t="s">
        <v>647</v>
      </c>
      <c r="C272" t="s">
        <v>97</v>
      </c>
      <c r="D272" s="2">
        <v>47</v>
      </c>
      <c r="E272" t="s">
        <v>175</v>
      </c>
      <c r="F272" t="s">
        <v>176</v>
      </c>
      <c r="G272" s="2" t="s">
        <v>31</v>
      </c>
      <c r="H272" s="2">
        <v>14</v>
      </c>
      <c r="I272" s="2" t="s">
        <v>2119</v>
      </c>
      <c r="J272" s="2" t="s">
        <v>2120</v>
      </c>
      <c r="K272" s="2" t="s">
        <v>59</v>
      </c>
      <c r="L272" s="2">
        <v>0.69</v>
      </c>
      <c r="M272" s="2" t="s">
        <v>82</v>
      </c>
      <c r="N272" s="2" t="s">
        <v>25</v>
      </c>
      <c r="O272" s="2">
        <v>12</v>
      </c>
      <c r="P272" s="2" t="str">
        <f>IF(global_freelancer_raw5[[#This Row],[No of projects ]]&lt;=5,"Entry level","Well Experienced")</f>
        <v>Well Experienced</v>
      </c>
      <c r="Q272" s="2">
        <v>13</v>
      </c>
    </row>
    <row r="273" spans="1:17" x14ac:dyDescent="0.3">
      <c r="A273" t="s">
        <v>648</v>
      </c>
      <c r="B273" t="s">
        <v>649</v>
      </c>
      <c r="C273" t="s">
        <v>97</v>
      </c>
      <c r="D273" s="2">
        <v>35</v>
      </c>
      <c r="E273" t="s">
        <v>175</v>
      </c>
      <c r="F273" t="s">
        <v>176</v>
      </c>
      <c r="G273" s="2" t="s">
        <v>93</v>
      </c>
      <c r="H273" s="2">
        <v>10</v>
      </c>
      <c r="I273" s="2" t="s">
        <v>32</v>
      </c>
      <c r="J273" s="2">
        <v>4.7</v>
      </c>
      <c r="K273" s="2" t="s">
        <v>74</v>
      </c>
      <c r="L273" s="2">
        <v>0.84</v>
      </c>
      <c r="M273" s="2" t="s">
        <v>88</v>
      </c>
      <c r="N273" s="2" t="s">
        <v>25</v>
      </c>
      <c r="O273" s="2">
        <v>7</v>
      </c>
      <c r="P273" s="2" t="str">
        <f>IF(global_freelancer_raw5[[#This Row],[No of projects ]]&lt;=5,"Entry level","Well Experienced")</f>
        <v>Well Experienced</v>
      </c>
      <c r="Q273" s="2">
        <v>13</v>
      </c>
    </row>
    <row r="274" spans="1:17" x14ac:dyDescent="0.3">
      <c r="A274" t="s">
        <v>650</v>
      </c>
      <c r="B274" t="s">
        <v>651</v>
      </c>
      <c r="C274" t="s">
        <v>97</v>
      </c>
      <c r="D274" s="2" t="s">
        <v>2119</v>
      </c>
      <c r="E274" t="s">
        <v>85</v>
      </c>
      <c r="F274" t="s">
        <v>30</v>
      </c>
      <c r="G274" s="2" t="s">
        <v>98</v>
      </c>
      <c r="H274" s="2">
        <v>5</v>
      </c>
      <c r="I274" s="2" t="s">
        <v>22</v>
      </c>
      <c r="J274" s="2">
        <v>1.3</v>
      </c>
      <c r="K274" s="2" t="s">
        <v>23</v>
      </c>
      <c r="L274" s="2">
        <v>0.6</v>
      </c>
      <c r="M274" s="2" t="s">
        <v>24</v>
      </c>
      <c r="N274" s="2" t="s">
        <v>75</v>
      </c>
      <c r="O274" s="2">
        <v>5</v>
      </c>
      <c r="P274" s="2" t="str">
        <f>IF(global_freelancer_raw5[[#This Row],[No of projects ]]&lt;=5,"Entry level","Well Experienced")</f>
        <v>Entry level</v>
      </c>
      <c r="Q274" s="2">
        <v>2</v>
      </c>
    </row>
    <row r="275" spans="1:17" x14ac:dyDescent="0.3">
      <c r="A275" t="s">
        <v>652</v>
      </c>
      <c r="B275" t="s">
        <v>653</v>
      </c>
      <c r="C275" t="s">
        <v>118</v>
      </c>
      <c r="D275" s="2">
        <v>35</v>
      </c>
      <c r="E275" t="s">
        <v>55</v>
      </c>
      <c r="F275" t="s">
        <v>56</v>
      </c>
      <c r="G275" s="2" t="s">
        <v>21</v>
      </c>
      <c r="H275" s="2">
        <v>6</v>
      </c>
      <c r="I275" s="2" t="s">
        <v>67</v>
      </c>
      <c r="J275" s="2">
        <v>1.6</v>
      </c>
      <c r="K275" s="2" t="s">
        <v>33</v>
      </c>
      <c r="L275" s="2">
        <v>0.97</v>
      </c>
      <c r="M275" s="2" t="s">
        <v>88</v>
      </c>
      <c r="N275" s="2" t="s">
        <v>25</v>
      </c>
      <c r="O275" s="2">
        <v>13</v>
      </c>
      <c r="P275" s="2" t="str">
        <f>IF(global_freelancer_raw5[[#This Row],[No of projects ]]&lt;=5,"Entry level","Well Experienced")</f>
        <v>Well Experienced</v>
      </c>
      <c r="Q275" s="2">
        <v>6</v>
      </c>
    </row>
    <row r="276" spans="1:17" x14ac:dyDescent="0.3">
      <c r="A276" t="s">
        <v>654</v>
      </c>
      <c r="B276" t="s">
        <v>655</v>
      </c>
      <c r="C276" t="s">
        <v>118</v>
      </c>
      <c r="D276" s="2">
        <v>59</v>
      </c>
      <c r="E276" t="s">
        <v>156</v>
      </c>
      <c r="F276" t="s">
        <v>157</v>
      </c>
      <c r="G276" s="2" t="s">
        <v>46</v>
      </c>
      <c r="H276" s="2">
        <v>21</v>
      </c>
      <c r="I276" s="2" t="s">
        <v>22</v>
      </c>
      <c r="J276" s="2">
        <v>0</v>
      </c>
      <c r="K276" s="2" t="s">
        <v>2120</v>
      </c>
      <c r="L276" s="2">
        <v>0.7</v>
      </c>
      <c r="M276" s="2" t="s">
        <v>88</v>
      </c>
      <c r="N276" s="2" t="s">
        <v>34</v>
      </c>
      <c r="O276" s="2">
        <v>17</v>
      </c>
      <c r="P276" s="2" t="str">
        <f>IF(global_freelancer_raw5[[#This Row],[No of projects ]]&lt;=5,"Entry level","Well Experienced")</f>
        <v>Well Experienced</v>
      </c>
      <c r="Q276" s="2">
        <v>7</v>
      </c>
    </row>
    <row r="277" spans="1:17" x14ac:dyDescent="0.3">
      <c r="A277" t="s">
        <v>656</v>
      </c>
      <c r="B277" t="s">
        <v>657</v>
      </c>
      <c r="C277" t="s">
        <v>97</v>
      </c>
      <c r="D277" s="2">
        <v>26</v>
      </c>
      <c r="E277" t="s">
        <v>197</v>
      </c>
      <c r="F277" t="s">
        <v>198</v>
      </c>
      <c r="G277" s="2" t="s">
        <v>93</v>
      </c>
      <c r="H277" s="2">
        <v>4</v>
      </c>
      <c r="I277" s="2" t="s">
        <v>32</v>
      </c>
      <c r="J277" s="2">
        <v>3.6</v>
      </c>
      <c r="K277" s="2" t="s">
        <v>181</v>
      </c>
      <c r="L277" s="2">
        <v>0.81</v>
      </c>
      <c r="M277" s="2" t="s">
        <v>60</v>
      </c>
      <c r="N277" s="2" t="s">
        <v>75</v>
      </c>
      <c r="O277" s="2">
        <v>5</v>
      </c>
      <c r="P277" s="2" t="str">
        <f>IF(global_freelancer_raw5[[#This Row],[No of projects ]]&lt;=5,"Entry level","Well Experienced")</f>
        <v>Entry level</v>
      </c>
      <c r="Q277" s="2">
        <v>2</v>
      </c>
    </row>
    <row r="278" spans="1:17" x14ac:dyDescent="0.3">
      <c r="A278" t="s">
        <v>658</v>
      </c>
      <c r="B278" t="s">
        <v>659</v>
      </c>
      <c r="C278" t="s">
        <v>118</v>
      </c>
      <c r="D278" s="2">
        <v>44</v>
      </c>
      <c r="E278" t="s">
        <v>145</v>
      </c>
      <c r="F278" t="s">
        <v>146</v>
      </c>
      <c r="G278" s="2" t="s">
        <v>135</v>
      </c>
      <c r="H278" s="2">
        <v>18</v>
      </c>
      <c r="I278" s="2" t="s">
        <v>162</v>
      </c>
      <c r="J278" s="2">
        <v>4.7</v>
      </c>
      <c r="K278" s="2" t="s">
        <v>33</v>
      </c>
      <c r="L278" s="2">
        <v>0.88</v>
      </c>
      <c r="M278" s="2" t="s">
        <v>60</v>
      </c>
      <c r="N278" s="2" t="s">
        <v>34</v>
      </c>
      <c r="O278" s="2">
        <v>15</v>
      </c>
      <c r="P278" s="2" t="str">
        <f>IF(global_freelancer_raw5[[#This Row],[No of projects ]]&lt;=5,"Entry level","Well Experienced")</f>
        <v>Well Experienced</v>
      </c>
      <c r="Q278" s="2">
        <v>10</v>
      </c>
    </row>
    <row r="279" spans="1:17" x14ac:dyDescent="0.3">
      <c r="A279" t="s">
        <v>660</v>
      </c>
      <c r="B279" t="s">
        <v>661</v>
      </c>
      <c r="C279" t="s">
        <v>97</v>
      </c>
      <c r="D279" s="2">
        <v>31</v>
      </c>
      <c r="E279" t="s">
        <v>175</v>
      </c>
      <c r="F279" t="s">
        <v>176</v>
      </c>
      <c r="G279" s="2" t="s">
        <v>93</v>
      </c>
      <c r="H279" s="2">
        <v>12</v>
      </c>
      <c r="I279" s="2" t="s">
        <v>47</v>
      </c>
      <c r="J279" s="2" t="s">
        <v>2120</v>
      </c>
      <c r="K279" s="2" t="s">
        <v>33</v>
      </c>
      <c r="L279" s="2">
        <v>1</v>
      </c>
      <c r="M279" s="2" t="s">
        <v>88</v>
      </c>
      <c r="N279" s="2" t="s">
        <v>25</v>
      </c>
      <c r="O279" s="2">
        <v>15</v>
      </c>
      <c r="P279" s="2" t="str">
        <f>IF(global_freelancer_raw5[[#This Row],[No of projects ]]&lt;=5,"Entry level","Well Experienced")</f>
        <v>Well Experienced</v>
      </c>
      <c r="Q279" s="2">
        <v>13</v>
      </c>
    </row>
    <row r="280" spans="1:17" x14ac:dyDescent="0.3">
      <c r="A280" t="s">
        <v>662</v>
      </c>
      <c r="B280" t="s">
        <v>663</v>
      </c>
      <c r="C280" t="s">
        <v>118</v>
      </c>
      <c r="D280" s="2">
        <v>60</v>
      </c>
      <c r="E280" t="s">
        <v>79</v>
      </c>
      <c r="F280" t="s">
        <v>80</v>
      </c>
      <c r="G280" s="2" t="s">
        <v>66</v>
      </c>
      <c r="H280" s="2">
        <v>6</v>
      </c>
      <c r="I280" s="2" t="s">
        <v>2119</v>
      </c>
      <c r="J280" s="2">
        <v>3.2</v>
      </c>
      <c r="K280" s="2" t="s">
        <v>23</v>
      </c>
      <c r="L280" s="2">
        <v>95</v>
      </c>
      <c r="M280" s="2" t="s">
        <v>82</v>
      </c>
      <c r="N280" s="2" t="s">
        <v>34</v>
      </c>
      <c r="O280" s="2">
        <v>10</v>
      </c>
      <c r="P280" s="2" t="str">
        <f>IF(global_freelancer_raw5[[#This Row],[No of projects ]]&lt;=5,"Entry level","Well Experienced")</f>
        <v>Well Experienced</v>
      </c>
      <c r="Q280" s="2">
        <v>5</v>
      </c>
    </row>
    <row r="281" spans="1:17" x14ac:dyDescent="0.3">
      <c r="A281" t="s">
        <v>664</v>
      </c>
      <c r="B281" t="s">
        <v>665</v>
      </c>
      <c r="C281" t="s">
        <v>97</v>
      </c>
      <c r="D281" s="2">
        <v>23</v>
      </c>
      <c r="E281" t="s">
        <v>85</v>
      </c>
      <c r="F281" t="s">
        <v>30</v>
      </c>
      <c r="G281" s="2" t="s">
        <v>21</v>
      </c>
      <c r="H281" s="2">
        <v>4</v>
      </c>
      <c r="I281" s="2" t="s">
        <v>336</v>
      </c>
      <c r="J281" s="2" t="s">
        <v>2120</v>
      </c>
      <c r="K281" s="2" t="s">
        <v>23</v>
      </c>
      <c r="L281" s="2">
        <v>0.71</v>
      </c>
      <c r="M281" s="2" t="s">
        <v>60</v>
      </c>
      <c r="N281" s="2" t="s">
        <v>75</v>
      </c>
      <c r="O281" s="2">
        <v>3</v>
      </c>
      <c r="P281" s="2" t="str">
        <f>IF(global_freelancer_raw5[[#This Row],[No of projects ]]&lt;=5,"Entry level","Well Experienced")</f>
        <v>Entry level</v>
      </c>
      <c r="Q281" s="2">
        <v>5</v>
      </c>
    </row>
    <row r="282" spans="1:17" x14ac:dyDescent="0.3">
      <c r="A282" t="s">
        <v>666</v>
      </c>
      <c r="B282" t="s">
        <v>667</v>
      </c>
      <c r="C282" t="s">
        <v>118</v>
      </c>
      <c r="D282" s="2">
        <v>42</v>
      </c>
      <c r="E282" t="s">
        <v>64</v>
      </c>
      <c r="F282" t="s">
        <v>65</v>
      </c>
      <c r="G282" s="2" t="s">
        <v>93</v>
      </c>
      <c r="H282" s="2">
        <v>13</v>
      </c>
      <c r="I282" s="2" t="s">
        <v>142</v>
      </c>
      <c r="J282" s="2">
        <v>4.7</v>
      </c>
      <c r="K282" s="2" t="s">
        <v>41</v>
      </c>
      <c r="L282" s="2">
        <v>0.85</v>
      </c>
      <c r="M282" s="2" t="s">
        <v>82</v>
      </c>
      <c r="N282" s="2" t="s">
        <v>42</v>
      </c>
      <c r="O282" s="2">
        <v>9</v>
      </c>
      <c r="P282" s="2" t="str">
        <f>IF(global_freelancer_raw5[[#This Row],[No of projects ]]&lt;=5,"Entry level","Well Experienced")</f>
        <v>Well Experienced</v>
      </c>
      <c r="Q282" s="2">
        <v>3</v>
      </c>
    </row>
    <row r="283" spans="1:17" x14ac:dyDescent="0.3">
      <c r="A283" t="s">
        <v>668</v>
      </c>
      <c r="B283" t="s">
        <v>669</v>
      </c>
      <c r="C283" t="s">
        <v>97</v>
      </c>
      <c r="D283" s="2">
        <v>48</v>
      </c>
      <c r="E283" t="s">
        <v>114</v>
      </c>
      <c r="F283" t="s">
        <v>115</v>
      </c>
      <c r="G283" s="2" t="s">
        <v>31</v>
      </c>
      <c r="H283" s="2">
        <v>6</v>
      </c>
      <c r="I283" s="2" t="s">
        <v>52</v>
      </c>
      <c r="J283" s="2" t="s">
        <v>2120</v>
      </c>
      <c r="K283" s="2" t="s">
        <v>41</v>
      </c>
      <c r="L283" s="2">
        <v>0.96</v>
      </c>
      <c r="M283" s="2" t="s">
        <v>88</v>
      </c>
      <c r="N283" s="2" t="s">
        <v>34</v>
      </c>
      <c r="O283" s="2">
        <v>11</v>
      </c>
      <c r="P283" s="2" t="str">
        <f>IF(global_freelancer_raw5[[#This Row],[No of projects ]]&lt;=5,"Entry level","Well Experienced")</f>
        <v>Well Experienced</v>
      </c>
      <c r="Q283" s="2">
        <v>7</v>
      </c>
    </row>
    <row r="284" spans="1:17" x14ac:dyDescent="0.3">
      <c r="A284" t="s">
        <v>670</v>
      </c>
      <c r="B284" t="s">
        <v>671</v>
      </c>
      <c r="C284" t="s">
        <v>118</v>
      </c>
      <c r="D284" s="2">
        <v>42</v>
      </c>
      <c r="E284" t="s">
        <v>55</v>
      </c>
      <c r="F284" t="s">
        <v>56</v>
      </c>
      <c r="G284" s="2" t="s">
        <v>39</v>
      </c>
      <c r="H284" s="2">
        <v>10</v>
      </c>
      <c r="I284" s="2" t="s">
        <v>336</v>
      </c>
      <c r="J284" s="2">
        <v>2.4</v>
      </c>
      <c r="K284" s="2" t="s">
        <v>94</v>
      </c>
      <c r="L284" s="2">
        <v>0.92</v>
      </c>
      <c r="M284" s="2" t="s">
        <v>88</v>
      </c>
      <c r="N284" s="2" t="s">
        <v>34</v>
      </c>
      <c r="O284" s="2">
        <v>11</v>
      </c>
      <c r="P284" s="2" t="str">
        <f>IF(global_freelancer_raw5[[#This Row],[No of projects ]]&lt;=5,"Entry level","Well Experienced")</f>
        <v>Well Experienced</v>
      </c>
      <c r="Q284" s="2">
        <v>6</v>
      </c>
    </row>
    <row r="285" spans="1:17" x14ac:dyDescent="0.3">
      <c r="A285" t="s">
        <v>672</v>
      </c>
      <c r="B285" t="s">
        <v>673</v>
      </c>
      <c r="C285" t="s">
        <v>118</v>
      </c>
      <c r="D285" s="2">
        <v>52</v>
      </c>
      <c r="E285" t="s">
        <v>133</v>
      </c>
      <c r="F285" t="s">
        <v>134</v>
      </c>
      <c r="G285" s="2" t="s">
        <v>98</v>
      </c>
      <c r="H285" s="2">
        <v>20</v>
      </c>
      <c r="I285" s="2" t="s">
        <v>40</v>
      </c>
      <c r="J285" s="2" t="s">
        <v>2120</v>
      </c>
      <c r="K285" s="2" t="s">
        <v>59</v>
      </c>
      <c r="L285" s="2">
        <v>0.79</v>
      </c>
      <c r="M285" s="2" t="s">
        <v>24</v>
      </c>
      <c r="N285" s="2" t="s">
        <v>75</v>
      </c>
      <c r="O285" s="2">
        <v>14</v>
      </c>
      <c r="P285" s="2" t="str">
        <f>IF(global_freelancer_raw5[[#This Row],[No of projects ]]&lt;=5,"Entry level","Well Experienced")</f>
        <v>Well Experienced</v>
      </c>
      <c r="Q285" s="2">
        <v>10</v>
      </c>
    </row>
    <row r="286" spans="1:17" x14ac:dyDescent="0.3">
      <c r="A286" t="s">
        <v>674</v>
      </c>
      <c r="B286" t="s">
        <v>675</v>
      </c>
      <c r="C286" t="s">
        <v>97</v>
      </c>
      <c r="D286" s="2">
        <v>55</v>
      </c>
      <c r="E286" t="s">
        <v>106</v>
      </c>
      <c r="F286" t="s">
        <v>107</v>
      </c>
      <c r="G286" s="2" t="s">
        <v>46</v>
      </c>
      <c r="H286" s="2">
        <v>20</v>
      </c>
      <c r="I286" s="2" t="s">
        <v>103</v>
      </c>
      <c r="J286" s="2">
        <v>2.9</v>
      </c>
      <c r="K286" s="2" t="s">
        <v>59</v>
      </c>
      <c r="L286" s="2" t="s">
        <v>2120</v>
      </c>
      <c r="M286" s="2" t="s">
        <v>60</v>
      </c>
      <c r="N286" s="2" t="s">
        <v>75</v>
      </c>
      <c r="O286" s="2">
        <v>12</v>
      </c>
      <c r="P286" s="2" t="str">
        <f>IF(global_freelancer_raw5[[#This Row],[No of projects ]]&lt;=5,"Entry level","Well Experienced")</f>
        <v>Well Experienced</v>
      </c>
      <c r="Q286" s="2">
        <v>11</v>
      </c>
    </row>
    <row r="287" spans="1:17" x14ac:dyDescent="0.3">
      <c r="A287" t="s">
        <v>676</v>
      </c>
      <c r="B287" t="s">
        <v>677</v>
      </c>
      <c r="C287" t="s">
        <v>97</v>
      </c>
      <c r="D287" s="2">
        <v>58</v>
      </c>
      <c r="E287" t="s">
        <v>175</v>
      </c>
      <c r="F287" t="s">
        <v>176</v>
      </c>
      <c r="G287" s="2" t="s">
        <v>98</v>
      </c>
      <c r="H287" s="2">
        <v>11</v>
      </c>
      <c r="I287" s="2" t="s">
        <v>40</v>
      </c>
      <c r="J287" s="2">
        <v>0</v>
      </c>
      <c r="K287" s="2" t="s">
        <v>23</v>
      </c>
      <c r="L287" s="2" t="s">
        <v>2120</v>
      </c>
      <c r="M287" s="2" t="s">
        <v>88</v>
      </c>
      <c r="N287" s="2" t="s">
        <v>34</v>
      </c>
      <c r="O287" s="2">
        <v>8</v>
      </c>
      <c r="P287" s="2" t="str">
        <f>IF(global_freelancer_raw5[[#This Row],[No of projects ]]&lt;=5,"Entry level","Well Experienced")</f>
        <v>Well Experienced</v>
      </c>
      <c r="Q287" s="2">
        <v>5</v>
      </c>
    </row>
    <row r="288" spans="1:17" x14ac:dyDescent="0.3">
      <c r="A288" t="s">
        <v>678</v>
      </c>
      <c r="B288" t="s">
        <v>679</v>
      </c>
      <c r="C288" t="s">
        <v>97</v>
      </c>
      <c r="D288" s="2">
        <v>46</v>
      </c>
      <c r="E288" t="s">
        <v>133</v>
      </c>
      <c r="F288" t="s">
        <v>134</v>
      </c>
      <c r="G288" s="2" t="s">
        <v>135</v>
      </c>
      <c r="H288" s="2">
        <v>12</v>
      </c>
      <c r="I288" s="2" t="s">
        <v>162</v>
      </c>
      <c r="J288" s="2">
        <v>0</v>
      </c>
      <c r="K288" s="2" t="s">
        <v>59</v>
      </c>
      <c r="L288" s="2">
        <v>0.89</v>
      </c>
      <c r="M288" s="2" t="s">
        <v>24</v>
      </c>
      <c r="N288" s="2" t="s">
        <v>25</v>
      </c>
      <c r="O288" s="2">
        <v>10</v>
      </c>
      <c r="P288" s="2" t="str">
        <f>IF(global_freelancer_raw5[[#This Row],[No of projects ]]&lt;=5,"Entry level","Well Experienced")</f>
        <v>Well Experienced</v>
      </c>
      <c r="Q288" s="2">
        <v>4</v>
      </c>
    </row>
    <row r="289" spans="1:17" x14ac:dyDescent="0.3">
      <c r="A289" t="s">
        <v>680</v>
      </c>
      <c r="B289" t="s">
        <v>681</v>
      </c>
      <c r="C289" t="s">
        <v>97</v>
      </c>
      <c r="D289" s="2">
        <v>45</v>
      </c>
      <c r="E289" t="s">
        <v>212</v>
      </c>
      <c r="F289" t="s">
        <v>92</v>
      </c>
      <c r="G289" s="2" t="s">
        <v>135</v>
      </c>
      <c r="H289" s="2">
        <v>1</v>
      </c>
      <c r="I289" s="2" t="s">
        <v>22</v>
      </c>
      <c r="J289" s="2">
        <v>1.5</v>
      </c>
      <c r="K289" s="2" t="s">
        <v>33</v>
      </c>
      <c r="L289" s="2">
        <v>1</v>
      </c>
      <c r="M289" s="2" t="s">
        <v>60</v>
      </c>
      <c r="N289" s="2" t="s">
        <v>34</v>
      </c>
      <c r="O289" s="2">
        <v>4</v>
      </c>
      <c r="P289" s="2" t="str">
        <f>IF(global_freelancer_raw5[[#This Row],[No of projects ]]&lt;=5,"Entry level","Well Experienced")</f>
        <v>Entry level</v>
      </c>
      <c r="Q289" s="2">
        <v>4</v>
      </c>
    </row>
    <row r="290" spans="1:17" x14ac:dyDescent="0.3">
      <c r="A290" t="s">
        <v>682</v>
      </c>
      <c r="B290" t="s">
        <v>683</v>
      </c>
      <c r="C290" t="s">
        <v>97</v>
      </c>
      <c r="D290" s="2">
        <v>56</v>
      </c>
      <c r="E290" t="s">
        <v>114</v>
      </c>
      <c r="F290" t="s">
        <v>115</v>
      </c>
      <c r="G290" s="2" t="s">
        <v>135</v>
      </c>
      <c r="H290" s="2">
        <v>2</v>
      </c>
      <c r="I290" s="2" t="s">
        <v>52</v>
      </c>
      <c r="J290" s="2">
        <v>1.9</v>
      </c>
      <c r="K290" s="2" t="s">
        <v>33</v>
      </c>
      <c r="L290" s="2">
        <v>0.81</v>
      </c>
      <c r="M290" s="2" t="s">
        <v>88</v>
      </c>
      <c r="N290" s="2" t="s">
        <v>75</v>
      </c>
      <c r="O290" s="2">
        <v>1</v>
      </c>
      <c r="P290" s="2" t="str">
        <f>IF(global_freelancer_raw5[[#This Row],[No of projects ]]&lt;=5,"Entry level","Well Experienced")</f>
        <v>Entry level</v>
      </c>
      <c r="Q290" s="2">
        <v>1</v>
      </c>
    </row>
    <row r="291" spans="1:17" x14ac:dyDescent="0.3">
      <c r="A291" t="s">
        <v>684</v>
      </c>
      <c r="B291" t="s">
        <v>685</v>
      </c>
      <c r="C291" t="s">
        <v>118</v>
      </c>
      <c r="D291" s="2">
        <v>44</v>
      </c>
      <c r="E291" t="s">
        <v>85</v>
      </c>
      <c r="F291" t="s">
        <v>30</v>
      </c>
      <c r="G291" s="2" t="s">
        <v>21</v>
      </c>
      <c r="H291" s="2">
        <v>13</v>
      </c>
      <c r="I291" s="2" t="s">
        <v>22</v>
      </c>
      <c r="J291" s="2">
        <v>3.1</v>
      </c>
      <c r="K291" s="2" t="s">
        <v>94</v>
      </c>
      <c r="L291" s="2">
        <v>95</v>
      </c>
      <c r="M291" s="2" t="s">
        <v>88</v>
      </c>
      <c r="N291" s="2" t="s">
        <v>42</v>
      </c>
      <c r="O291" s="2">
        <v>10</v>
      </c>
      <c r="P291" s="2" t="str">
        <f>IF(global_freelancer_raw5[[#This Row],[No of projects ]]&lt;=5,"Entry level","Well Experienced")</f>
        <v>Well Experienced</v>
      </c>
      <c r="Q291" s="2">
        <v>3</v>
      </c>
    </row>
    <row r="292" spans="1:17" x14ac:dyDescent="0.3">
      <c r="A292" t="s">
        <v>686</v>
      </c>
      <c r="B292" t="s">
        <v>687</v>
      </c>
      <c r="C292" t="s">
        <v>118</v>
      </c>
      <c r="D292" s="2">
        <v>46</v>
      </c>
      <c r="E292" t="s">
        <v>64</v>
      </c>
      <c r="F292" t="s">
        <v>65</v>
      </c>
      <c r="G292" s="2" t="s">
        <v>93</v>
      </c>
      <c r="H292" s="2">
        <v>0</v>
      </c>
      <c r="I292" s="2" t="s">
        <v>2119</v>
      </c>
      <c r="J292" s="2">
        <v>1.8</v>
      </c>
      <c r="K292" s="2" t="s">
        <v>41</v>
      </c>
      <c r="L292" s="2">
        <v>0.88</v>
      </c>
      <c r="M292" s="2" t="s">
        <v>60</v>
      </c>
      <c r="N292" s="2" t="s">
        <v>42</v>
      </c>
      <c r="O292" s="2">
        <v>3</v>
      </c>
      <c r="P292" s="2" t="str">
        <f>IF(global_freelancer_raw5[[#This Row],[No of projects ]]&lt;=5,"Entry level","Well Experienced")</f>
        <v>Entry level</v>
      </c>
      <c r="Q292" s="2">
        <v>2</v>
      </c>
    </row>
    <row r="293" spans="1:17" x14ac:dyDescent="0.3">
      <c r="A293" t="s">
        <v>688</v>
      </c>
      <c r="B293" t="s">
        <v>689</v>
      </c>
      <c r="C293" t="s">
        <v>97</v>
      </c>
      <c r="D293" s="2">
        <v>27</v>
      </c>
      <c r="E293" t="s">
        <v>106</v>
      </c>
      <c r="F293" t="s">
        <v>107</v>
      </c>
      <c r="G293" s="2" t="s">
        <v>46</v>
      </c>
      <c r="H293" s="2">
        <v>7</v>
      </c>
      <c r="I293" s="2" t="s">
        <v>52</v>
      </c>
      <c r="J293" s="2">
        <v>2.4</v>
      </c>
      <c r="K293" s="2" t="s">
        <v>87</v>
      </c>
      <c r="L293" s="2">
        <v>0.66</v>
      </c>
      <c r="M293" s="2" t="s">
        <v>60</v>
      </c>
      <c r="N293" s="2" t="s">
        <v>25</v>
      </c>
      <c r="O293" s="2">
        <v>12</v>
      </c>
      <c r="P293" s="2" t="str">
        <f>IF(global_freelancer_raw5[[#This Row],[No of projects ]]&lt;=5,"Entry level","Well Experienced")</f>
        <v>Well Experienced</v>
      </c>
      <c r="Q293" s="2">
        <v>8</v>
      </c>
    </row>
    <row r="294" spans="1:17" x14ac:dyDescent="0.3">
      <c r="A294" t="s">
        <v>690</v>
      </c>
      <c r="B294" t="s">
        <v>691</v>
      </c>
      <c r="C294" t="s">
        <v>97</v>
      </c>
      <c r="D294" s="2">
        <v>49</v>
      </c>
      <c r="E294" t="s">
        <v>114</v>
      </c>
      <c r="F294" t="s">
        <v>115</v>
      </c>
      <c r="G294" s="2" t="s">
        <v>21</v>
      </c>
      <c r="H294" s="2">
        <v>13</v>
      </c>
      <c r="I294" s="2" t="s">
        <v>22</v>
      </c>
      <c r="J294" s="2">
        <v>4.2</v>
      </c>
      <c r="K294" s="2" t="s">
        <v>33</v>
      </c>
      <c r="L294" s="2">
        <v>0.84</v>
      </c>
      <c r="M294" s="2" t="s">
        <v>60</v>
      </c>
      <c r="N294" s="2" t="s">
        <v>34</v>
      </c>
      <c r="O294" s="2">
        <v>7</v>
      </c>
      <c r="P294" s="2" t="str">
        <f>IF(global_freelancer_raw5[[#This Row],[No of projects ]]&lt;=5,"Entry level","Well Experienced")</f>
        <v>Well Experienced</v>
      </c>
      <c r="Q294" s="2">
        <v>4</v>
      </c>
    </row>
    <row r="295" spans="1:17" x14ac:dyDescent="0.3">
      <c r="A295" t="s">
        <v>692</v>
      </c>
      <c r="B295" t="s">
        <v>693</v>
      </c>
      <c r="C295" t="s">
        <v>118</v>
      </c>
      <c r="D295" s="2">
        <v>53</v>
      </c>
      <c r="E295" t="s">
        <v>201</v>
      </c>
      <c r="F295" t="s">
        <v>92</v>
      </c>
      <c r="G295" s="2" t="s">
        <v>46</v>
      </c>
      <c r="H295" s="2">
        <v>21</v>
      </c>
      <c r="I295" s="2" t="s">
        <v>81</v>
      </c>
      <c r="J295" s="2">
        <v>1.4</v>
      </c>
      <c r="K295" s="2" t="s">
        <v>41</v>
      </c>
      <c r="L295" s="2" t="s">
        <v>2120</v>
      </c>
      <c r="M295" s="2" t="s">
        <v>88</v>
      </c>
      <c r="N295" s="2" t="s">
        <v>42</v>
      </c>
      <c r="O295" s="2">
        <v>20</v>
      </c>
      <c r="P295" s="2" t="str">
        <f>IF(global_freelancer_raw5[[#This Row],[No of projects ]]&lt;=5,"Entry level","Well Experienced")</f>
        <v>Well Experienced</v>
      </c>
      <c r="Q295" s="2">
        <v>7</v>
      </c>
    </row>
    <row r="296" spans="1:17" x14ac:dyDescent="0.3">
      <c r="A296" t="s">
        <v>694</v>
      </c>
      <c r="B296" t="s">
        <v>695</v>
      </c>
      <c r="C296" t="s">
        <v>118</v>
      </c>
      <c r="D296" s="2">
        <v>56</v>
      </c>
      <c r="E296" t="s">
        <v>29</v>
      </c>
      <c r="F296" t="s">
        <v>30</v>
      </c>
      <c r="G296" s="2" t="s">
        <v>46</v>
      </c>
      <c r="H296" s="2">
        <v>19</v>
      </c>
      <c r="I296" s="2" t="s">
        <v>86</v>
      </c>
      <c r="J296" s="2">
        <v>1.2</v>
      </c>
      <c r="K296" s="2" t="s">
        <v>94</v>
      </c>
      <c r="L296" s="2">
        <v>0.82</v>
      </c>
      <c r="M296" s="2" t="s">
        <v>88</v>
      </c>
      <c r="N296" s="2" t="s">
        <v>34</v>
      </c>
      <c r="O296" s="2">
        <v>11</v>
      </c>
      <c r="P296" s="2" t="str">
        <f>IF(global_freelancer_raw5[[#This Row],[No of projects ]]&lt;=5,"Entry level","Well Experienced")</f>
        <v>Well Experienced</v>
      </c>
      <c r="Q296" s="2">
        <v>3</v>
      </c>
    </row>
    <row r="297" spans="1:17" x14ac:dyDescent="0.3">
      <c r="A297" t="s">
        <v>696</v>
      </c>
      <c r="B297" t="s">
        <v>697</v>
      </c>
      <c r="C297" t="s">
        <v>97</v>
      </c>
      <c r="D297" s="2">
        <v>56</v>
      </c>
      <c r="E297" t="s">
        <v>85</v>
      </c>
      <c r="F297" t="s">
        <v>30</v>
      </c>
      <c r="G297" s="2" t="s">
        <v>110</v>
      </c>
      <c r="H297" s="2">
        <v>34</v>
      </c>
      <c r="I297" s="2" t="s">
        <v>2119</v>
      </c>
      <c r="J297" s="2">
        <v>2.1</v>
      </c>
      <c r="K297" s="2" t="s">
        <v>87</v>
      </c>
      <c r="L297" s="2">
        <v>0.84</v>
      </c>
      <c r="M297" s="2" t="s">
        <v>24</v>
      </c>
      <c r="N297" s="2" t="s">
        <v>75</v>
      </c>
      <c r="O297" s="2">
        <v>17</v>
      </c>
      <c r="P297" s="2" t="str">
        <f>IF(global_freelancer_raw5[[#This Row],[No of projects ]]&lt;=5,"Entry level","Well Experienced")</f>
        <v>Well Experienced</v>
      </c>
      <c r="Q297" s="2">
        <v>11</v>
      </c>
    </row>
    <row r="298" spans="1:17" x14ac:dyDescent="0.3">
      <c r="A298" t="s">
        <v>698</v>
      </c>
      <c r="B298" t="s">
        <v>699</v>
      </c>
      <c r="C298" t="s">
        <v>118</v>
      </c>
      <c r="D298" s="2">
        <v>38</v>
      </c>
      <c r="E298" t="s">
        <v>175</v>
      </c>
      <c r="F298" t="s">
        <v>176</v>
      </c>
      <c r="G298" s="2" t="s">
        <v>66</v>
      </c>
      <c r="H298" s="2">
        <v>3</v>
      </c>
      <c r="I298" s="2" t="s">
        <v>22</v>
      </c>
      <c r="J298" s="2">
        <v>1.4</v>
      </c>
      <c r="K298" s="2" t="s">
        <v>59</v>
      </c>
      <c r="L298" s="2">
        <v>0.73</v>
      </c>
      <c r="M298" s="2" t="s">
        <v>82</v>
      </c>
      <c r="N298" s="2" t="s">
        <v>42</v>
      </c>
      <c r="O298" s="2">
        <v>3</v>
      </c>
      <c r="P298" s="2" t="str">
        <f>IF(global_freelancer_raw5[[#This Row],[No of projects ]]&lt;=5,"Entry level","Well Experienced")</f>
        <v>Entry level</v>
      </c>
      <c r="Q298" s="2">
        <v>5</v>
      </c>
    </row>
    <row r="299" spans="1:17" x14ac:dyDescent="0.3">
      <c r="A299" t="s">
        <v>700</v>
      </c>
      <c r="B299" t="s">
        <v>701</v>
      </c>
      <c r="C299" t="s">
        <v>118</v>
      </c>
      <c r="D299" s="2">
        <v>20</v>
      </c>
      <c r="E299" t="s">
        <v>133</v>
      </c>
      <c r="F299" t="s">
        <v>134</v>
      </c>
      <c r="G299" s="2" t="s">
        <v>31</v>
      </c>
      <c r="H299" s="2">
        <v>0</v>
      </c>
      <c r="I299" s="2" t="s">
        <v>52</v>
      </c>
      <c r="J299" s="2">
        <v>3.8</v>
      </c>
      <c r="K299" s="2" t="s">
        <v>2120</v>
      </c>
      <c r="L299" s="2">
        <v>0.93</v>
      </c>
      <c r="M299" s="2" t="s">
        <v>60</v>
      </c>
      <c r="N299" s="2" t="s">
        <v>25</v>
      </c>
      <c r="O299" s="2">
        <v>5</v>
      </c>
      <c r="P299" s="2" t="str">
        <f>IF(global_freelancer_raw5[[#This Row],[No of projects ]]&lt;=5,"Entry level","Well Experienced")</f>
        <v>Entry level</v>
      </c>
      <c r="Q299" s="2">
        <v>2</v>
      </c>
    </row>
    <row r="300" spans="1:17" x14ac:dyDescent="0.3">
      <c r="A300" t="s">
        <v>702</v>
      </c>
      <c r="B300" t="s">
        <v>703</v>
      </c>
      <c r="C300" t="s">
        <v>97</v>
      </c>
      <c r="D300" s="2">
        <v>38</v>
      </c>
      <c r="E300" t="s">
        <v>149</v>
      </c>
      <c r="F300" t="s">
        <v>30</v>
      </c>
      <c r="G300" s="2" t="s">
        <v>135</v>
      </c>
      <c r="H300" s="2">
        <v>20</v>
      </c>
      <c r="I300" s="2" t="s">
        <v>40</v>
      </c>
      <c r="J300" s="2">
        <v>0</v>
      </c>
      <c r="K300" s="2" t="s">
        <v>2120</v>
      </c>
      <c r="L300" s="2">
        <v>0.64</v>
      </c>
      <c r="M300" s="2" t="s">
        <v>88</v>
      </c>
      <c r="N300" s="2" t="s">
        <v>75</v>
      </c>
      <c r="O300" s="2">
        <v>10</v>
      </c>
      <c r="P300" s="2" t="str">
        <f>IF(global_freelancer_raw5[[#This Row],[No of projects ]]&lt;=5,"Entry level","Well Experienced")</f>
        <v>Well Experienced</v>
      </c>
      <c r="Q300" s="2">
        <v>2</v>
      </c>
    </row>
    <row r="301" spans="1:17" x14ac:dyDescent="0.3">
      <c r="A301" t="s">
        <v>704</v>
      </c>
      <c r="B301" t="s">
        <v>705</v>
      </c>
      <c r="C301" t="s">
        <v>97</v>
      </c>
      <c r="D301" s="2" t="s">
        <v>2119</v>
      </c>
      <c r="E301" t="s">
        <v>55</v>
      </c>
      <c r="F301" t="s">
        <v>56</v>
      </c>
      <c r="G301" s="2" t="s">
        <v>31</v>
      </c>
      <c r="H301" s="2">
        <v>6</v>
      </c>
      <c r="I301" s="2" t="s">
        <v>86</v>
      </c>
      <c r="J301" s="2">
        <v>3.5</v>
      </c>
      <c r="K301" s="2" t="s">
        <v>23</v>
      </c>
      <c r="L301" s="2">
        <v>0.76</v>
      </c>
      <c r="M301" s="2" t="s">
        <v>88</v>
      </c>
      <c r="N301" s="2" t="s">
        <v>25</v>
      </c>
      <c r="O301" s="2">
        <v>15</v>
      </c>
      <c r="P301" s="2" t="str">
        <f>IF(global_freelancer_raw5[[#This Row],[No of projects ]]&lt;=5,"Entry level","Well Experienced")</f>
        <v>Well Experienced</v>
      </c>
      <c r="Q301" s="2">
        <v>6</v>
      </c>
    </row>
    <row r="302" spans="1:17" x14ac:dyDescent="0.3">
      <c r="A302" t="s">
        <v>706</v>
      </c>
      <c r="B302" t="s">
        <v>707</v>
      </c>
      <c r="C302" t="s">
        <v>118</v>
      </c>
      <c r="D302" s="2">
        <v>46</v>
      </c>
      <c r="E302" t="s">
        <v>114</v>
      </c>
      <c r="F302" t="s">
        <v>115</v>
      </c>
      <c r="G302" s="2" t="s">
        <v>135</v>
      </c>
      <c r="H302" s="2">
        <v>13</v>
      </c>
      <c r="I302" s="2" t="s">
        <v>251</v>
      </c>
      <c r="J302" s="2">
        <v>0</v>
      </c>
      <c r="K302" s="2" t="s">
        <v>94</v>
      </c>
      <c r="L302" s="2">
        <v>0.97</v>
      </c>
      <c r="M302" s="2" t="s">
        <v>60</v>
      </c>
      <c r="N302" s="2" t="s">
        <v>75</v>
      </c>
      <c r="O302" s="2">
        <v>9</v>
      </c>
      <c r="P302" s="2" t="str">
        <f>IF(global_freelancer_raw5[[#This Row],[No of projects ]]&lt;=5,"Entry level","Well Experienced")</f>
        <v>Well Experienced</v>
      </c>
      <c r="Q302" s="2">
        <v>12</v>
      </c>
    </row>
    <row r="303" spans="1:17" x14ac:dyDescent="0.3">
      <c r="A303" t="s">
        <v>708</v>
      </c>
      <c r="B303" t="s">
        <v>709</v>
      </c>
      <c r="C303" t="s">
        <v>118</v>
      </c>
      <c r="D303" s="2">
        <v>36</v>
      </c>
      <c r="E303" t="s">
        <v>175</v>
      </c>
      <c r="F303" t="s">
        <v>176</v>
      </c>
      <c r="G303" s="2" t="s">
        <v>66</v>
      </c>
      <c r="H303" s="2">
        <v>9</v>
      </c>
      <c r="I303" s="2" t="s">
        <v>103</v>
      </c>
      <c r="J303" s="2">
        <v>2.2000000000000002</v>
      </c>
      <c r="K303" s="2" t="s">
        <v>23</v>
      </c>
      <c r="L303" s="2">
        <v>0.95</v>
      </c>
      <c r="M303" s="2" t="s">
        <v>82</v>
      </c>
      <c r="N303" s="2" t="s">
        <v>42</v>
      </c>
      <c r="O303" s="2">
        <v>11</v>
      </c>
      <c r="P303" s="2" t="str">
        <f>IF(global_freelancer_raw5[[#This Row],[No of projects ]]&lt;=5,"Entry level","Well Experienced")</f>
        <v>Well Experienced</v>
      </c>
      <c r="Q303" s="2">
        <v>1</v>
      </c>
    </row>
    <row r="304" spans="1:17" x14ac:dyDescent="0.3">
      <c r="A304" t="s">
        <v>710</v>
      </c>
      <c r="B304" t="s">
        <v>711</v>
      </c>
      <c r="C304" t="s">
        <v>118</v>
      </c>
      <c r="D304" s="2">
        <v>33</v>
      </c>
      <c r="E304" t="s">
        <v>145</v>
      </c>
      <c r="F304" t="s">
        <v>146</v>
      </c>
      <c r="G304" s="2" t="s">
        <v>46</v>
      </c>
      <c r="H304" s="2">
        <v>2</v>
      </c>
      <c r="I304" s="2" t="s">
        <v>103</v>
      </c>
      <c r="J304" s="2">
        <v>2.5</v>
      </c>
      <c r="K304" s="2" t="s">
        <v>59</v>
      </c>
      <c r="L304" s="2">
        <v>0.65</v>
      </c>
      <c r="M304" s="2" t="s">
        <v>60</v>
      </c>
      <c r="N304" s="2" t="s">
        <v>25</v>
      </c>
      <c r="O304" s="2">
        <v>4</v>
      </c>
      <c r="P304" s="2" t="str">
        <f>IF(global_freelancer_raw5[[#This Row],[No of projects ]]&lt;=5,"Entry level","Well Experienced")</f>
        <v>Entry level</v>
      </c>
      <c r="Q304" s="2">
        <v>1</v>
      </c>
    </row>
    <row r="305" spans="1:17" x14ac:dyDescent="0.3">
      <c r="A305" t="s">
        <v>712</v>
      </c>
      <c r="B305" t="s">
        <v>713</v>
      </c>
      <c r="C305" t="s">
        <v>97</v>
      </c>
      <c r="D305" s="2">
        <v>37</v>
      </c>
      <c r="E305" t="s">
        <v>149</v>
      </c>
      <c r="F305" t="s">
        <v>30</v>
      </c>
      <c r="G305" s="2" t="s">
        <v>39</v>
      </c>
      <c r="H305" s="2">
        <v>0</v>
      </c>
      <c r="I305" s="2" t="s">
        <v>119</v>
      </c>
      <c r="J305" s="2">
        <v>4.7</v>
      </c>
      <c r="K305" s="2" t="s">
        <v>23</v>
      </c>
      <c r="L305" s="2">
        <v>0.77</v>
      </c>
      <c r="M305" s="2" t="s">
        <v>82</v>
      </c>
      <c r="N305" s="2" t="s">
        <v>25</v>
      </c>
      <c r="O305" s="2">
        <v>3</v>
      </c>
      <c r="P305" s="2" t="str">
        <f>IF(global_freelancer_raw5[[#This Row],[No of projects ]]&lt;=5,"Entry level","Well Experienced")</f>
        <v>Entry level</v>
      </c>
      <c r="Q305" s="2">
        <v>2</v>
      </c>
    </row>
    <row r="306" spans="1:17" x14ac:dyDescent="0.3">
      <c r="A306" t="s">
        <v>714</v>
      </c>
      <c r="B306" t="s">
        <v>715</v>
      </c>
      <c r="C306" t="s">
        <v>118</v>
      </c>
      <c r="D306" s="2">
        <v>20</v>
      </c>
      <c r="E306" t="s">
        <v>160</v>
      </c>
      <c r="F306" t="s">
        <v>161</v>
      </c>
      <c r="G306" s="2" t="s">
        <v>66</v>
      </c>
      <c r="H306" s="2">
        <v>0</v>
      </c>
      <c r="I306" s="2" t="s">
        <v>162</v>
      </c>
      <c r="J306" s="2">
        <v>3.9</v>
      </c>
      <c r="K306" s="2" t="s">
        <v>59</v>
      </c>
      <c r="L306" s="2" t="s">
        <v>2120</v>
      </c>
      <c r="M306" s="2" t="s">
        <v>88</v>
      </c>
      <c r="N306" s="2" t="s">
        <v>75</v>
      </c>
      <c r="O306" s="2">
        <v>1</v>
      </c>
      <c r="P306" s="2" t="str">
        <f>IF(global_freelancer_raw5[[#This Row],[No of projects ]]&lt;=5,"Entry level","Well Experienced")</f>
        <v>Entry level</v>
      </c>
      <c r="Q306" s="2">
        <v>1</v>
      </c>
    </row>
    <row r="307" spans="1:17" x14ac:dyDescent="0.3">
      <c r="A307" t="s">
        <v>716</v>
      </c>
      <c r="B307" t="s">
        <v>717</v>
      </c>
      <c r="C307" t="s">
        <v>97</v>
      </c>
      <c r="D307" s="2">
        <v>48</v>
      </c>
      <c r="E307" t="s">
        <v>197</v>
      </c>
      <c r="F307" t="s">
        <v>198</v>
      </c>
      <c r="G307" s="2" t="s">
        <v>66</v>
      </c>
      <c r="H307" s="2">
        <v>2</v>
      </c>
      <c r="I307" s="2" t="s">
        <v>103</v>
      </c>
      <c r="J307" s="2">
        <v>1.6</v>
      </c>
      <c r="K307" s="2" t="s">
        <v>41</v>
      </c>
      <c r="L307" s="2">
        <v>0.67</v>
      </c>
      <c r="M307" s="2" t="s">
        <v>82</v>
      </c>
      <c r="N307" s="2" t="s">
        <v>25</v>
      </c>
      <c r="O307" s="2">
        <v>5</v>
      </c>
      <c r="P307" s="2" t="str">
        <f>IF(global_freelancer_raw5[[#This Row],[No of projects ]]&lt;=5,"Entry level","Well Experienced")</f>
        <v>Entry level</v>
      </c>
      <c r="Q307" s="2">
        <v>2</v>
      </c>
    </row>
    <row r="308" spans="1:17" x14ac:dyDescent="0.3">
      <c r="A308" t="s">
        <v>718</v>
      </c>
      <c r="B308" t="s">
        <v>719</v>
      </c>
      <c r="C308" t="s">
        <v>118</v>
      </c>
      <c r="D308" s="2">
        <v>27</v>
      </c>
      <c r="E308" t="s">
        <v>156</v>
      </c>
      <c r="F308" t="s">
        <v>157</v>
      </c>
      <c r="G308" s="2" t="s">
        <v>98</v>
      </c>
      <c r="H308" s="2">
        <v>2</v>
      </c>
      <c r="I308" s="2" t="s">
        <v>81</v>
      </c>
      <c r="J308" s="2" t="s">
        <v>2120</v>
      </c>
      <c r="K308" s="2" t="s">
        <v>23</v>
      </c>
      <c r="L308" s="2">
        <v>0.84</v>
      </c>
      <c r="M308" s="2" t="s">
        <v>24</v>
      </c>
      <c r="N308" s="2" t="s">
        <v>75</v>
      </c>
      <c r="O308" s="2">
        <v>2</v>
      </c>
      <c r="P308" s="2" t="str">
        <f>IF(global_freelancer_raw5[[#This Row],[No of projects ]]&lt;=5,"Entry level","Well Experienced")</f>
        <v>Entry level</v>
      </c>
      <c r="Q308" s="2">
        <v>3</v>
      </c>
    </row>
    <row r="309" spans="1:17" x14ac:dyDescent="0.3">
      <c r="A309" t="s">
        <v>720</v>
      </c>
      <c r="B309" t="s">
        <v>721</v>
      </c>
      <c r="C309" t="s">
        <v>118</v>
      </c>
      <c r="D309" s="2">
        <v>34</v>
      </c>
      <c r="E309" t="s">
        <v>133</v>
      </c>
      <c r="F309" t="s">
        <v>134</v>
      </c>
      <c r="G309" s="2" t="s">
        <v>31</v>
      </c>
      <c r="H309" s="2">
        <v>1</v>
      </c>
      <c r="I309" s="2" t="s">
        <v>52</v>
      </c>
      <c r="J309" s="2">
        <v>3.6</v>
      </c>
      <c r="K309" s="2" t="s">
        <v>33</v>
      </c>
      <c r="L309" s="2">
        <v>0.87</v>
      </c>
      <c r="M309" s="2" t="s">
        <v>88</v>
      </c>
      <c r="N309" s="2" t="s">
        <v>75</v>
      </c>
      <c r="O309" s="2">
        <v>2</v>
      </c>
      <c r="P309" s="2" t="str">
        <f>IF(global_freelancer_raw5[[#This Row],[No of projects ]]&lt;=5,"Entry level","Well Experienced")</f>
        <v>Entry level</v>
      </c>
      <c r="Q309" s="2">
        <v>2</v>
      </c>
    </row>
    <row r="310" spans="1:17" x14ac:dyDescent="0.3">
      <c r="A310" t="s">
        <v>722</v>
      </c>
      <c r="B310" t="s">
        <v>723</v>
      </c>
      <c r="C310" t="s">
        <v>118</v>
      </c>
      <c r="D310" s="2">
        <v>55</v>
      </c>
      <c r="E310" t="s">
        <v>128</v>
      </c>
      <c r="F310" t="s">
        <v>129</v>
      </c>
      <c r="G310" s="2" t="s">
        <v>135</v>
      </c>
      <c r="H310" s="2">
        <v>14</v>
      </c>
      <c r="I310" s="2" t="s">
        <v>130</v>
      </c>
      <c r="J310" s="2">
        <v>1.2</v>
      </c>
      <c r="K310" s="2" t="s">
        <v>87</v>
      </c>
      <c r="L310" s="2">
        <v>0.91</v>
      </c>
      <c r="M310" s="2" t="s">
        <v>24</v>
      </c>
      <c r="N310" s="2" t="s">
        <v>75</v>
      </c>
      <c r="O310" s="2">
        <v>7</v>
      </c>
      <c r="P310" s="2" t="str">
        <f>IF(global_freelancer_raw5[[#This Row],[No of projects ]]&lt;=5,"Entry level","Well Experienced")</f>
        <v>Well Experienced</v>
      </c>
      <c r="Q310" s="2">
        <v>6</v>
      </c>
    </row>
    <row r="311" spans="1:17" x14ac:dyDescent="0.3">
      <c r="A311" t="s">
        <v>724</v>
      </c>
      <c r="B311" t="s">
        <v>725</v>
      </c>
      <c r="C311" t="s">
        <v>97</v>
      </c>
      <c r="D311" s="2">
        <v>44</v>
      </c>
      <c r="E311" t="s">
        <v>175</v>
      </c>
      <c r="F311" t="s">
        <v>176</v>
      </c>
      <c r="G311" s="2" t="s">
        <v>135</v>
      </c>
      <c r="H311" s="2">
        <v>14</v>
      </c>
      <c r="I311" s="2" t="s">
        <v>67</v>
      </c>
      <c r="J311" s="2">
        <v>3</v>
      </c>
      <c r="K311" s="2" t="s">
        <v>23</v>
      </c>
      <c r="L311" s="2">
        <v>0.78</v>
      </c>
      <c r="M311" s="2" t="s">
        <v>60</v>
      </c>
      <c r="N311" s="2" t="s">
        <v>75</v>
      </c>
      <c r="O311" s="2">
        <v>13</v>
      </c>
      <c r="P311" s="2" t="str">
        <f>IF(global_freelancer_raw5[[#This Row],[No of projects ]]&lt;=5,"Entry level","Well Experienced")</f>
        <v>Well Experienced</v>
      </c>
      <c r="Q311" s="2">
        <v>6</v>
      </c>
    </row>
    <row r="312" spans="1:17" x14ac:dyDescent="0.3">
      <c r="A312" t="s">
        <v>726</v>
      </c>
      <c r="B312" t="s">
        <v>727</v>
      </c>
      <c r="C312" t="s">
        <v>118</v>
      </c>
      <c r="D312" s="2">
        <v>31</v>
      </c>
      <c r="E312" t="s">
        <v>55</v>
      </c>
      <c r="F312" t="s">
        <v>56</v>
      </c>
      <c r="G312" s="2" t="s">
        <v>93</v>
      </c>
      <c r="H312" s="2">
        <v>2</v>
      </c>
      <c r="I312" s="2" t="s">
        <v>40</v>
      </c>
      <c r="J312" s="2">
        <v>3.9</v>
      </c>
      <c r="K312" s="2" t="s">
        <v>23</v>
      </c>
      <c r="L312" s="2" t="s">
        <v>2120</v>
      </c>
      <c r="M312" s="2" t="s">
        <v>60</v>
      </c>
      <c r="N312" s="2" t="s">
        <v>42</v>
      </c>
      <c r="O312" s="2">
        <v>4</v>
      </c>
      <c r="P312" s="2" t="str">
        <f>IF(global_freelancer_raw5[[#This Row],[No of projects ]]&lt;=5,"Entry level","Well Experienced")</f>
        <v>Entry level</v>
      </c>
      <c r="Q312" s="2">
        <v>1</v>
      </c>
    </row>
    <row r="313" spans="1:17" x14ac:dyDescent="0.3">
      <c r="A313" t="s">
        <v>728</v>
      </c>
      <c r="B313" t="s">
        <v>729</v>
      </c>
      <c r="C313" t="s">
        <v>118</v>
      </c>
      <c r="D313" s="2">
        <v>34</v>
      </c>
      <c r="E313" t="s">
        <v>29</v>
      </c>
      <c r="F313" t="s">
        <v>30</v>
      </c>
      <c r="G313" s="2" t="s">
        <v>110</v>
      </c>
      <c r="H313" s="2">
        <v>1</v>
      </c>
      <c r="I313" s="2" t="s">
        <v>86</v>
      </c>
      <c r="J313" s="2">
        <v>1.7</v>
      </c>
      <c r="K313" s="2" t="s">
        <v>2120</v>
      </c>
      <c r="L313" s="2">
        <v>74</v>
      </c>
      <c r="M313" s="2" t="s">
        <v>60</v>
      </c>
      <c r="N313" s="2" t="s">
        <v>75</v>
      </c>
      <c r="O313" s="2">
        <v>4</v>
      </c>
      <c r="P313" s="2" t="str">
        <f>IF(global_freelancer_raw5[[#This Row],[No of projects ]]&lt;=5,"Entry level","Well Experienced")</f>
        <v>Entry level</v>
      </c>
      <c r="Q313" s="2">
        <v>4</v>
      </c>
    </row>
    <row r="314" spans="1:17" x14ac:dyDescent="0.3">
      <c r="A314" t="s">
        <v>730</v>
      </c>
      <c r="B314" t="s">
        <v>731</v>
      </c>
      <c r="C314" t="s">
        <v>97</v>
      </c>
      <c r="D314" s="2">
        <v>47</v>
      </c>
      <c r="E314" t="s">
        <v>128</v>
      </c>
      <c r="F314" t="s">
        <v>129</v>
      </c>
      <c r="G314" s="2" t="s">
        <v>110</v>
      </c>
      <c r="H314" s="2">
        <v>13</v>
      </c>
      <c r="I314" s="2" t="s">
        <v>162</v>
      </c>
      <c r="J314" s="2">
        <v>4.5</v>
      </c>
      <c r="K314" s="2" t="s">
        <v>2120</v>
      </c>
      <c r="L314" s="2">
        <v>0.91</v>
      </c>
      <c r="M314" s="2" t="s">
        <v>82</v>
      </c>
      <c r="N314" s="2" t="s">
        <v>34</v>
      </c>
      <c r="O314" s="2">
        <v>7</v>
      </c>
      <c r="P314" s="2" t="str">
        <f>IF(global_freelancer_raw5[[#This Row],[No of projects ]]&lt;=5,"Entry level","Well Experienced")</f>
        <v>Well Experienced</v>
      </c>
      <c r="Q314" s="2">
        <v>6</v>
      </c>
    </row>
    <row r="315" spans="1:17" x14ac:dyDescent="0.3">
      <c r="A315" t="s">
        <v>732</v>
      </c>
      <c r="B315" t="s">
        <v>733</v>
      </c>
      <c r="C315" t="s">
        <v>118</v>
      </c>
      <c r="D315" s="2">
        <v>50</v>
      </c>
      <c r="E315" t="s">
        <v>73</v>
      </c>
      <c r="F315" t="s">
        <v>30</v>
      </c>
      <c r="G315" s="2" t="s">
        <v>39</v>
      </c>
      <c r="H315" s="2">
        <v>23</v>
      </c>
      <c r="I315" s="2" t="s">
        <v>47</v>
      </c>
      <c r="J315" s="2">
        <v>3.6</v>
      </c>
      <c r="K315" s="2" t="s">
        <v>74</v>
      </c>
      <c r="L315" s="2">
        <v>0.71</v>
      </c>
      <c r="M315" s="2" t="s">
        <v>88</v>
      </c>
      <c r="N315" s="2" t="s">
        <v>25</v>
      </c>
      <c r="O315" s="2">
        <v>12</v>
      </c>
      <c r="P315" s="2" t="str">
        <f>IF(global_freelancer_raw5[[#This Row],[No of projects ]]&lt;=5,"Entry level","Well Experienced")</f>
        <v>Well Experienced</v>
      </c>
      <c r="Q315" s="2">
        <v>9</v>
      </c>
    </row>
    <row r="316" spans="1:17" x14ac:dyDescent="0.3">
      <c r="A316" t="s">
        <v>734</v>
      </c>
      <c r="B316" t="s">
        <v>735</v>
      </c>
      <c r="C316" t="s">
        <v>118</v>
      </c>
      <c r="D316" s="2">
        <v>39</v>
      </c>
      <c r="E316" t="s">
        <v>38</v>
      </c>
      <c r="F316" t="s">
        <v>38</v>
      </c>
      <c r="G316" s="2" t="s">
        <v>98</v>
      </c>
      <c r="H316" s="2" t="s">
        <v>2120</v>
      </c>
      <c r="I316" s="2" t="s">
        <v>67</v>
      </c>
      <c r="J316" s="2">
        <v>3.6</v>
      </c>
      <c r="K316" s="2" t="s">
        <v>94</v>
      </c>
      <c r="L316" s="2">
        <v>0.87</v>
      </c>
      <c r="M316" s="2" t="s">
        <v>60</v>
      </c>
      <c r="N316" s="2" t="s">
        <v>34</v>
      </c>
      <c r="O316" s="2">
        <v>5</v>
      </c>
      <c r="P316" s="2" t="str">
        <f>IF(global_freelancer_raw5[[#This Row],[No of projects ]]&lt;=5,"Entry level","Well Experienced")</f>
        <v>Entry level</v>
      </c>
      <c r="Q316" s="2">
        <v>1</v>
      </c>
    </row>
    <row r="317" spans="1:17" x14ac:dyDescent="0.3">
      <c r="A317" t="s">
        <v>736</v>
      </c>
      <c r="B317" t="s">
        <v>737</v>
      </c>
      <c r="C317" t="s">
        <v>97</v>
      </c>
      <c r="D317" s="2">
        <v>26</v>
      </c>
      <c r="E317" t="s">
        <v>91</v>
      </c>
      <c r="F317" t="s">
        <v>92</v>
      </c>
      <c r="G317" s="2" t="s">
        <v>21</v>
      </c>
      <c r="H317" s="2">
        <v>3</v>
      </c>
      <c r="I317" s="2" t="s">
        <v>32</v>
      </c>
      <c r="J317" s="2">
        <v>2.8</v>
      </c>
      <c r="K317" s="2" t="s">
        <v>33</v>
      </c>
      <c r="L317" s="2">
        <v>0.61</v>
      </c>
      <c r="M317" s="2" t="s">
        <v>60</v>
      </c>
      <c r="N317" s="2" t="s">
        <v>42</v>
      </c>
      <c r="O317" s="2">
        <v>1</v>
      </c>
      <c r="P317" s="2" t="str">
        <f>IF(global_freelancer_raw5[[#This Row],[No of projects ]]&lt;=5,"Entry level","Well Experienced")</f>
        <v>Entry level</v>
      </c>
      <c r="Q317" s="2">
        <v>1</v>
      </c>
    </row>
    <row r="318" spans="1:17" x14ac:dyDescent="0.3">
      <c r="A318" t="s">
        <v>738</v>
      </c>
      <c r="B318" t="s">
        <v>739</v>
      </c>
      <c r="C318" t="s">
        <v>118</v>
      </c>
      <c r="D318" s="2" t="s">
        <v>2119</v>
      </c>
      <c r="E318" t="s">
        <v>55</v>
      </c>
      <c r="F318" t="s">
        <v>56</v>
      </c>
      <c r="G318" s="2" t="s">
        <v>110</v>
      </c>
      <c r="H318" s="2">
        <v>0</v>
      </c>
      <c r="I318" s="2" t="s">
        <v>251</v>
      </c>
      <c r="J318" s="2">
        <v>5</v>
      </c>
      <c r="K318" s="2" t="s">
        <v>41</v>
      </c>
      <c r="L318" s="2" t="s">
        <v>2120</v>
      </c>
      <c r="M318" s="2" t="s">
        <v>88</v>
      </c>
      <c r="N318" s="2" t="s">
        <v>34</v>
      </c>
      <c r="O318" s="2">
        <v>1</v>
      </c>
      <c r="P318" s="2" t="str">
        <f>IF(global_freelancer_raw5[[#This Row],[No of projects ]]&lt;=5,"Entry level","Well Experienced")</f>
        <v>Entry level</v>
      </c>
      <c r="Q318" s="2">
        <v>4</v>
      </c>
    </row>
    <row r="319" spans="1:17" x14ac:dyDescent="0.3">
      <c r="A319" t="s">
        <v>740</v>
      </c>
      <c r="B319" t="s">
        <v>741</v>
      </c>
      <c r="C319" t="s">
        <v>118</v>
      </c>
      <c r="D319" s="2">
        <v>32</v>
      </c>
      <c r="E319" t="s">
        <v>38</v>
      </c>
      <c r="F319" t="s">
        <v>38</v>
      </c>
      <c r="G319" s="2" t="s">
        <v>39</v>
      </c>
      <c r="H319" s="2">
        <v>0</v>
      </c>
      <c r="I319" s="2" t="s">
        <v>22</v>
      </c>
      <c r="J319" s="2">
        <v>1.4</v>
      </c>
      <c r="K319" s="2" t="s">
        <v>33</v>
      </c>
      <c r="L319" s="2">
        <v>0.81</v>
      </c>
      <c r="M319" s="2" t="s">
        <v>60</v>
      </c>
      <c r="N319" s="2" t="s">
        <v>25</v>
      </c>
      <c r="O319" s="2">
        <v>2</v>
      </c>
      <c r="P319" s="2" t="str">
        <f>IF(global_freelancer_raw5[[#This Row],[No of projects ]]&lt;=5,"Entry level","Well Experienced")</f>
        <v>Entry level</v>
      </c>
      <c r="Q319" s="2">
        <v>1</v>
      </c>
    </row>
    <row r="320" spans="1:17" x14ac:dyDescent="0.3">
      <c r="A320" t="s">
        <v>742</v>
      </c>
      <c r="B320" t="s">
        <v>743</v>
      </c>
      <c r="C320" t="s">
        <v>97</v>
      </c>
      <c r="D320" s="2">
        <v>55</v>
      </c>
      <c r="E320" t="s">
        <v>145</v>
      </c>
      <c r="F320" t="s">
        <v>146</v>
      </c>
      <c r="G320" s="2" t="s">
        <v>66</v>
      </c>
      <c r="H320" s="2">
        <v>17</v>
      </c>
      <c r="I320" s="2" t="s">
        <v>52</v>
      </c>
      <c r="J320" s="2" t="s">
        <v>2120</v>
      </c>
      <c r="K320" s="2" t="s">
        <v>2120</v>
      </c>
      <c r="L320" s="2" t="s">
        <v>2120</v>
      </c>
      <c r="M320" s="2" t="s">
        <v>24</v>
      </c>
      <c r="N320" s="2" t="s">
        <v>34</v>
      </c>
      <c r="O320" s="2">
        <v>18</v>
      </c>
      <c r="P320" s="2" t="str">
        <f>IF(global_freelancer_raw5[[#This Row],[No of projects ]]&lt;=5,"Entry level","Well Experienced")</f>
        <v>Well Experienced</v>
      </c>
      <c r="Q320" s="2">
        <v>13</v>
      </c>
    </row>
    <row r="321" spans="1:17" x14ac:dyDescent="0.3">
      <c r="A321" t="s">
        <v>744</v>
      </c>
      <c r="B321" t="s">
        <v>745</v>
      </c>
      <c r="C321" t="s">
        <v>118</v>
      </c>
      <c r="D321" s="2">
        <v>32</v>
      </c>
      <c r="E321" t="s">
        <v>91</v>
      </c>
      <c r="F321" t="s">
        <v>92</v>
      </c>
      <c r="G321" s="2" t="s">
        <v>135</v>
      </c>
      <c r="H321" s="2">
        <v>9</v>
      </c>
      <c r="I321" s="2" t="s">
        <v>70</v>
      </c>
      <c r="J321" s="2">
        <v>4.5999999999999996</v>
      </c>
      <c r="K321" s="2" t="s">
        <v>33</v>
      </c>
      <c r="L321" s="2">
        <v>0.84</v>
      </c>
      <c r="M321" s="2" t="s">
        <v>88</v>
      </c>
      <c r="N321" s="2" t="s">
        <v>42</v>
      </c>
      <c r="O321" s="2">
        <v>9</v>
      </c>
      <c r="P321" s="2" t="str">
        <f>IF(global_freelancer_raw5[[#This Row],[No of projects ]]&lt;=5,"Entry level","Well Experienced")</f>
        <v>Well Experienced</v>
      </c>
      <c r="Q321" s="2">
        <v>2</v>
      </c>
    </row>
    <row r="322" spans="1:17" x14ac:dyDescent="0.3">
      <c r="A322" t="s">
        <v>746</v>
      </c>
      <c r="B322" t="s">
        <v>747</v>
      </c>
      <c r="C322" t="s">
        <v>118</v>
      </c>
      <c r="D322" s="2">
        <v>30</v>
      </c>
      <c r="E322" t="s">
        <v>133</v>
      </c>
      <c r="F322" t="s">
        <v>134</v>
      </c>
      <c r="G322" s="2" t="s">
        <v>21</v>
      </c>
      <c r="H322" s="2">
        <v>4</v>
      </c>
      <c r="I322" s="2" t="s">
        <v>142</v>
      </c>
      <c r="J322" s="2">
        <v>3.3</v>
      </c>
      <c r="K322" s="2" t="s">
        <v>181</v>
      </c>
      <c r="L322" s="2" t="s">
        <v>2120</v>
      </c>
      <c r="M322" s="2" t="s">
        <v>88</v>
      </c>
      <c r="N322" s="2" t="s">
        <v>75</v>
      </c>
      <c r="O322" s="2">
        <v>4</v>
      </c>
      <c r="P322" s="2" t="str">
        <f>IF(global_freelancer_raw5[[#This Row],[No of projects ]]&lt;=5,"Entry level","Well Experienced")</f>
        <v>Entry level</v>
      </c>
      <c r="Q322" s="2">
        <v>4</v>
      </c>
    </row>
    <row r="323" spans="1:17" x14ac:dyDescent="0.3">
      <c r="A323" t="s">
        <v>748</v>
      </c>
      <c r="B323" t="s">
        <v>749</v>
      </c>
      <c r="C323" t="s">
        <v>97</v>
      </c>
      <c r="D323" s="2">
        <v>37</v>
      </c>
      <c r="E323" t="s">
        <v>149</v>
      </c>
      <c r="F323" t="s">
        <v>30</v>
      </c>
      <c r="G323" s="2" t="s">
        <v>98</v>
      </c>
      <c r="H323" s="2">
        <v>0</v>
      </c>
      <c r="I323" s="2" t="s">
        <v>47</v>
      </c>
      <c r="J323" s="2">
        <v>3.7</v>
      </c>
      <c r="K323" s="2" t="s">
        <v>33</v>
      </c>
      <c r="L323" s="2" t="s">
        <v>2120</v>
      </c>
      <c r="M323" s="2" t="s">
        <v>88</v>
      </c>
      <c r="N323" s="2" t="s">
        <v>34</v>
      </c>
      <c r="O323" s="2">
        <v>3</v>
      </c>
      <c r="P323" s="2" t="str">
        <f>IF(global_freelancer_raw5[[#This Row],[No of projects ]]&lt;=5,"Entry level","Well Experienced")</f>
        <v>Entry level</v>
      </c>
      <c r="Q323" s="2">
        <v>5</v>
      </c>
    </row>
    <row r="324" spans="1:17" x14ac:dyDescent="0.3">
      <c r="A324" t="s">
        <v>750</v>
      </c>
      <c r="B324" t="s">
        <v>751</v>
      </c>
      <c r="C324" t="s">
        <v>118</v>
      </c>
      <c r="D324" s="2">
        <v>52</v>
      </c>
      <c r="E324" t="s">
        <v>128</v>
      </c>
      <c r="F324" t="s">
        <v>129</v>
      </c>
      <c r="G324" s="2" t="s">
        <v>39</v>
      </c>
      <c r="H324" s="2">
        <v>33</v>
      </c>
      <c r="I324" s="2" t="s">
        <v>2119</v>
      </c>
      <c r="J324" s="2">
        <v>0</v>
      </c>
      <c r="K324" s="2" t="s">
        <v>33</v>
      </c>
      <c r="L324" s="2">
        <v>0.6</v>
      </c>
      <c r="M324" s="2" t="s">
        <v>24</v>
      </c>
      <c r="N324" s="2" t="s">
        <v>42</v>
      </c>
      <c r="O324" s="2">
        <v>13</v>
      </c>
      <c r="P324" s="2" t="str">
        <f>IF(global_freelancer_raw5[[#This Row],[No of projects ]]&lt;=5,"Entry level","Well Experienced")</f>
        <v>Well Experienced</v>
      </c>
      <c r="Q324" s="2">
        <v>7</v>
      </c>
    </row>
    <row r="325" spans="1:17" x14ac:dyDescent="0.3">
      <c r="A325" t="s">
        <v>752</v>
      </c>
      <c r="B325" t="s">
        <v>753</v>
      </c>
      <c r="C325" t="s">
        <v>118</v>
      </c>
      <c r="D325" s="2">
        <v>48</v>
      </c>
      <c r="E325" t="s">
        <v>114</v>
      </c>
      <c r="F325" t="s">
        <v>115</v>
      </c>
      <c r="G325" s="2" t="s">
        <v>98</v>
      </c>
      <c r="H325" s="2">
        <v>18</v>
      </c>
      <c r="I325" s="2" t="s">
        <v>40</v>
      </c>
      <c r="J325" s="2">
        <v>0</v>
      </c>
      <c r="K325" s="2" t="s">
        <v>94</v>
      </c>
      <c r="L325" s="2">
        <v>0.64</v>
      </c>
      <c r="M325" s="2" t="s">
        <v>88</v>
      </c>
      <c r="N325" s="2" t="s">
        <v>42</v>
      </c>
      <c r="O325" s="2">
        <v>11</v>
      </c>
      <c r="P325" s="2" t="str">
        <f>IF(global_freelancer_raw5[[#This Row],[No of projects ]]&lt;=5,"Entry level","Well Experienced")</f>
        <v>Well Experienced</v>
      </c>
      <c r="Q325" s="2">
        <v>16</v>
      </c>
    </row>
    <row r="326" spans="1:17" x14ac:dyDescent="0.3">
      <c r="A326" t="s">
        <v>754</v>
      </c>
      <c r="B326" t="s">
        <v>755</v>
      </c>
      <c r="C326" t="s">
        <v>97</v>
      </c>
      <c r="D326" s="2">
        <v>28</v>
      </c>
      <c r="E326" t="s">
        <v>106</v>
      </c>
      <c r="F326" t="s">
        <v>107</v>
      </c>
      <c r="G326" s="2" t="s">
        <v>31</v>
      </c>
      <c r="H326" s="2">
        <v>9</v>
      </c>
      <c r="I326" s="2" t="s">
        <v>86</v>
      </c>
      <c r="J326" s="2" t="s">
        <v>2120</v>
      </c>
      <c r="K326" s="2" t="s">
        <v>33</v>
      </c>
      <c r="L326" s="2">
        <v>0.64</v>
      </c>
      <c r="M326" s="2" t="s">
        <v>24</v>
      </c>
      <c r="N326" s="2" t="s">
        <v>25</v>
      </c>
      <c r="O326" s="2">
        <v>14</v>
      </c>
      <c r="P326" s="2" t="str">
        <f>IF(global_freelancer_raw5[[#This Row],[No of projects ]]&lt;=5,"Entry level","Well Experienced")</f>
        <v>Well Experienced</v>
      </c>
      <c r="Q326" s="2">
        <v>12</v>
      </c>
    </row>
    <row r="327" spans="1:17" x14ac:dyDescent="0.3">
      <c r="A327" t="s">
        <v>756</v>
      </c>
      <c r="B327" t="s">
        <v>757</v>
      </c>
      <c r="C327" t="s">
        <v>97</v>
      </c>
      <c r="D327" s="2">
        <v>58</v>
      </c>
      <c r="E327" t="s">
        <v>212</v>
      </c>
      <c r="F327" t="s">
        <v>92</v>
      </c>
      <c r="G327" s="2" t="s">
        <v>66</v>
      </c>
      <c r="H327" s="2">
        <v>40</v>
      </c>
      <c r="I327" s="2" t="s">
        <v>103</v>
      </c>
      <c r="J327" s="2">
        <v>3.4</v>
      </c>
      <c r="K327" s="2" t="s">
        <v>33</v>
      </c>
      <c r="L327" s="2">
        <v>1</v>
      </c>
      <c r="M327" s="2" t="s">
        <v>88</v>
      </c>
      <c r="N327" s="2" t="s">
        <v>25</v>
      </c>
      <c r="O327" s="2">
        <v>11</v>
      </c>
      <c r="P327" s="2" t="str">
        <f>IF(global_freelancer_raw5[[#This Row],[No of projects ]]&lt;=5,"Entry level","Well Experienced")</f>
        <v>Well Experienced</v>
      </c>
      <c r="Q327" s="2">
        <v>12</v>
      </c>
    </row>
    <row r="328" spans="1:17" x14ac:dyDescent="0.3">
      <c r="A328" t="s">
        <v>758</v>
      </c>
      <c r="B328" t="s">
        <v>759</v>
      </c>
      <c r="C328" t="s">
        <v>118</v>
      </c>
      <c r="D328" s="2">
        <v>30</v>
      </c>
      <c r="E328" t="s">
        <v>91</v>
      </c>
      <c r="F328" t="s">
        <v>92</v>
      </c>
      <c r="G328" s="2" t="s">
        <v>46</v>
      </c>
      <c r="H328" s="2">
        <v>1</v>
      </c>
      <c r="I328" s="2" t="s">
        <v>86</v>
      </c>
      <c r="J328" s="2">
        <v>1.6</v>
      </c>
      <c r="K328" s="2" t="s">
        <v>74</v>
      </c>
      <c r="L328" s="2">
        <v>100</v>
      </c>
      <c r="M328" s="2" t="s">
        <v>82</v>
      </c>
      <c r="N328" s="2" t="s">
        <v>34</v>
      </c>
      <c r="O328" s="2">
        <v>4</v>
      </c>
      <c r="P328" s="2" t="str">
        <f>IF(global_freelancer_raw5[[#This Row],[No of projects ]]&lt;=5,"Entry level","Well Experienced")</f>
        <v>Entry level</v>
      </c>
      <c r="Q328" s="2">
        <v>1</v>
      </c>
    </row>
    <row r="329" spans="1:17" x14ac:dyDescent="0.3">
      <c r="A329" t="s">
        <v>760</v>
      </c>
      <c r="B329" t="s">
        <v>761</v>
      </c>
      <c r="C329" t="s">
        <v>97</v>
      </c>
      <c r="D329" s="2">
        <v>47</v>
      </c>
      <c r="E329" t="s">
        <v>197</v>
      </c>
      <c r="F329" t="s">
        <v>198</v>
      </c>
      <c r="G329" s="2" t="s">
        <v>31</v>
      </c>
      <c r="H329" s="2">
        <v>5</v>
      </c>
      <c r="I329" s="2" t="s">
        <v>162</v>
      </c>
      <c r="J329" s="2">
        <v>1.9</v>
      </c>
      <c r="K329" s="2" t="s">
        <v>23</v>
      </c>
      <c r="L329" s="2" t="s">
        <v>2120</v>
      </c>
      <c r="M329" s="2" t="s">
        <v>60</v>
      </c>
      <c r="N329" s="2" t="s">
        <v>75</v>
      </c>
      <c r="O329" s="2">
        <v>5</v>
      </c>
      <c r="P329" s="2" t="str">
        <f>IF(global_freelancer_raw5[[#This Row],[No of projects ]]&lt;=5,"Entry level","Well Experienced")</f>
        <v>Entry level</v>
      </c>
      <c r="Q329" s="2">
        <v>1</v>
      </c>
    </row>
    <row r="330" spans="1:17" x14ac:dyDescent="0.3">
      <c r="A330" t="s">
        <v>762</v>
      </c>
      <c r="B330" t="s">
        <v>763</v>
      </c>
      <c r="C330" t="s">
        <v>118</v>
      </c>
      <c r="D330" s="2">
        <v>44</v>
      </c>
      <c r="E330" t="s">
        <v>91</v>
      </c>
      <c r="F330" t="s">
        <v>92</v>
      </c>
      <c r="G330" s="2" t="s">
        <v>57</v>
      </c>
      <c r="H330" s="2">
        <v>4</v>
      </c>
      <c r="I330" s="2" t="s">
        <v>81</v>
      </c>
      <c r="J330" s="2">
        <v>0</v>
      </c>
      <c r="K330" s="2" t="s">
        <v>74</v>
      </c>
      <c r="L330" s="2">
        <v>0.83</v>
      </c>
      <c r="M330" s="2" t="s">
        <v>82</v>
      </c>
      <c r="N330" s="2" t="s">
        <v>42</v>
      </c>
      <c r="O330" s="2">
        <v>5</v>
      </c>
      <c r="P330" s="2" t="str">
        <f>IF(global_freelancer_raw5[[#This Row],[No of projects ]]&lt;=5,"Entry level","Well Experienced")</f>
        <v>Entry level</v>
      </c>
      <c r="Q330" s="2">
        <v>1</v>
      </c>
    </row>
    <row r="331" spans="1:17" x14ac:dyDescent="0.3">
      <c r="A331" t="s">
        <v>764</v>
      </c>
      <c r="B331" t="s">
        <v>765</v>
      </c>
      <c r="C331" t="s">
        <v>118</v>
      </c>
      <c r="D331" s="2">
        <v>56</v>
      </c>
      <c r="E331" t="s">
        <v>19</v>
      </c>
      <c r="F331" t="s">
        <v>20</v>
      </c>
      <c r="G331" s="2" t="s">
        <v>135</v>
      </c>
      <c r="H331" s="2">
        <v>13</v>
      </c>
      <c r="I331" s="2" t="s">
        <v>70</v>
      </c>
      <c r="J331" s="2" t="s">
        <v>2120</v>
      </c>
      <c r="K331" s="2" t="s">
        <v>33</v>
      </c>
      <c r="L331" s="2">
        <v>0.87</v>
      </c>
      <c r="M331" s="2" t="s">
        <v>60</v>
      </c>
      <c r="N331" s="2" t="s">
        <v>34</v>
      </c>
      <c r="O331" s="2">
        <v>9</v>
      </c>
      <c r="P331" s="2" t="str">
        <f>IF(global_freelancer_raw5[[#This Row],[No of projects ]]&lt;=5,"Entry level","Well Experienced")</f>
        <v>Well Experienced</v>
      </c>
      <c r="Q331" s="2">
        <v>10</v>
      </c>
    </row>
    <row r="332" spans="1:17" x14ac:dyDescent="0.3">
      <c r="A332" t="s">
        <v>766</v>
      </c>
      <c r="B332" t="s">
        <v>767</v>
      </c>
      <c r="C332" t="s">
        <v>97</v>
      </c>
      <c r="D332" s="2">
        <v>53</v>
      </c>
      <c r="E332" t="s">
        <v>73</v>
      </c>
      <c r="F332" t="s">
        <v>30</v>
      </c>
      <c r="G332" s="2" t="s">
        <v>31</v>
      </c>
      <c r="H332" s="2">
        <v>33</v>
      </c>
      <c r="I332" s="2" t="s">
        <v>251</v>
      </c>
      <c r="J332" s="2" t="s">
        <v>2120</v>
      </c>
      <c r="K332" s="2" t="s">
        <v>181</v>
      </c>
      <c r="L332" s="2">
        <v>0.75</v>
      </c>
      <c r="M332" s="2" t="s">
        <v>24</v>
      </c>
      <c r="N332" s="2" t="s">
        <v>42</v>
      </c>
      <c r="O332" s="2">
        <v>12</v>
      </c>
      <c r="P332" s="2" t="str">
        <f>IF(global_freelancer_raw5[[#This Row],[No of projects ]]&lt;=5,"Entry level","Well Experienced")</f>
        <v>Well Experienced</v>
      </c>
      <c r="Q332" s="2">
        <v>1</v>
      </c>
    </row>
    <row r="333" spans="1:17" x14ac:dyDescent="0.3">
      <c r="A333" t="s">
        <v>768</v>
      </c>
      <c r="B333" t="s">
        <v>769</v>
      </c>
      <c r="C333" t="s">
        <v>118</v>
      </c>
      <c r="D333" s="2">
        <v>59</v>
      </c>
      <c r="E333" t="s">
        <v>85</v>
      </c>
      <c r="F333" t="s">
        <v>30</v>
      </c>
      <c r="G333" s="2" t="s">
        <v>31</v>
      </c>
      <c r="H333" s="2">
        <v>22</v>
      </c>
      <c r="I333" s="2" t="s">
        <v>86</v>
      </c>
      <c r="J333" s="2">
        <v>1.1000000000000001</v>
      </c>
      <c r="K333" s="2" t="s">
        <v>87</v>
      </c>
      <c r="L333" s="2">
        <v>0.61</v>
      </c>
      <c r="M333" s="2" t="s">
        <v>82</v>
      </c>
      <c r="N333" s="2" t="s">
        <v>42</v>
      </c>
      <c r="O333" s="2">
        <v>10</v>
      </c>
      <c r="P333" s="2" t="str">
        <f>IF(global_freelancer_raw5[[#This Row],[No of projects ]]&lt;=5,"Entry level","Well Experienced")</f>
        <v>Well Experienced</v>
      </c>
      <c r="Q333" s="2">
        <v>19</v>
      </c>
    </row>
    <row r="334" spans="1:17" x14ac:dyDescent="0.3">
      <c r="A334" t="s">
        <v>770</v>
      </c>
      <c r="B334" t="s">
        <v>771</v>
      </c>
      <c r="C334" t="s">
        <v>118</v>
      </c>
      <c r="D334" s="2">
        <v>60</v>
      </c>
      <c r="E334" t="s">
        <v>73</v>
      </c>
      <c r="F334" t="s">
        <v>30</v>
      </c>
      <c r="G334" s="2" t="s">
        <v>110</v>
      </c>
      <c r="H334" s="2">
        <v>34</v>
      </c>
      <c r="I334" s="2" t="s">
        <v>2119</v>
      </c>
      <c r="J334" s="2">
        <v>2.5</v>
      </c>
      <c r="K334" s="2" t="s">
        <v>59</v>
      </c>
      <c r="L334" s="2">
        <v>0.93</v>
      </c>
      <c r="M334" s="2" t="s">
        <v>88</v>
      </c>
      <c r="N334" s="2" t="s">
        <v>75</v>
      </c>
      <c r="O334" s="2">
        <v>20</v>
      </c>
      <c r="P334" s="2" t="str">
        <f>IF(global_freelancer_raw5[[#This Row],[No of projects ]]&lt;=5,"Entry level","Well Experienced")</f>
        <v>Well Experienced</v>
      </c>
      <c r="Q334" s="2">
        <v>9</v>
      </c>
    </row>
    <row r="335" spans="1:17" x14ac:dyDescent="0.3">
      <c r="A335" t="s">
        <v>772</v>
      </c>
      <c r="B335" t="s">
        <v>773</v>
      </c>
      <c r="C335" t="s">
        <v>97</v>
      </c>
      <c r="D335" s="2">
        <v>33</v>
      </c>
      <c r="E335" t="s">
        <v>38</v>
      </c>
      <c r="F335" t="s">
        <v>38</v>
      </c>
      <c r="G335" s="2" t="s">
        <v>31</v>
      </c>
      <c r="H335" s="2">
        <v>8</v>
      </c>
      <c r="I335" s="2" t="s">
        <v>130</v>
      </c>
      <c r="J335" s="2">
        <v>3.6</v>
      </c>
      <c r="K335" s="2" t="s">
        <v>33</v>
      </c>
      <c r="L335" s="2" t="s">
        <v>2120</v>
      </c>
      <c r="M335" s="2" t="s">
        <v>60</v>
      </c>
      <c r="N335" s="2" t="s">
        <v>75</v>
      </c>
      <c r="O335" s="2">
        <v>8</v>
      </c>
      <c r="P335" s="2" t="str">
        <f>IF(global_freelancer_raw5[[#This Row],[No of projects ]]&lt;=5,"Entry level","Well Experienced")</f>
        <v>Well Experienced</v>
      </c>
      <c r="Q335" s="2">
        <v>3</v>
      </c>
    </row>
    <row r="336" spans="1:17" x14ac:dyDescent="0.3">
      <c r="A336" t="s">
        <v>774</v>
      </c>
      <c r="B336" t="s">
        <v>775</v>
      </c>
      <c r="C336" t="s">
        <v>97</v>
      </c>
      <c r="D336" s="2">
        <v>21</v>
      </c>
      <c r="E336" t="s">
        <v>91</v>
      </c>
      <c r="F336" t="s">
        <v>92</v>
      </c>
      <c r="G336" s="2" t="s">
        <v>46</v>
      </c>
      <c r="H336" s="2">
        <v>1</v>
      </c>
      <c r="I336" s="2" t="s">
        <v>336</v>
      </c>
      <c r="J336" s="2" t="s">
        <v>2120</v>
      </c>
      <c r="K336" s="2" t="s">
        <v>59</v>
      </c>
      <c r="L336" s="2">
        <v>0.99</v>
      </c>
      <c r="M336" s="2" t="s">
        <v>60</v>
      </c>
      <c r="N336" s="2" t="s">
        <v>34</v>
      </c>
      <c r="O336" s="2">
        <v>4</v>
      </c>
      <c r="P336" s="2" t="str">
        <f>IF(global_freelancer_raw5[[#This Row],[No of projects ]]&lt;=5,"Entry level","Well Experienced")</f>
        <v>Entry level</v>
      </c>
      <c r="Q336" s="2">
        <v>2</v>
      </c>
    </row>
    <row r="337" spans="1:17" x14ac:dyDescent="0.3">
      <c r="A337" t="s">
        <v>776</v>
      </c>
      <c r="B337" t="s">
        <v>777</v>
      </c>
      <c r="C337" t="s">
        <v>118</v>
      </c>
      <c r="D337" s="2">
        <v>54</v>
      </c>
      <c r="E337" t="s">
        <v>85</v>
      </c>
      <c r="F337" t="s">
        <v>30</v>
      </c>
      <c r="G337" s="2" t="s">
        <v>93</v>
      </c>
      <c r="H337" s="2">
        <v>20</v>
      </c>
      <c r="I337" s="2" t="s">
        <v>40</v>
      </c>
      <c r="J337" s="2">
        <v>4.4000000000000004</v>
      </c>
      <c r="K337" s="2" t="s">
        <v>23</v>
      </c>
      <c r="L337" s="2">
        <v>73</v>
      </c>
      <c r="M337" s="2" t="s">
        <v>82</v>
      </c>
      <c r="N337" s="2" t="s">
        <v>75</v>
      </c>
      <c r="O337" s="2">
        <v>20</v>
      </c>
      <c r="P337" s="2" t="str">
        <f>IF(global_freelancer_raw5[[#This Row],[No of projects ]]&lt;=5,"Entry level","Well Experienced")</f>
        <v>Well Experienced</v>
      </c>
      <c r="Q337" s="2">
        <v>12</v>
      </c>
    </row>
    <row r="338" spans="1:17" x14ac:dyDescent="0.3">
      <c r="A338" t="s">
        <v>778</v>
      </c>
      <c r="B338" t="s">
        <v>779</v>
      </c>
      <c r="C338" t="s">
        <v>97</v>
      </c>
      <c r="D338" s="2">
        <v>33</v>
      </c>
      <c r="E338" t="s">
        <v>73</v>
      </c>
      <c r="F338" t="s">
        <v>30</v>
      </c>
      <c r="G338" s="2" t="s">
        <v>39</v>
      </c>
      <c r="H338" s="2">
        <v>11</v>
      </c>
      <c r="I338" s="2" t="s">
        <v>103</v>
      </c>
      <c r="J338" s="2">
        <v>2.1</v>
      </c>
      <c r="K338" s="2" t="s">
        <v>23</v>
      </c>
      <c r="L338" s="2">
        <v>0.96</v>
      </c>
      <c r="M338" s="2" t="s">
        <v>24</v>
      </c>
      <c r="N338" s="2" t="s">
        <v>75</v>
      </c>
      <c r="O338" s="2">
        <v>7</v>
      </c>
      <c r="P338" s="2" t="str">
        <f>IF(global_freelancer_raw5[[#This Row],[No of projects ]]&lt;=5,"Entry level","Well Experienced")</f>
        <v>Well Experienced</v>
      </c>
      <c r="Q338" s="2">
        <v>5</v>
      </c>
    </row>
    <row r="339" spans="1:17" x14ac:dyDescent="0.3">
      <c r="A339" t="s">
        <v>780</v>
      </c>
      <c r="B339" t="s">
        <v>781</v>
      </c>
      <c r="C339" t="s">
        <v>97</v>
      </c>
      <c r="D339" s="2">
        <v>57</v>
      </c>
      <c r="E339" t="s">
        <v>79</v>
      </c>
      <c r="F339" t="s">
        <v>80</v>
      </c>
      <c r="G339" s="2" t="s">
        <v>66</v>
      </c>
      <c r="H339" s="2">
        <v>2</v>
      </c>
      <c r="I339" s="2" t="s">
        <v>86</v>
      </c>
      <c r="J339" s="2">
        <v>0</v>
      </c>
      <c r="K339" s="2" t="s">
        <v>59</v>
      </c>
      <c r="L339" s="2">
        <v>0.6</v>
      </c>
      <c r="M339" s="2" t="s">
        <v>82</v>
      </c>
      <c r="N339" s="2" t="s">
        <v>34</v>
      </c>
      <c r="O339" s="2">
        <v>5</v>
      </c>
      <c r="P339" s="2" t="str">
        <f>IF(global_freelancer_raw5[[#This Row],[No of projects ]]&lt;=5,"Entry level","Well Experienced")</f>
        <v>Entry level</v>
      </c>
      <c r="Q339" s="2">
        <v>2</v>
      </c>
    </row>
    <row r="340" spans="1:17" x14ac:dyDescent="0.3">
      <c r="A340" t="s">
        <v>782</v>
      </c>
      <c r="B340" t="s">
        <v>783</v>
      </c>
      <c r="C340" t="s">
        <v>118</v>
      </c>
      <c r="D340" s="2">
        <v>36</v>
      </c>
      <c r="E340" t="s">
        <v>133</v>
      </c>
      <c r="F340" t="s">
        <v>134</v>
      </c>
      <c r="G340" s="2" t="s">
        <v>39</v>
      </c>
      <c r="H340" s="2">
        <v>6</v>
      </c>
      <c r="I340" s="2" t="s">
        <v>162</v>
      </c>
      <c r="J340" s="2">
        <v>1</v>
      </c>
      <c r="K340" s="2" t="s">
        <v>94</v>
      </c>
      <c r="L340" s="2">
        <v>0.64</v>
      </c>
      <c r="M340" s="2" t="s">
        <v>24</v>
      </c>
      <c r="N340" s="2" t="s">
        <v>75</v>
      </c>
      <c r="O340" s="2">
        <v>15</v>
      </c>
      <c r="P340" s="2" t="str">
        <f>IF(global_freelancer_raw5[[#This Row],[No of projects ]]&lt;=5,"Entry level","Well Experienced")</f>
        <v>Well Experienced</v>
      </c>
      <c r="Q340" s="2">
        <v>6</v>
      </c>
    </row>
    <row r="341" spans="1:17" x14ac:dyDescent="0.3">
      <c r="A341" t="s">
        <v>784</v>
      </c>
      <c r="B341" t="s">
        <v>785</v>
      </c>
      <c r="C341" t="s">
        <v>118</v>
      </c>
      <c r="D341" s="2">
        <v>50</v>
      </c>
      <c r="E341" t="s">
        <v>38</v>
      </c>
      <c r="F341" t="s">
        <v>38</v>
      </c>
      <c r="G341" s="2" t="s">
        <v>21</v>
      </c>
      <c r="H341" s="2">
        <v>20</v>
      </c>
      <c r="I341" s="2" t="s">
        <v>130</v>
      </c>
      <c r="J341" s="2">
        <v>0</v>
      </c>
      <c r="K341" s="2" t="s">
        <v>23</v>
      </c>
      <c r="L341" s="2" t="s">
        <v>2120</v>
      </c>
      <c r="M341" s="2" t="s">
        <v>24</v>
      </c>
      <c r="N341" s="2" t="s">
        <v>25</v>
      </c>
      <c r="O341" s="2">
        <v>18</v>
      </c>
      <c r="P341" s="2" t="str">
        <f>IF(global_freelancer_raw5[[#This Row],[No of projects ]]&lt;=5,"Entry level","Well Experienced")</f>
        <v>Well Experienced</v>
      </c>
      <c r="Q341" s="2">
        <v>7</v>
      </c>
    </row>
    <row r="342" spans="1:17" x14ac:dyDescent="0.3">
      <c r="A342" t="s">
        <v>786</v>
      </c>
      <c r="B342" t="s">
        <v>787</v>
      </c>
      <c r="C342" t="s">
        <v>97</v>
      </c>
      <c r="D342" s="2">
        <v>37</v>
      </c>
      <c r="E342" t="s">
        <v>149</v>
      </c>
      <c r="F342" t="s">
        <v>30</v>
      </c>
      <c r="G342" s="2" t="s">
        <v>110</v>
      </c>
      <c r="H342" s="2" t="s">
        <v>2120</v>
      </c>
      <c r="I342" s="2" t="s">
        <v>336</v>
      </c>
      <c r="J342" s="2">
        <v>4.9000000000000004</v>
      </c>
      <c r="K342" s="2" t="s">
        <v>41</v>
      </c>
      <c r="L342" s="2" t="s">
        <v>2120</v>
      </c>
      <c r="M342" s="2" t="s">
        <v>60</v>
      </c>
      <c r="N342" s="2" t="s">
        <v>42</v>
      </c>
      <c r="O342" s="2">
        <v>5</v>
      </c>
      <c r="P342" s="2" t="str">
        <f>IF(global_freelancer_raw5[[#This Row],[No of projects ]]&lt;=5,"Entry level","Well Experienced")</f>
        <v>Entry level</v>
      </c>
      <c r="Q342" s="2">
        <v>3</v>
      </c>
    </row>
    <row r="343" spans="1:17" x14ac:dyDescent="0.3">
      <c r="A343" t="s">
        <v>788</v>
      </c>
      <c r="B343" t="s">
        <v>789</v>
      </c>
      <c r="C343" t="s">
        <v>118</v>
      </c>
      <c r="D343" s="2">
        <v>53</v>
      </c>
      <c r="E343" t="s">
        <v>19</v>
      </c>
      <c r="F343" t="s">
        <v>20</v>
      </c>
      <c r="G343" s="2" t="s">
        <v>57</v>
      </c>
      <c r="H343" s="2">
        <v>4</v>
      </c>
      <c r="I343" s="2" t="s">
        <v>52</v>
      </c>
      <c r="J343" s="2">
        <v>4.7</v>
      </c>
      <c r="K343" s="2" t="s">
        <v>181</v>
      </c>
      <c r="L343" s="2">
        <v>0.99</v>
      </c>
      <c r="M343" s="2" t="s">
        <v>82</v>
      </c>
      <c r="N343" s="2" t="s">
        <v>42</v>
      </c>
      <c r="O343" s="2">
        <v>2</v>
      </c>
      <c r="P343" s="2" t="str">
        <f>IF(global_freelancer_raw5[[#This Row],[No of projects ]]&lt;=5,"Entry level","Well Experienced")</f>
        <v>Entry level</v>
      </c>
      <c r="Q343" s="2">
        <v>1</v>
      </c>
    </row>
    <row r="344" spans="1:17" x14ac:dyDescent="0.3">
      <c r="A344" t="s">
        <v>790</v>
      </c>
      <c r="B344" t="s">
        <v>791</v>
      </c>
      <c r="C344" t="s">
        <v>97</v>
      </c>
      <c r="D344" s="2">
        <v>22</v>
      </c>
      <c r="E344" t="s">
        <v>19</v>
      </c>
      <c r="F344" t="s">
        <v>20</v>
      </c>
      <c r="G344" s="2" t="s">
        <v>21</v>
      </c>
      <c r="H344" s="2">
        <v>3</v>
      </c>
      <c r="I344" s="2" t="s">
        <v>70</v>
      </c>
      <c r="J344" s="2">
        <v>2.1</v>
      </c>
      <c r="K344" s="2" t="s">
        <v>23</v>
      </c>
      <c r="L344" s="2" t="s">
        <v>2120</v>
      </c>
      <c r="M344" s="2" t="s">
        <v>82</v>
      </c>
      <c r="N344" s="2" t="s">
        <v>42</v>
      </c>
      <c r="O344" s="2">
        <v>4</v>
      </c>
      <c r="P344" s="2" t="str">
        <f>IF(global_freelancer_raw5[[#This Row],[No of projects ]]&lt;=5,"Entry level","Well Experienced")</f>
        <v>Entry level</v>
      </c>
      <c r="Q344" s="2">
        <v>1</v>
      </c>
    </row>
    <row r="345" spans="1:17" x14ac:dyDescent="0.3">
      <c r="A345" t="s">
        <v>792</v>
      </c>
      <c r="B345" t="s">
        <v>793</v>
      </c>
      <c r="C345" t="s">
        <v>97</v>
      </c>
      <c r="D345" s="2">
        <v>55</v>
      </c>
      <c r="E345" t="s">
        <v>55</v>
      </c>
      <c r="F345" t="s">
        <v>56</v>
      </c>
      <c r="G345" s="2" t="s">
        <v>31</v>
      </c>
      <c r="H345" s="2">
        <v>33</v>
      </c>
      <c r="I345" s="2" t="s">
        <v>86</v>
      </c>
      <c r="J345" s="2">
        <v>1.5</v>
      </c>
      <c r="K345" s="2" t="s">
        <v>94</v>
      </c>
      <c r="L345" s="2">
        <v>0.71</v>
      </c>
      <c r="M345" s="2" t="s">
        <v>24</v>
      </c>
      <c r="N345" s="2" t="s">
        <v>42</v>
      </c>
      <c r="O345" s="2">
        <v>10</v>
      </c>
      <c r="P345" s="2" t="str">
        <f>IF(global_freelancer_raw5[[#This Row],[No of projects ]]&lt;=5,"Entry level","Well Experienced")</f>
        <v>Well Experienced</v>
      </c>
      <c r="Q345" s="2">
        <v>11</v>
      </c>
    </row>
    <row r="346" spans="1:17" x14ac:dyDescent="0.3">
      <c r="A346" t="s">
        <v>794</v>
      </c>
      <c r="B346" t="s">
        <v>795</v>
      </c>
      <c r="C346" t="s">
        <v>118</v>
      </c>
      <c r="D346" s="2">
        <v>22</v>
      </c>
      <c r="E346" t="s">
        <v>29</v>
      </c>
      <c r="F346" t="s">
        <v>30</v>
      </c>
      <c r="G346" s="2" t="s">
        <v>98</v>
      </c>
      <c r="H346" s="2">
        <v>1</v>
      </c>
      <c r="I346" s="2" t="s">
        <v>2119</v>
      </c>
      <c r="J346" s="2">
        <v>2.6</v>
      </c>
      <c r="K346" s="2" t="s">
        <v>23</v>
      </c>
      <c r="L346" s="2">
        <v>0.72</v>
      </c>
      <c r="M346" s="2" t="s">
        <v>82</v>
      </c>
      <c r="N346" s="2" t="s">
        <v>34</v>
      </c>
      <c r="O346" s="2">
        <v>5</v>
      </c>
      <c r="P346" s="2" t="str">
        <f>IF(global_freelancer_raw5[[#This Row],[No of projects ]]&lt;=5,"Entry level","Well Experienced")</f>
        <v>Entry level</v>
      </c>
      <c r="Q346" s="2">
        <v>1</v>
      </c>
    </row>
    <row r="347" spans="1:17" x14ac:dyDescent="0.3">
      <c r="A347" t="s">
        <v>796</v>
      </c>
      <c r="B347" t="s">
        <v>797</v>
      </c>
      <c r="C347" t="s">
        <v>97</v>
      </c>
      <c r="D347" s="2">
        <v>45</v>
      </c>
      <c r="E347" t="s">
        <v>79</v>
      </c>
      <c r="F347" t="s">
        <v>80</v>
      </c>
      <c r="G347" s="2" t="s">
        <v>46</v>
      </c>
      <c r="H347" s="2">
        <v>23</v>
      </c>
      <c r="I347" s="2" t="s">
        <v>119</v>
      </c>
      <c r="J347" s="2">
        <v>0</v>
      </c>
      <c r="K347" s="2" t="s">
        <v>23</v>
      </c>
      <c r="L347" s="2">
        <v>0.66</v>
      </c>
      <c r="M347" s="2" t="s">
        <v>88</v>
      </c>
      <c r="N347" s="2" t="s">
        <v>42</v>
      </c>
      <c r="O347" s="2">
        <v>10</v>
      </c>
      <c r="P347" s="2" t="str">
        <f>IF(global_freelancer_raw5[[#This Row],[No of projects ]]&lt;=5,"Entry level","Well Experienced")</f>
        <v>Well Experienced</v>
      </c>
      <c r="Q347" s="2">
        <v>6</v>
      </c>
    </row>
    <row r="348" spans="1:17" x14ac:dyDescent="0.3">
      <c r="A348" t="s">
        <v>798</v>
      </c>
      <c r="B348" t="s">
        <v>799</v>
      </c>
      <c r="C348" t="s">
        <v>118</v>
      </c>
      <c r="D348" s="2">
        <v>36</v>
      </c>
      <c r="E348" t="s">
        <v>156</v>
      </c>
      <c r="F348" t="s">
        <v>157</v>
      </c>
      <c r="G348" s="2" t="s">
        <v>66</v>
      </c>
      <c r="H348" s="2">
        <v>13</v>
      </c>
      <c r="I348" s="2" t="s">
        <v>86</v>
      </c>
      <c r="J348" s="2" t="s">
        <v>2120</v>
      </c>
      <c r="K348" s="2" t="s">
        <v>41</v>
      </c>
      <c r="L348" s="2">
        <v>0.78</v>
      </c>
      <c r="M348" s="2" t="s">
        <v>88</v>
      </c>
      <c r="N348" s="2" t="s">
        <v>42</v>
      </c>
      <c r="O348" s="2">
        <v>15</v>
      </c>
      <c r="P348" s="2" t="str">
        <f>IF(global_freelancer_raw5[[#This Row],[No of projects ]]&lt;=5,"Entry level","Well Experienced")</f>
        <v>Well Experienced</v>
      </c>
      <c r="Q348" s="2">
        <v>10</v>
      </c>
    </row>
    <row r="349" spans="1:17" x14ac:dyDescent="0.3">
      <c r="A349" t="s">
        <v>800</v>
      </c>
      <c r="B349" t="s">
        <v>801</v>
      </c>
      <c r="C349" t="s">
        <v>118</v>
      </c>
      <c r="D349" s="2">
        <v>23</v>
      </c>
      <c r="E349" t="s">
        <v>29</v>
      </c>
      <c r="F349" t="s">
        <v>30</v>
      </c>
      <c r="G349" s="2" t="s">
        <v>110</v>
      </c>
      <c r="H349" s="2">
        <v>1</v>
      </c>
      <c r="I349" s="2" t="s">
        <v>336</v>
      </c>
      <c r="J349" s="2">
        <v>4</v>
      </c>
      <c r="K349" s="2" t="s">
        <v>94</v>
      </c>
      <c r="L349" s="2">
        <v>100</v>
      </c>
      <c r="M349" s="2" t="s">
        <v>82</v>
      </c>
      <c r="N349" s="2" t="s">
        <v>42</v>
      </c>
      <c r="O349" s="2">
        <v>1</v>
      </c>
      <c r="P349" s="2" t="str">
        <f>IF(global_freelancer_raw5[[#This Row],[No of projects ]]&lt;=5,"Entry level","Well Experienced")</f>
        <v>Entry level</v>
      </c>
      <c r="Q349" s="2">
        <v>3</v>
      </c>
    </row>
    <row r="350" spans="1:17" x14ac:dyDescent="0.3">
      <c r="A350" t="s">
        <v>802</v>
      </c>
      <c r="B350" t="s">
        <v>803</v>
      </c>
      <c r="C350" t="s">
        <v>118</v>
      </c>
      <c r="D350" s="2">
        <v>55</v>
      </c>
      <c r="E350" t="s">
        <v>19</v>
      </c>
      <c r="F350" t="s">
        <v>20</v>
      </c>
      <c r="G350" s="2" t="s">
        <v>110</v>
      </c>
      <c r="H350" s="2">
        <v>15</v>
      </c>
      <c r="I350" s="2" t="s">
        <v>86</v>
      </c>
      <c r="J350" s="2">
        <v>4.5</v>
      </c>
      <c r="K350" s="2" t="s">
        <v>2120</v>
      </c>
      <c r="L350" s="2" t="s">
        <v>2120</v>
      </c>
      <c r="M350" s="2" t="s">
        <v>82</v>
      </c>
      <c r="N350" s="2" t="s">
        <v>42</v>
      </c>
      <c r="O350" s="2">
        <v>9</v>
      </c>
      <c r="P350" s="2" t="str">
        <f>IF(global_freelancer_raw5[[#This Row],[No of projects ]]&lt;=5,"Entry level","Well Experienced")</f>
        <v>Well Experienced</v>
      </c>
      <c r="Q350" s="2">
        <v>10</v>
      </c>
    </row>
    <row r="351" spans="1:17" x14ac:dyDescent="0.3">
      <c r="A351" t="s">
        <v>804</v>
      </c>
      <c r="B351" t="s">
        <v>805</v>
      </c>
      <c r="C351" t="s">
        <v>97</v>
      </c>
      <c r="D351" s="2">
        <v>50</v>
      </c>
      <c r="E351" t="s">
        <v>128</v>
      </c>
      <c r="F351" t="s">
        <v>129</v>
      </c>
      <c r="G351" s="2" t="s">
        <v>31</v>
      </c>
      <c r="H351" s="2">
        <v>18</v>
      </c>
      <c r="I351" s="2" t="s">
        <v>103</v>
      </c>
      <c r="J351" s="2">
        <v>3.8</v>
      </c>
      <c r="K351" s="2" t="s">
        <v>23</v>
      </c>
      <c r="L351" s="2">
        <v>67</v>
      </c>
      <c r="M351" s="2" t="s">
        <v>24</v>
      </c>
      <c r="N351" s="2" t="s">
        <v>25</v>
      </c>
      <c r="O351" s="2">
        <v>14</v>
      </c>
      <c r="P351" s="2" t="str">
        <f>IF(global_freelancer_raw5[[#This Row],[No of projects ]]&lt;=5,"Entry level","Well Experienced")</f>
        <v>Well Experienced</v>
      </c>
      <c r="Q351" s="2">
        <v>6</v>
      </c>
    </row>
    <row r="352" spans="1:17" x14ac:dyDescent="0.3">
      <c r="A352" t="s">
        <v>806</v>
      </c>
      <c r="B352" t="s">
        <v>807</v>
      </c>
      <c r="C352" t="s">
        <v>118</v>
      </c>
      <c r="D352" s="2">
        <v>48</v>
      </c>
      <c r="E352" t="s">
        <v>73</v>
      </c>
      <c r="F352" t="s">
        <v>30</v>
      </c>
      <c r="G352" s="2" t="s">
        <v>135</v>
      </c>
      <c r="H352" s="2">
        <v>21</v>
      </c>
      <c r="I352" s="2" t="s">
        <v>40</v>
      </c>
      <c r="J352" s="2">
        <v>4</v>
      </c>
      <c r="K352" s="2" t="s">
        <v>23</v>
      </c>
      <c r="L352" s="2">
        <v>0.78</v>
      </c>
      <c r="M352" s="2" t="s">
        <v>88</v>
      </c>
      <c r="N352" s="2" t="s">
        <v>42</v>
      </c>
      <c r="O352" s="2">
        <v>20</v>
      </c>
      <c r="P352" s="2" t="str">
        <f>IF(global_freelancer_raw5[[#This Row],[No of projects ]]&lt;=5,"Entry level","Well Experienced")</f>
        <v>Well Experienced</v>
      </c>
      <c r="Q352" s="2">
        <v>7</v>
      </c>
    </row>
    <row r="353" spans="1:17" x14ac:dyDescent="0.3">
      <c r="A353" t="s">
        <v>808</v>
      </c>
      <c r="B353" t="s">
        <v>809</v>
      </c>
      <c r="C353" t="s">
        <v>118</v>
      </c>
      <c r="D353" s="2">
        <v>23</v>
      </c>
      <c r="E353" t="s">
        <v>55</v>
      </c>
      <c r="F353" t="s">
        <v>56</v>
      </c>
      <c r="G353" s="2" t="s">
        <v>110</v>
      </c>
      <c r="H353" s="2">
        <v>1</v>
      </c>
      <c r="I353" s="2" t="s">
        <v>47</v>
      </c>
      <c r="J353" s="2">
        <v>4.9000000000000004</v>
      </c>
      <c r="K353" s="2" t="s">
        <v>87</v>
      </c>
      <c r="L353" s="2">
        <v>0.78</v>
      </c>
      <c r="M353" s="2" t="s">
        <v>88</v>
      </c>
      <c r="N353" s="2" t="s">
        <v>25</v>
      </c>
      <c r="O353" s="2">
        <v>3</v>
      </c>
      <c r="P353" s="2" t="str">
        <f>IF(global_freelancer_raw5[[#This Row],[No of projects ]]&lt;=5,"Entry level","Well Experienced")</f>
        <v>Entry level</v>
      </c>
      <c r="Q353" s="2">
        <v>3</v>
      </c>
    </row>
    <row r="354" spans="1:17" x14ac:dyDescent="0.3">
      <c r="A354" t="s">
        <v>810</v>
      </c>
      <c r="B354" t="s">
        <v>811</v>
      </c>
      <c r="C354" t="s">
        <v>97</v>
      </c>
      <c r="D354" s="2">
        <v>49</v>
      </c>
      <c r="E354" t="s">
        <v>149</v>
      </c>
      <c r="F354" t="s">
        <v>30</v>
      </c>
      <c r="G354" s="2" t="s">
        <v>46</v>
      </c>
      <c r="H354" s="2">
        <v>25</v>
      </c>
      <c r="I354" s="2" t="s">
        <v>58</v>
      </c>
      <c r="J354" s="2">
        <v>3.4</v>
      </c>
      <c r="K354" s="2" t="s">
        <v>23</v>
      </c>
      <c r="L354" s="2">
        <v>0.75</v>
      </c>
      <c r="M354" s="2" t="s">
        <v>60</v>
      </c>
      <c r="N354" s="2" t="s">
        <v>34</v>
      </c>
      <c r="O354" s="2">
        <v>15</v>
      </c>
      <c r="P354" s="2" t="str">
        <f>IF(global_freelancer_raw5[[#This Row],[No of projects ]]&lt;=5,"Entry level","Well Experienced")</f>
        <v>Well Experienced</v>
      </c>
      <c r="Q354" s="2">
        <v>10</v>
      </c>
    </row>
    <row r="355" spans="1:17" x14ac:dyDescent="0.3">
      <c r="A355" t="s">
        <v>812</v>
      </c>
      <c r="B355" t="s">
        <v>813</v>
      </c>
      <c r="C355" t="s">
        <v>97</v>
      </c>
      <c r="D355" s="2">
        <v>47</v>
      </c>
      <c r="E355" t="s">
        <v>19</v>
      </c>
      <c r="F355" t="s">
        <v>20</v>
      </c>
      <c r="G355" s="2" t="s">
        <v>98</v>
      </c>
      <c r="H355" s="2">
        <v>12</v>
      </c>
      <c r="I355" s="2" t="s">
        <v>40</v>
      </c>
      <c r="J355" s="2">
        <v>2.1</v>
      </c>
      <c r="K355" s="2" t="s">
        <v>74</v>
      </c>
      <c r="L355" s="2">
        <v>0.67</v>
      </c>
      <c r="M355" s="2" t="s">
        <v>24</v>
      </c>
      <c r="N355" s="2" t="s">
        <v>75</v>
      </c>
      <c r="O355" s="2">
        <v>14</v>
      </c>
      <c r="P355" s="2" t="str">
        <f>IF(global_freelancer_raw5[[#This Row],[No of projects ]]&lt;=5,"Entry level","Well Experienced")</f>
        <v>Well Experienced</v>
      </c>
      <c r="Q355" s="2">
        <v>10</v>
      </c>
    </row>
    <row r="356" spans="1:17" x14ac:dyDescent="0.3">
      <c r="A356" t="s">
        <v>814</v>
      </c>
      <c r="B356" t="s">
        <v>815</v>
      </c>
      <c r="C356" t="s">
        <v>97</v>
      </c>
      <c r="D356" s="2">
        <v>56</v>
      </c>
      <c r="E356" t="s">
        <v>106</v>
      </c>
      <c r="F356" t="s">
        <v>107</v>
      </c>
      <c r="G356" s="2" t="s">
        <v>39</v>
      </c>
      <c r="H356" s="2">
        <v>32</v>
      </c>
      <c r="I356" s="2" t="s">
        <v>70</v>
      </c>
      <c r="J356" s="2">
        <v>0</v>
      </c>
      <c r="K356" s="2" t="s">
        <v>33</v>
      </c>
      <c r="L356" s="2">
        <v>0.86</v>
      </c>
      <c r="M356" s="2" t="s">
        <v>60</v>
      </c>
      <c r="N356" s="2" t="s">
        <v>42</v>
      </c>
      <c r="O356" s="2">
        <v>15</v>
      </c>
      <c r="P356" s="2" t="str">
        <f>IF(global_freelancer_raw5[[#This Row],[No of projects ]]&lt;=5,"Entry level","Well Experienced")</f>
        <v>Well Experienced</v>
      </c>
      <c r="Q356" s="2">
        <v>5</v>
      </c>
    </row>
    <row r="357" spans="1:17" x14ac:dyDescent="0.3">
      <c r="A357" t="s">
        <v>816</v>
      </c>
      <c r="B357" t="s">
        <v>817</v>
      </c>
      <c r="C357" t="s">
        <v>118</v>
      </c>
      <c r="D357" s="2">
        <v>58</v>
      </c>
      <c r="E357" t="s">
        <v>91</v>
      </c>
      <c r="F357" t="s">
        <v>92</v>
      </c>
      <c r="G357" s="2" t="s">
        <v>93</v>
      </c>
      <c r="H357" s="2" t="s">
        <v>2120</v>
      </c>
      <c r="I357" s="2" t="s">
        <v>22</v>
      </c>
      <c r="J357" s="2">
        <v>4.5</v>
      </c>
      <c r="K357" s="2" t="s">
        <v>181</v>
      </c>
      <c r="L357" s="2">
        <v>77</v>
      </c>
      <c r="M357" s="2" t="s">
        <v>88</v>
      </c>
      <c r="N357" s="2" t="s">
        <v>75</v>
      </c>
      <c r="O357" s="2">
        <v>3</v>
      </c>
      <c r="P357" s="2" t="str">
        <f>IF(global_freelancer_raw5[[#This Row],[No of projects ]]&lt;=5,"Entry level","Well Experienced")</f>
        <v>Entry level</v>
      </c>
      <c r="Q357" s="2">
        <v>1</v>
      </c>
    </row>
    <row r="358" spans="1:17" x14ac:dyDescent="0.3">
      <c r="A358" t="s">
        <v>818</v>
      </c>
      <c r="B358" t="s">
        <v>819</v>
      </c>
      <c r="C358" t="s">
        <v>118</v>
      </c>
      <c r="D358" s="2">
        <v>32</v>
      </c>
      <c r="E358" t="s">
        <v>133</v>
      </c>
      <c r="F358" t="s">
        <v>134</v>
      </c>
      <c r="G358" s="2" t="s">
        <v>93</v>
      </c>
      <c r="H358" s="2">
        <v>10</v>
      </c>
      <c r="I358" s="2" t="s">
        <v>58</v>
      </c>
      <c r="J358" s="2">
        <v>3.8</v>
      </c>
      <c r="K358" s="2" t="s">
        <v>23</v>
      </c>
      <c r="L358" s="2">
        <v>0.61</v>
      </c>
      <c r="M358" s="2" t="s">
        <v>24</v>
      </c>
      <c r="N358" s="2" t="s">
        <v>75</v>
      </c>
      <c r="O358" s="2">
        <v>11</v>
      </c>
      <c r="P358" s="2" t="str">
        <f>IF(global_freelancer_raw5[[#This Row],[No of projects ]]&lt;=5,"Entry level","Well Experienced")</f>
        <v>Well Experienced</v>
      </c>
      <c r="Q358" s="2">
        <v>5</v>
      </c>
    </row>
    <row r="359" spans="1:17" x14ac:dyDescent="0.3">
      <c r="A359" t="s">
        <v>820</v>
      </c>
      <c r="B359" t="s">
        <v>821</v>
      </c>
      <c r="C359" t="s">
        <v>97</v>
      </c>
      <c r="D359" s="2">
        <v>52</v>
      </c>
      <c r="E359" t="s">
        <v>114</v>
      </c>
      <c r="F359" t="s">
        <v>115</v>
      </c>
      <c r="G359" s="2" t="s">
        <v>93</v>
      </c>
      <c r="H359" s="2">
        <v>0</v>
      </c>
      <c r="I359" s="2" t="s">
        <v>2119</v>
      </c>
      <c r="J359" s="2">
        <v>4.3</v>
      </c>
      <c r="K359" s="2" t="s">
        <v>23</v>
      </c>
      <c r="L359" s="2">
        <v>0.9</v>
      </c>
      <c r="M359" s="2" t="s">
        <v>82</v>
      </c>
      <c r="N359" s="2" t="s">
        <v>34</v>
      </c>
      <c r="O359" s="2">
        <v>1</v>
      </c>
      <c r="P359" s="2" t="str">
        <f>IF(global_freelancer_raw5[[#This Row],[No of projects ]]&lt;=5,"Entry level","Well Experienced")</f>
        <v>Entry level</v>
      </c>
      <c r="Q359" s="2">
        <v>1</v>
      </c>
    </row>
    <row r="360" spans="1:17" x14ac:dyDescent="0.3">
      <c r="A360" t="s">
        <v>822</v>
      </c>
      <c r="B360" t="s">
        <v>823</v>
      </c>
      <c r="C360" t="s">
        <v>97</v>
      </c>
      <c r="D360" s="2">
        <v>22</v>
      </c>
      <c r="E360" t="s">
        <v>197</v>
      </c>
      <c r="F360" t="s">
        <v>198</v>
      </c>
      <c r="G360" s="2" t="s">
        <v>66</v>
      </c>
      <c r="H360" s="2">
        <v>1</v>
      </c>
      <c r="I360" s="2" t="s">
        <v>40</v>
      </c>
      <c r="J360" s="2">
        <v>0</v>
      </c>
      <c r="K360" s="2" t="s">
        <v>2120</v>
      </c>
      <c r="L360" s="2">
        <v>0.98</v>
      </c>
      <c r="M360" s="2" t="s">
        <v>24</v>
      </c>
      <c r="N360" s="2" t="s">
        <v>75</v>
      </c>
      <c r="O360" s="2">
        <v>4</v>
      </c>
      <c r="P360" s="2" t="str">
        <f>IF(global_freelancer_raw5[[#This Row],[No of projects ]]&lt;=5,"Entry level","Well Experienced")</f>
        <v>Entry level</v>
      </c>
      <c r="Q360" s="2">
        <v>5</v>
      </c>
    </row>
    <row r="361" spans="1:17" x14ac:dyDescent="0.3">
      <c r="A361" t="s">
        <v>824</v>
      </c>
      <c r="B361" t="s">
        <v>825</v>
      </c>
      <c r="C361" t="s">
        <v>118</v>
      </c>
      <c r="D361" s="2">
        <v>20</v>
      </c>
      <c r="E361" t="s">
        <v>114</v>
      </c>
      <c r="F361" t="s">
        <v>115</v>
      </c>
      <c r="G361" s="2" t="s">
        <v>98</v>
      </c>
      <c r="H361" s="2">
        <v>2</v>
      </c>
      <c r="I361" s="2" t="s">
        <v>52</v>
      </c>
      <c r="J361" s="2" t="s">
        <v>2120</v>
      </c>
      <c r="K361" s="2" t="s">
        <v>33</v>
      </c>
      <c r="L361" s="2">
        <v>0.99</v>
      </c>
      <c r="M361" s="2" t="s">
        <v>82</v>
      </c>
      <c r="N361" s="2" t="s">
        <v>25</v>
      </c>
      <c r="O361" s="2">
        <v>3</v>
      </c>
      <c r="P361" s="2" t="str">
        <f>IF(global_freelancer_raw5[[#This Row],[No of projects ]]&lt;=5,"Entry level","Well Experienced")</f>
        <v>Entry level</v>
      </c>
      <c r="Q361" s="2">
        <v>2</v>
      </c>
    </row>
    <row r="362" spans="1:17" x14ac:dyDescent="0.3">
      <c r="A362" t="s">
        <v>826</v>
      </c>
      <c r="B362" t="s">
        <v>827</v>
      </c>
      <c r="C362" t="s">
        <v>118</v>
      </c>
      <c r="D362" s="2">
        <v>56</v>
      </c>
      <c r="E362" t="s">
        <v>55</v>
      </c>
      <c r="F362" t="s">
        <v>56</v>
      </c>
      <c r="G362" s="2" t="s">
        <v>66</v>
      </c>
      <c r="H362" s="2">
        <v>9</v>
      </c>
      <c r="I362" s="2" t="s">
        <v>70</v>
      </c>
      <c r="J362" s="2">
        <v>2.6</v>
      </c>
      <c r="K362" s="2" t="s">
        <v>23</v>
      </c>
      <c r="L362" s="2">
        <v>0.61</v>
      </c>
      <c r="M362" s="2" t="s">
        <v>82</v>
      </c>
      <c r="N362" s="2" t="s">
        <v>75</v>
      </c>
      <c r="O362" s="2">
        <v>10</v>
      </c>
      <c r="P362" s="2" t="str">
        <f>IF(global_freelancer_raw5[[#This Row],[No of projects ]]&lt;=5,"Entry level","Well Experienced")</f>
        <v>Well Experienced</v>
      </c>
      <c r="Q362" s="2">
        <v>5</v>
      </c>
    </row>
    <row r="363" spans="1:17" x14ac:dyDescent="0.3">
      <c r="A363" t="s">
        <v>828</v>
      </c>
      <c r="B363" t="s">
        <v>829</v>
      </c>
      <c r="C363" t="s">
        <v>118</v>
      </c>
      <c r="D363" s="2">
        <v>41</v>
      </c>
      <c r="E363" t="s">
        <v>106</v>
      </c>
      <c r="F363" t="s">
        <v>107</v>
      </c>
      <c r="G363" s="2" t="s">
        <v>66</v>
      </c>
      <c r="H363" s="2">
        <v>22</v>
      </c>
      <c r="I363" s="2" t="s">
        <v>119</v>
      </c>
      <c r="J363" s="2">
        <v>1.6</v>
      </c>
      <c r="K363" s="2" t="s">
        <v>33</v>
      </c>
      <c r="L363" s="2">
        <v>0.61</v>
      </c>
      <c r="M363" s="2" t="s">
        <v>24</v>
      </c>
      <c r="N363" s="2" t="s">
        <v>75</v>
      </c>
      <c r="O363" s="2">
        <v>10</v>
      </c>
      <c r="P363" s="2" t="str">
        <f>IF(global_freelancer_raw5[[#This Row],[No of projects ]]&lt;=5,"Entry level","Well Experienced")</f>
        <v>Well Experienced</v>
      </c>
      <c r="Q363" s="2">
        <v>10</v>
      </c>
    </row>
    <row r="364" spans="1:17" x14ac:dyDescent="0.3">
      <c r="A364" t="s">
        <v>830</v>
      </c>
      <c r="B364" t="s">
        <v>831</v>
      </c>
      <c r="C364" t="s">
        <v>118</v>
      </c>
      <c r="D364" s="2">
        <v>25</v>
      </c>
      <c r="E364" t="s">
        <v>91</v>
      </c>
      <c r="F364" t="s">
        <v>92</v>
      </c>
      <c r="G364" s="2" t="s">
        <v>21</v>
      </c>
      <c r="H364" s="2">
        <v>5</v>
      </c>
      <c r="I364" s="2" t="s">
        <v>58</v>
      </c>
      <c r="J364" s="2">
        <v>2.2999999999999998</v>
      </c>
      <c r="K364" s="2" t="s">
        <v>23</v>
      </c>
      <c r="L364" s="2">
        <v>0.91</v>
      </c>
      <c r="M364" s="2" t="s">
        <v>82</v>
      </c>
      <c r="N364" s="2" t="s">
        <v>75</v>
      </c>
      <c r="O364" s="2">
        <v>2</v>
      </c>
      <c r="P364" s="2" t="str">
        <f>IF(global_freelancer_raw5[[#This Row],[No of projects ]]&lt;=5,"Entry level","Well Experienced")</f>
        <v>Entry level</v>
      </c>
      <c r="Q364" s="2">
        <v>1</v>
      </c>
    </row>
    <row r="365" spans="1:17" x14ac:dyDescent="0.3">
      <c r="A365" t="s">
        <v>832</v>
      </c>
      <c r="B365" t="s">
        <v>833</v>
      </c>
      <c r="C365" t="s">
        <v>97</v>
      </c>
      <c r="D365" s="2">
        <v>44</v>
      </c>
      <c r="E365" t="s">
        <v>149</v>
      </c>
      <c r="F365" t="s">
        <v>30</v>
      </c>
      <c r="G365" s="2" t="s">
        <v>98</v>
      </c>
      <c r="H365" s="2">
        <v>6</v>
      </c>
      <c r="I365" s="2" t="s">
        <v>103</v>
      </c>
      <c r="J365" s="2">
        <v>4.5999999999999996</v>
      </c>
      <c r="K365" s="2" t="s">
        <v>94</v>
      </c>
      <c r="L365" s="2">
        <v>72</v>
      </c>
      <c r="M365" s="2" t="s">
        <v>60</v>
      </c>
      <c r="N365" s="2" t="s">
        <v>42</v>
      </c>
      <c r="O365" s="2">
        <v>13</v>
      </c>
      <c r="P365" s="2" t="str">
        <f>IF(global_freelancer_raw5[[#This Row],[No of projects ]]&lt;=5,"Entry level","Well Experienced")</f>
        <v>Well Experienced</v>
      </c>
      <c r="Q365" s="2">
        <v>1</v>
      </c>
    </row>
    <row r="366" spans="1:17" x14ac:dyDescent="0.3">
      <c r="A366" t="s">
        <v>834</v>
      </c>
      <c r="B366" t="s">
        <v>835</v>
      </c>
      <c r="C366" t="s">
        <v>97</v>
      </c>
      <c r="D366" s="2">
        <v>46</v>
      </c>
      <c r="E366" t="s">
        <v>29</v>
      </c>
      <c r="F366" t="s">
        <v>30</v>
      </c>
      <c r="G366" s="2" t="s">
        <v>46</v>
      </c>
      <c r="H366" s="2">
        <v>26</v>
      </c>
      <c r="I366" s="2" t="s">
        <v>251</v>
      </c>
      <c r="J366" s="2">
        <v>2.1</v>
      </c>
      <c r="K366" s="2" t="s">
        <v>2120</v>
      </c>
      <c r="L366" s="2" t="s">
        <v>2120</v>
      </c>
      <c r="M366" s="2" t="s">
        <v>88</v>
      </c>
      <c r="N366" s="2" t="s">
        <v>42</v>
      </c>
      <c r="O366" s="2">
        <v>15</v>
      </c>
      <c r="P366" s="2" t="str">
        <f>IF(global_freelancer_raw5[[#This Row],[No of projects ]]&lt;=5,"Entry level","Well Experienced")</f>
        <v>Well Experienced</v>
      </c>
      <c r="Q366" s="2">
        <v>2</v>
      </c>
    </row>
    <row r="367" spans="1:17" x14ac:dyDescent="0.3">
      <c r="A367" t="s">
        <v>836</v>
      </c>
      <c r="B367" t="s">
        <v>837</v>
      </c>
      <c r="C367" t="s">
        <v>97</v>
      </c>
      <c r="D367" s="2">
        <v>40</v>
      </c>
      <c r="E367" t="s">
        <v>133</v>
      </c>
      <c r="F367" t="s">
        <v>134</v>
      </c>
      <c r="G367" s="2" t="s">
        <v>21</v>
      </c>
      <c r="H367" s="2" t="s">
        <v>2120</v>
      </c>
      <c r="I367" s="2" t="s">
        <v>86</v>
      </c>
      <c r="J367" s="2">
        <v>1.5</v>
      </c>
      <c r="K367" s="2" t="s">
        <v>59</v>
      </c>
      <c r="L367" s="2">
        <v>0.96</v>
      </c>
      <c r="M367" s="2" t="s">
        <v>82</v>
      </c>
      <c r="N367" s="2" t="s">
        <v>25</v>
      </c>
      <c r="O367" s="2">
        <v>4</v>
      </c>
      <c r="P367" s="2" t="str">
        <f>IF(global_freelancer_raw5[[#This Row],[No of projects ]]&lt;=5,"Entry level","Well Experienced")</f>
        <v>Entry level</v>
      </c>
      <c r="Q367" s="2">
        <v>3</v>
      </c>
    </row>
    <row r="368" spans="1:17" x14ac:dyDescent="0.3">
      <c r="A368" t="s">
        <v>838</v>
      </c>
      <c r="B368" t="s">
        <v>839</v>
      </c>
      <c r="C368" t="s">
        <v>118</v>
      </c>
      <c r="D368" s="2" t="s">
        <v>2119</v>
      </c>
      <c r="E368" t="s">
        <v>197</v>
      </c>
      <c r="F368" t="s">
        <v>198</v>
      </c>
      <c r="G368" s="2" t="s">
        <v>57</v>
      </c>
      <c r="H368" s="2">
        <v>9</v>
      </c>
      <c r="I368" s="2" t="s">
        <v>70</v>
      </c>
      <c r="J368" s="2">
        <v>1.7</v>
      </c>
      <c r="K368" s="2" t="s">
        <v>33</v>
      </c>
      <c r="L368" s="2">
        <v>72</v>
      </c>
      <c r="M368" s="2" t="s">
        <v>60</v>
      </c>
      <c r="N368" s="2" t="s">
        <v>25</v>
      </c>
      <c r="O368" s="2">
        <v>9</v>
      </c>
      <c r="P368" s="2" t="str">
        <f>IF(global_freelancer_raw5[[#This Row],[No of projects ]]&lt;=5,"Entry level","Well Experienced")</f>
        <v>Well Experienced</v>
      </c>
      <c r="Q368" s="2">
        <v>12</v>
      </c>
    </row>
    <row r="369" spans="1:17" x14ac:dyDescent="0.3">
      <c r="A369" t="s">
        <v>840</v>
      </c>
      <c r="B369" t="s">
        <v>841</v>
      </c>
      <c r="C369" t="s">
        <v>118</v>
      </c>
      <c r="D369" s="2">
        <v>31</v>
      </c>
      <c r="E369" t="s">
        <v>106</v>
      </c>
      <c r="F369" t="s">
        <v>107</v>
      </c>
      <c r="G369" s="2" t="s">
        <v>66</v>
      </c>
      <c r="H369" s="2">
        <v>11</v>
      </c>
      <c r="I369" s="2" t="s">
        <v>2119</v>
      </c>
      <c r="J369" s="2">
        <v>3.3</v>
      </c>
      <c r="K369" s="2" t="s">
        <v>23</v>
      </c>
      <c r="L369" s="2" t="s">
        <v>2120</v>
      </c>
      <c r="M369" s="2" t="s">
        <v>82</v>
      </c>
      <c r="N369" s="2" t="s">
        <v>42</v>
      </c>
      <c r="O369" s="2">
        <v>15</v>
      </c>
      <c r="P369" s="2" t="str">
        <f>IF(global_freelancer_raw5[[#This Row],[No of projects ]]&lt;=5,"Entry level","Well Experienced")</f>
        <v>Well Experienced</v>
      </c>
      <c r="Q369" s="2">
        <v>10</v>
      </c>
    </row>
    <row r="370" spans="1:17" x14ac:dyDescent="0.3">
      <c r="A370" t="s">
        <v>842</v>
      </c>
      <c r="B370" t="s">
        <v>843</v>
      </c>
      <c r="C370" t="s">
        <v>118</v>
      </c>
      <c r="D370" s="2">
        <v>33</v>
      </c>
      <c r="E370" t="s">
        <v>133</v>
      </c>
      <c r="F370" t="s">
        <v>134</v>
      </c>
      <c r="G370" s="2" t="s">
        <v>135</v>
      </c>
      <c r="H370" s="2" t="s">
        <v>2120</v>
      </c>
      <c r="I370" s="2" t="s">
        <v>47</v>
      </c>
      <c r="J370" s="2">
        <v>4.3</v>
      </c>
      <c r="K370" s="2" t="s">
        <v>33</v>
      </c>
      <c r="L370" s="2">
        <v>0.63</v>
      </c>
      <c r="M370" s="2" t="s">
        <v>88</v>
      </c>
      <c r="N370" s="2" t="s">
        <v>25</v>
      </c>
      <c r="O370" s="2">
        <v>2</v>
      </c>
      <c r="P370" s="2" t="str">
        <f>IF(global_freelancer_raw5[[#This Row],[No of projects ]]&lt;=5,"Entry level","Well Experienced")</f>
        <v>Entry level</v>
      </c>
      <c r="Q370" s="2">
        <v>4</v>
      </c>
    </row>
    <row r="371" spans="1:17" x14ac:dyDescent="0.3">
      <c r="A371" t="s">
        <v>844</v>
      </c>
      <c r="B371" t="s">
        <v>845</v>
      </c>
      <c r="C371" t="s">
        <v>97</v>
      </c>
      <c r="D371" s="2">
        <v>31</v>
      </c>
      <c r="E371" t="s">
        <v>128</v>
      </c>
      <c r="F371" t="s">
        <v>129</v>
      </c>
      <c r="G371" s="2" t="s">
        <v>135</v>
      </c>
      <c r="H371" s="2">
        <v>3</v>
      </c>
      <c r="I371" s="2" t="s">
        <v>142</v>
      </c>
      <c r="J371" s="2" t="s">
        <v>2120</v>
      </c>
      <c r="K371" s="2" t="s">
        <v>41</v>
      </c>
      <c r="L371" s="2" t="s">
        <v>2120</v>
      </c>
      <c r="M371" s="2" t="s">
        <v>60</v>
      </c>
      <c r="N371" s="2" t="s">
        <v>42</v>
      </c>
      <c r="O371" s="2">
        <v>1</v>
      </c>
      <c r="P371" s="2" t="str">
        <f>IF(global_freelancer_raw5[[#This Row],[No of projects ]]&lt;=5,"Entry level","Well Experienced")</f>
        <v>Entry level</v>
      </c>
      <c r="Q371" s="2">
        <v>2</v>
      </c>
    </row>
    <row r="372" spans="1:17" x14ac:dyDescent="0.3">
      <c r="A372" t="s">
        <v>846</v>
      </c>
      <c r="B372" t="s">
        <v>847</v>
      </c>
      <c r="C372" t="s">
        <v>97</v>
      </c>
      <c r="D372" s="2">
        <v>49</v>
      </c>
      <c r="E372" t="s">
        <v>19</v>
      </c>
      <c r="F372" t="s">
        <v>20</v>
      </c>
      <c r="G372" s="2" t="s">
        <v>66</v>
      </c>
      <c r="H372" s="2">
        <v>15</v>
      </c>
      <c r="I372" s="2" t="s">
        <v>67</v>
      </c>
      <c r="J372" s="2">
        <v>2.6</v>
      </c>
      <c r="K372" s="2" t="s">
        <v>41</v>
      </c>
      <c r="L372" s="2">
        <v>0.83</v>
      </c>
      <c r="M372" s="2" t="s">
        <v>88</v>
      </c>
      <c r="N372" s="2" t="s">
        <v>34</v>
      </c>
      <c r="O372" s="2">
        <v>13</v>
      </c>
      <c r="P372" s="2" t="str">
        <f>IF(global_freelancer_raw5[[#This Row],[No of projects ]]&lt;=5,"Entry level","Well Experienced")</f>
        <v>Well Experienced</v>
      </c>
      <c r="Q372" s="2">
        <v>9</v>
      </c>
    </row>
    <row r="373" spans="1:17" x14ac:dyDescent="0.3">
      <c r="A373" t="s">
        <v>848</v>
      </c>
      <c r="B373" t="s">
        <v>849</v>
      </c>
      <c r="C373" t="s">
        <v>118</v>
      </c>
      <c r="D373" s="2">
        <v>35</v>
      </c>
      <c r="E373" t="s">
        <v>201</v>
      </c>
      <c r="F373" t="s">
        <v>92</v>
      </c>
      <c r="G373" s="2" t="s">
        <v>39</v>
      </c>
      <c r="H373" s="2">
        <v>12</v>
      </c>
      <c r="I373" s="2" t="s">
        <v>336</v>
      </c>
      <c r="J373" s="2">
        <v>4.0999999999999996</v>
      </c>
      <c r="K373" s="2" t="s">
        <v>2120</v>
      </c>
      <c r="L373" s="2">
        <v>0.94</v>
      </c>
      <c r="M373" s="2" t="s">
        <v>88</v>
      </c>
      <c r="N373" s="2" t="s">
        <v>75</v>
      </c>
      <c r="O373" s="2">
        <v>8</v>
      </c>
      <c r="P373" s="2" t="str">
        <f>IF(global_freelancer_raw5[[#This Row],[No of projects ]]&lt;=5,"Entry level","Well Experienced")</f>
        <v>Well Experienced</v>
      </c>
      <c r="Q373" s="2">
        <v>5</v>
      </c>
    </row>
    <row r="374" spans="1:17" x14ac:dyDescent="0.3">
      <c r="A374" t="s">
        <v>850</v>
      </c>
      <c r="B374" t="s">
        <v>851</v>
      </c>
      <c r="C374" t="s">
        <v>118</v>
      </c>
      <c r="D374" s="2">
        <v>45</v>
      </c>
      <c r="E374" t="s">
        <v>114</v>
      </c>
      <c r="F374" t="s">
        <v>115</v>
      </c>
      <c r="G374" s="2" t="s">
        <v>66</v>
      </c>
      <c r="H374" s="2">
        <v>19</v>
      </c>
      <c r="I374" s="2" t="s">
        <v>47</v>
      </c>
      <c r="J374" s="2">
        <v>2.2000000000000002</v>
      </c>
      <c r="K374" s="2" t="s">
        <v>33</v>
      </c>
      <c r="L374" s="2">
        <v>0.78</v>
      </c>
      <c r="M374" s="2" t="s">
        <v>60</v>
      </c>
      <c r="N374" s="2" t="s">
        <v>75</v>
      </c>
      <c r="O374" s="2">
        <v>10</v>
      </c>
      <c r="P374" s="2" t="str">
        <f>IF(global_freelancer_raw5[[#This Row],[No of projects ]]&lt;=5,"Entry level","Well Experienced")</f>
        <v>Well Experienced</v>
      </c>
      <c r="Q374" s="2">
        <v>14</v>
      </c>
    </row>
    <row r="375" spans="1:17" x14ac:dyDescent="0.3">
      <c r="A375" t="s">
        <v>852</v>
      </c>
      <c r="B375" t="s">
        <v>853</v>
      </c>
      <c r="C375" t="s">
        <v>97</v>
      </c>
      <c r="D375" s="2">
        <v>39</v>
      </c>
      <c r="E375" t="s">
        <v>55</v>
      </c>
      <c r="F375" t="s">
        <v>56</v>
      </c>
      <c r="G375" s="2" t="s">
        <v>66</v>
      </c>
      <c r="H375" s="2">
        <v>13</v>
      </c>
      <c r="I375" s="2" t="s">
        <v>52</v>
      </c>
      <c r="J375" s="2">
        <v>1.1000000000000001</v>
      </c>
      <c r="K375" s="2" t="s">
        <v>33</v>
      </c>
      <c r="L375" s="2" t="s">
        <v>2120</v>
      </c>
      <c r="M375" s="2" t="s">
        <v>60</v>
      </c>
      <c r="N375" s="2" t="s">
        <v>25</v>
      </c>
      <c r="O375" s="2">
        <v>8</v>
      </c>
      <c r="P375" s="2" t="str">
        <f>IF(global_freelancer_raw5[[#This Row],[No of projects ]]&lt;=5,"Entry level","Well Experienced")</f>
        <v>Well Experienced</v>
      </c>
      <c r="Q375" s="2">
        <v>4</v>
      </c>
    </row>
    <row r="376" spans="1:17" x14ac:dyDescent="0.3">
      <c r="A376" t="s">
        <v>854</v>
      </c>
      <c r="B376" t="s">
        <v>855</v>
      </c>
      <c r="C376" t="s">
        <v>118</v>
      </c>
      <c r="D376" s="2" t="s">
        <v>2119</v>
      </c>
      <c r="E376" t="s">
        <v>91</v>
      </c>
      <c r="F376" t="s">
        <v>92</v>
      </c>
      <c r="G376" s="2" t="s">
        <v>21</v>
      </c>
      <c r="H376" s="2" t="s">
        <v>2120</v>
      </c>
      <c r="I376" s="2" t="s">
        <v>81</v>
      </c>
      <c r="J376" s="2">
        <v>2.1</v>
      </c>
      <c r="K376" s="2" t="s">
        <v>33</v>
      </c>
      <c r="L376" s="2">
        <v>0.82</v>
      </c>
      <c r="M376" s="2" t="s">
        <v>60</v>
      </c>
      <c r="N376" s="2" t="s">
        <v>42</v>
      </c>
      <c r="O376" s="2">
        <v>1</v>
      </c>
      <c r="P376" s="2" t="str">
        <f>IF(global_freelancer_raw5[[#This Row],[No of projects ]]&lt;=5,"Entry level","Well Experienced")</f>
        <v>Entry level</v>
      </c>
      <c r="Q376" s="2">
        <v>1</v>
      </c>
    </row>
    <row r="377" spans="1:17" x14ac:dyDescent="0.3">
      <c r="A377" t="s">
        <v>856</v>
      </c>
      <c r="B377" t="s">
        <v>857</v>
      </c>
      <c r="C377" t="s">
        <v>118</v>
      </c>
      <c r="D377" s="2">
        <v>24</v>
      </c>
      <c r="E377" t="s">
        <v>38</v>
      </c>
      <c r="F377" t="s">
        <v>38</v>
      </c>
      <c r="G377" s="2" t="s">
        <v>98</v>
      </c>
      <c r="H377" s="2">
        <v>3</v>
      </c>
      <c r="I377" s="2" t="s">
        <v>58</v>
      </c>
      <c r="J377" s="2">
        <v>2.2999999999999998</v>
      </c>
      <c r="K377" s="2" t="s">
        <v>59</v>
      </c>
      <c r="L377" s="2">
        <v>0.66</v>
      </c>
      <c r="M377" s="2" t="s">
        <v>24</v>
      </c>
      <c r="N377" s="2" t="s">
        <v>42</v>
      </c>
      <c r="O377" s="2">
        <v>4</v>
      </c>
      <c r="P377" s="2" t="str">
        <f>IF(global_freelancer_raw5[[#This Row],[No of projects ]]&lt;=5,"Entry level","Well Experienced")</f>
        <v>Entry level</v>
      </c>
      <c r="Q377" s="2">
        <v>5</v>
      </c>
    </row>
    <row r="378" spans="1:17" x14ac:dyDescent="0.3">
      <c r="A378" t="s">
        <v>858</v>
      </c>
      <c r="B378" t="s">
        <v>859</v>
      </c>
      <c r="C378" t="s">
        <v>118</v>
      </c>
      <c r="D378" s="2">
        <v>50</v>
      </c>
      <c r="E378" t="s">
        <v>29</v>
      </c>
      <c r="F378" t="s">
        <v>30</v>
      </c>
      <c r="G378" s="2" t="s">
        <v>39</v>
      </c>
      <c r="H378" s="2">
        <v>26</v>
      </c>
      <c r="I378" s="2" t="s">
        <v>2119</v>
      </c>
      <c r="J378" s="2">
        <v>3.6</v>
      </c>
      <c r="K378" s="2" t="s">
        <v>33</v>
      </c>
      <c r="L378" s="2">
        <v>82</v>
      </c>
      <c r="M378" s="2" t="s">
        <v>60</v>
      </c>
      <c r="N378" s="2" t="s">
        <v>25</v>
      </c>
      <c r="O378" s="2">
        <v>11</v>
      </c>
      <c r="P378" s="2" t="str">
        <f>IF(global_freelancer_raw5[[#This Row],[No of projects ]]&lt;=5,"Entry level","Well Experienced")</f>
        <v>Well Experienced</v>
      </c>
      <c r="Q378" s="2">
        <v>9</v>
      </c>
    </row>
    <row r="379" spans="1:17" x14ac:dyDescent="0.3">
      <c r="A379" t="s">
        <v>860</v>
      </c>
      <c r="B379" t="s">
        <v>861</v>
      </c>
      <c r="C379" t="s">
        <v>97</v>
      </c>
      <c r="D379" s="2">
        <v>23</v>
      </c>
      <c r="E379" t="s">
        <v>38</v>
      </c>
      <c r="F379" t="s">
        <v>38</v>
      </c>
      <c r="G379" s="2" t="s">
        <v>135</v>
      </c>
      <c r="H379" s="2">
        <v>4</v>
      </c>
      <c r="I379" s="2" t="s">
        <v>336</v>
      </c>
      <c r="J379" s="2">
        <v>4.7</v>
      </c>
      <c r="K379" s="2" t="s">
        <v>74</v>
      </c>
      <c r="L379" s="2">
        <v>0.84</v>
      </c>
      <c r="M379" s="2" t="s">
        <v>60</v>
      </c>
      <c r="N379" s="2" t="s">
        <v>42</v>
      </c>
      <c r="O379" s="2">
        <v>4</v>
      </c>
      <c r="P379" s="2" t="str">
        <f>IF(global_freelancer_raw5[[#This Row],[No of projects ]]&lt;=5,"Entry level","Well Experienced")</f>
        <v>Entry level</v>
      </c>
      <c r="Q379" s="2">
        <v>4</v>
      </c>
    </row>
    <row r="380" spans="1:17" x14ac:dyDescent="0.3">
      <c r="A380" t="s">
        <v>862</v>
      </c>
      <c r="B380" t="s">
        <v>863</v>
      </c>
      <c r="C380" t="s">
        <v>118</v>
      </c>
      <c r="D380" s="2">
        <v>27</v>
      </c>
      <c r="E380" t="s">
        <v>149</v>
      </c>
      <c r="F380" t="s">
        <v>30</v>
      </c>
      <c r="G380" s="2" t="s">
        <v>98</v>
      </c>
      <c r="H380" s="2">
        <v>8</v>
      </c>
      <c r="I380" s="2" t="s">
        <v>162</v>
      </c>
      <c r="J380" s="2">
        <v>4.8</v>
      </c>
      <c r="K380" s="2" t="s">
        <v>41</v>
      </c>
      <c r="L380" s="2">
        <v>0.81</v>
      </c>
      <c r="M380" s="2" t="s">
        <v>60</v>
      </c>
      <c r="N380" s="2" t="s">
        <v>34</v>
      </c>
      <c r="O380" s="2">
        <v>6</v>
      </c>
      <c r="P380" s="2" t="str">
        <f>IF(global_freelancer_raw5[[#This Row],[No of projects ]]&lt;=5,"Entry level","Well Experienced")</f>
        <v>Well Experienced</v>
      </c>
      <c r="Q380" s="2">
        <v>8</v>
      </c>
    </row>
    <row r="381" spans="1:17" x14ac:dyDescent="0.3">
      <c r="A381" t="s">
        <v>864</v>
      </c>
      <c r="B381" t="s">
        <v>865</v>
      </c>
      <c r="C381" t="s">
        <v>118</v>
      </c>
      <c r="D381" s="2">
        <v>58</v>
      </c>
      <c r="E381" t="s">
        <v>175</v>
      </c>
      <c r="F381" t="s">
        <v>176</v>
      </c>
      <c r="G381" s="2" t="s">
        <v>57</v>
      </c>
      <c r="H381" s="2">
        <v>10</v>
      </c>
      <c r="I381" s="2" t="s">
        <v>103</v>
      </c>
      <c r="J381" s="2">
        <v>4.2</v>
      </c>
      <c r="K381" s="2" t="s">
        <v>41</v>
      </c>
      <c r="L381" s="2">
        <v>71</v>
      </c>
      <c r="M381" s="2" t="s">
        <v>60</v>
      </c>
      <c r="N381" s="2" t="s">
        <v>75</v>
      </c>
      <c r="O381" s="2">
        <v>7</v>
      </c>
      <c r="P381" s="2" t="str">
        <f>IF(global_freelancer_raw5[[#This Row],[No of projects ]]&lt;=5,"Entry level","Well Experienced")</f>
        <v>Well Experienced</v>
      </c>
      <c r="Q381" s="2">
        <v>5</v>
      </c>
    </row>
    <row r="382" spans="1:17" x14ac:dyDescent="0.3">
      <c r="A382" t="s">
        <v>866</v>
      </c>
      <c r="B382" t="s">
        <v>867</v>
      </c>
      <c r="C382" t="s">
        <v>118</v>
      </c>
      <c r="D382" s="2">
        <v>37</v>
      </c>
      <c r="E382" t="s">
        <v>19</v>
      </c>
      <c r="F382" t="s">
        <v>20</v>
      </c>
      <c r="G382" s="2" t="s">
        <v>135</v>
      </c>
      <c r="H382" s="2">
        <v>5</v>
      </c>
      <c r="I382" s="2" t="s">
        <v>2119</v>
      </c>
      <c r="J382" s="2">
        <v>4.8</v>
      </c>
      <c r="K382" s="2" t="s">
        <v>33</v>
      </c>
      <c r="L382" s="2">
        <v>0.61</v>
      </c>
      <c r="M382" s="2" t="s">
        <v>82</v>
      </c>
      <c r="N382" s="2" t="s">
        <v>25</v>
      </c>
      <c r="O382" s="2">
        <v>2</v>
      </c>
      <c r="P382" s="2" t="str">
        <f>IF(global_freelancer_raw5[[#This Row],[No of projects ]]&lt;=5,"Entry level","Well Experienced")</f>
        <v>Entry level</v>
      </c>
      <c r="Q382" s="2">
        <v>1</v>
      </c>
    </row>
    <row r="383" spans="1:17" x14ac:dyDescent="0.3">
      <c r="A383" t="s">
        <v>868</v>
      </c>
      <c r="B383" t="s">
        <v>869</v>
      </c>
      <c r="C383" t="s">
        <v>118</v>
      </c>
      <c r="D383" s="2">
        <v>39</v>
      </c>
      <c r="E383" t="s">
        <v>212</v>
      </c>
      <c r="F383" t="s">
        <v>92</v>
      </c>
      <c r="G383" s="2" t="s">
        <v>21</v>
      </c>
      <c r="H383" s="2">
        <v>18</v>
      </c>
      <c r="I383" s="2" t="s">
        <v>103</v>
      </c>
      <c r="J383" s="2">
        <v>4</v>
      </c>
      <c r="K383" s="2" t="s">
        <v>33</v>
      </c>
      <c r="L383" s="2">
        <v>0.66</v>
      </c>
      <c r="M383" s="2" t="s">
        <v>24</v>
      </c>
      <c r="N383" s="2" t="s">
        <v>25</v>
      </c>
      <c r="O383" s="2">
        <v>10</v>
      </c>
      <c r="P383" s="2" t="str">
        <f>IF(global_freelancer_raw5[[#This Row],[No of projects ]]&lt;=5,"Entry level","Well Experienced")</f>
        <v>Well Experienced</v>
      </c>
      <c r="Q383" s="2">
        <v>8</v>
      </c>
    </row>
    <row r="384" spans="1:17" x14ac:dyDescent="0.3">
      <c r="A384" t="s">
        <v>870</v>
      </c>
      <c r="B384" t="s">
        <v>871</v>
      </c>
      <c r="C384" t="s">
        <v>97</v>
      </c>
      <c r="D384" s="2">
        <v>46</v>
      </c>
      <c r="E384" t="s">
        <v>160</v>
      </c>
      <c r="F384" t="s">
        <v>161</v>
      </c>
      <c r="G384" s="2" t="s">
        <v>66</v>
      </c>
      <c r="H384" s="2">
        <v>10</v>
      </c>
      <c r="I384" s="2" t="s">
        <v>142</v>
      </c>
      <c r="J384" s="2">
        <v>2.5</v>
      </c>
      <c r="K384" s="2" t="s">
        <v>74</v>
      </c>
      <c r="L384" s="2">
        <v>0.97</v>
      </c>
      <c r="M384" s="2" t="s">
        <v>88</v>
      </c>
      <c r="N384" s="2" t="s">
        <v>42</v>
      </c>
      <c r="O384" s="2">
        <v>13</v>
      </c>
      <c r="P384" s="2" t="str">
        <f>IF(global_freelancer_raw5[[#This Row],[No of projects ]]&lt;=5,"Entry level","Well Experienced")</f>
        <v>Well Experienced</v>
      </c>
      <c r="Q384" s="2">
        <v>2</v>
      </c>
    </row>
    <row r="385" spans="1:17" x14ac:dyDescent="0.3">
      <c r="A385" t="s">
        <v>872</v>
      </c>
      <c r="B385" t="s">
        <v>873</v>
      </c>
      <c r="C385" t="s">
        <v>97</v>
      </c>
      <c r="D385" s="2" t="s">
        <v>2119</v>
      </c>
      <c r="E385" t="s">
        <v>85</v>
      </c>
      <c r="F385" t="s">
        <v>30</v>
      </c>
      <c r="G385" s="2" t="s">
        <v>93</v>
      </c>
      <c r="H385" s="2">
        <v>0</v>
      </c>
      <c r="I385" s="2" t="s">
        <v>336</v>
      </c>
      <c r="J385" s="2">
        <v>4.8</v>
      </c>
      <c r="K385" s="2" t="s">
        <v>23</v>
      </c>
      <c r="L385" s="2">
        <v>0.74</v>
      </c>
      <c r="M385" s="2" t="s">
        <v>60</v>
      </c>
      <c r="N385" s="2" t="s">
        <v>25</v>
      </c>
      <c r="O385" s="2">
        <v>2</v>
      </c>
      <c r="P385" s="2" t="str">
        <f>IF(global_freelancer_raw5[[#This Row],[No of projects ]]&lt;=5,"Entry level","Well Experienced")</f>
        <v>Entry level</v>
      </c>
      <c r="Q385" s="2">
        <v>1</v>
      </c>
    </row>
    <row r="386" spans="1:17" x14ac:dyDescent="0.3">
      <c r="A386" t="s">
        <v>874</v>
      </c>
      <c r="B386" t="s">
        <v>875</v>
      </c>
      <c r="C386" t="s">
        <v>97</v>
      </c>
      <c r="D386" s="2">
        <v>39</v>
      </c>
      <c r="E386" t="s">
        <v>201</v>
      </c>
      <c r="F386" t="s">
        <v>92</v>
      </c>
      <c r="G386" s="2" t="s">
        <v>21</v>
      </c>
      <c r="H386" s="2">
        <v>21</v>
      </c>
      <c r="I386" s="2" t="s">
        <v>52</v>
      </c>
      <c r="J386" s="2">
        <v>4.7</v>
      </c>
      <c r="K386" s="2" t="s">
        <v>59</v>
      </c>
      <c r="L386" s="2">
        <v>0.61</v>
      </c>
      <c r="M386" s="2" t="s">
        <v>82</v>
      </c>
      <c r="N386" s="2" t="s">
        <v>34</v>
      </c>
      <c r="O386" s="2">
        <v>15</v>
      </c>
      <c r="P386" s="2" t="str">
        <f>IF(global_freelancer_raw5[[#This Row],[No of projects ]]&lt;=5,"Entry level","Well Experienced")</f>
        <v>Well Experienced</v>
      </c>
      <c r="Q386" s="2">
        <v>6</v>
      </c>
    </row>
    <row r="387" spans="1:17" x14ac:dyDescent="0.3">
      <c r="A387" t="s">
        <v>876</v>
      </c>
      <c r="B387" t="s">
        <v>877</v>
      </c>
      <c r="C387" t="s">
        <v>118</v>
      </c>
      <c r="D387" s="2">
        <v>59</v>
      </c>
      <c r="E387" t="s">
        <v>160</v>
      </c>
      <c r="F387" t="s">
        <v>161</v>
      </c>
      <c r="G387" s="2" t="s">
        <v>21</v>
      </c>
      <c r="H387" s="2">
        <v>25</v>
      </c>
      <c r="I387" s="2" t="s">
        <v>162</v>
      </c>
      <c r="J387" s="2">
        <v>4</v>
      </c>
      <c r="K387" s="2" t="s">
        <v>23</v>
      </c>
      <c r="L387" s="2">
        <v>0.9</v>
      </c>
      <c r="M387" s="2" t="s">
        <v>82</v>
      </c>
      <c r="N387" s="2" t="s">
        <v>42</v>
      </c>
      <c r="O387" s="2">
        <v>15</v>
      </c>
      <c r="P387" s="2" t="str">
        <f>IF(global_freelancer_raw5[[#This Row],[No of projects ]]&lt;=5,"Entry level","Well Experienced")</f>
        <v>Well Experienced</v>
      </c>
      <c r="Q387" s="2">
        <v>9</v>
      </c>
    </row>
    <row r="388" spans="1:17" x14ac:dyDescent="0.3">
      <c r="A388" t="s">
        <v>878</v>
      </c>
      <c r="B388" t="s">
        <v>879</v>
      </c>
      <c r="C388" t="s">
        <v>118</v>
      </c>
      <c r="D388" s="2">
        <v>21</v>
      </c>
      <c r="E388" t="s">
        <v>55</v>
      </c>
      <c r="F388" t="s">
        <v>56</v>
      </c>
      <c r="G388" s="2" t="s">
        <v>110</v>
      </c>
      <c r="H388" s="2">
        <v>0</v>
      </c>
      <c r="I388" s="2" t="s">
        <v>47</v>
      </c>
      <c r="J388" s="2">
        <v>4.0999999999999996</v>
      </c>
      <c r="K388" s="2" t="s">
        <v>94</v>
      </c>
      <c r="L388" s="2">
        <v>0.97</v>
      </c>
      <c r="M388" s="2" t="s">
        <v>82</v>
      </c>
      <c r="N388" s="2" t="s">
        <v>42</v>
      </c>
      <c r="O388" s="2">
        <v>4</v>
      </c>
      <c r="P388" s="2" t="str">
        <f>IF(global_freelancer_raw5[[#This Row],[No of projects ]]&lt;=5,"Entry level","Well Experienced")</f>
        <v>Entry level</v>
      </c>
      <c r="Q388" s="2">
        <v>1</v>
      </c>
    </row>
    <row r="389" spans="1:17" x14ac:dyDescent="0.3">
      <c r="A389" t="s">
        <v>880</v>
      </c>
      <c r="B389" t="s">
        <v>881</v>
      </c>
      <c r="C389" t="s">
        <v>97</v>
      </c>
      <c r="D389" s="2">
        <v>23</v>
      </c>
      <c r="E389" t="s">
        <v>149</v>
      </c>
      <c r="F389" t="s">
        <v>30</v>
      </c>
      <c r="G389" s="2" t="s">
        <v>110</v>
      </c>
      <c r="H389" s="2">
        <v>5</v>
      </c>
      <c r="I389" s="2" t="s">
        <v>22</v>
      </c>
      <c r="J389" s="2">
        <v>3.2</v>
      </c>
      <c r="K389" s="2" t="s">
        <v>33</v>
      </c>
      <c r="L389" s="2" t="s">
        <v>2120</v>
      </c>
      <c r="M389" s="2" t="s">
        <v>88</v>
      </c>
      <c r="N389" s="2" t="s">
        <v>42</v>
      </c>
      <c r="O389" s="2">
        <v>5</v>
      </c>
      <c r="P389" s="2" t="str">
        <f>IF(global_freelancer_raw5[[#This Row],[No of projects ]]&lt;=5,"Entry level","Well Experienced")</f>
        <v>Entry level</v>
      </c>
      <c r="Q389" s="2">
        <v>5</v>
      </c>
    </row>
    <row r="390" spans="1:17" x14ac:dyDescent="0.3">
      <c r="A390" t="s">
        <v>882</v>
      </c>
      <c r="B390" t="s">
        <v>883</v>
      </c>
      <c r="C390" t="s">
        <v>118</v>
      </c>
      <c r="D390" s="2">
        <v>27</v>
      </c>
      <c r="E390" t="s">
        <v>160</v>
      </c>
      <c r="F390" t="s">
        <v>161</v>
      </c>
      <c r="G390" s="2" t="s">
        <v>46</v>
      </c>
      <c r="H390" s="2">
        <v>1</v>
      </c>
      <c r="I390" s="2" t="s">
        <v>162</v>
      </c>
      <c r="J390" s="2">
        <v>4.3</v>
      </c>
      <c r="K390" s="2" t="s">
        <v>41</v>
      </c>
      <c r="L390" s="2">
        <v>0.76</v>
      </c>
      <c r="M390" s="2" t="s">
        <v>60</v>
      </c>
      <c r="N390" s="2" t="s">
        <v>42</v>
      </c>
      <c r="O390" s="2">
        <v>4</v>
      </c>
      <c r="P390" s="2" t="str">
        <f>IF(global_freelancer_raw5[[#This Row],[No of projects ]]&lt;=5,"Entry level","Well Experienced")</f>
        <v>Entry level</v>
      </c>
      <c r="Q390" s="2">
        <v>3</v>
      </c>
    </row>
    <row r="391" spans="1:17" x14ac:dyDescent="0.3">
      <c r="A391" t="s">
        <v>884</v>
      </c>
      <c r="B391" t="s">
        <v>885</v>
      </c>
      <c r="C391" t="s">
        <v>118</v>
      </c>
      <c r="D391" s="2">
        <v>27</v>
      </c>
      <c r="E391" t="s">
        <v>197</v>
      </c>
      <c r="F391" t="s">
        <v>198</v>
      </c>
      <c r="G391" s="2" t="s">
        <v>98</v>
      </c>
      <c r="H391" s="2">
        <v>4</v>
      </c>
      <c r="I391" s="2" t="s">
        <v>86</v>
      </c>
      <c r="J391" s="2">
        <v>4.4000000000000004</v>
      </c>
      <c r="K391" s="2" t="s">
        <v>23</v>
      </c>
      <c r="L391" s="2">
        <v>0.92</v>
      </c>
      <c r="M391" s="2" t="s">
        <v>24</v>
      </c>
      <c r="N391" s="2" t="s">
        <v>34</v>
      </c>
      <c r="O391" s="2">
        <v>4</v>
      </c>
      <c r="P391" s="2" t="str">
        <f>IF(global_freelancer_raw5[[#This Row],[No of projects ]]&lt;=5,"Entry level","Well Experienced")</f>
        <v>Entry level</v>
      </c>
      <c r="Q391" s="2">
        <v>4</v>
      </c>
    </row>
    <row r="392" spans="1:17" x14ac:dyDescent="0.3">
      <c r="A392" t="s">
        <v>886</v>
      </c>
      <c r="B392" t="s">
        <v>887</v>
      </c>
      <c r="C392" t="s">
        <v>97</v>
      </c>
      <c r="D392" s="2">
        <v>48</v>
      </c>
      <c r="E392" t="s">
        <v>175</v>
      </c>
      <c r="F392" t="s">
        <v>176</v>
      </c>
      <c r="G392" s="2" t="s">
        <v>66</v>
      </c>
      <c r="H392" s="2">
        <v>21</v>
      </c>
      <c r="I392" s="2" t="s">
        <v>86</v>
      </c>
      <c r="J392" s="2">
        <v>2.2999999999999998</v>
      </c>
      <c r="K392" s="2" t="s">
        <v>23</v>
      </c>
      <c r="L392" s="2" t="s">
        <v>2120</v>
      </c>
      <c r="M392" s="2" t="s">
        <v>24</v>
      </c>
      <c r="N392" s="2" t="s">
        <v>42</v>
      </c>
      <c r="O392" s="2">
        <v>14</v>
      </c>
      <c r="P392" s="2" t="str">
        <f>IF(global_freelancer_raw5[[#This Row],[No of projects ]]&lt;=5,"Entry level","Well Experienced")</f>
        <v>Well Experienced</v>
      </c>
      <c r="Q392" s="2">
        <v>10</v>
      </c>
    </row>
    <row r="393" spans="1:17" x14ac:dyDescent="0.3">
      <c r="A393" t="s">
        <v>888</v>
      </c>
      <c r="B393" t="s">
        <v>889</v>
      </c>
      <c r="C393" t="s">
        <v>118</v>
      </c>
      <c r="D393" s="2">
        <v>21</v>
      </c>
      <c r="E393" t="s">
        <v>175</v>
      </c>
      <c r="F393" t="s">
        <v>176</v>
      </c>
      <c r="G393" s="2" t="s">
        <v>57</v>
      </c>
      <c r="H393" s="2">
        <v>1</v>
      </c>
      <c r="I393" s="2" t="s">
        <v>142</v>
      </c>
      <c r="J393" s="2">
        <v>2.4</v>
      </c>
      <c r="K393" s="2" t="s">
        <v>33</v>
      </c>
      <c r="L393" s="2">
        <v>0.66</v>
      </c>
      <c r="M393" s="2" t="s">
        <v>82</v>
      </c>
      <c r="N393" s="2" t="s">
        <v>25</v>
      </c>
      <c r="O393" s="2">
        <v>4</v>
      </c>
      <c r="P393" s="2" t="str">
        <f>IF(global_freelancer_raw5[[#This Row],[No of projects ]]&lt;=5,"Entry level","Well Experienced")</f>
        <v>Entry level</v>
      </c>
      <c r="Q393" s="2">
        <v>4</v>
      </c>
    </row>
    <row r="394" spans="1:17" x14ac:dyDescent="0.3">
      <c r="A394" t="s">
        <v>890</v>
      </c>
      <c r="B394" t="s">
        <v>891</v>
      </c>
      <c r="C394" t="s">
        <v>118</v>
      </c>
      <c r="D394" s="2">
        <v>37</v>
      </c>
      <c r="E394" t="s">
        <v>19</v>
      </c>
      <c r="F394" t="s">
        <v>20</v>
      </c>
      <c r="G394" s="2" t="s">
        <v>110</v>
      </c>
      <c r="H394" s="2" t="s">
        <v>2120</v>
      </c>
      <c r="I394" s="2" t="s">
        <v>40</v>
      </c>
      <c r="J394" s="2">
        <v>4.5999999999999996</v>
      </c>
      <c r="K394" s="2" t="s">
        <v>23</v>
      </c>
      <c r="L394" s="2">
        <v>0.83</v>
      </c>
      <c r="M394" s="2" t="s">
        <v>88</v>
      </c>
      <c r="N394" s="2" t="s">
        <v>34</v>
      </c>
      <c r="O394" s="2">
        <v>1</v>
      </c>
      <c r="P394" s="2" t="str">
        <f>IF(global_freelancer_raw5[[#This Row],[No of projects ]]&lt;=5,"Entry level","Well Experienced")</f>
        <v>Entry level</v>
      </c>
      <c r="Q394" s="2">
        <v>1</v>
      </c>
    </row>
    <row r="395" spans="1:17" x14ac:dyDescent="0.3">
      <c r="A395" t="s">
        <v>892</v>
      </c>
      <c r="B395" t="s">
        <v>893</v>
      </c>
      <c r="C395" t="s">
        <v>97</v>
      </c>
      <c r="D395" s="2">
        <v>31</v>
      </c>
      <c r="E395" t="s">
        <v>38</v>
      </c>
      <c r="F395" t="s">
        <v>38</v>
      </c>
      <c r="G395" s="2" t="s">
        <v>93</v>
      </c>
      <c r="H395" s="2">
        <v>10</v>
      </c>
      <c r="I395" s="2" t="s">
        <v>40</v>
      </c>
      <c r="J395" s="2">
        <v>0</v>
      </c>
      <c r="K395" s="2" t="s">
        <v>181</v>
      </c>
      <c r="L395" s="2" t="s">
        <v>2120</v>
      </c>
      <c r="M395" s="2" t="s">
        <v>88</v>
      </c>
      <c r="N395" s="2" t="s">
        <v>75</v>
      </c>
      <c r="O395" s="2">
        <v>10</v>
      </c>
      <c r="P395" s="2" t="str">
        <f>IF(global_freelancer_raw5[[#This Row],[No of projects ]]&lt;=5,"Entry level","Well Experienced")</f>
        <v>Well Experienced</v>
      </c>
      <c r="Q395" s="2">
        <v>4</v>
      </c>
    </row>
    <row r="396" spans="1:17" x14ac:dyDescent="0.3">
      <c r="A396" t="s">
        <v>894</v>
      </c>
      <c r="B396" t="s">
        <v>895</v>
      </c>
      <c r="C396" t="s">
        <v>97</v>
      </c>
      <c r="D396" s="2">
        <v>41</v>
      </c>
      <c r="E396" t="s">
        <v>160</v>
      </c>
      <c r="F396" t="s">
        <v>161</v>
      </c>
      <c r="G396" s="2" t="s">
        <v>21</v>
      </c>
      <c r="H396" s="2">
        <v>21</v>
      </c>
      <c r="I396" s="2" t="s">
        <v>2119</v>
      </c>
      <c r="J396" s="2">
        <v>0</v>
      </c>
      <c r="K396" s="2" t="s">
        <v>94</v>
      </c>
      <c r="L396" s="2" t="s">
        <v>2120</v>
      </c>
      <c r="M396" s="2" t="s">
        <v>88</v>
      </c>
      <c r="N396" s="2" t="s">
        <v>75</v>
      </c>
      <c r="O396" s="2">
        <v>10</v>
      </c>
      <c r="P396" s="2" t="str">
        <f>IF(global_freelancer_raw5[[#This Row],[No of projects ]]&lt;=5,"Entry level","Well Experienced")</f>
        <v>Well Experienced</v>
      </c>
      <c r="Q396" s="2">
        <v>9</v>
      </c>
    </row>
    <row r="397" spans="1:17" x14ac:dyDescent="0.3">
      <c r="A397" t="s">
        <v>896</v>
      </c>
      <c r="B397" t="s">
        <v>897</v>
      </c>
      <c r="C397" t="s">
        <v>118</v>
      </c>
      <c r="D397" s="2">
        <v>31</v>
      </c>
      <c r="E397" t="s">
        <v>145</v>
      </c>
      <c r="F397" t="s">
        <v>146</v>
      </c>
      <c r="G397" s="2" t="s">
        <v>98</v>
      </c>
      <c r="H397" s="2">
        <v>0</v>
      </c>
      <c r="I397" s="2" t="s">
        <v>142</v>
      </c>
      <c r="J397" s="2">
        <v>4.2</v>
      </c>
      <c r="K397" s="2" t="s">
        <v>94</v>
      </c>
      <c r="L397" s="2">
        <v>82</v>
      </c>
      <c r="M397" s="2" t="s">
        <v>24</v>
      </c>
      <c r="N397" s="2" t="s">
        <v>25</v>
      </c>
      <c r="O397" s="2">
        <v>5</v>
      </c>
      <c r="P397" s="2" t="str">
        <f>IF(global_freelancer_raw5[[#This Row],[No of projects ]]&lt;=5,"Entry level","Well Experienced")</f>
        <v>Entry level</v>
      </c>
      <c r="Q397" s="2">
        <v>1</v>
      </c>
    </row>
    <row r="398" spans="1:17" x14ac:dyDescent="0.3">
      <c r="A398" t="s">
        <v>898</v>
      </c>
      <c r="B398" t="s">
        <v>899</v>
      </c>
      <c r="C398" t="s">
        <v>97</v>
      </c>
      <c r="D398" s="2">
        <v>58</v>
      </c>
      <c r="E398" t="s">
        <v>91</v>
      </c>
      <c r="F398" t="s">
        <v>92</v>
      </c>
      <c r="G398" s="2" t="s">
        <v>66</v>
      </c>
      <c r="H398" s="2">
        <v>0</v>
      </c>
      <c r="I398" s="2" t="s">
        <v>40</v>
      </c>
      <c r="J398" s="2">
        <v>2.2999999999999998</v>
      </c>
      <c r="K398" s="2" t="s">
        <v>23</v>
      </c>
      <c r="L398" s="2">
        <v>0.77</v>
      </c>
      <c r="M398" s="2" t="s">
        <v>82</v>
      </c>
      <c r="N398" s="2" t="s">
        <v>25</v>
      </c>
      <c r="O398" s="2">
        <v>5</v>
      </c>
      <c r="P398" s="2" t="str">
        <f>IF(global_freelancer_raw5[[#This Row],[No of projects ]]&lt;=5,"Entry level","Well Experienced")</f>
        <v>Entry level</v>
      </c>
      <c r="Q398" s="2">
        <v>2</v>
      </c>
    </row>
    <row r="399" spans="1:17" x14ac:dyDescent="0.3">
      <c r="A399" t="s">
        <v>900</v>
      </c>
      <c r="B399" t="s">
        <v>901</v>
      </c>
      <c r="C399" t="s">
        <v>97</v>
      </c>
      <c r="D399" s="2">
        <v>45</v>
      </c>
      <c r="E399" t="s">
        <v>55</v>
      </c>
      <c r="F399" t="s">
        <v>56</v>
      </c>
      <c r="G399" s="2" t="s">
        <v>66</v>
      </c>
      <c r="H399" s="2">
        <v>17</v>
      </c>
      <c r="I399" s="2" t="s">
        <v>81</v>
      </c>
      <c r="J399" s="2">
        <v>4.7</v>
      </c>
      <c r="K399" s="2" t="s">
        <v>33</v>
      </c>
      <c r="L399" s="2">
        <v>0.73</v>
      </c>
      <c r="M399" s="2" t="s">
        <v>60</v>
      </c>
      <c r="N399" s="2" t="s">
        <v>34</v>
      </c>
      <c r="O399" s="2">
        <v>15</v>
      </c>
      <c r="P399" s="2" t="str">
        <f>IF(global_freelancer_raw5[[#This Row],[No of projects ]]&lt;=5,"Entry level","Well Experienced")</f>
        <v>Well Experienced</v>
      </c>
      <c r="Q399" s="2">
        <v>11</v>
      </c>
    </row>
    <row r="400" spans="1:17" x14ac:dyDescent="0.3">
      <c r="A400" t="s">
        <v>902</v>
      </c>
      <c r="B400" t="s">
        <v>903</v>
      </c>
      <c r="C400" t="s">
        <v>118</v>
      </c>
      <c r="D400" s="2">
        <v>51</v>
      </c>
      <c r="E400" t="s">
        <v>133</v>
      </c>
      <c r="F400" t="s">
        <v>134</v>
      </c>
      <c r="G400" s="2" t="s">
        <v>98</v>
      </c>
      <c r="H400" s="2">
        <v>5</v>
      </c>
      <c r="I400" s="2" t="s">
        <v>2119</v>
      </c>
      <c r="J400" s="2">
        <v>3</v>
      </c>
      <c r="K400" s="2" t="s">
        <v>33</v>
      </c>
      <c r="L400" s="2">
        <v>0.88</v>
      </c>
      <c r="M400" s="2" t="s">
        <v>24</v>
      </c>
      <c r="N400" s="2" t="s">
        <v>75</v>
      </c>
      <c r="O400" s="2">
        <v>2</v>
      </c>
      <c r="P400" s="2" t="str">
        <f>IF(global_freelancer_raw5[[#This Row],[No of projects ]]&lt;=5,"Entry level","Well Experienced")</f>
        <v>Entry level</v>
      </c>
      <c r="Q400" s="2">
        <v>4</v>
      </c>
    </row>
    <row r="401" spans="1:17" x14ac:dyDescent="0.3">
      <c r="A401" t="s">
        <v>904</v>
      </c>
      <c r="B401" t="s">
        <v>905</v>
      </c>
      <c r="C401" t="s">
        <v>118</v>
      </c>
      <c r="D401" s="2">
        <v>54</v>
      </c>
      <c r="E401" t="s">
        <v>73</v>
      </c>
      <c r="F401" t="s">
        <v>30</v>
      </c>
      <c r="G401" s="2" t="s">
        <v>93</v>
      </c>
      <c r="H401" s="2">
        <v>3</v>
      </c>
      <c r="I401" s="2" t="s">
        <v>130</v>
      </c>
      <c r="J401" s="2">
        <v>2.4</v>
      </c>
      <c r="K401" s="2" t="s">
        <v>23</v>
      </c>
      <c r="L401" s="2">
        <v>0.81</v>
      </c>
      <c r="M401" s="2" t="s">
        <v>82</v>
      </c>
      <c r="N401" s="2" t="s">
        <v>75</v>
      </c>
      <c r="O401" s="2">
        <v>2</v>
      </c>
      <c r="P401" s="2" t="str">
        <f>IF(global_freelancer_raw5[[#This Row],[No of projects ]]&lt;=5,"Entry level","Well Experienced")</f>
        <v>Entry level</v>
      </c>
      <c r="Q401" s="2">
        <v>3</v>
      </c>
    </row>
    <row r="402" spans="1:17" x14ac:dyDescent="0.3">
      <c r="A402" t="s">
        <v>906</v>
      </c>
      <c r="B402" t="s">
        <v>907</v>
      </c>
      <c r="C402" t="s">
        <v>118</v>
      </c>
      <c r="D402" s="2">
        <v>22</v>
      </c>
      <c r="E402" t="s">
        <v>145</v>
      </c>
      <c r="F402" t="s">
        <v>146</v>
      </c>
      <c r="G402" s="2" t="s">
        <v>66</v>
      </c>
      <c r="H402" s="2">
        <v>1</v>
      </c>
      <c r="I402" s="2" t="s">
        <v>162</v>
      </c>
      <c r="J402" s="2">
        <v>1.7</v>
      </c>
      <c r="K402" s="2" t="s">
        <v>41</v>
      </c>
      <c r="L402" s="2">
        <v>0.78</v>
      </c>
      <c r="M402" s="2" t="s">
        <v>82</v>
      </c>
      <c r="N402" s="2" t="s">
        <v>75</v>
      </c>
      <c r="O402" s="2">
        <v>1</v>
      </c>
      <c r="P402" s="2" t="str">
        <f>IF(global_freelancer_raw5[[#This Row],[No of projects ]]&lt;=5,"Entry level","Well Experienced")</f>
        <v>Entry level</v>
      </c>
      <c r="Q402" s="2">
        <v>2</v>
      </c>
    </row>
    <row r="403" spans="1:17" x14ac:dyDescent="0.3">
      <c r="A403" t="s">
        <v>908</v>
      </c>
      <c r="B403" t="s">
        <v>909</v>
      </c>
      <c r="C403" t="s">
        <v>118</v>
      </c>
      <c r="D403" s="2">
        <v>36</v>
      </c>
      <c r="E403" t="s">
        <v>79</v>
      </c>
      <c r="F403" t="s">
        <v>80</v>
      </c>
      <c r="G403" s="2" t="s">
        <v>98</v>
      </c>
      <c r="H403" s="2">
        <v>2</v>
      </c>
      <c r="I403" s="2" t="s">
        <v>103</v>
      </c>
      <c r="J403" s="2">
        <v>0</v>
      </c>
      <c r="K403" s="2" t="s">
        <v>59</v>
      </c>
      <c r="L403" s="2">
        <v>0.92</v>
      </c>
      <c r="M403" s="2" t="s">
        <v>60</v>
      </c>
      <c r="N403" s="2" t="s">
        <v>75</v>
      </c>
      <c r="O403" s="2">
        <v>5</v>
      </c>
      <c r="P403" s="2" t="str">
        <f>IF(global_freelancer_raw5[[#This Row],[No of projects ]]&lt;=5,"Entry level","Well Experienced")</f>
        <v>Entry level</v>
      </c>
      <c r="Q403" s="2">
        <v>1</v>
      </c>
    </row>
    <row r="404" spans="1:17" x14ac:dyDescent="0.3">
      <c r="A404" t="s">
        <v>910</v>
      </c>
      <c r="B404" t="s">
        <v>911</v>
      </c>
      <c r="C404" t="s">
        <v>118</v>
      </c>
      <c r="D404" s="2">
        <v>50</v>
      </c>
      <c r="E404" t="s">
        <v>38</v>
      </c>
      <c r="F404" t="s">
        <v>38</v>
      </c>
      <c r="G404" s="2" t="s">
        <v>110</v>
      </c>
      <c r="H404" s="2">
        <v>32</v>
      </c>
      <c r="I404" s="2" t="s">
        <v>58</v>
      </c>
      <c r="J404" s="2" t="s">
        <v>2120</v>
      </c>
      <c r="K404" s="2" t="s">
        <v>23</v>
      </c>
      <c r="L404" s="2">
        <v>0.64</v>
      </c>
      <c r="M404" s="2" t="s">
        <v>60</v>
      </c>
      <c r="N404" s="2" t="s">
        <v>75</v>
      </c>
      <c r="O404" s="2">
        <v>12</v>
      </c>
      <c r="P404" s="2" t="str">
        <f>IF(global_freelancer_raw5[[#This Row],[No of projects ]]&lt;=5,"Entry level","Well Experienced")</f>
        <v>Well Experienced</v>
      </c>
      <c r="Q404" s="2">
        <v>15</v>
      </c>
    </row>
    <row r="405" spans="1:17" x14ac:dyDescent="0.3">
      <c r="A405" t="s">
        <v>912</v>
      </c>
      <c r="B405" t="s">
        <v>913</v>
      </c>
      <c r="C405" t="s">
        <v>97</v>
      </c>
      <c r="D405" s="2">
        <v>41</v>
      </c>
      <c r="E405" t="s">
        <v>29</v>
      </c>
      <c r="F405" t="s">
        <v>30</v>
      </c>
      <c r="G405" s="2" t="s">
        <v>21</v>
      </c>
      <c r="H405" s="2">
        <v>14</v>
      </c>
      <c r="I405" s="2" t="s">
        <v>52</v>
      </c>
      <c r="J405" s="2">
        <v>0</v>
      </c>
      <c r="K405" s="2" t="s">
        <v>94</v>
      </c>
      <c r="L405" s="2">
        <v>0.78</v>
      </c>
      <c r="M405" s="2" t="s">
        <v>60</v>
      </c>
      <c r="N405" s="2" t="s">
        <v>42</v>
      </c>
      <c r="O405" s="2">
        <v>7</v>
      </c>
      <c r="P405" s="2" t="str">
        <f>IF(global_freelancer_raw5[[#This Row],[No of projects ]]&lt;=5,"Entry level","Well Experienced")</f>
        <v>Well Experienced</v>
      </c>
      <c r="Q405" s="2">
        <v>10</v>
      </c>
    </row>
    <row r="406" spans="1:17" x14ac:dyDescent="0.3">
      <c r="A406" t="s">
        <v>914</v>
      </c>
      <c r="B406" t="s">
        <v>915</v>
      </c>
      <c r="C406" t="s">
        <v>118</v>
      </c>
      <c r="D406" s="2" t="s">
        <v>2119</v>
      </c>
      <c r="E406" t="s">
        <v>175</v>
      </c>
      <c r="F406" t="s">
        <v>176</v>
      </c>
      <c r="G406" s="2" t="s">
        <v>46</v>
      </c>
      <c r="H406" s="2">
        <v>10</v>
      </c>
      <c r="I406" s="2" t="s">
        <v>162</v>
      </c>
      <c r="J406" s="2">
        <v>1.8</v>
      </c>
      <c r="K406" s="2" t="s">
        <v>87</v>
      </c>
      <c r="L406" s="2">
        <v>85</v>
      </c>
      <c r="M406" s="2" t="s">
        <v>88</v>
      </c>
      <c r="N406" s="2" t="s">
        <v>25</v>
      </c>
      <c r="O406" s="2">
        <v>6</v>
      </c>
      <c r="P406" s="2" t="str">
        <f>IF(global_freelancer_raw5[[#This Row],[No of projects ]]&lt;=5,"Entry level","Well Experienced")</f>
        <v>Well Experienced</v>
      </c>
      <c r="Q406" s="2">
        <v>4</v>
      </c>
    </row>
    <row r="407" spans="1:17" x14ac:dyDescent="0.3">
      <c r="A407" t="s">
        <v>916</v>
      </c>
      <c r="B407" t="s">
        <v>917</v>
      </c>
      <c r="C407" t="s">
        <v>97</v>
      </c>
      <c r="D407" s="2">
        <v>51</v>
      </c>
      <c r="E407" t="s">
        <v>55</v>
      </c>
      <c r="F407" t="s">
        <v>56</v>
      </c>
      <c r="G407" s="2" t="s">
        <v>98</v>
      </c>
      <c r="H407" s="2">
        <v>27</v>
      </c>
      <c r="I407" s="2" t="s">
        <v>81</v>
      </c>
      <c r="J407" s="2">
        <v>0</v>
      </c>
      <c r="K407" s="2" t="s">
        <v>181</v>
      </c>
      <c r="L407" s="2">
        <v>0.78</v>
      </c>
      <c r="M407" s="2" t="s">
        <v>60</v>
      </c>
      <c r="N407" s="2" t="s">
        <v>42</v>
      </c>
      <c r="O407" s="2">
        <v>14</v>
      </c>
      <c r="P407" s="2" t="str">
        <f>IF(global_freelancer_raw5[[#This Row],[No of projects ]]&lt;=5,"Entry level","Well Experienced")</f>
        <v>Well Experienced</v>
      </c>
      <c r="Q407" s="2">
        <v>11</v>
      </c>
    </row>
    <row r="408" spans="1:17" x14ac:dyDescent="0.3">
      <c r="A408" t="s">
        <v>918</v>
      </c>
      <c r="B408" t="s">
        <v>919</v>
      </c>
      <c r="C408" t="s">
        <v>118</v>
      </c>
      <c r="D408" s="2">
        <v>21</v>
      </c>
      <c r="E408" t="s">
        <v>156</v>
      </c>
      <c r="F408" t="s">
        <v>157</v>
      </c>
      <c r="G408" s="2" t="s">
        <v>57</v>
      </c>
      <c r="H408" s="2">
        <v>2</v>
      </c>
      <c r="I408" s="2" t="s">
        <v>58</v>
      </c>
      <c r="J408" s="2">
        <v>3.8</v>
      </c>
      <c r="K408" s="2" t="s">
        <v>33</v>
      </c>
      <c r="L408" s="2">
        <v>0.98</v>
      </c>
      <c r="M408" s="2" t="s">
        <v>82</v>
      </c>
      <c r="N408" s="2" t="s">
        <v>75</v>
      </c>
      <c r="O408" s="2">
        <v>2</v>
      </c>
      <c r="P408" s="2" t="str">
        <f>IF(global_freelancer_raw5[[#This Row],[No of projects ]]&lt;=5,"Entry level","Well Experienced")</f>
        <v>Entry level</v>
      </c>
      <c r="Q408" s="2">
        <v>1</v>
      </c>
    </row>
    <row r="409" spans="1:17" x14ac:dyDescent="0.3">
      <c r="A409" t="s">
        <v>920</v>
      </c>
      <c r="B409" t="s">
        <v>921</v>
      </c>
      <c r="C409" t="s">
        <v>118</v>
      </c>
      <c r="D409" s="2">
        <v>51</v>
      </c>
      <c r="E409" t="s">
        <v>106</v>
      </c>
      <c r="F409" t="s">
        <v>107</v>
      </c>
      <c r="G409" s="2" t="s">
        <v>57</v>
      </c>
      <c r="H409" s="2">
        <v>33</v>
      </c>
      <c r="I409" s="2" t="s">
        <v>70</v>
      </c>
      <c r="J409" s="2">
        <v>0</v>
      </c>
      <c r="K409" s="2" t="s">
        <v>94</v>
      </c>
      <c r="L409" s="2">
        <v>0.63</v>
      </c>
      <c r="M409" s="2" t="s">
        <v>60</v>
      </c>
      <c r="N409" s="2" t="s">
        <v>34</v>
      </c>
      <c r="O409" s="2">
        <v>16</v>
      </c>
      <c r="P409" s="2" t="str">
        <f>IF(global_freelancer_raw5[[#This Row],[No of projects ]]&lt;=5,"Entry level","Well Experienced")</f>
        <v>Well Experienced</v>
      </c>
      <c r="Q409" s="2">
        <v>14</v>
      </c>
    </row>
    <row r="410" spans="1:17" x14ac:dyDescent="0.3">
      <c r="A410" t="s">
        <v>922</v>
      </c>
      <c r="B410" t="s">
        <v>923</v>
      </c>
      <c r="C410" t="s">
        <v>97</v>
      </c>
      <c r="D410" s="2">
        <v>37</v>
      </c>
      <c r="E410" t="s">
        <v>64</v>
      </c>
      <c r="F410" t="s">
        <v>65</v>
      </c>
      <c r="G410" s="2" t="s">
        <v>39</v>
      </c>
      <c r="H410" s="2">
        <v>11</v>
      </c>
      <c r="I410" s="2" t="s">
        <v>70</v>
      </c>
      <c r="J410" s="2">
        <v>3.6</v>
      </c>
      <c r="K410" s="2" t="s">
        <v>41</v>
      </c>
      <c r="L410" s="2">
        <v>0.73</v>
      </c>
      <c r="M410" s="2" t="s">
        <v>82</v>
      </c>
      <c r="N410" s="2" t="s">
        <v>34</v>
      </c>
      <c r="O410" s="2">
        <v>14</v>
      </c>
      <c r="P410" s="2" t="str">
        <f>IF(global_freelancer_raw5[[#This Row],[No of projects ]]&lt;=5,"Entry level","Well Experienced")</f>
        <v>Well Experienced</v>
      </c>
      <c r="Q410" s="2">
        <v>7</v>
      </c>
    </row>
    <row r="411" spans="1:17" x14ac:dyDescent="0.3">
      <c r="A411" t="s">
        <v>924</v>
      </c>
      <c r="B411" t="s">
        <v>925</v>
      </c>
      <c r="C411" t="s">
        <v>97</v>
      </c>
      <c r="D411" s="2">
        <v>20</v>
      </c>
      <c r="E411" t="s">
        <v>212</v>
      </c>
      <c r="F411" t="s">
        <v>92</v>
      </c>
      <c r="G411" s="2" t="s">
        <v>39</v>
      </c>
      <c r="H411" s="2">
        <v>2</v>
      </c>
      <c r="I411" s="2" t="s">
        <v>52</v>
      </c>
      <c r="J411" s="2">
        <v>0</v>
      </c>
      <c r="K411" s="2" t="s">
        <v>23</v>
      </c>
      <c r="L411" s="2">
        <v>0.94</v>
      </c>
      <c r="M411" s="2" t="s">
        <v>24</v>
      </c>
      <c r="N411" s="2" t="s">
        <v>75</v>
      </c>
      <c r="O411" s="2">
        <v>2</v>
      </c>
      <c r="P411" s="2" t="str">
        <f>IF(global_freelancer_raw5[[#This Row],[No of projects ]]&lt;=5,"Entry level","Well Experienced")</f>
        <v>Entry level</v>
      </c>
      <c r="Q411" s="2">
        <v>4</v>
      </c>
    </row>
    <row r="412" spans="1:17" x14ac:dyDescent="0.3">
      <c r="A412" t="s">
        <v>926</v>
      </c>
      <c r="B412" t="s">
        <v>927</v>
      </c>
      <c r="C412" t="s">
        <v>97</v>
      </c>
      <c r="D412" s="2">
        <v>50</v>
      </c>
      <c r="E412" t="s">
        <v>29</v>
      </c>
      <c r="F412" t="s">
        <v>30</v>
      </c>
      <c r="G412" s="2" t="s">
        <v>46</v>
      </c>
      <c r="H412" s="2">
        <v>31</v>
      </c>
      <c r="I412" s="2" t="s">
        <v>81</v>
      </c>
      <c r="J412" s="2">
        <v>4.0999999999999996</v>
      </c>
      <c r="K412" s="2" t="s">
        <v>2120</v>
      </c>
      <c r="L412" s="2">
        <v>0.81</v>
      </c>
      <c r="M412" s="2" t="s">
        <v>88</v>
      </c>
      <c r="N412" s="2" t="s">
        <v>75</v>
      </c>
      <c r="O412" s="2">
        <v>11</v>
      </c>
      <c r="P412" s="2" t="str">
        <f>IF(global_freelancer_raw5[[#This Row],[No of projects ]]&lt;=5,"Entry level","Well Experienced")</f>
        <v>Well Experienced</v>
      </c>
      <c r="Q412" s="2">
        <v>3</v>
      </c>
    </row>
    <row r="413" spans="1:17" x14ac:dyDescent="0.3">
      <c r="A413" t="s">
        <v>928</v>
      </c>
      <c r="B413" t="s">
        <v>929</v>
      </c>
      <c r="C413" t="s">
        <v>97</v>
      </c>
      <c r="D413" s="2">
        <v>58</v>
      </c>
      <c r="E413" t="s">
        <v>79</v>
      </c>
      <c r="F413" t="s">
        <v>80</v>
      </c>
      <c r="G413" s="2" t="s">
        <v>39</v>
      </c>
      <c r="H413" s="2">
        <v>17</v>
      </c>
      <c r="I413" s="2" t="s">
        <v>81</v>
      </c>
      <c r="J413" s="2">
        <v>2.6</v>
      </c>
      <c r="K413" s="2" t="s">
        <v>33</v>
      </c>
      <c r="L413" s="2">
        <v>0.61</v>
      </c>
      <c r="M413" s="2" t="s">
        <v>24</v>
      </c>
      <c r="N413" s="2" t="s">
        <v>34</v>
      </c>
      <c r="O413" s="2">
        <v>20</v>
      </c>
      <c r="P413" s="2" t="str">
        <f>IF(global_freelancer_raw5[[#This Row],[No of projects ]]&lt;=5,"Entry level","Well Experienced")</f>
        <v>Well Experienced</v>
      </c>
      <c r="Q413" s="2">
        <v>1</v>
      </c>
    </row>
    <row r="414" spans="1:17" x14ac:dyDescent="0.3">
      <c r="A414" t="s">
        <v>930</v>
      </c>
      <c r="B414" t="s">
        <v>931</v>
      </c>
      <c r="C414" t="s">
        <v>97</v>
      </c>
      <c r="D414" s="2">
        <v>40</v>
      </c>
      <c r="E414" t="s">
        <v>128</v>
      </c>
      <c r="F414" t="s">
        <v>129</v>
      </c>
      <c r="G414" s="2" t="s">
        <v>93</v>
      </c>
      <c r="H414" s="2">
        <v>2</v>
      </c>
      <c r="I414" s="2" t="s">
        <v>251</v>
      </c>
      <c r="J414" s="2">
        <v>0</v>
      </c>
      <c r="K414" s="2" t="s">
        <v>23</v>
      </c>
      <c r="L414" s="2" t="s">
        <v>2120</v>
      </c>
      <c r="M414" s="2" t="s">
        <v>24</v>
      </c>
      <c r="N414" s="2" t="s">
        <v>42</v>
      </c>
      <c r="O414" s="2">
        <v>3</v>
      </c>
      <c r="P414" s="2" t="str">
        <f>IF(global_freelancer_raw5[[#This Row],[No of projects ]]&lt;=5,"Entry level","Well Experienced")</f>
        <v>Entry level</v>
      </c>
      <c r="Q414" s="2">
        <v>5</v>
      </c>
    </row>
    <row r="415" spans="1:17" x14ac:dyDescent="0.3">
      <c r="A415" t="s">
        <v>932</v>
      </c>
      <c r="B415" t="s">
        <v>933</v>
      </c>
      <c r="C415" t="s">
        <v>97</v>
      </c>
      <c r="D415" s="2">
        <v>26</v>
      </c>
      <c r="E415" t="s">
        <v>160</v>
      </c>
      <c r="F415" t="s">
        <v>161</v>
      </c>
      <c r="G415" s="2" t="s">
        <v>46</v>
      </c>
      <c r="H415" s="2">
        <v>2</v>
      </c>
      <c r="I415" s="2" t="s">
        <v>162</v>
      </c>
      <c r="J415" s="2">
        <v>1.3</v>
      </c>
      <c r="K415" s="2" t="s">
        <v>181</v>
      </c>
      <c r="L415" s="2">
        <v>0.83</v>
      </c>
      <c r="M415" s="2" t="s">
        <v>82</v>
      </c>
      <c r="N415" s="2" t="s">
        <v>42</v>
      </c>
      <c r="O415" s="2">
        <v>1</v>
      </c>
      <c r="P415" s="2" t="str">
        <f>IF(global_freelancer_raw5[[#This Row],[No of projects ]]&lt;=5,"Entry level","Well Experienced")</f>
        <v>Entry level</v>
      </c>
      <c r="Q415" s="2">
        <v>5</v>
      </c>
    </row>
    <row r="416" spans="1:17" x14ac:dyDescent="0.3">
      <c r="A416" t="s">
        <v>934</v>
      </c>
      <c r="B416" t="s">
        <v>935</v>
      </c>
      <c r="C416" t="s">
        <v>97</v>
      </c>
      <c r="D416" s="2">
        <v>44</v>
      </c>
      <c r="E416" t="s">
        <v>133</v>
      </c>
      <c r="F416" t="s">
        <v>134</v>
      </c>
      <c r="G416" s="2" t="s">
        <v>98</v>
      </c>
      <c r="H416" s="2">
        <v>22</v>
      </c>
      <c r="I416" s="2" t="s">
        <v>52</v>
      </c>
      <c r="J416" s="2">
        <v>4.0999999999999996</v>
      </c>
      <c r="K416" s="2" t="s">
        <v>94</v>
      </c>
      <c r="L416" s="2" t="s">
        <v>2120</v>
      </c>
      <c r="M416" s="2" t="s">
        <v>24</v>
      </c>
      <c r="N416" s="2" t="s">
        <v>75</v>
      </c>
      <c r="O416" s="2">
        <v>15</v>
      </c>
      <c r="P416" s="2" t="str">
        <f>IF(global_freelancer_raw5[[#This Row],[No of projects ]]&lt;=5,"Entry level","Well Experienced")</f>
        <v>Well Experienced</v>
      </c>
      <c r="Q416" s="2">
        <v>5</v>
      </c>
    </row>
    <row r="417" spans="1:17" x14ac:dyDescent="0.3">
      <c r="A417" t="s">
        <v>936</v>
      </c>
      <c r="B417" t="s">
        <v>937</v>
      </c>
      <c r="C417" t="s">
        <v>118</v>
      </c>
      <c r="D417" s="2">
        <v>42</v>
      </c>
      <c r="E417" t="s">
        <v>201</v>
      </c>
      <c r="F417" t="s">
        <v>92</v>
      </c>
      <c r="G417" s="2" t="s">
        <v>135</v>
      </c>
      <c r="H417" s="2">
        <v>8</v>
      </c>
      <c r="I417" s="2" t="s">
        <v>81</v>
      </c>
      <c r="J417" s="2">
        <v>2.4</v>
      </c>
      <c r="K417" s="2" t="s">
        <v>181</v>
      </c>
      <c r="L417" s="2">
        <v>0.68</v>
      </c>
      <c r="M417" s="2" t="s">
        <v>82</v>
      </c>
      <c r="N417" s="2" t="s">
        <v>42</v>
      </c>
      <c r="O417" s="2">
        <v>7</v>
      </c>
      <c r="P417" s="2" t="str">
        <f>IF(global_freelancer_raw5[[#This Row],[No of projects ]]&lt;=5,"Entry level","Well Experienced")</f>
        <v>Well Experienced</v>
      </c>
      <c r="Q417" s="2">
        <v>11</v>
      </c>
    </row>
    <row r="418" spans="1:17" x14ac:dyDescent="0.3">
      <c r="A418" t="s">
        <v>938</v>
      </c>
      <c r="B418" t="s">
        <v>358</v>
      </c>
      <c r="C418" t="s">
        <v>118</v>
      </c>
      <c r="D418" s="2">
        <v>38</v>
      </c>
      <c r="E418" t="s">
        <v>201</v>
      </c>
      <c r="F418" t="s">
        <v>92</v>
      </c>
      <c r="G418" s="2" t="s">
        <v>66</v>
      </c>
      <c r="H418" s="2">
        <v>9</v>
      </c>
      <c r="I418" s="2" t="s">
        <v>81</v>
      </c>
      <c r="J418" s="2">
        <v>0</v>
      </c>
      <c r="K418" s="2" t="s">
        <v>23</v>
      </c>
      <c r="L418" s="2">
        <v>0.74</v>
      </c>
      <c r="M418" s="2" t="s">
        <v>60</v>
      </c>
      <c r="N418" s="2" t="s">
        <v>34</v>
      </c>
      <c r="O418" s="2">
        <v>9</v>
      </c>
      <c r="P418" s="2" t="str">
        <f>IF(global_freelancer_raw5[[#This Row],[No of projects ]]&lt;=5,"Entry level","Well Experienced")</f>
        <v>Well Experienced</v>
      </c>
      <c r="Q418" s="2">
        <v>9</v>
      </c>
    </row>
    <row r="419" spans="1:17" x14ac:dyDescent="0.3">
      <c r="A419" t="s">
        <v>939</v>
      </c>
      <c r="B419" t="s">
        <v>940</v>
      </c>
      <c r="C419" t="s">
        <v>118</v>
      </c>
      <c r="D419" s="2">
        <v>51</v>
      </c>
      <c r="E419" t="s">
        <v>160</v>
      </c>
      <c r="F419" t="s">
        <v>161</v>
      </c>
      <c r="G419" s="2" t="s">
        <v>46</v>
      </c>
      <c r="H419" s="2">
        <v>32</v>
      </c>
      <c r="I419" s="2" t="s">
        <v>22</v>
      </c>
      <c r="J419" s="2">
        <v>4.4000000000000004</v>
      </c>
      <c r="K419" s="2" t="s">
        <v>59</v>
      </c>
      <c r="L419" s="2">
        <v>91</v>
      </c>
      <c r="M419" s="2" t="s">
        <v>60</v>
      </c>
      <c r="N419" s="2" t="s">
        <v>42</v>
      </c>
      <c r="O419" s="2">
        <v>14</v>
      </c>
      <c r="P419" s="2" t="str">
        <f>IF(global_freelancer_raw5[[#This Row],[No of projects ]]&lt;=5,"Entry level","Well Experienced")</f>
        <v>Well Experienced</v>
      </c>
      <c r="Q419" s="2">
        <v>15</v>
      </c>
    </row>
    <row r="420" spans="1:17" x14ac:dyDescent="0.3">
      <c r="A420" t="s">
        <v>941</v>
      </c>
      <c r="B420" t="s">
        <v>942</v>
      </c>
      <c r="C420" t="s">
        <v>97</v>
      </c>
      <c r="D420" s="2">
        <v>36</v>
      </c>
      <c r="E420" t="s">
        <v>156</v>
      </c>
      <c r="F420" t="s">
        <v>157</v>
      </c>
      <c r="G420" s="2" t="s">
        <v>57</v>
      </c>
      <c r="H420" s="2">
        <v>8</v>
      </c>
      <c r="I420" s="2" t="s">
        <v>32</v>
      </c>
      <c r="J420" s="2">
        <v>2.2000000000000002</v>
      </c>
      <c r="K420" s="2" t="s">
        <v>33</v>
      </c>
      <c r="L420" s="2">
        <v>0.97</v>
      </c>
      <c r="M420" s="2" t="s">
        <v>82</v>
      </c>
      <c r="N420" s="2" t="s">
        <v>75</v>
      </c>
      <c r="O420" s="2">
        <v>10</v>
      </c>
      <c r="P420" s="2" t="str">
        <f>IF(global_freelancer_raw5[[#This Row],[No of projects ]]&lt;=5,"Entry level","Well Experienced")</f>
        <v>Well Experienced</v>
      </c>
      <c r="Q420" s="2">
        <v>5</v>
      </c>
    </row>
    <row r="421" spans="1:17" x14ac:dyDescent="0.3">
      <c r="A421" t="s">
        <v>943</v>
      </c>
      <c r="B421" t="s">
        <v>944</v>
      </c>
      <c r="C421" t="s">
        <v>97</v>
      </c>
      <c r="D421" s="2">
        <v>37</v>
      </c>
      <c r="E421" t="s">
        <v>29</v>
      </c>
      <c r="F421" t="s">
        <v>30</v>
      </c>
      <c r="G421" s="2" t="s">
        <v>31</v>
      </c>
      <c r="H421" s="2">
        <v>10</v>
      </c>
      <c r="I421" s="2" t="s">
        <v>52</v>
      </c>
      <c r="J421" s="2">
        <v>0</v>
      </c>
      <c r="K421" s="2" t="s">
        <v>23</v>
      </c>
      <c r="L421" s="2">
        <v>0.96</v>
      </c>
      <c r="M421" s="2" t="s">
        <v>60</v>
      </c>
      <c r="N421" s="2" t="s">
        <v>34</v>
      </c>
      <c r="O421" s="2">
        <v>15</v>
      </c>
      <c r="P421" s="2" t="str">
        <f>IF(global_freelancer_raw5[[#This Row],[No of projects ]]&lt;=5,"Entry level","Well Experienced")</f>
        <v>Well Experienced</v>
      </c>
      <c r="Q421" s="2">
        <v>12</v>
      </c>
    </row>
    <row r="422" spans="1:17" x14ac:dyDescent="0.3">
      <c r="A422" t="s">
        <v>945</v>
      </c>
      <c r="B422" t="s">
        <v>946</v>
      </c>
      <c r="C422" t="s">
        <v>118</v>
      </c>
      <c r="D422" s="2">
        <v>31</v>
      </c>
      <c r="E422" t="s">
        <v>175</v>
      </c>
      <c r="F422" t="s">
        <v>176</v>
      </c>
      <c r="G422" s="2" t="s">
        <v>110</v>
      </c>
      <c r="H422" s="2">
        <v>0</v>
      </c>
      <c r="I422" s="2" t="s">
        <v>40</v>
      </c>
      <c r="J422" s="2">
        <v>1.1000000000000001</v>
      </c>
      <c r="K422" s="2" t="s">
        <v>94</v>
      </c>
      <c r="L422" s="2">
        <v>0.73</v>
      </c>
      <c r="M422" s="2" t="s">
        <v>88</v>
      </c>
      <c r="N422" s="2" t="s">
        <v>42</v>
      </c>
      <c r="O422" s="2">
        <v>2</v>
      </c>
      <c r="P422" s="2" t="str">
        <f>IF(global_freelancer_raw5[[#This Row],[No of projects ]]&lt;=5,"Entry level","Well Experienced")</f>
        <v>Entry level</v>
      </c>
      <c r="Q422" s="2">
        <v>1</v>
      </c>
    </row>
    <row r="423" spans="1:17" x14ac:dyDescent="0.3">
      <c r="A423" t="s">
        <v>947</v>
      </c>
      <c r="B423" t="s">
        <v>948</v>
      </c>
      <c r="C423" t="s">
        <v>97</v>
      </c>
      <c r="D423" s="2">
        <v>47</v>
      </c>
      <c r="E423" t="s">
        <v>114</v>
      </c>
      <c r="F423" t="s">
        <v>115</v>
      </c>
      <c r="G423" s="2" t="s">
        <v>98</v>
      </c>
      <c r="H423" s="2">
        <v>22</v>
      </c>
      <c r="I423" s="2" t="s">
        <v>2119</v>
      </c>
      <c r="J423" s="2">
        <v>1.4</v>
      </c>
      <c r="K423" s="2" t="s">
        <v>87</v>
      </c>
      <c r="L423" s="2">
        <v>0.72</v>
      </c>
      <c r="M423" s="2" t="s">
        <v>24</v>
      </c>
      <c r="N423" s="2" t="s">
        <v>25</v>
      </c>
      <c r="O423" s="2">
        <v>19</v>
      </c>
      <c r="P423" s="2" t="str">
        <f>IF(global_freelancer_raw5[[#This Row],[No of projects ]]&lt;=5,"Entry level","Well Experienced")</f>
        <v>Well Experienced</v>
      </c>
      <c r="Q423" s="2">
        <v>2</v>
      </c>
    </row>
    <row r="424" spans="1:17" x14ac:dyDescent="0.3">
      <c r="A424" t="s">
        <v>949</v>
      </c>
      <c r="B424" t="s">
        <v>950</v>
      </c>
      <c r="C424" t="s">
        <v>97</v>
      </c>
      <c r="D424" s="2">
        <v>60</v>
      </c>
      <c r="E424" t="s">
        <v>201</v>
      </c>
      <c r="F424" t="s">
        <v>92</v>
      </c>
      <c r="G424" s="2" t="s">
        <v>93</v>
      </c>
      <c r="H424" s="2">
        <v>34</v>
      </c>
      <c r="I424" s="2" t="s">
        <v>251</v>
      </c>
      <c r="J424" s="2">
        <v>0</v>
      </c>
      <c r="K424" s="2" t="s">
        <v>74</v>
      </c>
      <c r="L424" s="2">
        <v>0.74</v>
      </c>
      <c r="M424" s="2" t="s">
        <v>88</v>
      </c>
      <c r="N424" s="2" t="s">
        <v>34</v>
      </c>
      <c r="O424" s="2">
        <v>19</v>
      </c>
      <c r="P424" s="2" t="str">
        <f>IF(global_freelancer_raw5[[#This Row],[No of projects ]]&lt;=5,"Entry level","Well Experienced")</f>
        <v>Well Experienced</v>
      </c>
      <c r="Q424" s="2">
        <v>14</v>
      </c>
    </row>
    <row r="425" spans="1:17" x14ac:dyDescent="0.3">
      <c r="A425" t="s">
        <v>951</v>
      </c>
      <c r="B425" t="s">
        <v>952</v>
      </c>
      <c r="C425" t="s">
        <v>97</v>
      </c>
      <c r="D425" s="2">
        <v>48</v>
      </c>
      <c r="E425" t="s">
        <v>91</v>
      </c>
      <c r="F425" t="s">
        <v>92</v>
      </c>
      <c r="G425" s="2" t="s">
        <v>31</v>
      </c>
      <c r="H425" s="2">
        <v>5</v>
      </c>
      <c r="I425" s="2" t="s">
        <v>52</v>
      </c>
      <c r="J425" s="2">
        <v>1.5</v>
      </c>
      <c r="K425" s="2" t="s">
        <v>41</v>
      </c>
      <c r="L425" s="2" t="s">
        <v>2120</v>
      </c>
      <c r="M425" s="2" t="s">
        <v>24</v>
      </c>
      <c r="N425" s="2" t="s">
        <v>34</v>
      </c>
      <c r="O425" s="2">
        <v>4</v>
      </c>
      <c r="P425" s="2" t="str">
        <f>IF(global_freelancer_raw5[[#This Row],[No of projects ]]&lt;=5,"Entry level","Well Experienced")</f>
        <v>Entry level</v>
      </c>
      <c r="Q425" s="2">
        <v>2</v>
      </c>
    </row>
    <row r="426" spans="1:17" x14ac:dyDescent="0.3">
      <c r="A426" t="s">
        <v>953</v>
      </c>
      <c r="B426" t="s">
        <v>954</v>
      </c>
      <c r="C426" t="s">
        <v>97</v>
      </c>
      <c r="D426" s="2">
        <v>24</v>
      </c>
      <c r="E426" t="s">
        <v>114</v>
      </c>
      <c r="F426" t="s">
        <v>115</v>
      </c>
      <c r="G426" s="2" t="s">
        <v>57</v>
      </c>
      <c r="H426" s="2">
        <v>3</v>
      </c>
      <c r="I426" s="2" t="s">
        <v>162</v>
      </c>
      <c r="J426" s="2">
        <v>0</v>
      </c>
      <c r="K426" s="2" t="s">
        <v>33</v>
      </c>
      <c r="L426" s="2" t="s">
        <v>2120</v>
      </c>
      <c r="M426" s="2" t="s">
        <v>60</v>
      </c>
      <c r="N426" s="2" t="s">
        <v>25</v>
      </c>
      <c r="O426" s="2">
        <v>2</v>
      </c>
      <c r="P426" s="2" t="str">
        <f>IF(global_freelancer_raw5[[#This Row],[No of projects ]]&lt;=5,"Entry level","Well Experienced")</f>
        <v>Entry level</v>
      </c>
      <c r="Q426" s="2">
        <v>1</v>
      </c>
    </row>
    <row r="427" spans="1:17" x14ac:dyDescent="0.3">
      <c r="A427" t="s">
        <v>955</v>
      </c>
      <c r="B427" t="s">
        <v>956</v>
      </c>
      <c r="C427" t="s">
        <v>97</v>
      </c>
      <c r="D427" s="2">
        <v>35</v>
      </c>
      <c r="E427" t="s">
        <v>55</v>
      </c>
      <c r="F427" t="s">
        <v>56</v>
      </c>
      <c r="G427" s="2" t="s">
        <v>135</v>
      </c>
      <c r="H427" s="2">
        <v>10</v>
      </c>
      <c r="I427" s="2" t="s">
        <v>103</v>
      </c>
      <c r="J427" s="2">
        <v>0</v>
      </c>
      <c r="K427" s="2" t="s">
        <v>2120</v>
      </c>
      <c r="L427" s="2">
        <v>0.74</v>
      </c>
      <c r="M427" s="2" t="s">
        <v>88</v>
      </c>
      <c r="N427" s="2" t="s">
        <v>25</v>
      </c>
      <c r="O427" s="2">
        <v>8</v>
      </c>
      <c r="P427" s="2" t="str">
        <f>IF(global_freelancer_raw5[[#This Row],[No of projects ]]&lt;=5,"Entry level","Well Experienced")</f>
        <v>Well Experienced</v>
      </c>
      <c r="Q427" s="2">
        <v>9</v>
      </c>
    </row>
    <row r="428" spans="1:17" x14ac:dyDescent="0.3">
      <c r="A428" t="s">
        <v>957</v>
      </c>
      <c r="B428" t="s">
        <v>958</v>
      </c>
      <c r="C428" t="s">
        <v>118</v>
      </c>
      <c r="D428" s="2">
        <v>35</v>
      </c>
      <c r="E428" t="s">
        <v>73</v>
      </c>
      <c r="F428" t="s">
        <v>30</v>
      </c>
      <c r="G428" s="2" t="s">
        <v>110</v>
      </c>
      <c r="H428" s="2" t="s">
        <v>2120</v>
      </c>
      <c r="I428" s="2" t="s">
        <v>22</v>
      </c>
      <c r="J428" s="2">
        <v>3.5</v>
      </c>
      <c r="K428" s="2" t="s">
        <v>94</v>
      </c>
      <c r="L428" s="2">
        <v>0.71</v>
      </c>
      <c r="M428" s="2" t="s">
        <v>60</v>
      </c>
      <c r="N428" s="2" t="s">
        <v>34</v>
      </c>
      <c r="O428" s="2">
        <v>2</v>
      </c>
      <c r="P428" s="2" t="str">
        <f>IF(global_freelancer_raw5[[#This Row],[No of projects ]]&lt;=5,"Entry level","Well Experienced")</f>
        <v>Entry level</v>
      </c>
      <c r="Q428" s="2">
        <v>1</v>
      </c>
    </row>
    <row r="429" spans="1:17" x14ac:dyDescent="0.3">
      <c r="A429" t="s">
        <v>959</v>
      </c>
      <c r="B429" t="s">
        <v>960</v>
      </c>
      <c r="C429" t="s">
        <v>97</v>
      </c>
      <c r="D429" s="2">
        <v>29</v>
      </c>
      <c r="E429" t="s">
        <v>55</v>
      </c>
      <c r="F429" t="s">
        <v>56</v>
      </c>
      <c r="G429" s="2" t="s">
        <v>93</v>
      </c>
      <c r="H429" s="2">
        <v>6</v>
      </c>
      <c r="I429" s="2" t="s">
        <v>2119</v>
      </c>
      <c r="J429" s="2">
        <v>4.8</v>
      </c>
      <c r="K429" s="2" t="s">
        <v>41</v>
      </c>
      <c r="L429" s="2">
        <v>0.83</v>
      </c>
      <c r="M429" s="2" t="s">
        <v>24</v>
      </c>
      <c r="N429" s="2" t="s">
        <v>25</v>
      </c>
      <c r="O429" s="2">
        <v>14</v>
      </c>
      <c r="P429" s="2" t="str">
        <f>IF(global_freelancer_raw5[[#This Row],[No of projects ]]&lt;=5,"Entry level","Well Experienced")</f>
        <v>Well Experienced</v>
      </c>
      <c r="Q429" s="2">
        <v>2</v>
      </c>
    </row>
    <row r="430" spans="1:17" x14ac:dyDescent="0.3">
      <c r="A430" t="s">
        <v>961</v>
      </c>
      <c r="B430" t="s">
        <v>962</v>
      </c>
      <c r="C430" t="s">
        <v>97</v>
      </c>
      <c r="D430" s="2">
        <v>36</v>
      </c>
      <c r="E430" t="s">
        <v>19</v>
      </c>
      <c r="F430" t="s">
        <v>20</v>
      </c>
      <c r="G430" s="2" t="s">
        <v>135</v>
      </c>
      <c r="H430" s="2">
        <v>1</v>
      </c>
      <c r="I430" s="2" t="s">
        <v>192</v>
      </c>
      <c r="J430" s="2" t="s">
        <v>2120</v>
      </c>
      <c r="K430" s="2" t="s">
        <v>2120</v>
      </c>
      <c r="L430" s="2">
        <v>0.63</v>
      </c>
      <c r="M430" s="2" t="s">
        <v>82</v>
      </c>
      <c r="N430" s="2" t="s">
        <v>75</v>
      </c>
      <c r="O430" s="2">
        <v>4</v>
      </c>
      <c r="P430" s="2" t="str">
        <f>IF(global_freelancer_raw5[[#This Row],[No of projects ]]&lt;=5,"Entry level","Well Experienced")</f>
        <v>Entry level</v>
      </c>
      <c r="Q430" s="2">
        <v>2</v>
      </c>
    </row>
    <row r="431" spans="1:17" x14ac:dyDescent="0.3">
      <c r="A431" t="s">
        <v>963</v>
      </c>
      <c r="B431" t="s">
        <v>964</v>
      </c>
      <c r="C431" t="s">
        <v>97</v>
      </c>
      <c r="D431" s="2">
        <v>44</v>
      </c>
      <c r="E431" t="s">
        <v>149</v>
      </c>
      <c r="F431" t="s">
        <v>30</v>
      </c>
      <c r="G431" s="2" t="s">
        <v>57</v>
      </c>
      <c r="H431" s="2">
        <v>0</v>
      </c>
      <c r="I431" s="2" t="s">
        <v>2119</v>
      </c>
      <c r="J431" s="2">
        <v>4.8</v>
      </c>
      <c r="K431" s="2" t="s">
        <v>2120</v>
      </c>
      <c r="L431" s="2">
        <v>0.84</v>
      </c>
      <c r="M431" s="2" t="s">
        <v>82</v>
      </c>
      <c r="N431" s="2" t="s">
        <v>75</v>
      </c>
      <c r="O431" s="2">
        <v>4</v>
      </c>
      <c r="P431" s="2" t="str">
        <f>IF(global_freelancer_raw5[[#This Row],[No of projects ]]&lt;=5,"Entry level","Well Experienced")</f>
        <v>Entry level</v>
      </c>
      <c r="Q431" s="2">
        <v>1</v>
      </c>
    </row>
    <row r="432" spans="1:17" x14ac:dyDescent="0.3">
      <c r="A432" t="s">
        <v>965</v>
      </c>
      <c r="B432" t="s">
        <v>966</v>
      </c>
      <c r="C432" t="s">
        <v>118</v>
      </c>
      <c r="D432" s="2">
        <v>44</v>
      </c>
      <c r="E432" t="s">
        <v>175</v>
      </c>
      <c r="F432" t="s">
        <v>176</v>
      </c>
      <c r="G432" s="2" t="s">
        <v>46</v>
      </c>
      <c r="H432" s="2" t="s">
        <v>2120</v>
      </c>
      <c r="I432" s="2" t="s">
        <v>2119</v>
      </c>
      <c r="J432" s="2">
        <v>1.4</v>
      </c>
      <c r="K432" s="2" t="s">
        <v>23</v>
      </c>
      <c r="L432" s="2">
        <v>0.93</v>
      </c>
      <c r="M432" s="2" t="s">
        <v>88</v>
      </c>
      <c r="N432" s="2" t="s">
        <v>75</v>
      </c>
      <c r="O432" s="2">
        <v>3</v>
      </c>
      <c r="P432" s="2" t="str">
        <f>IF(global_freelancer_raw5[[#This Row],[No of projects ]]&lt;=5,"Entry level","Well Experienced")</f>
        <v>Entry level</v>
      </c>
      <c r="Q432" s="2">
        <v>1</v>
      </c>
    </row>
    <row r="433" spans="1:17" x14ac:dyDescent="0.3">
      <c r="A433" t="s">
        <v>967</v>
      </c>
      <c r="B433" t="s">
        <v>968</v>
      </c>
      <c r="C433" t="s">
        <v>118</v>
      </c>
      <c r="D433" s="2">
        <v>40</v>
      </c>
      <c r="E433" t="s">
        <v>114</v>
      </c>
      <c r="F433" t="s">
        <v>115</v>
      </c>
      <c r="G433" s="2" t="s">
        <v>57</v>
      </c>
      <c r="H433" s="2">
        <v>13</v>
      </c>
      <c r="I433" s="2" t="s">
        <v>32</v>
      </c>
      <c r="J433" s="2">
        <v>1.1000000000000001</v>
      </c>
      <c r="K433" s="2" t="s">
        <v>33</v>
      </c>
      <c r="L433" s="2" t="s">
        <v>2120</v>
      </c>
      <c r="M433" s="2" t="s">
        <v>60</v>
      </c>
      <c r="N433" s="2" t="s">
        <v>34</v>
      </c>
      <c r="O433" s="2">
        <v>13</v>
      </c>
      <c r="P433" s="2" t="str">
        <f>IF(global_freelancer_raw5[[#This Row],[No of projects ]]&lt;=5,"Entry level","Well Experienced")</f>
        <v>Well Experienced</v>
      </c>
      <c r="Q433" s="2">
        <v>9</v>
      </c>
    </row>
    <row r="434" spans="1:17" x14ac:dyDescent="0.3">
      <c r="A434" t="s">
        <v>969</v>
      </c>
      <c r="B434" t="s">
        <v>970</v>
      </c>
      <c r="C434" t="s">
        <v>97</v>
      </c>
      <c r="D434" s="2">
        <v>53</v>
      </c>
      <c r="E434" t="s">
        <v>55</v>
      </c>
      <c r="F434" t="s">
        <v>56</v>
      </c>
      <c r="G434" s="2" t="s">
        <v>135</v>
      </c>
      <c r="H434" s="2">
        <v>13</v>
      </c>
      <c r="I434" s="2" t="s">
        <v>81</v>
      </c>
      <c r="J434" s="2">
        <v>3.3</v>
      </c>
      <c r="K434" s="2" t="s">
        <v>94</v>
      </c>
      <c r="L434" s="2">
        <v>0.93</v>
      </c>
      <c r="M434" s="2" t="s">
        <v>60</v>
      </c>
      <c r="N434" s="2" t="s">
        <v>25</v>
      </c>
      <c r="O434" s="2">
        <v>10</v>
      </c>
      <c r="P434" s="2" t="str">
        <f>IF(global_freelancer_raw5[[#This Row],[No of projects ]]&lt;=5,"Entry level","Well Experienced")</f>
        <v>Well Experienced</v>
      </c>
      <c r="Q434" s="2">
        <v>10</v>
      </c>
    </row>
    <row r="435" spans="1:17" x14ac:dyDescent="0.3">
      <c r="A435" t="s">
        <v>971</v>
      </c>
      <c r="B435" t="s">
        <v>972</v>
      </c>
      <c r="C435" t="s">
        <v>97</v>
      </c>
      <c r="D435" s="2">
        <v>35</v>
      </c>
      <c r="E435" t="s">
        <v>38</v>
      </c>
      <c r="F435" t="s">
        <v>38</v>
      </c>
      <c r="G435" s="2" t="s">
        <v>21</v>
      </c>
      <c r="H435" s="2">
        <v>0</v>
      </c>
      <c r="I435" s="2" t="s">
        <v>130</v>
      </c>
      <c r="J435" s="2">
        <v>4.5999999999999996</v>
      </c>
      <c r="K435" s="2" t="s">
        <v>2120</v>
      </c>
      <c r="L435" s="2">
        <v>0.97</v>
      </c>
      <c r="M435" s="2" t="s">
        <v>88</v>
      </c>
      <c r="N435" s="2" t="s">
        <v>25</v>
      </c>
      <c r="O435" s="2">
        <v>1</v>
      </c>
      <c r="P435" s="2" t="str">
        <f>IF(global_freelancer_raw5[[#This Row],[No of projects ]]&lt;=5,"Entry level","Well Experienced")</f>
        <v>Entry level</v>
      </c>
      <c r="Q435" s="2">
        <v>1</v>
      </c>
    </row>
    <row r="436" spans="1:17" x14ac:dyDescent="0.3">
      <c r="A436" t="s">
        <v>973</v>
      </c>
      <c r="B436" t="s">
        <v>974</v>
      </c>
      <c r="C436" t="s">
        <v>97</v>
      </c>
      <c r="D436" s="2">
        <v>27</v>
      </c>
      <c r="E436" t="s">
        <v>91</v>
      </c>
      <c r="F436" t="s">
        <v>92</v>
      </c>
      <c r="G436" s="2" t="s">
        <v>135</v>
      </c>
      <c r="H436" s="2">
        <v>7</v>
      </c>
      <c r="I436" s="2" t="s">
        <v>67</v>
      </c>
      <c r="J436" s="2">
        <v>2.8</v>
      </c>
      <c r="K436" s="2" t="s">
        <v>33</v>
      </c>
      <c r="L436" s="2">
        <v>0.92</v>
      </c>
      <c r="M436" s="2" t="s">
        <v>82</v>
      </c>
      <c r="N436" s="2" t="s">
        <v>42</v>
      </c>
      <c r="O436" s="2">
        <v>7</v>
      </c>
      <c r="P436" s="2" t="str">
        <f>IF(global_freelancer_raw5[[#This Row],[No of projects ]]&lt;=5,"Entry level","Well Experienced")</f>
        <v>Well Experienced</v>
      </c>
      <c r="Q436" s="2">
        <v>4</v>
      </c>
    </row>
    <row r="437" spans="1:17" x14ac:dyDescent="0.3">
      <c r="A437" t="s">
        <v>975</v>
      </c>
      <c r="B437" t="s">
        <v>976</v>
      </c>
      <c r="C437" t="s">
        <v>118</v>
      </c>
      <c r="D437" s="2">
        <v>34</v>
      </c>
      <c r="E437" t="s">
        <v>29</v>
      </c>
      <c r="F437" t="s">
        <v>30</v>
      </c>
      <c r="G437" s="2" t="s">
        <v>110</v>
      </c>
      <c r="H437" s="2">
        <v>6</v>
      </c>
      <c r="I437" s="2" t="s">
        <v>40</v>
      </c>
      <c r="J437" s="2">
        <v>5</v>
      </c>
      <c r="K437" s="2" t="s">
        <v>94</v>
      </c>
      <c r="L437" s="2">
        <v>0.92</v>
      </c>
      <c r="M437" s="2" t="s">
        <v>24</v>
      </c>
      <c r="N437" s="2" t="s">
        <v>42</v>
      </c>
      <c r="O437" s="2">
        <v>8</v>
      </c>
      <c r="P437" s="2" t="str">
        <f>IF(global_freelancer_raw5[[#This Row],[No of projects ]]&lt;=5,"Entry level","Well Experienced")</f>
        <v>Well Experienced</v>
      </c>
      <c r="Q437" s="2">
        <v>3</v>
      </c>
    </row>
    <row r="438" spans="1:17" x14ac:dyDescent="0.3">
      <c r="A438" t="s">
        <v>977</v>
      </c>
      <c r="B438" t="s">
        <v>978</v>
      </c>
      <c r="C438" t="s">
        <v>118</v>
      </c>
      <c r="D438" s="2">
        <v>24</v>
      </c>
      <c r="E438" t="s">
        <v>114</v>
      </c>
      <c r="F438" t="s">
        <v>115</v>
      </c>
      <c r="G438" s="2" t="s">
        <v>98</v>
      </c>
      <c r="H438" s="2">
        <v>2</v>
      </c>
      <c r="I438" s="2" t="s">
        <v>103</v>
      </c>
      <c r="J438" s="2">
        <v>4.7</v>
      </c>
      <c r="K438" s="2" t="s">
        <v>181</v>
      </c>
      <c r="L438" s="2">
        <v>0.68</v>
      </c>
      <c r="M438" s="2" t="s">
        <v>88</v>
      </c>
      <c r="N438" s="2" t="s">
        <v>25</v>
      </c>
      <c r="O438" s="2">
        <v>1</v>
      </c>
      <c r="P438" s="2" t="str">
        <f>IF(global_freelancer_raw5[[#This Row],[No of projects ]]&lt;=5,"Entry level","Well Experienced")</f>
        <v>Entry level</v>
      </c>
      <c r="Q438" s="2">
        <v>2</v>
      </c>
    </row>
    <row r="439" spans="1:17" x14ac:dyDescent="0.3">
      <c r="A439" t="s">
        <v>979</v>
      </c>
      <c r="B439" t="s">
        <v>980</v>
      </c>
      <c r="C439" t="s">
        <v>118</v>
      </c>
      <c r="D439" s="2">
        <v>57</v>
      </c>
      <c r="E439" t="s">
        <v>73</v>
      </c>
      <c r="F439" t="s">
        <v>30</v>
      </c>
      <c r="G439" s="2" t="s">
        <v>93</v>
      </c>
      <c r="H439" s="2">
        <v>13</v>
      </c>
      <c r="I439" s="2" t="s">
        <v>22</v>
      </c>
      <c r="J439" s="2">
        <v>3.5</v>
      </c>
      <c r="K439" s="2" t="s">
        <v>181</v>
      </c>
      <c r="L439" s="2">
        <v>0.95</v>
      </c>
      <c r="M439" s="2" t="s">
        <v>24</v>
      </c>
      <c r="N439" s="2" t="s">
        <v>25</v>
      </c>
      <c r="O439" s="2">
        <v>13</v>
      </c>
      <c r="P439" s="2" t="str">
        <f>IF(global_freelancer_raw5[[#This Row],[No of projects ]]&lt;=5,"Entry level","Well Experienced")</f>
        <v>Well Experienced</v>
      </c>
      <c r="Q439" s="2">
        <v>3</v>
      </c>
    </row>
    <row r="440" spans="1:17" x14ac:dyDescent="0.3">
      <c r="A440" t="s">
        <v>981</v>
      </c>
      <c r="B440" t="s">
        <v>982</v>
      </c>
      <c r="C440" t="s">
        <v>118</v>
      </c>
      <c r="D440" s="2">
        <v>28</v>
      </c>
      <c r="E440" t="s">
        <v>133</v>
      </c>
      <c r="F440" t="s">
        <v>134</v>
      </c>
      <c r="G440" s="2" t="s">
        <v>93</v>
      </c>
      <c r="H440" s="2">
        <v>7</v>
      </c>
      <c r="I440" s="2" t="s">
        <v>251</v>
      </c>
      <c r="J440" s="2">
        <v>4.3</v>
      </c>
      <c r="K440" s="2" t="s">
        <v>59</v>
      </c>
      <c r="L440" s="2">
        <v>0.76</v>
      </c>
      <c r="M440" s="2" t="s">
        <v>82</v>
      </c>
      <c r="N440" s="2" t="s">
        <v>25</v>
      </c>
      <c r="O440" s="2">
        <v>7</v>
      </c>
      <c r="P440" s="2" t="str">
        <f>IF(global_freelancer_raw5[[#This Row],[No of projects ]]&lt;=5,"Entry level","Well Experienced")</f>
        <v>Well Experienced</v>
      </c>
      <c r="Q440" s="2">
        <v>12</v>
      </c>
    </row>
    <row r="441" spans="1:17" x14ac:dyDescent="0.3">
      <c r="A441" t="s">
        <v>983</v>
      </c>
      <c r="B441" t="s">
        <v>984</v>
      </c>
      <c r="C441" t="s">
        <v>97</v>
      </c>
      <c r="D441" s="2">
        <v>26</v>
      </c>
      <c r="E441" t="s">
        <v>19</v>
      </c>
      <c r="F441" t="s">
        <v>20</v>
      </c>
      <c r="G441" s="2" t="s">
        <v>110</v>
      </c>
      <c r="H441" s="2">
        <v>7</v>
      </c>
      <c r="I441" s="2" t="s">
        <v>32</v>
      </c>
      <c r="J441" s="2">
        <v>3.3</v>
      </c>
      <c r="K441" s="2" t="s">
        <v>87</v>
      </c>
      <c r="L441" s="2">
        <v>0.66</v>
      </c>
      <c r="M441" s="2" t="s">
        <v>60</v>
      </c>
      <c r="N441" s="2" t="s">
        <v>34</v>
      </c>
      <c r="O441" s="2">
        <v>14</v>
      </c>
      <c r="P441" s="2" t="str">
        <f>IF(global_freelancer_raw5[[#This Row],[No of projects ]]&lt;=5,"Entry level","Well Experienced")</f>
        <v>Well Experienced</v>
      </c>
      <c r="Q441" s="2">
        <v>9</v>
      </c>
    </row>
    <row r="442" spans="1:17" x14ac:dyDescent="0.3">
      <c r="A442" t="s">
        <v>985</v>
      </c>
      <c r="B442" t="s">
        <v>986</v>
      </c>
      <c r="C442" t="s">
        <v>118</v>
      </c>
      <c r="D442" s="2">
        <v>34</v>
      </c>
      <c r="E442" t="s">
        <v>91</v>
      </c>
      <c r="F442" t="s">
        <v>92</v>
      </c>
      <c r="G442" s="2" t="s">
        <v>31</v>
      </c>
      <c r="H442" s="2">
        <v>15</v>
      </c>
      <c r="I442" s="2" t="s">
        <v>103</v>
      </c>
      <c r="J442" s="2" t="s">
        <v>2120</v>
      </c>
      <c r="K442" s="2" t="s">
        <v>23</v>
      </c>
      <c r="L442" s="2">
        <v>0.73</v>
      </c>
      <c r="M442" s="2" t="s">
        <v>82</v>
      </c>
      <c r="N442" s="2" t="s">
        <v>25</v>
      </c>
      <c r="O442" s="2">
        <v>14</v>
      </c>
      <c r="P442" s="2" t="str">
        <f>IF(global_freelancer_raw5[[#This Row],[No of projects ]]&lt;=5,"Entry level","Well Experienced")</f>
        <v>Well Experienced</v>
      </c>
      <c r="Q442" s="2">
        <v>8</v>
      </c>
    </row>
    <row r="443" spans="1:17" x14ac:dyDescent="0.3">
      <c r="A443" t="s">
        <v>987</v>
      </c>
      <c r="B443" t="s">
        <v>988</v>
      </c>
      <c r="C443" t="s">
        <v>118</v>
      </c>
      <c r="D443" s="2">
        <v>43</v>
      </c>
      <c r="E443" t="s">
        <v>106</v>
      </c>
      <c r="F443" t="s">
        <v>107</v>
      </c>
      <c r="G443" s="2" t="s">
        <v>57</v>
      </c>
      <c r="H443" s="2" t="s">
        <v>2120</v>
      </c>
      <c r="I443" s="2" t="s">
        <v>336</v>
      </c>
      <c r="J443" s="2">
        <v>2.8</v>
      </c>
      <c r="K443" s="2" t="s">
        <v>2120</v>
      </c>
      <c r="L443" s="2">
        <v>0.99</v>
      </c>
      <c r="M443" s="2" t="s">
        <v>88</v>
      </c>
      <c r="N443" s="2" t="s">
        <v>42</v>
      </c>
      <c r="O443" s="2">
        <v>4</v>
      </c>
      <c r="P443" s="2" t="str">
        <f>IF(global_freelancer_raw5[[#This Row],[No of projects ]]&lt;=5,"Entry level","Well Experienced")</f>
        <v>Entry level</v>
      </c>
      <c r="Q443" s="2">
        <v>1</v>
      </c>
    </row>
    <row r="444" spans="1:17" x14ac:dyDescent="0.3">
      <c r="A444" t="s">
        <v>989</v>
      </c>
      <c r="B444" t="s">
        <v>990</v>
      </c>
      <c r="C444" t="s">
        <v>118</v>
      </c>
      <c r="D444" s="2">
        <v>31</v>
      </c>
      <c r="E444" t="s">
        <v>197</v>
      </c>
      <c r="F444" t="s">
        <v>198</v>
      </c>
      <c r="G444" s="2" t="s">
        <v>39</v>
      </c>
      <c r="H444" s="2">
        <v>5</v>
      </c>
      <c r="I444" s="2" t="s">
        <v>2119</v>
      </c>
      <c r="J444" s="2">
        <v>2.7</v>
      </c>
      <c r="K444" s="2" t="s">
        <v>33</v>
      </c>
      <c r="L444" s="2">
        <v>94</v>
      </c>
      <c r="M444" s="2" t="s">
        <v>60</v>
      </c>
      <c r="N444" s="2" t="s">
        <v>34</v>
      </c>
      <c r="O444" s="2">
        <v>4</v>
      </c>
      <c r="P444" s="2" t="str">
        <f>IF(global_freelancer_raw5[[#This Row],[No of projects ]]&lt;=5,"Entry level","Well Experienced")</f>
        <v>Entry level</v>
      </c>
      <c r="Q444" s="2">
        <v>1</v>
      </c>
    </row>
    <row r="445" spans="1:17" x14ac:dyDescent="0.3">
      <c r="A445" t="s">
        <v>991</v>
      </c>
      <c r="B445" t="s">
        <v>992</v>
      </c>
      <c r="C445" t="s">
        <v>97</v>
      </c>
      <c r="D445" s="2">
        <v>34</v>
      </c>
      <c r="E445" t="s">
        <v>197</v>
      </c>
      <c r="F445" t="s">
        <v>198</v>
      </c>
      <c r="G445" s="2" t="s">
        <v>21</v>
      </c>
      <c r="H445" s="2" t="s">
        <v>2120</v>
      </c>
      <c r="I445" s="2" t="s">
        <v>81</v>
      </c>
      <c r="J445" s="2">
        <v>0</v>
      </c>
      <c r="K445" s="2" t="s">
        <v>59</v>
      </c>
      <c r="L445" s="2">
        <v>84</v>
      </c>
      <c r="M445" s="2" t="s">
        <v>88</v>
      </c>
      <c r="N445" s="2" t="s">
        <v>25</v>
      </c>
      <c r="O445" s="2">
        <v>5</v>
      </c>
      <c r="P445" s="2" t="str">
        <f>IF(global_freelancer_raw5[[#This Row],[No of projects ]]&lt;=5,"Entry level","Well Experienced")</f>
        <v>Entry level</v>
      </c>
      <c r="Q445" s="2">
        <v>1</v>
      </c>
    </row>
    <row r="446" spans="1:17" x14ac:dyDescent="0.3">
      <c r="A446" t="s">
        <v>993</v>
      </c>
      <c r="B446" t="s">
        <v>994</v>
      </c>
      <c r="C446" t="s">
        <v>97</v>
      </c>
      <c r="D446" s="2">
        <v>32</v>
      </c>
      <c r="E446" t="s">
        <v>145</v>
      </c>
      <c r="F446" t="s">
        <v>146</v>
      </c>
      <c r="G446" s="2" t="s">
        <v>98</v>
      </c>
      <c r="H446" s="2">
        <v>10</v>
      </c>
      <c r="I446" s="2" t="s">
        <v>142</v>
      </c>
      <c r="J446" s="2" t="s">
        <v>2120</v>
      </c>
      <c r="K446" s="2" t="s">
        <v>94</v>
      </c>
      <c r="L446" s="2">
        <v>0.92</v>
      </c>
      <c r="M446" s="2" t="s">
        <v>88</v>
      </c>
      <c r="N446" s="2" t="s">
        <v>42</v>
      </c>
      <c r="O446" s="2">
        <v>12</v>
      </c>
      <c r="P446" s="2" t="str">
        <f>IF(global_freelancer_raw5[[#This Row],[No of projects ]]&lt;=5,"Entry level","Well Experienced")</f>
        <v>Well Experienced</v>
      </c>
      <c r="Q446" s="2">
        <v>4</v>
      </c>
    </row>
    <row r="447" spans="1:17" x14ac:dyDescent="0.3">
      <c r="A447" t="s">
        <v>995</v>
      </c>
      <c r="B447" t="s">
        <v>996</v>
      </c>
      <c r="C447" t="s">
        <v>118</v>
      </c>
      <c r="D447" s="2">
        <v>24</v>
      </c>
      <c r="E447" t="s">
        <v>160</v>
      </c>
      <c r="F447" t="s">
        <v>161</v>
      </c>
      <c r="G447" s="2" t="s">
        <v>110</v>
      </c>
      <c r="H447" s="2">
        <v>6</v>
      </c>
      <c r="I447" s="2" t="s">
        <v>192</v>
      </c>
      <c r="J447" s="2">
        <v>4.3</v>
      </c>
      <c r="K447" s="2" t="s">
        <v>87</v>
      </c>
      <c r="L447" s="2" t="s">
        <v>2120</v>
      </c>
      <c r="M447" s="2" t="s">
        <v>82</v>
      </c>
      <c r="N447" s="2" t="s">
        <v>34</v>
      </c>
      <c r="O447" s="2">
        <v>14</v>
      </c>
      <c r="P447" s="2" t="str">
        <f>IF(global_freelancer_raw5[[#This Row],[No of projects ]]&lt;=5,"Entry level","Well Experienced")</f>
        <v>Well Experienced</v>
      </c>
      <c r="Q447" s="2">
        <v>4</v>
      </c>
    </row>
    <row r="448" spans="1:17" x14ac:dyDescent="0.3">
      <c r="A448" t="s">
        <v>997</v>
      </c>
      <c r="B448" t="s">
        <v>998</v>
      </c>
      <c r="C448" t="s">
        <v>118</v>
      </c>
      <c r="D448" s="2">
        <v>35</v>
      </c>
      <c r="E448" t="s">
        <v>85</v>
      </c>
      <c r="F448" t="s">
        <v>30</v>
      </c>
      <c r="G448" s="2" t="s">
        <v>57</v>
      </c>
      <c r="H448" s="2">
        <v>8</v>
      </c>
      <c r="I448" s="2" t="s">
        <v>119</v>
      </c>
      <c r="J448" s="2" t="s">
        <v>2120</v>
      </c>
      <c r="K448" s="2" t="s">
        <v>181</v>
      </c>
      <c r="L448" s="2">
        <v>90</v>
      </c>
      <c r="M448" s="2" t="s">
        <v>88</v>
      </c>
      <c r="N448" s="2" t="s">
        <v>25</v>
      </c>
      <c r="O448" s="2">
        <v>6</v>
      </c>
      <c r="P448" s="2" t="str">
        <f>IF(global_freelancer_raw5[[#This Row],[No of projects ]]&lt;=5,"Entry level","Well Experienced")</f>
        <v>Well Experienced</v>
      </c>
      <c r="Q448" s="2">
        <v>5</v>
      </c>
    </row>
    <row r="449" spans="1:17" x14ac:dyDescent="0.3">
      <c r="A449" t="s">
        <v>999</v>
      </c>
      <c r="B449" t="s">
        <v>1000</v>
      </c>
      <c r="C449" t="s">
        <v>97</v>
      </c>
      <c r="D449" s="2">
        <v>22</v>
      </c>
      <c r="E449" t="s">
        <v>29</v>
      </c>
      <c r="F449" t="s">
        <v>30</v>
      </c>
      <c r="G449" s="2" t="s">
        <v>31</v>
      </c>
      <c r="H449" s="2">
        <v>4</v>
      </c>
      <c r="I449" s="2" t="s">
        <v>162</v>
      </c>
      <c r="J449" s="2" t="s">
        <v>2120</v>
      </c>
      <c r="K449" s="2" t="s">
        <v>23</v>
      </c>
      <c r="L449" s="2">
        <v>0.73</v>
      </c>
      <c r="M449" s="2" t="s">
        <v>82</v>
      </c>
      <c r="N449" s="2" t="s">
        <v>25</v>
      </c>
      <c r="O449" s="2">
        <v>1</v>
      </c>
      <c r="P449" s="2" t="str">
        <f>IF(global_freelancer_raw5[[#This Row],[No of projects ]]&lt;=5,"Entry level","Well Experienced")</f>
        <v>Entry level</v>
      </c>
      <c r="Q449" s="2">
        <v>1</v>
      </c>
    </row>
    <row r="450" spans="1:17" x14ac:dyDescent="0.3">
      <c r="A450" t="s">
        <v>1001</v>
      </c>
      <c r="B450" t="s">
        <v>1002</v>
      </c>
      <c r="C450" t="s">
        <v>97</v>
      </c>
      <c r="D450" s="2">
        <v>55</v>
      </c>
      <c r="E450" t="s">
        <v>160</v>
      </c>
      <c r="F450" t="s">
        <v>161</v>
      </c>
      <c r="G450" s="2" t="s">
        <v>57</v>
      </c>
      <c r="H450" s="2">
        <v>3</v>
      </c>
      <c r="I450" s="2" t="s">
        <v>22</v>
      </c>
      <c r="J450" s="2" t="s">
        <v>2120</v>
      </c>
      <c r="K450" s="2" t="s">
        <v>33</v>
      </c>
      <c r="L450" s="2">
        <v>0.73</v>
      </c>
      <c r="M450" s="2" t="s">
        <v>60</v>
      </c>
      <c r="N450" s="2" t="s">
        <v>25</v>
      </c>
      <c r="O450" s="2">
        <v>1</v>
      </c>
      <c r="P450" s="2" t="str">
        <f>IF(global_freelancer_raw5[[#This Row],[No of projects ]]&lt;=5,"Entry level","Well Experienced")</f>
        <v>Entry level</v>
      </c>
      <c r="Q450" s="2">
        <v>2</v>
      </c>
    </row>
    <row r="451" spans="1:17" x14ac:dyDescent="0.3">
      <c r="A451" t="s">
        <v>1003</v>
      </c>
      <c r="B451" t="s">
        <v>1004</v>
      </c>
      <c r="C451" t="s">
        <v>97</v>
      </c>
      <c r="D451" s="2">
        <v>54</v>
      </c>
      <c r="E451" t="s">
        <v>91</v>
      </c>
      <c r="F451" t="s">
        <v>92</v>
      </c>
      <c r="G451" s="2" t="s">
        <v>135</v>
      </c>
      <c r="H451" s="2" t="s">
        <v>2120</v>
      </c>
      <c r="I451" s="2" t="s">
        <v>52</v>
      </c>
      <c r="J451" s="2">
        <v>2.9</v>
      </c>
      <c r="K451" s="2" t="s">
        <v>74</v>
      </c>
      <c r="L451" s="2">
        <v>0.78</v>
      </c>
      <c r="M451" s="2" t="s">
        <v>82</v>
      </c>
      <c r="N451" s="2" t="s">
        <v>34</v>
      </c>
      <c r="O451" s="2">
        <v>3</v>
      </c>
      <c r="P451" s="2" t="str">
        <f>IF(global_freelancer_raw5[[#This Row],[No of projects ]]&lt;=5,"Entry level","Well Experienced")</f>
        <v>Entry level</v>
      </c>
      <c r="Q451" s="2">
        <v>3</v>
      </c>
    </row>
    <row r="452" spans="1:17" x14ac:dyDescent="0.3">
      <c r="A452" t="s">
        <v>1005</v>
      </c>
      <c r="B452" t="s">
        <v>1006</v>
      </c>
      <c r="C452" t="s">
        <v>97</v>
      </c>
      <c r="D452" s="2">
        <v>36</v>
      </c>
      <c r="E452" t="s">
        <v>55</v>
      </c>
      <c r="F452" t="s">
        <v>56</v>
      </c>
      <c r="G452" s="2" t="s">
        <v>98</v>
      </c>
      <c r="H452" s="2">
        <v>11</v>
      </c>
      <c r="I452" s="2" t="s">
        <v>58</v>
      </c>
      <c r="J452" s="2">
        <v>0</v>
      </c>
      <c r="K452" s="2" t="s">
        <v>74</v>
      </c>
      <c r="L452" s="2">
        <v>0.63</v>
      </c>
      <c r="M452" s="2" t="s">
        <v>60</v>
      </c>
      <c r="N452" s="2" t="s">
        <v>42</v>
      </c>
      <c r="O452" s="2">
        <v>9</v>
      </c>
      <c r="P452" s="2" t="str">
        <f>IF(global_freelancer_raw5[[#This Row],[No of projects ]]&lt;=5,"Entry level","Well Experienced")</f>
        <v>Well Experienced</v>
      </c>
      <c r="Q452" s="2">
        <v>14</v>
      </c>
    </row>
    <row r="453" spans="1:17" x14ac:dyDescent="0.3">
      <c r="A453" t="s">
        <v>1007</v>
      </c>
      <c r="B453" t="s">
        <v>1008</v>
      </c>
      <c r="C453" t="s">
        <v>97</v>
      </c>
      <c r="D453" s="2">
        <v>36</v>
      </c>
      <c r="E453" t="s">
        <v>55</v>
      </c>
      <c r="F453" t="s">
        <v>56</v>
      </c>
      <c r="G453" s="2" t="s">
        <v>57</v>
      </c>
      <c r="H453" s="2">
        <v>17</v>
      </c>
      <c r="I453" s="2" t="s">
        <v>40</v>
      </c>
      <c r="J453" s="2">
        <v>1.3</v>
      </c>
      <c r="K453" s="2" t="s">
        <v>2120</v>
      </c>
      <c r="L453" s="2">
        <v>0.64</v>
      </c>
      <c r="M453" s="2" t="s">
        <v>82</v>
      </c>
      <c r="N453" s="2" t="s">
        <v>42</v>
      </c>
      <c r="O453" s="2">
        <v>18</v>
      </c>
      <c r="P453" s="2" t="str">
        <f>IF(global_freelancer_raw5[[#This Row],[No of projects ]]&lt;=5,"Entry level","Well Experienced")</f>
        <v>Well Experienced</v>
      </c>
      <c r="Q453" s="2">
        <v>7</v>
      </c>
    </row>
    <row r="454" spans="1:17" x14ac:dyDescent="0.3">
      <c r="A454" t="s">
        <v>1009</v>
      </c>
      <c r="B454" t="s">
        <v>1010</v>
      </c>
      <c r="C454" t="s">
        <v>97</v>
      </c>
      <c r="D454" s="2">
        <v>25</v>
      </c>
      <c r="E454" t="s">
        <v>91</v>
      </c>
      <c r="F454" t="s">
        <v>92</v>
      </c>
      <c r="G454" s="2" t="s">
        <v>46</v>
      </c>
      <c r="H454" s="2">
        <v>1</v>
      </c>
      <c r="I454" s="2" t="s">
        <v>103</v>
      </c>
      <c r="J454" s="2">
        <v>0</v>
      </c>
      <c r="K454" s="2" t="s">
        <v>33</v>
      </c>
      <c r="L454" s="2" t="s">
        <v>2120</v>
      </c>
      <c r="M454" s="2" t="s">
        <v>24</v>
      </c>
      <c r="N454" s="2" t="s">
        <v>75</v>
      </c>
      <c r="O454" s="2">
        <v>2</v>
      </c>
      <c r="P454" s="2" t="str">
        <f>IF(global_freelancer_raw5[[#This Row],[No of projects ]]&lt;=5,"Entry level","Well Experienced")</f>
        <v>Entry level</v>
      </c>
      <c r="Q454" s="2">
        <v>3</v>
      </c>
    </row>
    <row r="455" spans="1:17" x14ac:dyDescent="0.3">
      <c r="A455" t="s">
        <v>1011</v>
      </c>
      <c r="B455" t="s">
        <v>1012</v>
      </c>
      <c r="C455" t="s">
        <v>118</v>
      </c>
      <c r="D455" s="2">
        <v>46</v>
      </c>
      <c r="E455" t="s">
        <v>64</v>
      </c>
      <c r="F455" t="s">
        <v>65</v>
      </c>
      <c r="G455" s="2" t="s">
        <v>57</v>
      </c>
      <c r="H455" s="2">
        <v>16</v>
      </c>
      <c r="I455" s="2" t="s">
        <v>162</v>
      </c>
      <c r="J455" s="2">
        <v>4.8</v>
      </c>
      <c r="K455" s="2" t="s">
        <v>33</v>
      </c>
      <c r="L455" s="2">
        <v>0.86</v>
      </c>
      <c r="M455" s="2" t="s">
        <v>24</v>
      </c>
      <c r="N455" s="2" t="s">
        <v>25</v>
      </c>
      <c r="O455" s="2">
        <v>12</v>
      </c>
      <c r="P455" s="2" t="str">
        <f>IF(global_freelancer_raw5[[#This Row],[No of projects ]]&lt;=5,"Entry level","Well Experienced")</f>
        <v>Well Experienced</v>
      </c>
      <c r="Q455" s="2">
        <v>8</v>
      </c>
    </row>
    <row r="456" spans="1:17" x14ac:dyDescent="0.3">
      <c r="A456" t="s">
        <v>1013</v>
      </c>
      <c r="B456" t="s">
        <v>1014</v>
      </c>
      <c r="C456" t="s">
        <v>118</v>
      </c>
      <c r="D456" s="2">
        <v>41</v>
      </c>
      <c r="E456" t="s">
        <v>91</v>
      </c>
      <c r="F456" t="s">
        <v>92</v>
      </c>
      <c r="G456" s="2" t="s">
        <v>135</v>
      </c>
      <c r="H456" s="2">
        <v>11</v>
      </c>
      <c r="I456" s="2" t="s">
        <v>47</v>
      </c>
      <c r="J456" s="2">
        <v>2.4</v>
      </c>
      <c r="K456" s="2" t="s">
        <v>59</v>
      </c>
      <c r="L456" s="2" t="s">
        <v>2120</v>
      </c>
      <c r="M456" s="2" t="s">
        <v>88</v>
      </c>
      <c r="N456" s="2" t="s">
        <v>75</v>
      </c>
      <c r="O456" s="2">
        <v>9</v>
      </c>
      <c r="P456" s="2" t="str">
        <f>IF(global_freelancer_raw5[[#This Row],[No of projects ]]&lt;=5,"Entry level","Well Experienced")</f>
        <v>Well Experienced</v>
      </c>
      <c r="Q456" s="2">
        <v>2</v>
      </c>
    </row>
    <row r="457" spans="1:17" x14ac:dyDescent="0.3">
      <c r="A457" t="s">
        <v>1015</v>
      </c>
      <c r="B457" t="s">
        <v>1016</v>
      </c>
      <c r="C457" t="s">
        <v>97</v>
      </c>
      <c r="D457" s="2">
        <v>21</v>
      </c>
      <c r="E457" t="s">
        <v>145</v>
      </c>
      <c r="F457" t="s">
        <v>146</v>
      </c>
      <c r="G457" s="2" t="s">
        <v>31</v>
      </c>
      <c r="H457" s="2">
        <v>3</v>
      </c>
      <c r="I457" s="2" t="s">
        <v>251</v>
      </c>
      <c r="J457" s="2">
        <v>4.7</v>
      </c>
      <c r="K457" s="2" t="s">
        <v>41</v>
      </c>
      <c r="L457" s="2">
        <v>0.96</v>
      </c>
      <c r="M457" s="2" t="s">
        <v>82</v>
      </c>
      <c r="N457" s="2" t="s">
        <v>75</v>
      </c>
      <c r="O457" s="2">
        <v>2</v>
      </c>
      <c r="P457" s="2" t="str">
        <f>IF(global_freelancer_raw5[[#This Row],[No of projects ]]&lt;=5,"Entry level","Well Experienced")</f>
        <v>Entry level</v>
      </c>
      <c r="Q457" s="2">
        <v>1</v>
      </c>
    </row>
    <row r="458" spans="1:17" x14ac:dyDescent="0.3">
      <c r="A458" t="s">
        <v>1017</v>
      </c>
      <c r="B458" t="s">
        <v>1018</v>
      </c>
      <c r="C458" t="s">
        <v>118</v>
      </c>
      <c r="D458" s="2">
        <v>29</v>
      </c>
      <c r="E458" t="s">
        <v>73</v>
      </c>
      <c r="F458" t="s">
        <v>30</v>
      </c>
      <c r="G458" s="2" t="s">
        <v>39</v>
      </c>
      <c r="H458" s="2" t="s">
        <v>2120</v>
      </c>
      <c r="I458" s="2" t="s">
        <v>192</v>
      </c>
      <c r="J458" s="2">
        <v>2</v>
      </c>
      <c r="K458" s="2" t="s">
        <v>23</v>
      </c>
      <c r="L458" s="2" t="s">
        <v>2120</v>
      </c>
      <c r="M458" s="2" t="s">
        <v>82</v>
      </c>
      <c r="N458" s="2" t="s">
        <v>42</v>
      </c>
      <c r="O458" s="2">
        <v>4</v>
      </c>
      <c r="P458" s="2" t="str">
        <f>IF(global_freelancer_raw5[[#This Row],[No of projects ]]&lt;=5,"Entry level","Well Experienced")</f>
        <v>Entry level</v>
      </c>
      <c r="Q458" s="2">
        <v>3</v>
      </c>
    </row>
    <row r="459" spans="1:17" x14ac:dyDescent="0.3">
      <c r="A459" t="s">
        <v>1019</v>
      </c>
      <c r="B459" t="s">
        <v>1020</v>
      </c>
      <c r="C459" t="s">
        <v>97</v>
      </c>
      <c r="D459" s="2">
        <v>44</v>
      </c>
      <c r="E459" t="s">
        <v>73</v>
      </c>
      <c r="F459" t="s">
        <v>30</v>
      </c>
      <c r="G459" s="2" t="s">
        <v>31</v>
      </c>
      <c r="H459" s="2">
        <v>3</v>
      </c>
      <c r="I459" s="2" t="s">
        <v>81</v>
      </c>
      <c r="J459" s="2">
        <v>2.2000000000000002</v>
      </c>
      <c r="K459" s="2" t="s">
        <v>23</v>
      </c>
      <c r="L459" s="2">
        <v>0.77</v>
      </c>
      <c r="M459" s="2" t="s">
        <v>60</v>
      </c>
      <c r="N459" s="2" t="s">
        <v>34</v>
      </c>
      <c r="O459" s="2">
        <v>4</v>
      </c>
      <c r="P459" s="2" t="str">
        <f>IF(global_freelancer_raw5[[#This Row],[No of projects ]]&lt;=5,"Entry level","Well Experienced")</f>
        <v>Entry level</v>
      </c>
      <c r="Q459" s="2">
        <v>1</v>
      </c>
    </row>
    <row r="460" spans="1:17" x14ac:dyDescent="0.3">
      <c r="A460" t="s">
        <v>1021</v>
      </c>
      <c r="B460" t="s">
        <v>1022</v>
      </c>
      <c r="C460" t="s">
        <v>118</v>
      </c>
      <c r="D460" s="2">
        <v>40</v>
      </c>
      <c r="E460" t="s">
        <v>149</v>
      </c>
      <c r="F460" t="s">
        <v>30</v>
      </c>
      <c r="G460" s="2" t="s">
        <v>135</v>
      </c>
      <c r="H460" s="2">
        <v>1</v>
      </c>
      <c r="I460" s="2" t="s">
        <v>22</v>
      </c>
      <c r="J460" s="2">
        <v>2.1</v>
      </c>
      <c r="K460" s="2" t="s">
        <v>33</v>
      </c>
      <c r="L460" s="2" t="s">
        <v>2120</v>
      </c>
      <c r="M460" s="2" t="s">
        <v>88</v>
      </c>
      <c r="N460" s="2" t="s">
        <v>34</v>
      </c>
      <c r="O460" s="2">
        <v>4</v>
      </c>
      <c r="P460" s="2" t="str">
        <f>IF(global_freelancer_raw5[[#This Row],[No of projects ]]&lt;=5,"Entry level","Well Experienced")</f>
        <v>Entry level</v>
      </c>
      <c r="Q460" s="2">
        <v>1</v>
      </c>
    </row>
    <row r="461" spans="1:17" x14ac:dyDescent="0.3">
      <c r="A461" t="s">
        <v>1023</v>
      </c>
      <c r="B461" t="s">
        <v>1024</v>
      </c>
      <c r="C461" t="s">
        <v>97</v>
      </c>
      <c r="D461" s="2">
        <v>27</v>
      </c>
      <c r="E461" t="s">
        <v>160</v>
      </c>
      <c r="F461" t="s">
        <v>161</v>
      </c>
      <c r="G461" s="2" t="s">
        <v>66</v>
      </c>
      <c r="H461" s="2">
        <v>1</v>
      </c>
      <c r="I461" s="2" t="s">
        <v>52</v>
      </c>
      <c r="J461" s="2">
        <v>1.7</v>
      </c>
      <c r="K461" s="2" t="s">
        <v>59</v>
      </c>
      <c r="L461" s="2">
        <v>0.65</v>
      </c>
      <c r="M461" s="2" t="s">
        <v>82</v>
      </c>
      <c r="N461" s="2" t="s">
        <v>42</v>
      </c>
      <c r="O461" s="2">
        <v>5</v>
      </c>
      <c r="P461" s="2" t="str">
        <f>IF(global_freelancer_raw5[[#This Row],[No of projects ]]&lt;=5,"Entry level","Well Experienced")</f>
        <v>Entry level</v>
      </c>
      <c r="Q461" s="2">
        <v>4</v>
      </c>
    </row>
    <row r="462" spans="1:17" x14ac:dyDescent="0.3">
      <c r="A462" t="s">
        <v>1025</v>
      </c>
      <c r="B462" t="s">
        <v>1026</v>
      </c>
      <c r="C462" t="s">
        <v>118</v>
      </c>
      <c r="D462" s="2">
        <v>53</v>
      </c>
      <c r="E462" t="s">
        <v>156</v>
      </c>
      <c r="F462" t="s">
        <v>157</v>
      </c>
      <c r="G462" s="2" t="s">
        <v>31</v>
      </c>
      <c r="H462" s="2">
        <v>35</v>
      </c>
      <c r="I462" s="2" t="s">
        <v>2119</v>
      </c>
      <c r="J462" s="2">
        <v>5</v>
      </c>
      <c r="K462" s="2" t="s">
        <v>33</v>
      </c>
      <c r="L462" s="2">
        <v>0.62</v>
      </c>
      <c r="M462" s="2" t="s">
        <v>88</v>
      </c>
      <c r="N462" s="2" t="s">
        <v>34</v>
      </c>
      <c r="O462" s="2">
        <v>14</v>
      </c>
      <c r="P462" s="2" t="str">
        <f>IF(global_freelancer_raw5[[#This Row],[No of projects ]]&lt;=5,"Entry level","Well Experienced")</f>
        <v>Well Experienced</v>
      </c>
      <c r="Q462" s="2">
        <v>9</v>
      </c>
    </row>
    <row r="463" spans="1:17" x14ac:dyDescent="0.3">
      <c r="A463" t="s">
        <v>1027</v>
      </c>
      <c r="B463" t="s">
        <v>1028</v>
      </c>
      <c r="C463" t="s">
        <v>118</v>
      </c>
      <c r="D463" s="2">
        <v>20</v>
      </c>
      <c r="E463" t="s">
        <v>79</v>
      </c>
      <c r="F463" t="s">
        <v>80</v>
      </c>
      <c r="G463" s="2" t="s">
        <v>66</v>
      </c>
      <c r="H463" s="2">
        <v>1</v>
      </c>
      <c r="I463" s="2" t="s">
        <v>40</v>
      </c>
      <c r="J463" s="2">
        <v>2.9</v>
      </c>
      <c r="K463" s="2" t="s">
        <v>181</v>
      </c>
      <c r="L463" s="2">
        <v>0.81</v>
      </c>
      <c r="M463" s="2" t="s">
        <v>24</v>
      </c>
      <c r="N463" s="2" t="s">
        <v>75</v>
      </c>
      <c r="O463" s="2">
        <v>1</v>
      </c>
      <c r="P463" s="2" t="str">
        <f>IF(global_freelancer_raw5[[#This Row],[No of projects ]]&lt;=5,"Entry level","Well Experienced")</f>
        <v>Entry level</v>
      </c>
      <c r="Q463" s="2">
        <v>1</v>
      </c>
    </row>
    <row r="464" spans="1:17" x14ac:dyDescent="0.3">
      <c r="A464" t="s">
        <v>1029</v>
      </c>
      <c r="B464" t="s">
        <v>1030</v>
      </c>
      <c r="C464" t="s">
        <v>97</v>
      </c>
      <c r="D464" s="2" t="s">
        <v>2119</v>
      </c>
      <c r="E464" t="s">
        <v>106</v>
      </c>
      <c r="F464" t="s">
        <v>107</v>
      </c>
      <c r="G464" s="2" t="s">
        <v>110</v>
      </c>
      <c r="H464" s="2">
        <v>12</v>
      </c>
      <c r="I464" s="2" t="s">
        <v>81</v>
      </c>
      <c r="J464" s="2">
        <v>4.0999999999999996</v>
      </c>
      <c r="K464" s="2" t="s">
        <v>94</v>
      </c>
      <c r="L464" s="2">
        <v>0.62</v>
      </c>
      <c r="M464" s="2" t="s">
        <v>82</v>
      </c>
      <c r="N464" s="2" t="s">
        <v>25</v>
      </c>
      <c r="O464" s="2">
        <v>7</v>
      </c>
      <c r="P464" s="2" t="str">
        <f>IF(global_freelancer_raw5[[#This Row],[No of projects ]]&lt;=5,"Entry level","Well Experienced")</f>
        <v>Well Experienced</v>
      </c>
      <c r="Q464" s="2">
        <v>4</v>
      </c>
    </row>
    <row r="465" spans="1:17" x14ac:dyDescent="0.3">
      <c r="A465" t="s">
        <v>1031</v>
      </c>
      <c r="B465" t="s">
        <v>1032</v>
      </c>
      <c r="C465" t="s">
        <v>118</v>
      </c>
      <c r="D465" s="2">
        <v>26</v>
      </c>
      <c r="E465" t="s">
        <v>201</v>
      </c>
      <c r="F465" t="s">
        <v>92</v>
      </c>
      <c r="G465" s="2" t="s">
        <v>46</v>
      </c>
      <c r="H465" s="2">
        <v>8</v>
      </c>
      <c r="I465" s="2" t="s">
        <v>86</v>
      </c>
      <c r="J465" s="2">
        <v>4.9000000000000004</v>
      </c>
      <c r="K465" s="2" t="s">
        <v>41</v>
      </c>
      <c r="L465" s="2">
        <v>0.87</v>
      </c>
      <c r="M465" s="2" t="s">
        <v>82</v>
      </c>
      <c r="N465" s="2" t="s">
        <v>42</v>
      </c>
      <c r="O465" s="2">
        <v>9</v>
      </c>
      <c r="P465" s="2" t="str">
        <f>IF(global_freelancer_raw5[[#This Row],[No of projects ]]&lt;=5,"Entry level","Well Experienced")</f>
        <v>Well Experienced</v>
      </c>
      <c r="Q465" s="2">
        <v>4</v>
      </c>
    </row>
    <row r="466" spans="1:17" x14ac:dyDescent="0.3">
      <c r="A466" t="s">
        <v>1033</v>
      </c>
      <c r="B466" t="s">
        <v>1034</v>
      </c>
      <c r="C466" t="s">
        <v>97</v>
      </c>
      <c r="D466" s="2">
        <v>49</v>
      </c>
      <c r="E466" t="s">
        <v>128</v>
      </c>
      <c r="F466" t="s">
        <v>129</v>
      </c>
      <c r="G466" s="2" t="s">
        <v>135</v>
      </c>
      <c r="H466" s="2">
        <v>13</v>
      </c>
      <c r="I466" s="2" t="s">
        <v>251</v>
      </c>
      <c r="J466" s="2">
        <v>2.5</v>
      </c>
      <c r="K466" s="2" t="s">
        <v>59</v>
      </c>
      <c r="L466" s="2" t="s">
        <v>2120</v>
      </c>
      <c r="M466" s="2" t="s">
        <v>88</v>
      </c>
      <c r="N466" s="2" t="s">
        <v>25</v>
      </c>
      <c r="O466" s="2">
        <v>6</v>
      </c>
      <c r="P466" s="2" t="str">
        <f>IF(global_freelancer_raw5[[#This Row],[No of projects ]]&lt;=5,"Entry level","Well Experienced")</f>
        <v>Well Experienced</v>
      </c>
      <c r="Q466" s="2">
        <v>2</v>
      </c>
    </row>
    <row r="467" spans="1:17" x14ac:dyDescent="0.3">
      <c r="A467" t="s">
        <v>1035</v>
      </c>
      <c r="B467" t="s">
        <v>1036</v>
      </c>
      <c r="C467" t="s">
        <v>97</v>
      </c>
      <c r="D467" s="2">
        <v>20</v>
      </c>
      <c r="E467" t="s">
        <v>160</v>
      </c>
      <c r="F467" t="s">
        <v>161</v>
      </c>
      <c r="G467" s="2" t="s">
        <v>66</v>
      </c>
      <c r="H467" s="2">
        <v>0</v>
      </c>
      <c r="I467" s="2" t="s">
        <v>130</v>
      </c>
      <c r="J467" s="2">
        <v>0</v>
      </c>
      <c r="K467" s="2" t="s">
        <v>33</v>
      </c>
      <c r="L467" s="2">
        <v>76</v>
      </c>
      <c r="M467" s="2" t="s">
        <v>82</v>
      </c>
      <c r="N467" s="2" t="s">
        <v>34</v>
      </c>
      <c r="O467" s="2">
        <v>5</v>
      </c>
      <c r="P467" s="2" t="str">
        <f>IF(global_freelancer_raw5[[#This Row],[No of projects ]]&lt;=5,"Entry level","Well Experienced")</f>
        <v>Entry level</v>
      </c>
      <c r="Q467" s="2">
        <v>3</v>
      </c>
    </row>
    <row r="468" spans="1:17" x14ac:dyDescent="0.3">
      <c r="A468" t="s">
        <v>1037</v>
      </c>
      <c r="B468" t="s">
        <v>1038</v>
      </c>
      <c r="C468" t="s">
        <v>97</v>
      </c>
      <c r="D468" s="2">
        <v>39</v>
      </c>
      <c r="E468" t="s">
        <v>197</v>
      </c>
      <c r="F468" t="s">
        <v>198</v>
      </c>
      <c r="G468" s="2" t="s">
        <v>21</v>
      </c>
      <c r="H468" s="2">
        <v>11</v>
      </c>
      <c r="I468" s="2" t="s">
        <v>22</v>
      </c>
      <c r="J468" s="2">
        <v>2.8</v>
      </c>
      <c r="K468" s="2" t="s">
        <v>2120</v>
      </c>
      <c r="L468" s="2">
        <v>70</v>
      </c>
      <c r="M468" s="2" t="s">
        <v>88</v>
      </c>
      <c r="N468" s="2" t="s">
        <v>25</v>
      </c>
      <c r="O468" s="2">
        <v>9</v>
      </c>
      <c r="P468" s="2" t="str">
        <f>IF(global_freelancer_raw5[[#This Row],[No of projects ]]&lt;=5,"Entry level","Well Experienced")</f>
        <v>Well Experienced</v>
      </c>
      <c r="Q468" s="2">
        <v>10</v>
      </c>
    </row>
    <row r="469" spans="1:17" x14ac:dyDescent="0.3">
      <c r="A469" t="s">
        <v>1039</v>
      </c>
      <c r="B469" t="s">
        <v>1040</v>
      </c>
      <c r="C469" t="s">
        <v>97</v>
      </c>
      <c r="D469" s="2">
        <v>41</v>
      </c>
      <c r="E469" t="s">
        <v>197</v>
      </c>
      <c r="F469" t="s">
        <v>198</v>
      </c>
      <c r="G469" s="2" t="s">
        <v>135</v>
      </c>
      <c r="H469" s="2">
        <v>19</v>
      </c>
      <c r="I469" s="2" t="s">
        <v>22</v>
      </c>
      <c r="J469" s="2">
        <v>3.8</v>
      </c>
      <c r="K469" s="2" t="s">
        <v>87</v>
      </c>
      <c r="L469" s="2">
        <v>0.71</v>
      </c>
      <c r="M469" s="2" t="s">
        <v>82</v>
      </c>
      <c r="N469" s="2" t="s">
        <v>34</v>
      </c>
      <c r="O469" s="2">
        <v>16</v>
      </c>
      <c r="P469" s="2" t="str">
        <f>IF(global_freelancer_raw5[[#This Row],[No of projects ]]&lt;=5,"Entry level","Well Experienced")</f>
        <v>Well Experienced</v>
      </c>
      <c r="Q469" s="2">
        <v>5</v>
      </c>
    </row>
    <row r="470" spans="1:17" x14ac:dyDescent="0.3">
      <c r="A470" t="s">
        <v>1041</v>
      </c>
      <c r="B470" t="s">
        <v>1042</v>
      </c>
      <c r="C470" t="s">
        <v>118</v>
      </c>
      <c r="D470" s="2">
        <v>59</v>
      </c>
      <c r="E470" t="s">
        <v>149</v>
      </c>
      <c r="F470" t="s">
        <v>30</v>
      </c>
      <c r="G470" s="2" t="s">
        <v>31</v>
      </c>
      <c r="H470" s="2">
        <v>30</v>
      </c>
      <c r="I470" s="2" t="s">
        <v>130</v>
      </c>
      <c r="J470" s="2">
        <v>4.3</v>
      </c>
      <c r="K470" s="2" t="s">
        <v>33</v>
      </c>
      <c r="L470" s="2">
        <v>0.83</v>
      </c>
      <c r="M470" s="2" t="s">
        <v>60</v>
      </c>
      <c r="N470" s="2" t="s">
        <v>34</v>
      </c>
      <c r="O470" s="2">
        <v>11</v>
      </c>
      <c r="P470" s="2" t="str">
        <f>IF(global_freelancer_raw5[[#This Row],[No of projects ]]&lt;=5,"Entry level","Well Experienced")</f>
        <v>Well Experienced</v>
      </c>
      <c r="Q470" s="2">
        <v>3</v>
      </c>
    </row>
    <row r="471" spans="1:17" x14ac:dyDescent="0.3">
      <c r="A471" t="s">
        <v>1043</v>
      </c>
      <c r="B471" t="s">
        <v>1044</v>
      </c>
      <c r="C471" t="s">
        <v>97</v>
      </c>
      <c r="D471" s="2">
        <v>45</v>
      </c>
      <c r="E471" t="s">
        <v>29</v>
      </c>
      <c r="F471" t="s">
        <v>30</v>
      </c>
      <c r="G471" s="2" t="s">
        <v>21</v>
      </c>
      <c r="H471" s="2">
        <v>8</v>
      </c>
      <c r="I471" s="2" t="s">
        <v>86</v>
      </c>
      <c r="J471" s="2">
        <v>0</v>
      </c>
      <c r="K471" s="2" t="s">
        <v>23</v>
      </c>
      <c r="L471" s="2">
        <v>78</v>
      </c>
      <c r="M471" s="2" t="s">
        <v>88</v>
      </c>
      <c r="N471" s="2" t="s">
        <v>75</v>
      </c>
      <c r="O471" s="2">
        <v>7</v>
      </c>
      <c r="P471" s="2" t="str">
        <f>IF(global_freelancer_raw5[[#This Row],[No of projects ]]&lt;=5,"Entry level","Well Experienced")</f>
        <v>Well Experienced</v>
      </c>
      <c r="Q471" s="2">
        <v>9</v>
      </c>
    </row>
    <row r="472" spans="1:17" x14ac:dyDescent="0.3">
      <c r="A472" t="s">
        <v>1045</v>
      </c>
      <c r="B472" t="s">
        <v>1046</v>
      </c>
      <c r="C472" t="s">
        <v>118</v>
      </c>
      <c r="D472" s="2">
        <v>22</v>
      </c>
      <c r="E472" t="s">
        <v>64</v>
      </c>
      <c r="F472" t="s">
        <v>65</v>
      </c>
      <c r="G472" s="2" t="s">
        <v>98</v>
      </c>
      <c r="H472" s="2">
        <v>0</v>
      </c>
      <c r="I472" s="2" t="s">
        <v>86</v>
      </c>
      <c r="J472" s="2">
        <v>1.3</v>
      </c>
      <c r="K472" s="2" t="s">
        <v>33</v>
      </c>
      <c r="L472" s="2">
        <v>0.78</v>
      </c>
      <c r="M472" s="2" t="s">
        <v>82</v>
      </c>
      <c r="N472" s="2" t="s">
        <v>34</v>
      </c>
      <c r="O472" s="2">
        <v>2</v>
      </c>
      <c r="P472" s="2" t="str">
        <f>IF(global_freelancer_raw5[[#This Row],[No of projects ]]&lt;=5,"Entry level","Well Experienced")</f>
        <v>Entry level</v>
      </c>
      <c r="Q472" s="2">
        <v>1</v>
      </c>
    </row>
    <row r="473" spans="1:17" x14ac:dyDescent="0.3">
      <c r="A473" t="s">
        <v>1047</v>
      </c>
      <c r="B473" t="s">
        <v>1048</v>
      </c>
      <c r="C473" t="s">
        <v>97</v>
      </c>
      <c r="D473" s="2">
        <v>48</v>
      </c>
      <c r="E473" t="s">
        <v>114</v>
      </c>
      <c r="F473" t="s">
        <v>115</v>
      </c>
      <c r="G473" s="2" t="s">
        <v>31</v>
      </c>
      <c r="H473" s="2">
        <v>7</v>
      </c>
      <c r="I473" s="2" t="s">
        <v>40</v>
      </c>
      <c r="J473" s="2">
        <v>4.7</v>
      </c>
      <c r="K473" s="2" t="s">
        <v>94</v>
      </c>
      <c r="L473" s="2">
        <v>0.6</v>
      </c>
      <c r="M473" s="2" t="s">
        <v>24</v>
      </c>
      <c r="N473" s="2" t="s">
        <v>75</v>
      </c>
      <c r="O473" s="2">
        <v>13</v>
      </c>
      <c r="P473" s="2" t="str">
        <f>IF(global_freelancer_raw5[[#This Row],[No of projects ]]&lt;=5,"Entry level","Well Experienced")</f>
        <v>Well Experienced</v>
      </c>
      <c r="Q473" s="2">
        <v>10</v>
      </c>
    </row>
    <row r="474" spans="1:17" x14ac:dyDescent="0.3">
      <c r="A474" t="s">
        <v>1049</v>
      </c>
      <c r="B474" t="s">
        <v>1050</v>
      </c>
      <c r="C474" t="s">
        <v>118</v>
      </c>
      <c r="D474" s="2">
        <v>36</v>
      </c>
      <c r="E474" t="s">
        <v>156</v>
      </c>
      <c r="F474" t="s">
        <v>157</v>
      </c>
      <c r="G474" s="2" t="s">
        <v>21</v>
      </c>
      <c r="H474" s="2">
        <v>11</v>
      </c>
      <c r="I474" s="2" t="s">
        <v>47</v>
      </c>
      <c r="J474" s="2">
        <v>1.3</v>
      </c>
      <c r="K474" s="2" t="s">
        <v>74</v>
      </c>
      <c r="L474" s="2" t="s">
        <v>2120</v>
      </c>
      <c r="M474" s="2" t="s">
        <v>82</v>
      </c>
      <c r="N474" s="2" t="s">
        <v>75</v>
      </c>
      <c r="O474" s="2">
        <v>15</v>
      </c>
      <c r="P474" s="2" t="str">
        <f>IF(global_freelancer_raw5[[#This Row],[No of projects ]]&lt;=5,"Entry level","Well Experienced")</f>
        <v>Well Experienced</v>
      </c>
      <c r="Q474" s="2">
        <v>4</v>
      </c>
    </row>
    <row r="475" spans="1:17" x14ac:dyDescent="0.3">
      <c r="A475" t="s">
        <v>1051</v>
      </c>
      <c r="B475" t="s">
        <v>1052</v>
      </c>
      <c r="C475" t="s">
        <v>97</v>
      </c>
      <c r="D475" s="2">
        <v>57</v>
      </c>
      <c r="E475" t="s">
        <v>197</v>
      </c>
      <c r="F475" t="s">
        <v>198</v>
      </c>
      <c r="G475" s="2" t="s">
        <v>21</v>
      </c>
      <c r="H475" s="2" t="s">
        <v>2120</v>
      </c>
      <c r="I475" s="2" t="s">
        <v>103</v>
      </c>
      <c r="J475" s="2">
        <v>4.8</v>
      </c>
      <c r="K475" s="2" t="s">
        <v>33</v>
      </c>
      <c r="L475" s="2" t="s">
        <v>2120</v>
      </c>
      <c r="M475" s="2" t="s">
        <v>24</v>
      </c>
      <c r="N475" s="2" t="s">
        <v>75</v>
      </c>
      <c r="O475" s="2">
        <v>1</v>
      </c>
      <c r="P475" s="2" t="str">
        <f>IF(global_freelancer_raw5[[#This Row],[No of projects ]]&lt;=5,"Entry level","Well Experienced")</f>
        <v>Entry level</v>
      </c>
      <c r="Q475" s="2">
        <v>2</v>
      </c>
    </row>
    <row r="476" spans="1:17" x14ac:dyDescent="0.3">
      <c r="A476" t="s">
        <v>1053</v>
      </c>
      <c r="B476" t="s">
        <v>1054</v>
      </c>
      <c r="C476" t="s">
        <v>118</v>
      </c>
      <c r="D476" s="2">
        <v>42</v>
      </c>
      <c r="E476" t="s">
        <v>73</v>
      </c>
      <c r="F476" t="s">
        <v>30</v>
      </c>
      <c r="G476" s="2" t="s">
        <v>93</v>
      </c>
      <c r="H476" s="2">
        <v>14</v>
      </c>
      <c r="I476" s="2" t="s">
        <v>58</v>
      </c>
      <c r="J476" s="2">
        <v>1.3</v>
      </c>
      <c r="K476" s="2" t="s">
        <v>23</v>
      </c>
      <c r="L476" s="2">
        <v>0.94</v>
      </c>
      <c r="M476" s="2" t="s">
        <v>24</v>
      </c>
      <c r="N476" s="2" t="s">
        <v>42</v>
      </c>
      <c r="O476" s="2">
        <v>6</v>
      </c>
      <c r="P476" s="2" t="str">
        <f>IF(global_freelancer_raw5[[#This Row],[No of projects ]]&lt;=5,"Entry level","Well Experienced")</f>
        <v>Well Experienced</v>
      </c>
      <c r="Q476" s="2">
        <v>1</v>
      </c>
    </row>
    <row r="477" spans="1:17" x14ac:dyDescent="0.3">
      <c r="A477" t="s">
        <v>1055</v>
      </c>
      <c r="B477" t="s">
        <v>1056</v>
      </c>
      <c r="C477" t="s">
        <v>118</v>
      </c>
      <c r="D477" s="2">
        <v>31</v>
      </c>
      <c r="E477" t="s">
        <v>64</v>
      </c>
      <c r="F477" t="s">
        <v>65</v>
      </c>
      <c r="G477" s="2" t="s">
        <v>98</v>
      </c>
      <c r="H477" s="2">
        <v>11</v>
      </c>
      <c r="I477" s="2" t="s">
        <v>81</v>
      </c>
      <c r="J477" s="2">
        <v>4.3</v>
      </c>
      <c r="K477" s="2" t="s">
        <v>23</v>
      </c>
      <c r="L477" s="2">
        <v>62</v>
      </c>
      <c r="M477" s="2" t="s">
        <v>60</v>
      </c>
      <c r="N477" s="2" t="s">
        <v>42</v>
      </c>
      <c r="O477" s="2">
        <v>7</v>
      </c>
      <c r="P477" s="2" t="str">
        <f>IF(global_freelancer_raw5[[#This Row],[No of projects ]]&lt;=5,"Entry level","Well Experienced")</f>
        <v>Well Experienced</v>
      </c>
      <c r="Q477" s="2">
        <v>14</v>
      </c>
    </row>
    <row r="478" spans="1:17" x14ac:dyDescent="0.3">
      <c r="A478" t="s">
        <v>1057</v>
      </c>
      <c r="B478" t="s">
        <v>1058</v>
      </c>
      <c r="C478" t="s">
        <v>118</v>
      </c>
      <c r="D478" s="2">
        <v>52</v>
      </c>
      <c r="E478" t="s">
        <v>212</v>
      </c>
      <c r="F478" t="s">
        <v>92</v>
      </c>
      <c r="G478" s="2" t="s">
        <v>98</v>
      </c>
      <c r="H478" s="2">
        <v>31</v>
      </c>
      <c r="I478" s="2" t="s">
        <v>52</v>
      </c>
      <c r="J478" s="2" t="s">
        <v>2120</v>
      </c>
      <c r="K478" s="2" t="s">
        <v>33</v>
      </c>
      <c r="L478" s="2" t="s">
        <v>2120</v>
      </c>
      <c r="M478" s="2" t="s">
        <v>88</v>
      </c>
      <c r="N478" s="2" t="s">
        <v>34</v>
      </c>
      <c r="O478" s="2">
        <v>14</v>
      </c>
      <c r="P478" s="2" t="str">
        <f>IF(global_freelancer_raw5[[#This Row],[No of projects ]]&lt;=5,"Entry level","Well Experienced")</f>
        <v>Well Experienced</v>
      </c>
      <c r="Q478" s="2">
        <v>3</v>
      </c>
    </row>
    <row r="479" spans="1:17" x14ac:dyDescent="0.3">
      <c r="A479" t="s">
        <v>1059</v>
      </c>
      <c r="B479" t="s">
        <v>1060</v>
      </c>
      <c r="C479" t="s">
        <v>118</v>
      </c>
      <c r="D479" s="2">
        <v>56</v>
      </c>
      <c r="E479" t="s">
        <v>55</v>
      </c>
      <c r="F479" t="s">
        <v>56</v>
      </c>
      <c r="G479" s="2" t="s">
        <v>110</v>
      </c>
      <c r="H479" s="2">
        <v>16</v>
      </c>
      <c r="I479" s="2" t="s">
        <v>130</v>
      </c>
      <c r="J479" s="2">
        <v>0</v>
      </c>
      <c r="K479" s="2" t="s">
        <v>87</v>
      </c>
      <c r="L479" s="2" t="s">
        <v>2120</v>
      </c>
      <c r="M479" s="2" t="s">
        <v>82</v>
      </c>
      <c r="N479" s="2" t="s">
        <v>75</v>
      </c>
      <c r="O479" s="2">
        <v>12</v>
      </c>
      <c r="P479" s="2" t="str">
        <f>IF(global_freelancer_raw5[[#This Row],[No of projects ]]&lt;=5,"Entry level","Well Experienced")</f>
        <v>Well Experienced</v>
      </c>
      <c r="Q479" s="2">
        <v>10</v>
      </c>
    </row>
    <row r="480" spans="1:17" x14ac:dyDescent="0.3">
      <c r="A480" t="s">
        <v>1061</v>
      </c>
      <c r="B480" t="s">
        <v>1062</v>
      </c>
      <c r="C480" t="s">
        <v>97</v>
      </c>
      <c r="D480" s="2">
        <v>24</v>
      </c>
      <c r="E480" t="s">
        <v>55</v>
      </c>
      <c r="F480" t="s">
        <v>56</v>
      </c>
      <c r="G480" s="2" t="s">
        <v>110</v>
      </c>
      <c r="H480" s="2">
        <v>6</v>
      </c>
      <c r="I480" s="2" t="s">
        <v>52</v>
      </c>
      <c r="J480" s="2">
        <v>0</v>
      </c>
      <c r="K480" s="2" t="s">
        <v>87</v>
      </c>
      <c r="L480" s="2">
        <v>0.84</v>
      </c>
      <c r="M480" s="2" t="s">
        <v>60</v>
      </c>
      <c r="N480" s="2" t="s">
        <v>42</v>
      </c>
      <c r="O480" s="2">
        <v>6</v>
      </c>
      <c r="P480" s="2" t="str">
        <f>IF(global_freelancer_raw5[[#This Row],[No of projects ]]&lt;=5,"Entry level","Well Experienced")</f>
        <v>Well Experienced</v>
      </c>
      <c r="Q480" s="2">
        <v>4</v>
      </c>
    </row>
    <row r="481" spans="1:17" x14ac:dyDescent="0.3">
      <c r="A481" t="s">
        <v>1063</v>
      </c>
      <c r="B481" t="s">
        <v>1064</v>
      </c>
      <c r="C481" t="s">
        <v>118</v>
      </c>
      <c r="D481" s="2">
        <v>48</v>
      </c>
      <c r="E481" t="s">
        <v>149</v>
      </c>
      <c r="F481" t="s">
        <v>30</v>
      </c>
      <c r="G481" s="2" t="s">
        <v>110</v>
      </c>
      <c r="H481" s="2">
        <v>21</v>
      </c>
      <c r="I481" s="2" t="s">
        <v>103</v>
      </c>
      <c r="J481" s="2">
        <v>2.7</v>
      </c>
      <c r="K481" s="2" t="s">
        <v>33</v>
      </c>
      <c r="L481" s="2" t="s">
        <v>2120</v>
      </c>
      <c r="M481" s="2" t="s">
        <v>82</v>
      </c>
      <c r="N481" s="2" t="s">
        <v>75</v>
      </c>
      <c r="O481" s="2">
        <v>17</v>
      </c>
      <c r="P481" s="2" t="str">
        <f>IF(global_freelancer_raw5[[#This Row],[No of projects ]]&lt;=5,"Entry level","Well Experienced")</f>
        <v>Well Experienced</v>
      </c>
      <c r="Q481" s="2">
        <v>8</v>
      </c>
    </row>
    <row r="482" spans="1:17" x14ac:dyDescent="0.3">
      <c r="A482" t="s">
        <v>1065</v>
      </c>
      <c r="B482" t="s">
        <v>1066</v>
      </c>
      <c r="C482" t="s">
        <v>118</v>
      </c>
      <c r="D482" s="2">
        <v>59</v>
      </c>
      <c r="E482" t="s">
        <v>156</v>
      </c>
      <c r="F482" t="s">
        <v>157</v>
      </c>
      <c r="G482" s="2" t="s">
        <v>98</v>
      </c>
      <c r="H482" s="2">
        <v>13</v>
      </c>
      <c r="I482" s="2" t="s">
        <v>86</v>
      </c>
      <c r="J482" s="2">
        <v>2.4</v>
      </c>
      <c r="K482" s="2" t="s">
        <v>181</v>
      </c>
      <c r="L482" s="2">
        <v>65</v>
      </c>
      <c r="M482" s="2" t="s">
        <v>24</v>
      </c>
      <c r="N482" s="2" t="s">
        <v>25</v>
      </c>
      <c r="O482" s="2">
        <v>13</v>
      </c>
      <c r="P482" s="2" t="str">
        <f>IF(global_freelancer_raw5[[#This Row],[No of projects ]]&lt;=5,"Entry level","Well Experienced")</f>
        <v>Well Experienced</v>
      </c>
      <c r="Q482" s="2">
        <v>4</v>
      </c>
    </row>
    <row r="483" spans="1:17" x14ac:dyDescent="0.3">
      <c r="A483" t="s">
        <v>1067</v>
      </c>
      <c r="B483" t="s">
        <v>1068</v>
      </c>
      <c r="C483" t="s">
        <v>118</v>
      </c>
      <c r="D483" s="2" t="s">
        <v>2119</v>
      </c>
      <c r="E483" t="s">
        <v>85</v>
      </c>
      <c r="F483" t="s">
        <v>30</v>
      </c>
      <c r="G483" s="2" t="s">
        <v>46</v>
      </c>
      <c r="H483" s="2" t="s">
        <v>2120</v>
      </c>
      <c r="I483" s="2" t="s">
        <v>86</v>
      </c>
      <c r="J483" s="2">
        <v>1.9</v>
      </c>
      <c r="K483" s="2" t="s">
        <v>33</v>
      </c>
      <c r="L483" s="2">
        <v>0.94</v>
      </c>
      <c r="M483" s="2" t="s">
        <v>88</v>
      </c>
      <c r="N483" s="2" t="s">
        <v>25</v>
      </c>
      <c r="O483" s="2">
        <v>4</v>
      </c>
      <c r="P483" s="2" t="str">
        <f>IF(global_freelancer_raw5[[#This Row],[No of projects ]]&lt;=5,"Entry level","Well Experienced")</f>
        <v>Entry level</v>
      </c>
      <c r="Q483" s="2">
        <v>3</v>
      </c>
    </row>
    <row r="484" spans="1:17" x14ac:dyDescent="0.3">
      <c r="A484" t="s">
        <v>1069</v>
      </c>
      <c r="B484" t="s">
        <v>1070</v>
      </c>
      <c r="C484" t="s">
        <v>97</v>
      </c>
      <c r="D484" s="2" t="s">
        <v>2119</v>
      </c>
      <c r="E484" t="s">
        <v>55</v>
      </c>
      <c r="F484" t="s">
        <v>56</v>
      </c>
      <c r="G484" s="2" t="s">
        <v>31</v>
      </c>
      <c r="H484" s="2">
        <v>11</v>
      </c>
      <c r="I484" s="2" t="s">
        <v>142</v>
      </c>
      <c r="J484" s="2">
        <v>3.6</v>
      </c>
      <c r="K484" s="2" t="s">
        <v>181</v>
      </c>
      <c r="L484" s="2">
        <v>0.69</v>
      </c>
      <c r="M484" s="2" t="s">
        <v>82</v>
      </c>
      <c r="N484" s="2" t="s">
        <v>25</v>
      </c>
      <c r="O484" s="2">
        <v>15</v>
      </c>
      <c r="P484" s="2" t="str">
        <f>IF(global_freelancer_raw5[[#This Row],[No of projects ]]&lt;=5,"Entry level","Well Experienced")</f>
        <v>Well Experienced</v>
      </c>
      <c r="Q484" s="2">
        <v>6</v>
      </c>
    </row>
    <row r="485" spans="1:17" x14ac:dyDescent="0.3">
      <c r="A485" t="s">
        <v>1071</v>
      </c>
      <c r="B485" t="s">
        <v>1072</v>
      </c>
      <c r="C485" t="s">
        <v>118</v>
      </c>
      <c r="D485" s="2">
        <v>25</v>
      </c>
      <c r="E485" t="s">
        <v>55</v>
      </c>
      <c r="F485" t="s">
        <v>56</v>
      </c>
      <c r="G485" s="2" t="s">
        <v>31</v>
      </c>
      <c r="H485" s="2">
        <v>0</v>
      </c>
      <c r="I485" s="2" t="s">
        <v>40</v>
      </c>
      <c r="J485" s="2">
        <v>2.9</v>
      </c>
      <c r="K485" s="2" t="s">
        <v>87</v>
      </c>
      <c r="L485" s="2">
        <v>0.65</v>
      </c>
      <c r="M485" s="2" t="s">
        <v>82</v>
      </c>
      <c r="N485" s="2" t="s">
        <v>34</v>
      </c>
      <c r="O485" s="2">
        <v>2</v>
      </c>
      <c r="P485" s="2" t="str">
        <f>IF(global_freelancer_raw5[[#This Row],[No of projects ]]&lt;=5,"Entry level","Well Experienced")</f>
        <v>Entry level</v>
      </c>
      <c r="Q485" s="2">
        <v>1</v>
      </c>
    </row>
    <row r="486" spans="1:17" x14ac:dyDescent="0.3">
      <c r="A486" t="s">
        <v>1073</v>
      </c>
      <c r="B486" t="s">
        <v>1074</v>
      </c>
      <c r="C486" t="s">
        <v>118</v>
      </c>
      <c r="D486" s="2">
        <v>31</v>
      </c>
      <c r="E486" t="s">
        <v>160</v>
      </c>
      <c r="F486" t="s">
        <v>161</v>
      </c>
      <c r="G486" s="2" t="s">
        <v>31</v>
      </c>
      <c r="H486" s="2">
        <v>2</v>
      </c>
      <c r="I486" s="2" t="s">
        <v>192</v>
      </c>
      <c r="J486" s="2">
        <v>2.8</v>
      </c>
      <c r="K486" s="2" t="s">
        <v>59</v>
      </c>
      <c r="L486" s="2">
        <v>0.6</v>
      </c>
      <c r="M486" s="2" t="s">
        <v>24</v>
      </c>
      <c r="N486" s="2" t="s">
        <v>75</v>
      </c>
      <c r="O486" s="2">
        <v>5</v>
      </c>
      <c r="P486" s="2" t="str">
        <f>IF(global_freelancer_raw5[[#This Row],[No of projects ]]&lt;=5,"Entry level","Well Experienced")</f>
        <v>Entry level</v>
      </c>
      <c r="Q486" s="2">
        <v>1</v>
      </c>
    </row>
    <row r="487" spans="1:17" x14ac:dyDescent="0.3">
      <c r="A487" t="s">
        <v>1075</v>
      </c>
      <c r="B487" t="s">
        <v>1076</v>
      </c>
      <c r="C487" t="s">
        <v>118</v>
      </c>
      <c r="D487" s="2">
        <v>40</v>
      </c>
      <c r="E487" t="s">
        <v>79</v>
      </c>
      <c r="F487" t="s">
        <v>80</v>
      </c>
      <c r="G487" s="2" t="s">
        <v>110</v>
      </c>
      <c r="H487" s="2">
        <v>12</v>
      </c>
      <c r="I487" s="2" t="s">
        <v>103</v>
      </c>
      <c r="J487" s="2">
        <v>2.6</v>
      </c>
      <c r="K487" s="2" t="s">
        <v>59</v>
      </c>
      <c r="L487" s="2" t="s">
        <v>2120</v>
      </c>
      <c r="M487" s="2" t="s">
        <v>82</v>
      </c>
      <c r="N487" s="2" t="s">
        <v>25</v>
      </c>
      <c r="O487" s="2">
        <v>13</v>
      </c>
      <c r="P487" s="2" t="str">
        <f>IF(global_freelancer_raw5[[#This Row],[No of projects ]]&lt;=5,"Entry level","Well Experienced")</f>
        <v>Well Experienced</v>
      </c>
      <c r="Q487" s="2">
        <v>13</v>
      </c>
    </row>
    <row r="488" spans="1:17" x14ac:dyDescent="0.3">
      <c r="A488" t="s">
        <v>1077</v>
      </c>
      <c r="B488" t="s">
        <v>697</v>
      </c>
      <c r="C488" t="s">
        <v>97</v>
      </c>
      <c r="D488" s="2">
        <v>48</v>
      </c>
      <c r="E488" t="s">
        <v>145</v>
      </c>
      <c r="F488" t="s">
        <v>146</v>
      </c>
      <c r="G488" s="2" t="s">
        <v>21</v>
      </c>
      <c r="H488" s="2">
        <v>13</v>
      </c>
      <c r="I488" s="2" t="s">
        <v>251</v>
      </c>
      <c r="J488" s="2">
        <v>2.7</v>
      </c>
      <c r="K488" s="2" t="s">
        <v>2120</v>
      </c>
      <c r="L488" s="2">
        <v>0.62</v>
      </c>
      <c r="M488" s="2" t="s">
        <v>82</v>
      </c>
      <c r="N488" s="2" t="s">
        <v>42</v>
      </c>
      <c r="O488" s="2">
        <v>8</v>
      </c>
      <c r="P488" s="2" t="str">
        <f>IF(global_freelancer_raw5[[#This Row],[No of projects ]]&lt;=5,"Entry level","Well Experienced")</f>
        <v>Well Experienced</v>
      </c>
      <c r="Q488" s="2">
        <v>4</v>
      </c>
    </row>
    <row r="489" spans="1:17" x14ac:dyDescent="0.3">
      <c r="A489" t="s">
        <v>1078</v>
      </c>
      <c r="B489" t="s">
        <v>1079</v>
      </c>
      <c r="C489" t="s">
        <v>97</v>
      </c>
      <c r="D489" s="2">
        <v>24</v>
      </c>
      <c r="E489" t="s">
        <v>175</v>
      </c>
      <c r="F489" t="s">
        <v>176</v>
      </c>
      <c r="G489" s="2" t="s">
        <v>31</v>
      </c>
      <c r="H489" s="2">
        <v>6</v>
      </c>
      <c r="I489" s="2" t="s">
        <v>52</v>
      </c>
      <c r="J489" s="2">
        <v>1.1000000000000001</v>
      </c>
      <c r="K489" s="2" t="s">
        <v>87</v>
      </c>
      <c r="L489" s="2" t="s">
        <v>2120</v>
      </c>
      <c r="M489" s="2" t="s">
        <v>24</v>
      </c>
      <c r="N489" s="2" t="s">
        <v>25</v>
      </c>
      <c r="O489" s="2">
        <v>9</v>
      </c>
      <c r="P489" s="2" t="str">
        <f>IF(global_freelancer_raw5[[#This Row],[No of projects ]]&lt;=5,"Entry level","Well Experienced")</f>
        <v>Well Experienced</v>
      </c>
      <c r="Q489" s="2">
        <v>9</v>
      </c>
    </row>
    <row r="490" spans="1:17" x14ac:dyDescent="0.3">
      <c r="A490" t="s">
        <v>1080</v>
      </c>
      <c r="B490" t="s">
        <v>1081</v>
      </c>
      <c r="C490" t="s">
        <v>118</v>
      </c>
      <c r="D490" s="2">
        <v>33</v>
      </c>
      <c r="E490" t="s">
        <v>64</v>
      </c>
      <c r="F490" t="s">
        <v>65</v>
      </c>
      <c r="G490" s="2" t="s">
        <v>46</v>
      </c>
      <c r="H490" s="2">
        <v>10</v>
      </c>
      <c r="I490" s="2" t="s">
        <v>130</v>
      </c>
      <c r="J490" s="2">
        <v>0</v>
      </c>
      <c r="K490" s="2" t="s">
        <v>87</v>
      </c>
      <c r="L490" s="2">
        <v>0.89</v>
      </c>
      <c r="M490" s="2" t="s">
        <v>60</v>
      </c>
      <c r="N490" s="2" t="s">
        <v>25</v>
      </c>
      <c r="O490" s="2">
        <v>11</v>
      </c>
      <c r="P490" s="2" t="str">
        <f>IF(global_freelancer_raw5[[#This Row],[No of projects ]]&lt;=5,"Entry level","Well Experienced")</f>
        <v>Well Experienced</v>
      </c>
      <c r="Q490" s="2">
        <v>10</v>
      </c>
    </row>
    <row r="491" spans="1:17" x14ac:dyDescent="0.3">
      <c r="A491" t="s">
        <v>1082</v>
      </c>
      <c r="B491" t="s">
        <v>1083</v>
      </c>
      <c r="C491" t="s">
        <v>97</v>
      </c>
      <c r="D491" s="2">
        <v>43</v>
      </c>
      <c r="E491" t="s">
        <v>128</v>
      </c>
      <c r="F491" t="s">
        <v>129</v>
      </c>
      <c r="G491" s="2" t="s">
        <v>93</v>
      </c>
      <c r="H491" s="2">
        <v>2</v>
      </c>
      <c r="I491" s="2" t="s">
        <v>47</v>
      </c>
      <c r="J491" s="2">
        <v>0</v>
      </c>
      <c r="K491" s="2" t="s">
        <v>87</v>
      </c>
      <c r="L491" s="2">
        <v>0.89</v>
      </c>
      <c r="M491" s="2" t="s">
        <v>24</v>
      </c>
      <c r="N491" s="2" t="s">
        <v>25</v>
      </c>
      <c r="O491" s="2">
        <v>5</v>
      </c>
      <c r="P491" s="2" t="str">
        <f>IF(global_freelancer_raw5[[#This Row],[No of projects ]]&lt;=5,"Entry level","Well Experienced")</f>
        <v>Entry level</v>
      </c>
      <c r="Q491" s="2">
        <v>1</v>
      </c>
    </row>
    <row r="492" spans="1:17" x14ac:dyDescent="0.3">
      <c r="A492" t="s">
        <v>1084</v>
      </c>
      <c r="B492" t="s">
        <v>1085</v>
      </c>
      <c r="C492" t="s">
        <v>118</v>
      </c>
      <c r="D492" s="2">
        <v>43</v>
      </c>
      <c r="E492" t="s">
        <v>212</v>
      </c>
      <c r="F492" t="s">
        <v>92</v>
      </c>
      <c r="G492" s="2" t="s">
        <v>21</v>
      </c>
      <c r="H492" s="2">
        <v>4</v>
      </c>
      <c r="I492" s="2" t="s">
        <v>40</v>
      </c>
      <c r="J492" s="2">
        <v>0</v>
      </c>
      <c r="K492" s="2" t="s">
        <v>74</v>
      </c>
      <c r="L492" s="2">
        <v>1</v>
      </c>
      <c r="M492" s="2" t="s">
        <v>60</v>
      </c>
      <c r="N492" s="2" t="s">
        <v>34</v>
      </c>
      <c r="O492" s="2">
        <v>2</v>
      </c>
      <c r="P492" s="2" t="str">
        <f>IF(global_freelancer_raw5[[#This Row],[No of projects ]]&lt;=5,"Entry level","Well Experienced")</f>
        <v>Entry level</v>
      </c>
      <c r="Q492" s="2">
        <v>1</v>
      </c>
    </row>
    <row r="493" spans="1:17" x14ac:dyDescent="0.3">
      <c r="A493" t="s">
        <v>1086</v>
      </c>
      <c r="B493" t="s">
        <v>1087</v>
      </c>
      <c r="C493" t="s">
        <v>97</v>
      </c>
      <c r="D493" s="2">
        <v>33</v>
      </c>
      <c r="E493" t="s">
        <v>29</v>
      </c>
      <c r="F493" t="s">
        <v>30</v>
      </c>
      <c r="G493" s="2" t="s">
        <v>46</v>
      </c>
      <c r="H493" s="2">
        <v>11</v>
      </c>
      <c r="I493" s="2" t="s">
        <v>2119</v>
      </c>
      <c r="J493" s="2">
        <v>4.5999999999999996</v>
      </c>
      <c r="K493" s="2" t="s">
        <v>87</v>
      </c>
      <c r="L493" s="2" t="s">
        <v>2120</v>
      </c>
      <c r="M493" s="2" t="s">
        <v>88</v>
      </c>
      <c r="N493" s="2" t="s">
        <v>42</v>
      </c>
      <c r="O493" s="2">
        <v>15</v>
      </c>
      <c r="P493" s="2" t="str">
        <f>IF(global_freelancer_raw5[[#This Row],[No of projects ]]&lt;=5,"Entry level","Well Experienced")</f>
        <v>Well Experienced</v>
      </c>
      <c r="Q493" s="2">
        <v>2</v>
      </c>
    </row>
    <row r="494" spans="1:17" x14ac:dyDescent="0.3">
      <c r="A494" t="s">
        <v>1088</v>
      </c>
      <c r="B494" t="s">
        <v>1089</v>
      </c>
      <c r="C494" t="s">
        <v>97</v>
      </c>
      <c r="D494" s="2">
        <v>49</v>
      </c>
      <c r="E494" t="s">
        <v>145</v>
      </c>
      <c r="F494" t="s">
        <v>146</v>
      </c>
      <c r="G494" s="2" t="s">
        <v>93</v>
      </c>
      <c r="H494" s="2">
        <v>14</v>
      </c>
      <c r="I494" s="2" t="s">
        <v>86</v>
      </c>
      <c r="J494" s="2">
        <v>1.5</v>
      </c>
      <c r="K494" s="2" t="s">
        <v>2120</v>
      </c>
      <c r="L494" s="2">
        <v>0.6</v>
      </c>
      <c r="M494" s="2" t="s">
        <v>60</v>
      </c>
      <c r="N494" s="2" t="s">
        <v>75</v>
      </c>
      <c r="O494" s="2">
        <v>15</v>
      </c>
      <c r="P494" s="2" t="str">
        <f>IF(global_freelancer_raw5[[#This Row],[No of projects ]]&lt;=5,"Entry level","Well Experienced")</f>
        <v>Well Experienced</v>
      </c>
      <c r="Q494" s="2">
        <v>10</v>
      </c>
    </row>
    <row r="495" spans="1:17" x14ac:dyDescent="0.3">
      <c r="A495" t="s">
        <v>1090</v>
      </c>
      <c r="B495" t="s">
        <v>1091</v>
      </c>
      <c r="C495" t="s">
        <v>118</v>
      </c>
      <c r="D495" s="2">
        <v>55</v>
      </c>
      <c r="E495" t="s">
        <v>149</v>
      </c>
      <c r="F495" t="s">
        <v>30</v>
      </c>
      <c r="G495" s="2" t="s">
        <v>93</v>
      </c>
      <c r="H495" s="2">
        <v>10</v>
      </c>
      <c r="I495" s="2" t="s">
        <v>86</v>
      </c>
      <c r="J495" s="2">
        <v>2</v>
      </c>
      <c r="K495" s="2" t="s">
        <v>181</v>
      </c>
      <c r="L495" s="2">
        <v>0.85</v>
      </c>
      <c r="M495" s="2" t="s">
        <v>60</v>
      </c>
      <c r="N495" s="2" t="s">
        <v>42</v>
      </c>
      <c r="O495" s="2">
        <v>7</v>
      </c>
      <c r="P495" s="2" t="str">
        <f>IF(global_freelancer_raw5[[#This Row],[No of projects ]]&lt;=5,"Entry level","Well Experienced")</f>
        <v>Well Experienced</v>
      </c>
      <c r="Q495" s="2">
        <v>6</v>
      </c>
    </row>
    <row r="496" spans="1:17" x14ac:dyDescent="0.3">
      <c r="A496" t="s">
        <v>1092</v>
      </c>
      <c r="B496" t="s">
        <v>1093</v>
      </c>
      <c r="C496" t="s">
        <v>97</v>
      </c>
      <c r="D496" s="2">
        <v>33</v>
      </c>
      <c r="E496" t="s">
        <v>133</v>
      </c>
      <c r="F496" t="s">
        <v>134</v>
      </c>
      <c r="G496" s="2" t="s">
        <v>39</v>
      </c>
      <c r="H496" s="2">
        <v>3</v>
      </c>
      <c r="I496" s="2" t="s">
        <v>47</v>
      </c>
      <c r="J496" s="2">
        <v>1.6</v>
      </c>
      <c r="K496" s="2" t="s">
        <v>2120</v>
      </c>
      <c r="L496" s="2">
        <v>0.83</v>
      </c>
      <c r="M496" s="2" t="s">
        <v>88</v>
      </c>
      <c r="N496" s="2" t="s">
        <v>75</v>
      </c>
      <c r="O496" s="2">
        <v>4</v>
      </c>
      <c r="P496" s="2" t="str">
        <f>IF(global_freelancer_raw5[[#This Row],[No of projects ]]&lt;=5,"Entry level","Well Experienced")</f>
        <v>Entry level</v>
      </c>
      <c r="Q496" s="2">
        <v>2</v>
      </c>
    </row>
    <row r="497" spans="1:17" x14ac:dyDescent="0.3">
      <c r="A497" t="s">
        <v>1094</v>
      </c>
      <c r="B497" t="s">
        <v>1095</v>
      </c>
      <c r="C497" t="s">
        <v>118</v>
      </c>
      <c r="D497" s="2">
        <v>32</v>
      </c>
      <c r="E497" t="s">
        <v>91</v>
      </c>
      <c r="F497" t="s">
        <v>92</v>
      </c>
      <c r="G497" s="2" t="s">
        <v>57</v>
      </c>
      <c r="H497" s="2">
        <v>3</v>
      </c>
      <c r="I497" s="2" t="s">
        <v>58</v>
      </c>
      <c r="J497" s="2">
        <v>1.5</v>
      </c>
      <c r="K497" s="2" t="s">
        <v>41</v>
      </c>
      <c r="L497" s="2">
        <v>0.96</v>
      </c>
      <c r="M497" s="2" t="s">
        <v>60</v>
      </c>
      <c r="N497" s="2" t="s">
        <v>34</v>
      </c>
      <c r="O497" s="2">
        <v>5</v>
      </c>
      <c r="P497" s="2" t="str">
        <f>IF(global_freelancer_raw5[[#This Row],[No of projects ]]&lt;=5,"Entry level","Well Experienced")</f>
        <v>Entry level</v>
      </c>
      <c r="Q497" s="2">
        <v>1</v>
      </c>
    </row>
    <row r="498" spans="1:17" x14ac:dyDescent="0.3">
      <c r="A498" t="s">
        <v>1096</v>
      </c>
      <c r="B498" t="s">
        <v>1097</v>
      </c>
      <c r="C498" t="s">
        <v>118</v>
      </c>
      <c r="D498" s="2">
        <v>58</v>
      </c>
      <c r="E498" t="s">
        <v>55</v>
      </c>
      <c r="F498" t="s">
        <v>56</v>
      </c>
      <c r="G498" s="2" t="s">
        <v>21</v>
      </c>
      <c r="H498" s="2">
        <v>33</v>
      </c>
      <c r="I498" s="2" t="s">
        <v>2119</v>
      </c>
      <c r="J498" s="2">
        <v>4.0999999999999996</v>
      </c>
      <c r="K498" s="2" t="s">
        <v>94</v>
      </c>
      <c r="L498" s="2">
        <v>0.83</v>
      </c>
      <c r="M498" s="2" t="s">
        <v>24</v>
      </c>
      <c r="N498" s="2" t="s">
        <v>34</v>
      </c>
      <c r="O498" s="2">
        <v>19</v>
      </c>
      <c r="P498" s="2" t="str">
        <f>IF(global_freelancer_raw5[[#This Row],[No of projects ]]&lt;=5,"Entry level","Well Experienced")</f>
        <v>Well Experienced</v>
      </c>
      <c r="Q498" s="2">
        <v>3</v>
      </c>
    </row>
    <row r="499" spans="1:17" x14ac:dyDescent="0.3">
      <c r="A499" t="s">
        <v>1098</v>
      </c>
      <c r="B499" t="s">
        <v>1099</v>
      </c>
      <c r="C499" t="s">
        <v>118</v>
      </c>
      <c r="D499" s="2">
        <v>49</v>
      </c>
      <c r="E499" t="s">
        <v>64</v>
      </c>
      <c r="F499" t="s">
        <v>65</v>
      </c>
      <c r="G499" s="2" t="s">
        <v>66</v>
      </c>
      <c r="H499" s="2">
        <v>24</v>
      </c>
      <c r="I499" s="2" t="s">
        <v>22</v>
      </c>
      <c r="J499" s="2">
        <v>4.7</v>
      </c>
      <c r="K499" s="2" t="s">
        <v>23</v>
      </c>
      <c r="L499" s="2">
        <v>0.6</v>
      </c>
      <c r="M499" s="2" t="s">
        <v>60</v>
      </c>
      <c r="N499" s="2" t="s">
        <v>34</v>
      </c>
      <c r="O499" s="2">
        <v>20</v>
      </c>
      <c r="P499" s="2" t="str">
        <f>IF(global_freelancer_raw5[[#This Row],[No of projects ]]&lt;=5,"Entry level","Well Experienced")</f>
        <v>Well Experienced</v>
      </c>
      <c r="Q499" s="2">
        <v>3</v>
      </c>
    </row>
    <row r="500" spans="1:17" x14ac:dyDescent="0.3">
      <c r="A500" t="s">
        <v>1100</v>
      </c>
      <c r="B500" t="s">
        <v>1101</v>
      </c>
      <c r="C500" t="s">
        <v>97</v>
      </c>
      <c r="D500" s="2">
        <v>22</v>
      </c>
      <c r="E500" t="s">
        <v>145</v>
      </c>
      <c r="F500" t="s">
        <v>146</v>
      </c>
      <c r="G500" s="2" t="s">
        <v>93</v>
      </c>
      <c r="H500" s="2">
        <v>3</v>
      </c>
      <c r="I500" s="2" t="s">
        <v>32</v>
      </c>
      <c r="J500" s="2">
        <v>3.6</v>
      </c>
      <c r="K500" s="2" t="s">
        <v>33</v>
      </c>
      <c r="L500" s="2">
        <v>0.78</v>
      </c>
      <c r="M500" s="2" t="s">
        <v>88</v>
      </c>
      <c r="N500" s="2" t="s">
        <v>34</v>
      </c>
      <c r="O500" s="2">
        <v>3</v>
      </c>
      <c r="P500" s="2" t="str">
        <f>IF(global_freelancer_raw5[[#This Row],[No of projects ]]&lt;=5,"Entry level","Well Experienced")</f>
        <v>Entry level</v>
      </c>
      <c r="Q500" s="2">
        <v>4</v>
      </c>
    </row>
    <row r="501" spans="1:17" x14ac:dyDescent="0.3">
      <c r="A501" t="s">
        <v>1102</v>
      </c>
      <c r="B501" t="s">
        <v>1103</v>
      </c>
      <c r="C501" t="s">
        <v>97</v>
      </c>
      <c r="D501" s="2">
        <v>40</v>
      </c>
      <c r="E501" t="s">
        <v>160</v>
      </c>
      <c r="F501" t="s">
        <v>161</v>
      </c>
      <c r="G501" s="2" t="s">
        <v>46</v>
      </c>
      <c r="H501" s="2">
        <v>11</v>
      </c>
      <c r="I501" s="2" t="s">
        <v>142</v>
      </c>
      <c r="J501" s="2">
        <v>1.8</v>
      </c>
      <c r="K501" s="2" t="s">
        <v>33</v>
      </c>
      <c r="L501" s="2">
        <v>0.9</v>
      </c>
      <c r="M501" s="2" t="s">
        <v>24</v>
      </c>
      <c r="N501" s="2" t="s">
        <v>75</v>
      </c>
      <c r="O501" s="2">
        <v>13</v>
      </c>
      <c r="P501" s="2" t="str">
        <f>IF(global_freelancer_raw5[[#This Row],[No of projects ]]&lt;=5,"Entry level","Well Experienced")</f>
        <v>Well Experienced</v>
      </c>
      <c r="Q501" s="2">
        <v>10</v>
      </c>
    </row>
    <row r="502" spans="1:17" x14ac:dyDescent="0.3">
      <c r="A502" t="s">
        <v>1104</v>
      </c>
      <c r="B502" t="s">
        <v>1105</v>
      </c>
      <c r="C502" t="s">
        <v>118</v>
      </c>
      <c r="D502" s="2">
        <v>55</v>
      </c>
      <c r="E502" t="s">
        <v>29</v>
      </c>
      <c r="F502" t="s">
        <v>30</v>
      </c>
      <c r="G502" s="2" t="s">
        <v>66</v>
      </c>
      <c r="H502" s="2">
        <v>7</v>
      </c>
      <c r="I502" s="2" t="s">
        <v>32</v>
      </c>
      <c r="J502" s="2">
        <v>2.1</v>
      </c>
      <c r="K502" s="2" t="s">
        <v>23</v>
      </c>
      <c r="L502" s="2">
        <v>0.66</v>
      </c>
      <c r="M502" s="2" t="s">
        <v>88</v>
      </c>
      <c r="N502" s="2" t="s">
        <v>25</v>
      </c>
      <c r="O502" s="2">
        <v>8</v>
      </c>
      <c r="P502" s="2" t="str">
        <f>IF(global_freelancer_raw5[[#This Row],[No of projects ]]&lt;=5,"Entry level","Well Experienced")</f>
        <v>Well Experienced</v>
      </c>
      <c r="Q502" s="2">
        <v>9</v>
      </c>
    </row>
    <row r="503" spans="1:17" x14ac:dyDescent="0.3">
      <c r="A503" t="s">
        <v>1106</v>
      </c>
      <c r="B503" t="s">
        <v>1107</v>
      </c>
      <c r="C503" t="s">
        <v>118</v>
      </c>
      <c r="D503" s="2">
        <v>32</v>
      </c>
      <c r="E503" t="s">
        <v>201</v>
      </c>
      <c r="F503" t="s">
        <v>92</v>
      </c>
      <c r="G503" s="2" t="s">
        <v>110</v>
      </c>
      <c r="H503" s="2">
        <v>1</v>
      </c>
      <c r="I503" s="2" t="s">
        <v>81</v>
      </c>
      <c r="J503" s="2" t="s">
        <v>2120</v>
      </c>
      <c r="K503" s="2" t="s">
        <v>87</v>
      </c>
      <c r="L503" s="2">
        <v>0.7</v>
      </c>
      <c r="M503" s="2" t="s">
        <v>88</v>
      </c>
      <c r="N503" s="2" t="s">
        <v>75</v>
      </c>
      <c r="O503" s="2">
        <v>4</v>
      </c>
      <c r="P503" s="2" t="str">
        <f>IF(global_freelancer_raw5[[#This Row],[No of projects ]]&lt;=5,"Entry level","Well Experienced")</f>
        <v>Entry level</v>
      </c>
      <c r="Q503" s="2">
        <v>5</v>
      </c>
    </row>
    <row r="504" spans="1:17" x14ac:dyDescent="0.3">
      <c r="A504" t="s">
        <v>1108</v>
      </c>
      <c r="B504" t="s">
        <v>1109</v>
      </c>
      <c r="C504" t="s">
        <v>97</v>
      </c>
      <c r="D504" s="2">
        <v>21</v>
      </c>
      <c r="E504" t="s">
        <v>106</v>
      </c>
      <c r="F504" t="s">
        <v>107</v>
      </c>
      <c r="G504" s="2" t="s">
        <v>93</v>
      </c>
      <c r="H504" s="2">
        <v>0</v>
      </c>
      <c r="I504" s="2" t="s">
        <v>130</v>
      </c>
      <c r="J504" s="2">
        <v>4.2</v>
      </c>
      <c r="K504" s="2" t="s">
        <v>87</v>
      </c>
      <c r="L504" s="2">
        <v>0.79</v>
      </c>
      <c r="M504" s="2" t="s">
        <v>82</v>
      </c>
      <c r="N504" s="2" t="s">
        <v>42</v>
      </c>
      <c r="O504" s="2">
        <v>3</v>
      </c>
      <c r="P504" s="2" t="str">
        <f>IF(global_freelancer_raw5[[#This Row],[No of projects ]]&lt;=5,"Entry level","Well Experienced")</f>
        <v>Entry level</v>
      </c>
      <c r="Q504" s="2">
        <v>2</v>
      </c>
    </row>
    <row r="505" spans="1:17" x14ac:dyDescent="0.3">
      <c r="A505" t="s">
        <v>1110</v>
      </c>
      <c r="B505" t="s">
        <v>1111</v>
      </c>
      <c r="C505" t="s">
        <v>118</v>
      </c>
      <c r="D505" s="2">
        <v>23</v>
      </c>
      <c r="E505" t="s">
        <v>133</v>
      </c>
      <c r="F505" t="s">
        <v>134</v>
      </c>
      <c r="G505" s="2" t="s">
        <v>21</v>
      </c>
      <c r="H505" s="2">
        <v>1</v>
      </c>
      <c r="I505" s="2" t="s">
        <v>86</v>
      </c>
      <c r="J505" s="2">
        <v>0</v>
      </c>
      <c r="K505" s="2" t="s">
        <v>23</v>
      </c>
      <c r="L505" s="2">
        <v>0.64</v>
      </c>
      <c r="M505" s="2" t="s">
        <v>82</v>
      </c>
      <c r="N505" s="2" t="s">
        <v>34</v>
      </c>
      <c r="O505" s="2">
        <v>2</v>
      </c>
      <c r="P505" s="2" t="str">
        <f>IF(global_freelancer_raw5[[#This Row],[No of projects ]]&lt;=5,"Entry level","Well Experienced")</f>
        <v>Entry level</v>
      </c>
      <c r="Q505" s="2">
        <v>3</v>
      </c>
    </row>
    <row r="506" spans="1:17" x14ac:dyDescent="0.3">
      <c r="A506" t="s">
        <v>1112</v>
      </c>
      <c r="B506" t="s">
        <v>1113</v>
      </c>
      <c r="C506" t="s">
        <v>118</v>
      </c>
      <c r="D506" s="2">
        <v>21</v>
      </c>
      <c r="E506" t="s">
        <v>85</v>
      </c>
      <c r="F506" t="s">
        <v>30</v>
      </c>
      <c r="G506" s="2" t="s">
        <v>31</v>
      </c>
      <c r="H506" s="2">
        <v>1</v>
      </c>
      <c r="I506" s="2" t="s">
        <v>130</v>
      </c>
      <c r="J506" s="2">
        <v>1</v>
      </c>
      <c r="K506" s="2" t="s">
        <v>41</v>
      </c>
      <c r="L506" s="2">
        <v>0.81</v>
      </c>
      <c r="M506" s="2" t="s">
        <v>88</v>
      </c>
      <c r="N506" s="2" t="s">
        <v>34</v>
      </c>
      <c r="O506" s="2">
        <v>1</v>
      </c>
      <c r="P506" s="2" t="str">
        <f>IF(global_freelancer_raw5[[#This Row],[No of projects ]]&lt;=5,"Entry level","Well Experienced")</f>
        <v>Entry level</v>
      </c>
      <c r="Q506" s="2">
        <v>3</v>
      </c>
    </row>
    <row r="507" spans="1:17" x14ac:dyDescent="0.3">
      <c r="A507" t="s">
        <v>1114</v>
      </c>
      <c r="B507" t="s">
        <v>1115</v>
      </c>
      <c r="C507" t="s">
        <v>118</v>
      </c>
      <c r="D507" s="2">
        <v>31</v>
      </c>
      <c r="E507" t="s">
        <v>91</v>
      </c>
      <c r="F507" t="s">
        <v>92</v>
      </c>
      <c r="G507" s="2" t="s">
        <v>57</v>
      </c>
      <c r="H507" s="2">
        <v>7</v>
      </c>
      <c r="I507" s="2" t="s">
        <v>103</v>
      </c>
      <c r="J507" s="2">
        <v>4.4000000000000004</v>
      </c>
      <c r="K507" s="2" t="s">
        <v>23</v>
      </c>
      <c r="L507" s="2">
        <v>0.83</v>
      </c>
      <c r="M507" s="2" t="s">
        <v>88</v>
      </c>
      <c r="N507" s="2" t="s">
        <v>42</v>
      </c>
      <c r="O507" s="2">
        <v>12</v>
      </c>
      <c r="P507" s="2" t="str">
        <f>IF(global_freelancer_raw5[[#This Row],[No of projects ]]&lt;=5,"Entry level","Well Experienced")</f>
        <v>Well Experienced</v>
      </c>
      <c r="Q507" s="2">
        <v>6</v>
      </c>
    </row>
    <row r="508" spans="1:17" x14ac:dyDescent="0.3">
      <c r="A508" t="s">
        <v>1116</v>
      </c>
      <c r="B508" t="s">
        <v>1117</v>
      </c>
      <c r="C508" t="s">
        <v>118</v>
      </c>
      <c r="D508" s="2">
        <v>21</v>
      </c>
      <c r="E508" t="s">
        <v>201</v>
      </c>
      <c r="F508" t="s">
        <v>92</v>
      </c>
      <c r="G508" s="2" t="s">
        <v>21</v>
      </c>
      <c r="H508" s="2" t="s">
        <v>2120</v>
      </c>
      <c r="I508" s="2" t="s">
        <v>86</v>
      </c>
      <c r="J508" s="2">
        <v>4</v>
      </c>
      <c r="K508" s="2" t="s">
        <v>23</v>
      </c>
      <c r="L508" s="2">
        <v>0.91</v>
      </c>
      <c r="M508" s="2" t="s">
        <v>88</v>
      </c>
      <c r="N508" s="2" t="s">
        <v>75</v>
      </c>
      <c r="O508" s="2">
        <v>2</v>
      </c>
      <c r="P508" s="2" t="str">
        <f>IF(global_freelancer_raw5[[#This Row],[No of projects ]]&lt;=5,"Entry level","Well Experienced")</f>
        <v>Entry level</v>
      </c>
      <c r="Q508" s="2">
        <v>1</v>
      </c>
    </row>
    <row r="509" spans="1:17" x14ac:dyDescent="0.3">
      <c r="A509" t="s">
        <v>1118</v>
      </c>
      <c r="B509" t="s">
        <v>1119</v>
      </c>
      <c r="C509" t="s">
        <v>118</v>
      </c>
      <c r="D509" s="2">
        <v>33</v>
      </c>
      <c r="E509" t="s">
        <v>85</v>
      </c>
      <c r="F509" t="s">
        <v>30</v>
      </c>
      <c r="G509" s="2" t="s">
        <v>98</v>
      </c>
      <c r="H509" s="2">
        <v>6</v>
      </c>
      <c r="I509" s="2" t="s">
        <v>119</v>
      </c>
      <c r="J509" s="2">
        <v>3.1</v>
      </c>
      <c r="K509" s="2" t="s">
        <v>41</v>
      </c>
      <c r="L509" s="2" t="s">
        <v>2120</v>
      </c>
      <c r="M509" s="2" t="s">
        <v>82</v>
      </c>
      <c r="N509" s="2" t="s">
        <v>25</v>
      </c>
      <c r="O509" s="2">
        <v>15</v>
      </c>
      <c r="P509" s="2" t="str">
        <f>IF(global_freelancer_raw5[[#This Row],[No of projects ]]&lt;=5,"Entry level","Well Experienced")</f>
        <v>Well Experienced</v>
      </c>
      <c r="Q509" s="2">
        <v>9</v>
      </c>
    </row>
    <row r="510" spans="1:17" x14ac:dyDescent="0.3">
      <c r="A510" t="s">
        <v>1120</v>
      </c>
      <c r="B510" t="s">
        <v>1121</v>
      </c>
      <c r="C510" t="s">
        <v>118</v>
      </c>
      <c r="D510" s="2">
        <v>57</v>
      </c>
      <c r="E510" t="s">
        <v>128</v>
      </c>
      <c r="F510" t="s">
        <v>129</v>
      </c>
      <c r="G510" s="2" t="s">
        <v>46</v>
      </c>
      <c r="H510" s="2">
        <v>5</v>
      </c>
      <c r="I510" s="2" t="s">
        <v>103</v>
      </c>
      <c r="J510" s="2">
        <v>1.1000000000000001</v>
      </c>
      <c r="K510" s="2" t="s">
        <v>74</v>
      </c>
      <c r="L510" s="2">
        <v>0.77</v>
      </c>
      <c r="M510" s="2" t="s">
        <v>82</v>
      </c>
      <c r="N510" s="2" t="s">
        <v>25</v>
      </c>
      <c r="O510" s="2">
        <v>2</v>
      </c>
      <c r="P510" s="2" t="str">
        <f>IF(global_freelancer_raw5[[#This Row],[No of projects ]]&lt;=5,"Entry level","Well Experienced")</f>
        <v>Entry level</v>
      </c>
      <c r="Q510" s="2">
        <v>3</v>
      </c>
    </row>
    <row r="511" spans="1:17" x14ac:dyDescent="0.3">
      <c r="A511" t="s">
        <v>1122</v>
      </c>
      <c r="B511" t="s">
        <v>1123</v>
      </c>
      <c r="C511" t="s">
        <v>118</v>
      </c>
      <c r="D511" s="2">
        <v>52</v>
      </c>
      <c r="E511" t="s">
        <v>73</v>
      </c>
      <c r="F511" t="s">
        <v>30</v>
      </c>
      <c r="G511" s="2" t="s">
        <v>110</v>
      </c>
      <c r="H511" s="2">
        <v>17</v>
      </c>
      <c r="I511" s="2" t="s">
        <v>67</v>
      </c>
      <c r="J511" s="2">
        <v>0</v>
      </c>
      <c r="K511" s="2" t="s">
        <v>23</v>
      </c>
      <c r="L511" s="2">
        <v>0.94</v>
      </c>
      <c r="M511" s="2" t="s">
        <v>60</v>
      </c>
      <c r="N511" s="2" t="s">
        <v>42</v>
      </c>
      <c r="O511" s="2">
        <v>18</v>
      </c>
      <c r="P511" s="2" t="str">
        <f>IF(global_freelancer_raw5[[#This Row],[No of projects ]]&lt;=5,"Entry level","Well Experienced")</f>
        <v>Well Experienced</v>
      </c>
      <c r="Q511" s="2">
        <v>6</v>
      </c>
    </row>
    <row r="512" spans="1:17" x14ac:dyDescent="0.3">
      <c r="A512" t="s">
        <v>1124</v>
      </c>
      <c r="B512" t="s">
        <v>1125</v>
      </c>
      <c r="C512" t="s">
        <v>97</v>
      </c>
      <c r="D512" s="2">
        <v>21</v>
      </c>
      <c r="E512" t="s">
        <v>38</v>
      </c>
      <c r="F512" t="s">
        <v>38</v>
      </c>
      <c r="G512" s="2" t="s">
        <v>46</v>
      </c>
      <c r="H512" s="2">
        <v>0</v>
      </c>
      <c r="I512" s="2" t="s">
        <v>142</v>
      </c>
      <c r="J512" s="2">
        <v>3.8</v>
      </c>
      <c r="K512" s="2" t="s">
        <v>33</v>
      </c>
      <c r="L512" s="2">
        <v>0.61</v>
      </c>
      <c r="M512" s="2" t="s">
        <v>60</v>
      </c>
      <c r="N512" s="2" t="s">
        <v>25</v>
      </c>
      <c r="O512" s="2">
        <v>5</v>
      </c>
      <c r="P512" s="2" t="str">
        <f>IF(global_freelancer_raw5[[#This Row],[No of projects ]]&lt;=5,"Entry level","Well Experienced")</f>
        <v>Entry level</v>
      </c>
      <c r="Q512" s="2">
        <v>2</v>
      </c>
    </row>
    <row r="513" spans="1:17" x14ac:dyDescent="0.3">
      <c r="A513" t="s">
        <v>1126</v>
      </c>
      <c r="B513" t="s">
        <v>1127</v>
      </c>
      <c r="C513" t="s">
        <v>97</v>
      </c>
      <c r="D513" s="2">
        <v>36</v>
      </c>
      <c r="E513" t="s">
        <v>91</v>
      </c>
      <c r="F513" t="s">
        <v>92</v>
      </c>
      <c r="G513" s="2" t="s">
        <v>93</v>
      </c>
      <c r="H513" s="2">
        <v>8</v>
      </c>
      <c r="I513" s="2" t="s">
        <v>22</v>
      </c>
      <c r="J513" s="2">
        <v>1.7</v>
      </c>
      <c r="K513" s="2" t="s">
        <v>41</v>
      </c>
      <c r="L513" s="2">
        <v>0.68</v>
      </c>
      <c r="M513" s="2" t="s">
        <v>88</v>
      </c>
      <c r="N513" s="2" t="s">
        <v>75</v>
      </c>
      <c r="O513" s="2">
        <v>9</v>
      </c>
      <c r="P513" s="2" t="str">
        <f>IF(global_freelancer_raw5[[#This Row],[No of projects ]]&lt;=5,"Entry level","Well Experienced")</f>
        <v>Well Experienced</v>
      </c>
      <c r="Q513" s="2">
        <v>5</v>
      </c>
    </row>
    <row r="514" spans="1:17" x14ac:dyDescent="0.3">
      <c r="A514" t="s">
        <v>1128</v>
      </c>
      <c r="B514" t="s">
        <v>1129</v>
      </c>
      <c r="C514" t="s">
        <v>118</v>
      </c>
      <c r="D514" s="2">
        <v>33</v>
      </c>
      <c r="E514" t="s">
        <v>212</v>
      </c>
      <c r="F514" t="s">
        <v>92</v>
      </c>
      <c r="G514" s="2" t="s">
        <v>135</v>
      </c>
      <c r="H514" s="2">
        <v>13</v>
      </c>
      <c r="I514" s="2" t="s">
        <v>40</v>
      </c>
      <c r="J514" s="2">
        <v>2.2000000000000002</v>
      </c>
      <c r="K514" s="2" t="s">
        <v>41</v>
      </c>
      <c r="L514" s="2">
        <v>0.7</v>
      </c>
      <c r="M514" s="2" t="s">
        <v>24</v>
      </c>
      <c r="N514" s="2" t="s">
        <v>75</v>
      </c>
      <c r="O514" s="2">
        <v>8</v>
      </c>
      <c r="P514" s="2" t="str">
        <f>IF(global_freelancer_raw5[[#This Row],[No of projects ]]&lt;=5,"Entry level","Well Experienced")</f>
        <v>Well Experienced</v>
      </c>
      <c r="Q514" s="2">
        <v>10</v>
      </c>
    </row>
    <row r="515" spans="1:17" x14ac:dyDescent="0.3">
      <c r="A515" t="s">
        <v>1130</v>
      </c>
      <c r="B515" t="s">
        <v>1131</v>
      </c>
      <c r="C515" t="s">
        <v>97</v>
      </c>
      <c r="D515" s="2">
        <v>54</v>
      </c>
      <c r="E515" t="s">
        <v>85</v>
      </c>
      <c r="F515" t="s">
        <v>30</v>
      </c>
      <c r="G515" s="2" t="s">
        <v>66</v>
      </c>
      <c r="H515" s="2">
        <v>15</v>
      </c>
      <c r="I515" s="2" t="s">
        <v>86</v>
      </c>
      <c r="J515" s="2">
        <v>4.0999999999999996</v>
      </c>
      <c r="K515" s="2" t="s">
        <v>74</v>
      </c>
      <c r="L515" s="2">
        <v>71</v>
      </c>
      <c r="M515" s="2" t="s">
        <v>24</v>
      </c>
      <c r="N515" s="2" t="s">
        <v>42</v>
      </c>
      <c r="O515" s="2">
        <v>14</v>
      </c>
      <c r="P515" s="2" t="str">
        <f>IF(global_freelancer_raw5[[#This Row],[No of projects ]]&lt;=5,"Entry level","Well Experienced")</f>
        <v>Well Experienced</v>
      </c>
      <c r="Q515" s="2">
        <v>6</v>
      </c>
    </row>
    <row r="516" spans="1:17" x14ac:dyDescent="0.3">
      <c r="A516" t="s">
        <v>1132</v>
      </c>
      <c r="B516" t="s">
        <v>1133</v>
      </c>
      <c r="C516" t="s">
        <v>97</v>
      </c>
      <c r="D516" s="2">
        <v>33</v>
      </c>
      <c r="E516" t="s">
        <v>73</v>
      </c>
      <c r="F516" t="s">
        <v>30</v>
      </c>
      <c r="G516" s="2" t="s">
        <v>21</v>
      </c>
      <c r="H516" s="2">
        <v>2</v>
      </c>
      <c r="I516" s="2" t="s">
        <v>32</v>
      </c>
      <c r="J516" s="2">
        <v>3.8</v>
      </c>
      <c r="K516" s="2" t="s">
        <v>59</v>
      </c>
      <c r="L516" s="2" t="s">
        <v>2120</v>
      </c>
      <c r="M516" s="2" t="s">
        <v>82</v>
      </c>
      <c r="N516" s="2" t="s">
        <v>75</v>
      </c>
      <c r="O516" s="2">
        <v>1</v>
      </c>
      <c r="P516" s="2" t="str">
        <f>IF(global_freelancer_raw5[[#This Row],[No of projects ]]&lt;=5,"Entry level","Well Experienced")</f>
        <v>Entry level</v>
      </c>
      <c r="Q516" s="2">
        <v>1</v>
      </c>
    </row>
    <row r="517" spans="1:17" x14ac:dyDescent="0.3">
      <c r="A517" t="s">
        <v>1134</v>
      </c>
      <c r="B517" t="s">
        <v>1135</v>
      </c>
      <c r="C517" t="s">
        <v>97</v>
      </c>
      <c r="D517" s="2">
        <v>36</v>
      </c>
      <c r="E517" t="s">
        <v>106</v>
      </c>
      <c r="F517" t="s">
        <v>107</v>
      </c>
      <c r="G517" s="2" t="s">
        <v>135</v>
      </c>
      <c r="H517" s="2">
        <v>9</v>
      </c>
      <c r="I517" s="2" t="s">
        <v>58</v>
      </c>
      <c r="J517" s="2">
        <v>0</v>
      </c>
      <c r="K517" s="2" t="s">
        <v>87</v>
      </c>
      <c r="L517" s="2">
        <v>0.78</v>
      </c>
      <c r="M517" s="2" t="s">
        <v>82</v>
      </c>
      <c r="N517" s="2" t="s">
        <v>34</v>
      </c>
      <c r="O517" s="2">
        <v>12</v>
      </c>
      <c r="P517" s="2" t="str">
        <f>IF(global_freelancer_raw5[[#This Row],[No of projects ]]&lt;=5,"Entry level","Well Experienced")</f>
        <v>Well Experienced</v>
      </c>
      <c r="Q517" s="2">
        <v>1</v>
      </c>
    </row>
    <row r="518" spans="1:17" x14ac:dyDescent="0.3">
      <c r="A518" t="s">
        <v>1136</v>
      </c>
      <c r="B518" t="s">
        <v>1137</v>
      </c>
      <c r="C518" t="s">
        <v>97</v>
      </c>
      <c r="D518" s="2">
        <v>36</v>
      </c>
      <c r="E518" t="s">
        <v>79</v>
      </c>
      <c r="F518" t="s">
        <v>80</v>
      </c>
      <c r="G518" s="2" t="s">
        <v>57</v>
      </c>
      <c r="H518" s="2">
        <v>3</v>
      </c>
      <c r="I518" s="2" t="s">
        <v>119</v>
      </c>
      <c r="J518" s="2">
        <v>0</v>
      </c>
      <c r="K518" s="2" t="s">
        <v>181</v>
      </c>
      <c r="L518" s="2">
        <v>75</v>
      </c>
      <c r="M518" s="2" t="s">
        <v>82</v>
      </c>
      <c r="N518" s="2" t="s">
        <v>42</v>
      </c>
      <c r="O518" s="2">
        <v>2</v>
      </c>
      <c r="P518" s="2" t="str">
        <f>IF(global_freelancer_raw5[[#This Row],[No of projects ]]&lt;=5,"Entry level","Well Experienced")</f>
        <v>Entry level</v>
      </c>
      <c r="Q518" s="2">
        <v>3</v>
      </c>
    </row>
    <row r="519" spans="1:17" x14ac:dyDescent="0.3">
      <c r="A519" t="s">
        <v>1138</v>
      </c>
      <c r="B519" t="s">
        <v>1139</v>
      </c>
      <c r="C519" t="s">
        <v>97</v>
      </c>
      <c r="D519" s="2">
        <v>43</v>
      </c>
      <c r="E519" t="s">
        <v>197</v>
      </c>
      <c r="F519" t="s">
        <v>198</v>
      </c>
      <c r="G519" s="2" t="s">
        <v>57</v>
      </c>
      <c r="H519" s="2">
        <v>15</v>
      </c>
      <c r="I519" s="2" t="s">
        <v>142</v>
      </c>
      <c r="J519" s="2">
        <v>4.2</v>
      </c>
      <c r="K519" s="2" t="s">
        <v>74</v>
      </c>
      <c r="L519" s="2">
        <v>0.91</v>
      </c>
      <c r="M519" s="2" t="s">
        <v>88</v>
      </c>
      <c r="N519" s="2" t="s">
        <v>75</v>
      </c>
      <c r="O519" s="2">
        <v>6</v>
      </c>
      <c r="P519" s="2" t="str">
        <f>IF(global_freelancer_raw5[[#This Row],[No of projects ]]&lt;=5,"Entry level","Well Experienced")</f>
        <v>Well Experienced</v>
      </c>
      <c r="Q519" s="2">
        <v>9</v>
      </c>
    </row>
    <row r="520" spans="1:17" x14ac:dyDescent="0.3">
      <c r="A520" t="s">
        <v>1140</v>
      </c>
      <c r="B520" t="s">
        <v>1141</v>
      </c>
      <c r="C520" t="s">
        <v>118</v>
      </c>
      <c r="D520" s="2">
        <v>52</v>
      </c>
      <c r="E520" t="s">
        <v>85</v>
      </c>
      <c r="F520" t="s">
        <v>30</v>
      </c>
      <c r="G520" s="2" t="s">
        <v>66</v>
      </c>
      <c r="H520" s="2">
        <v>21</v>
      </c>
      <c r="I520" s="2" t="s">
        <v>67</v>
      </c>
      <c r="J520" s="2">
        <v>2.2000000000000002</v>
      </c>
      <c r="K520" s="2" t="s">
        <v>33</v>
      </c>
      <c r="L520" s="2">
        <v>0.66</v>
      </c>
      <c r="M520" s="2" t="s">
        <v>24</v>
      </c>
      <c r="N520" s="2" t="s">
        <v>42</v>
      </c>
      <c r="O520" s="2">
        <v>20</v>
      </c>
      <c r="P520" s="2" t="str">
        <f>IF(global_freelancer_raw5[[#This Row],[No of projects ]]&lt;=5,"Entry level","Well Experienced")</f>
        <v>Well Experienced</v>
      </c>
      <c r="Q520" s="2">
        <v>9</v>
      </c>
    </row>
    <row r="521" spans="1:17" x14ac:dyDescent="0.3">
      <c r="A521" t="s">
        <v>1142</v>
      </c>
      <c r="B521" t="s">
        <v>1143</v>
      </c>
      <c r="C521" t="s">
        <v>97</v>
      </c>
      <c r="D521" s="2">
        <v>28</v>
      </c>
      <c r="E521" t="s">
        <v>64</v>
      </c>
      <c r="F521" t="s">
        <v>65</v>
      </c>
      <c r="G521" s="2" t="s">
        <v>98</v>
      </c>
      <c r="H521" s="2">
        <v>2</v>
      </c>
      <c r="I521" s="2" t="s">
        <v>67</v>
      </c>
      <c r="J521" s="2">
        <v>1.5</v>
      </c>
      <c r="K521" s="2" t="s">
        <v>33</v>
      </c>
      <c r="L521" s="2">
        <v>0.68</v>
      </c>
      <c r="M521" s="2" t="s">
        <v>60</v>
      </c>
      <c r="N521" s="2" t="s">
        <v>25</v>
      </c>
      <c r="O521" s="2">
        <v>4</v>
      </c>
      <c r="P521" s="2" t="str">
        <f>IF(global_freelancer_raw5[[#This Row],[No of projects ]]&lt;=5,"Entry level","Well Experienced")</f>
        <v>Entry level</v>
      </c>
      <c r="Q521" s="2">
        <v>2</v>
      </c>
    </row>
    <row r="522" spans="1:17" x14ac:dyDescent="0.3">
      <c r="A522" t="s">
        <v>1144</v>
      </c>
      <c r="B522" t="s">
        <v>1145</v>
      </c>
      <c r="C522" t="s">
        <v>97</v>
      </c>
      <c r="D522" s="2">
        <v>47</v>
      </c>
      <c r="E522" t="s">
        <v>197</v>
      </c>
      <c r="F522" t="s">
        <v>198</v>
      </c>
      <c r="G522" s="2" t="s">
        <v>98</v>
      </c>
      <c r="H522" s="2">
        <v>21</v>
      </c>
      <c r="I522" s="2" t="s">
        <v>251</v>
      </c>
      <c r="J522" s="2">
        <v>0</v>
      </c>
      <c r="K522" s="2" t="s">
        <v>41</v>
      </c>
      <c r="L522" s="2" t="s">
        <v>2120</v>
      </c>
      <c r="M522" s="2" t="s">
        <v>88</v>
      </c>
      <c r="N522" s="2" t="s">
        <v>75</v>
      </c>
      <c r="O522" s="2">
        <v>18</v>
      </c>
      <c r="P522" s="2" t="str">
        <f>IF(global_freelancer_raw5[[#This Row],[No of projects ]]&lt;=5,"Entry level","Well Experienced")</f>
        <v>Well Experienced</v>
      </c>
      <c r="Q522" s="2">
        <v>3</v>
      </c>
    </row>
    <row r="523" spans="1:17" x14ac:dyDescent="0.3">
      <c r="A523" t="s">
        <v>1146</v>
      </c>
      <c r="B523" t="s">
        <v>1147</v>
      </c>
      <c r="C523" t="s">
        <v>97</v>
      </c>
      <c r="D523" s="2">
        <v>30</v>
      </c>
      <c r="E523" t="s">
        <v>156</v>
      </c>
      <c r="F523" t="s">
        <v>157</v>
      </c>
      <c r="G523" s="2" t="s">
        <v>110</v>
      </c>
      <c r="H523" s="2">
        <v>0</v>
      </c>
      <c r="I523" s="2" t="s">
        <v>32</v>
      </c>
      <c r="J523" s="2">
        <v>4.0999999999999996</v>
      </c>
      <c r="K523" s="2" t="s">
        <v>23</v>
      </c>
      <c r="L523" s="2">
        <v>0.62</v>
      </c>
      <c r="M523" s="2" t="s">
        <v>60</v>
      </c>
      <c r="N523" s="2" t="s">
        <v>34</v>
      </c>
      <c r="O523" s="2">
        <v>3</v>
      </c>
      <c r="P523" s="2" t="str">
        <f>IF(global_freelancer_raw5[[#This Row],[No of projects ]]&lt;=5,"Entry level","Well Experienced")</f>
        <v>Entry level</v>
      </c>
      <c r="Q523" s="2">
        <v>1</v>
      </c>
    </row>
    <row r="524" spans="1:17" x14ac:dyDescent="0.3">
      <c r="A524" t="s">
        <v>1148</v>
      </c>
      <c r="B524" t="s">
        <v>1149</v>
      </c>
      <c r="C524" t="s">
        <v>118</v>
      </c>
      <c r="D524" s="2">
        <v>36</v>
      </c>
      <c r="E524" t="s">
        <v>160</v>
      </c>
      <c r="F524" t="s">
        <v>161</v>
      </c>
      <c r="G524" s="2" t="s">
        <v>21</v>
      </c>
      <c r="H524" s="2">
        <v>4</v>
      </c>
      <c r="I524" s="2" t="s">
        <v>86</v>
      </c>
      <c r="J524" s="2">
        <v>2.6</v>
      </c>
      <c r="K524" s="2" t="s">
        <v>181</v>
      </c>
      <c r="L524" s="2">
        <v>0.9</v>
      </c>
      <c r="M524" s="2" t="s">
        <v>60</v>
      </c>
      <c r="N524" s="2" t="s">
        <v>75</v>
      </c>
      <c r="O524" s="2">
        <v>2</v>
      </c>
      <c r="P524" s="2" t="str">
        <f>IF(global_freelancer_raw5[[#This Row],[No of projects ]]&lt;=5,"Entry level","Well Experienced")</f>
        <v>Entry level</v>
      </c>
      <c r="Q524" s="2">
        <v>4</v>
      </c>
    </row>
    <row r="525" spans="1:17" x14ac:dyDescent="0.3">
      <c r="A525" t="s">
        <v>1150</v>
      </c>
      <c r="B525" t="s">
        <v>1151</v>
      </c>
      <c r="C525" t="s">
        <v>97</v>
      </c>
      <c r="D525" s="2">
        <v>45</v>
      </c>
      <c r="E525" t="s">
        <v>73</v>
      </c>
      <c r="F525" t="s">
        <v>30</v>
      </c>
      <c r="G525" s="2" t="s">
        <v>93</v>
      </c>
      <c r="H525" s="2">
        <v>23</v>
      </c>
      <c r="I525" s="2" t="s">
        <v>22</v>
      </c>
      <c r="J525" s="2">
        <v>2.4</v>
      </c>
      <c r="K525" s="2" t="s">
        <v>59</v>
      </c>
      <c r="L525" s="2">
        <v>0.96</v>
      </c>
      <c r="M525" s="2" t="s">
        <v>88</v>
      </c>
      <c r="N525" s="2" t="s">
        <v>42</v>
      </c>
      <c r="O525" s="2">
        <v>14</v>
      </c>
      <c r="P525" s="2" t="str">
        <f>IF(global_freelancer_raw5[[#This Row],[No of projects ]]&lt;=5,"Entry level","Well Experienced")</f>
        <v>Well Experienced</v>
      </c>
      <c r="Q525" s="2">
        <v>1</v>
      </c>
    </row>
    <row r="526" spans="1:17" x14ac:dyDescent="0.3">
      <c r="A526" t="s">
        <v>1152</v>
      </c>
      <c r="B526" t="s">
        <v>1153</v>
      </c>
      <c r="C526" t="s">
        <v>97</v>
      </c>
      <c r="D526" s="2">
        <v>51</v>
      </c>
      <c r="E526" t="s">
        <v>73</v>
      </c>
      <c r="F526" t="s">
        <v>30</v>
      </c>
      <c r="G526" s="2" t="s">
        <v>21</v>
      </c>
      <c r="H526" s="2">
        <v>25</v>
      </c>
      <c r="I526" s="2" t="s">
        <v>40</v>
      </c>
      <c r="J526" s="2">
        <v>1.4</v>
      </c>
      <c r="K526" s="2" t="s">
        <v>94</v>
      </c>
      <c r="L526" s="2">
        <v>0.6</v>
      </c>
      <c r="M526" s="2" t="s">
        <v>60</v>
      </c>
      <c r="N526" s="2" t="s">
        <v>42</v>
      </c>
      <c r="O526" s="2">
        <v>17</v>
      </c>
      <c r="P526" s="2" t="str">
        <f>IF(global_freelancer_raw5[[#This Row],[No of projects ]]&lt;=5,"Entry level","Well Experienced")</f>
        <v>Well Experienced</v>
      </c>
      <c r="Q526" s="2">
        <v>7</v>
      </c>
    </row>
    <row r="527" spans="1:17" x14ac:dyDescent="0.3">
      <c r="A527" t="s">
        <v>1154</v>
      </c>
      <c r="B527" t="s">
        <v>1155</v>
      </c>
      <c r="C527" t="s">
        <v>118</v>
      </c>
      <c r="D527" s="2">
        <v>46</v>
      </c>
      <c r="E527" t="s">
        <v>79</v>
      </c>
      <c r="F527" t="s">
        <v>80</v>
      </c>
      <c r="G527" s="2" t="s">
        <v>31</v>
      </c>
      <c r="H527" s="2">
        <v>10</v>
      </c>
      <c r="I527" s="2" t="s">
        <v>2119</v>
      </c>
      <c r="J527" s="2">
        <v>4.5999999999999996</v>
      </c>
      <c r="K527" s="2" t="s">
        <v>94</v>
      </c>
      <c r="L527" s="2">
        <v>0.62</v>
      </c>
      <c r="M527" s="2" t="s">
        <v>24</v>
      </c>
      <c r="N527" s="2" t="s">
        <v>75</v>
      </c>
      <c r="O527" s="2">
        <v>6</v>
      </c>
      <c r="P527" s="2" t="str">
        <f>IF(global_freelancer_raw5[[#This Row],[No of projects ]]&lt;=5,"Entry level","Well Experienced")</f>
        <v>Well Experienced</v>
      </c>
      <c r="Q527" s="2">
        <v>1</v>
      </c>
    </row>
    <row r="528" spans="1:17" x14ac:dyDescent="0.3">
      <c r="A528" t="s">
        <v>1156</v>
      </c>
      <c r="B528" t="s">
        <v>1157</v>
      </c>
      <c r="C528" t="s">
        <v>97</v>
      </c>
      <c r="D528" s="2">
        <v>38</v>
      </c>
      <c r="E528" t="s">
        <v>19</v>
      </c>
      <c r="F528" t="s">
        <v>20</v>
      </c>
      <c r="G528" s="2" t="s">
        <v>66</v>
      </c>
      <c r="H528" s="2">
        <v>18</v>
      </c>
      <c r="I528" s="2" t="s">
        <v>70</v>
      </c>
      <c r="J528" s="2">
        <v>4.9000000000000004</v>
      </c>
      <c r="K528" s="2" t="s">
        <v>59</v>
      </c>
      <c r="L528" s="2">
        <v>0.74</v>
      </c>
      <c r="M528" s="2" t="s">
        <v>60</v>
      </c>
      <c r="N528" s="2" t="s">
        <v>34</v>
      </c>
      <c r="O528" s="2">
        <v>11</v>
      </c>
      <c r="P528" s="2" t="str">
        <f>IF(global_freelancer_raw5[[#This Row],[No of projects ]]&lt;=5,"Entry level","Well Experienced")</f>
        <v>Well Experienced</v>
      </c>
      <c r="Q528" s="2">
        <v>11</v>
      </c>
    </row>
    <row r="529" spans="1:17" x14ac:dyDescent="0.3">
      <c r="A529" t="s">
        <v>1158</v>
      </c>
      <c r="B529" t="s">
        <v>1159</v>
      </c>
      <c r="C529" t="s">
        <v>118</v>
      </c>
      <c r="D529" s="2">
        <v>26</v>
      </c>
      <c r="E529" t="s">
        <v>212</v>
      </c>
      <c r="F529" t="s">
        <v>92</v>
      </c>
      <c r="G529" s="2" t="s">
        <v>21</v>
      </c>
      <c r="H529" s="2">
        <v>1</v>
      </c>
      <c r="I529" s="2" t="s">
        <v>142</v>
      </c>
      <c r="J529" s="2">
        <v>0</v>
      </c>
      <c r="K529" s="2" t="s">
        <v>33</v>
      </c>
      <c r="L529" s="2" t="s">
        <v>2120</v>
      </c>
      <c r="M529" s="2" t="s">
        <v>24</v>
      </c>
      <c r="N529" s="2" t="s">
        <v>34</v>
      </c>
      <c r="O529" s="2">
        <v>1</v>
      </c>
      <c r="P529" s="2" t="str">
        <f>IF(global_freelancer_raw5[[#This Row],[No of projects ]]&lt;=5,"Entry level","Well Experienced")</f>
        <v>Entry level</v>
      </c>
      <c r="Q529" s="2">
        <v>1</v>
      </c>
    </row>
    <row r="530" spans="1:17" x14ac:dyDescent="0.3">
      <c r="A530" t="s">
        <v>1160</v>
      </c>
      <c r="B530" t="s">
        <v>1161</v>
      </c>
      <c r="C530" t="s">
        <v>97</v>
      </c>
      <c r="D530" s="2">
        <v>40</v>
      </c>
      <c r="E530" t="s">
        <v>85</v>
      </c>
      <c r="F530" t="s">
        <v>30</v>
      </c>
      <c r="G530" s="2" t="s">
        <v>110</v>
      </c>
      <c r="H530" s="2">
        <v>12</v>
      </c>
      <c r="I530" s="2" t="s">
        <v>52</v>
      </c>
      <c r="J530" s="2">
        <v>3.5</v>
      </c>
      <c r="K530" s="2" t="s">
        <v>2120</v>
      </c>
      <c r="L530" s="2">
        <v>0.98</v>
      </c>
      <c r="M530" s="2" t="s">
        <v>24</v>
      </c>
      <c r="N530" s="2" t="s">
        <v>34</v>
      </c>
      <c r="O530" s="2">
        <v>12</v>
      </c>
      <c r="P530" s="2" t="str">
        <f>IF(global_freelancer_raw5[[#This Row],[No of projects ]]&lt;=5,"Entry level","Well Experienced")</f>
        <v>Well Experienced</v>
      </c>
      <c r="Q530" s="2">
        <v>9</v>
      </c>
    </row>
    <row r="531" spans="1:17" x14ac:dyDescent="0.3">
      <c r="A531" t="s">
        <v>1162</v>
      </c>
      <c r="B531" t="s">
        <v>1163</v>
      </c>
      <c r="C531" t="s">
        <v>118</v>
      </c>
      <c r="D531" s="2">
        <v>37</v>
      </c>
      <c r="E531" t="s">
        <v>38</v>
      </c>
      <c r="F531" t="s">
        <v>38</v>
      </c>
      <c r="G531" s="2" t="s">
        <v>135</v>
      </c>
      <c r="H531" s="2" t="s">
        <v>2120</v>
      </c>
      <c r="I531" s="2" t="s">
        <v>2119</v>
      </c>
      <c r="J531" s="2">
        <v>1.7</v>
      </c>
      <c r="K531" s="2" t="s">
        <v>87</v>
      </c>
      <c r="L531" s="2">
        <v>0.63</v>
      </c>
      <c r="M531" s="2" t="s">
        <v>24</v>
      </c>
      <c r="N531" s="2" t="s">
        <v>42</v>
      </c>
      <c r="O531" s="2">
        <v>2</v>
      </c>
      <c r="P531" s="2" t="str">
        <f>IF(global_freelancer_raw5[[#This Row],[No of projects ]]&lt;=5,"Entry level","Well Experienced")</f>
        <v>Entry level</v>
      </c>
      <c r="Q531" s="2">
        <v>1</v>
      </c>
    </row>
    <row r="532" spans="1:17" x14ac:dyDescent="0.3">
      <c r="A532" t="s">
        <v>1164</v>
      </c>
      <c r="B532" t="s">
        <v>1165</v>
      </c>
      <c r="C532" t="s">
        <v>118</v>
      </c>
      <c r="D532" s="2">
        <v>28</v>
      </c>
      <c r="E532" t="s">
        <v>149</v>
      </c>
      <c r="F532" t="s">
        <v>30</v>
      </c>
      <c r="G532" s="2" t="s">
        <v>21</v>
      </c>
      <c r="H532" s="2">
        <v>5</v>
      </c>
      <c r="I532" s="2" t="s">
        <v>81</v>
      </c>
      <c r="J532" s="2">
        <v>0</v>
      </c>
      <c r="K532" s="2" t="s">
        <v>87</v>
      </c>
      <c r="L532" s="2">
        <v>96</v>
      </c>
      <c r="M532" s="2" t="s">
        <v>82</v>
      </c>
      <c r="N532" s="2" t="s">
        <v>75</v>
      </c>
      <c r="O532" s="2">
        <v>2</v>
      </c>
      <c r="P532" s="2" t="str">
        <f>IF(global_freelancer_raw5[[#This Row],[No of projects ]]&lt;=5,"Entry level","Well Experienced")</f>
        <v>Entry level</v>
      </c>
      <c r="Q532" s="2">
        <v>2</v>
      </c>
    </row>
    <row r="533" spans="1:17" x14ac:dyDescent="0.3">
      <c r="A533" t="s">
        <v>1166</v>
      </c>
      <c r="B533" t="s">
        <v>1167</v>
      </c>
      <c r="C533" t="s">
        <v>97</v>
      </c>
      <c r="D533" s="2">
        <v>48</v>
      </c>
      <c r="E533" t="s">
        <v>114</v>
      </c>
      <c r="F533" t="s">
        <v>115</v>
      </c>
      <c r="G533" s="2" t="s">
        <v>31</v>
      </c>
      <c r="H533" s="2">
        <v>28</v>
      </c>
      <c r="I533" s="2" t="s">
        <v>336</v>
      </c>
      <c r="J533" s="2">
        <v>0</v>
      </c>
      <c r="K533" s="2" t="s">
        <v>23</v>
      </c>
      <c r="L533" s="2">
        <v>0.88</v>
      </c>
      <c r="M533" s="2" t="s">
        <v>60</v>
      </c>
      <c r="N533" s="2" t="s">
        <v>25</v>
      </c>
      <c r="O533" s="2">
        <v>18</v>
      </c>
      <c r="P533" s="2" t="str">
        <f>IF(global_freelancer_raw5[[#This Row],[No of projects ]]&lt;=5,"Entry level","Well Experienced")</f>
        <v>Well Experienced</v>
      </c>
      <c r="Q533" s="2">
        <v>8</v>
      </c>
    </row>
    <row r="534" spans="1:17" x14ac:dyDescent="0.3">
      <c r="A534" t="s">
        <v>1168</v>
      </c>
      <c r="B534" t="s">
        <v>1169</v>
      </c>
      <c r="C534" t="s">
        <v>118</v>
      </c>
      <c r="D534" s="2">
        <v>22</v>
      </c>
      <c r="E534" t="s">
        <v>114</v>
      </c>
      <c r="F534" t="s">
        <v>115</v>
      </c>
      <c r="G534" s="2" t="s">
        <v>57</v>
      </c>
      <c r="H534" s="2">
        <v>0</v>
      </c>
      <c r="I534" s="2" t="s">
        <v>2119</v>
      </c>
      <c r="J534" s="2">
        <v>4.5999999999999996</v>
      </c>
      <c r="K534" s="2" t="s">
        <v>59</v>
      </c>
      <c r="L534" s="2" t="s">
        <v>2120</v>
      </c>
      <c r="M534" s="2" t="s">
        <v>88</v>
      </c>
      <c r="N534" s="2" t="s">
        <v>42</v>
      </c>
      <c r="O534" s="2">
        <v>4</v>
      </c>
      <c r="P534" s="2" t="str">
        <f>IF(global_freelancer_raw5[[#This Row],[No of projects ]]&lt;=5,"Entry level","Well Experienced")</f>
        <v>Entry level</v>
      </c>
      <c r="Q534" s="2">
        <v>1</v>
      </c>
    </row>
    <row r="535" spans="1:17" x14ac:dyDescent="0.3">
      <c r="A535" t="s">
        <v>1170</v>
      </c>
      <c r="B535" t="s">
        <v>1171</v>
      </c>
      <c r="C535" t="s">
        <v>97</v>
      </c>
      <c r="D535" s="2">
        <v>41</v>
      </c>
      <c r="E535" t="s">
        <v>38</v>
      </c>
      <c r="F535" t="s">
        <v>38</v>
      </c>
      <c r="G535" s="2" t="s">
        <v>46</v>
      </c>
      <c r="H535" s="2">
        <v>14</v>
      </c>
      <c r="I535" s="2" t="s">
        <v>86</v>
      </c>
      <c r="J535" s="2">
        <v>1.1000000000000001</v>
      </c>
      <c r="K535" s="2" t="s">
        <v>74</v>
      </c>
      <c r="L535" s="2">
        <v>0.73</v>
      </c>
      <c r="M535" s="2" t="s">
        <v>88</v>
      </c>
      <c r="N535" s="2" t="s">
        <v>34</v>
      </c>
      <c r="O535" s="2">
        <v>7</v>
      </c>
      <c r="P535" s="2" t="str">
        <f>IF(global_freelancer_raw5[[#This Row],[No of projects ]]&lt;=5,"Entry level","Well Experienced")</f>
        <v>Well Experienced</v>
      </c>
      <c r="Q535" s="2">
        <v>5</v>
      </c>
    </row>
    <row r="536" spans="1:17" x14ac:dyDescent="0.3">
      <c r="A536" t="s">
        <v>1172</v>
      </c>
      <c r="B536" t="s">
        <v>1173</v>
      </c>
      <c r="C536" t="s">
        <v>118</v>
      </c>
      <c r="D536" s="2">
        <v>38</v>
      </c>
      <c r="E536" t="s">
        <v>73</v>
      </c>
      <c r="F536" t="s">
        <v>30</v>
      </c>
      <c r="G536" s="2" t="s">
        <v>39</v>
      </c>
      <c r="H536" s="2">
        <v>15</v>
      </c>
      <c r="I536" s="2" t="s">
        <v>2119</v>
      </c>
      <c r="J536" s="2">
        <v>4.2</v>
      </c>
      <c r="K536" s="2" t="s">
        <v>23</v>
      </c>
      <c r="L536" s="2">
        <v>0.88</v>
      </c>
      <c r="M536" s="2" t="s">
        <v>60</v>
      </c>
      <c r="N536" s="2" t="s">
        <v>75</v>
      </c>
      <c r="O536" s="2">
        <v>15</v>
      </c>
      <c r="P536" s="2" t="str">
        <f>IF(global_freelancer_raw5[[#This Row],[No of projects ]]&lt;=5,"Entry level","Well Experienced")</f>
        <v>Well Experienced</v>
      </c>
      <c r="Q536" s="2">
        <v>4</v>
      </c>
    </row>
    <row r="537" spans="1:17" x14ac:dyDescent="0.3">
      <c r="A537" t="s">
        <v>1174</v>
      </c>
      <c r="B537" t="s">
        <v>1175</v>
      </c>
      <c r="C537" t="s">
        <v>97</v>
      </c>
      <c r="D537" s="2">
        <v>31</v>
      </c>
      <c r="E537" t="s">
        <v>175</v>
      </c>
      <c r="F537" t="s">
        <v>176</v>
      </c>
      <c r="G537" s="2" t="s">
        <v>93</v>
      </c>
      <c r="H537" s="2">
        <v>9</v>
      </c>
      <c r="I537" s="2" t="s">
        <v>2119</v>
      </c>
      <c r="J537" s="2">
        <v>0</v>
      </c>
      <c r="K537" s="2" t="s">
        <v>59</v>
      </c>
      <c r="L537" s="2">
        <v>0.91</v>
      </c>
      <c r="M537" s="2" t="s">
        <v>82</v>
      </c>
      <c r="N537" s="2" t="s">
        <v>34</v>
      </c>
      <c r="O537" s="2">
        <v>10</v>
      </c>
      <c r="P537" s="2" t="str">
        <f>IF(global_freelancer_raw5[[#This Row],[No of projects ]]&lt;=5,"Entry level","Well Experienced")</f>
        <v>Well Experienced</v>
      </c>
      <c r="Q537" s="2">
        <v>5</v>
      </c>
    </row>
    <row r="538" spans="1:17" x14ac:dyDescent="0.3">
      <c r="A538" t="s">
        <v>1176</v>
      </c>
      <c r="B538" t="s">
        <v>1177</v>
      </c>
      <c r="C538" t="s">
        <v>97</v>
      </c>
      <c r="D538" s="2">
        <v>30</v>
      </c>
      <c r="E538" t="s">
        <v>197</v>
      </c>
      <c r="F538" t="s">
        <v>198</v>
      </c>
      <c r="G538" s="2" t="s">
        <v>31</v>
      </c>
      <c r="H538" s="2">
        <v>9</v>
      </c>
      <c r="I538" s="2" t="s">
        <v>58</v>
      </c>
      <c r="J538" s="2">
        <v>3.9</v>
      </c>
      <c r="K538" s="2" t="s">
        <v>181</v>
      </c>
      <c r="L538" s="2">
        <v>0.65</v>
      </c>
      <c r="M538" s="2" t="s">
        <v>82</v>
      </c>
      <c r="N538" s="2" t="s">
        <v>25</v>
      </c>
      <c r="O538" s="2">
        <v>15</v>
      </c>
      <c r="P538" s="2" t="str">
        <f>IF(global_freelancer_raw5[[#This Row],[No of projects ]]&lt;=5,"Entry level","Well Experienced")</f>
        <v>Well Experienced</v>
      </c>
      <c r="Q538" s="2">
        <v>13</v>
      </c>
    </row>
    <row r="539" spans="1:17" x14ac:dyDescent="0.3">
      <c r="A539" t="s">
        <v>1178</v>
      </c>
      <c r="B539" t="s">
        <v>1179</v>
      </c>
      <c r="C539" t="s">
        <v>118</v>
      </c>
      <c r="D539" s="2">
        <v>51</v>
      </c>
      <c r="E539" t="s">
        <v>201</v>
      </c>
      <c r="F539" t="s">
        <v>92</v>
      </c>
      <c r="G539" s="2" t="s">
        <v>93</v>
      </c>
      <c r="H539" s="2">
        <v>22</v>
      </c>
      <c r="I539" s="2" t="s">
        <v>162</v>
      </c>
      <c r="J539" s="2">
        <v>3.4</v>
      </c>
      <c r="K539" s="2" t="s">
        <v>74</v>
      </c>
      <c r="L539" s="2">
        <v>90</v>
      </c>
      <c r="M539" s="2" t="s">
        <v>24</v>
      </c>
      <c r="N539" s="2" t="s">
        <v>34</v>
      </c>
      <c r="O539" s="2">
        <v>15</v>
      </c>
      <c r="P539" s="2" t="str">
        <f>IF(global_freelancer_raw5[[#This Row],[No of projects ]]&lt;=5,"Entry level","Well Experienced")</f>
        <v>Well Experienced</v>
      </c>
      <c r="Q539" s="2">
        <v>15</v>
      </c>
    </row>
    <row r="540" spans="1:17" x14ac:dyDescent="0.3">
      <c r="A540" t="s">
        <v>1180</v>
      </c>
      <c r="B540" t="s">
        <v>1181</v>
      </c>
      <c r="C540" t="s">
        <v>97</v>
      </c>
      <c r="D540" s="2">
        <v>21</v>
      </c>
      <c r="E540" t="s">
        <v>38</v>
      </c>
      <c r="F540" t="s">
        <v>38</v>
      </c>
      <c r="G540" s="2" t="s">
        <v>110</v>
      </c>
      <c r="H540" s="2">
        <v>0</v>
      </c>
      <c r="I540" s="2" t="s">
        <v>142</v>
      </c>
      <c r="J540" s="2">
        <v>2.6</v>
      </c>
      <c r="K540" s="2" t="s">
        <v>41</v>
      </c>
      <c r="L540" s="2">
        <v>0.72</v>
      </c>
      <c r="M540" s="2" t="s">
        <v>60</v>
      </c>
      <c r="N540" s="2" t="s">
        <v>34</v>
      </c>
      <c r="O540" s="2">
        <v>2</v>
      </c>
      <c r="P540" s="2" t="str">
        <f>IF(global_freelancer_raw5[[#This Row],[No of projects ]]&lt;=5,"Entry level","Well Experienced")</f>
        <v>Entry level</v>
      </c>
      <c r="Q540" s="2">
        <v>5</v>
      </c>
    </row>
    <row r="541" spans="1:17" x14ac:dyDescent="0.3">
      <c r="A541" t="s">
        <v>1182</v>
      </c>
      <c r="B541" t="s">
        <v>1183</v>
      </c>
      <c r="C541" t="s">
        <v>97</v>
      </c>
      <c r="D541" s="2">
        <v>20</v>
      </c>
      <c r="E541" t="s">
        <v>19</v>
      </c>
      <c r="F541" t="s">
        <v>20</v>
      </c>
      <c r="G541" s="2" t="s">
        <v>110</v>
      </c>
      <c r="H541" s="2">
        <v>1</v>
      </c>
      <c r="I541" s="2" t="s">
        <v>70</v>
      </c>
      <c r="J541" s="2">
        <v>2.2999999999999998</v>
      </c>
      <c r="K541" s="2" t="s">
        <v>33</v>
      </c>
      <c r="L541" s="2">
        <v>0.72</v>
      </c>
      <c r="M541" s="2" t="s">
        <v>60</v>
      </c>
      <c r="N541" s="2" t="s">
        <v>25</v>
      </c>
      <c r="O541" s="2">
        <v>1</v>
      </c>
      <c r="P541" s="2" t="str">
        <f>IF(global_freelancer_raw5[[#This Row],[No of projects ]]&lt;=5,"Entry level","Well Experienced")</f>
        <v>Entry level</v>
      </c>
      <c r="Q541" s="2">
        <v>2</v>
      </c>
    </row>
    <row r="542" spans="1:17" x14ac:dyDescent="0.3">
      <c r="A542" t="s">
        <v>1184</v>
      </c>
      <c r="B542" t="s">
        <v>1185</v>
      </c>
      <c r="C542" t="s">
        <v>118</v>
      </c>
      <c r="D542" s="2">
        <v>30</v>
      </c>
      <c r="E542" t="s">
        <v>106</v>
      </c>
      <c r="F542" t="s">
        <v>107</v>
      </c>
      <c r="G542" s="2" t="s">
        <v>21</v>
      </c>
      <c r="H542" s="2">
        <v>5</v>
      </c>
      <c r="I542" s="2" t="s">
        <v>58</v>
      </c>
      <c r="J542" s="2">
        <v>4.8</v>
      </c>
      <c r="K542" s="2" t="s">
        <v>41</v>
      </c>
      <c r="L542" s="2" t="s">
        <v>2120</v>
      </c>
      <c r="M542" s="2" t="s">
        <v>88</v>
      </c>
      <c r="N542" s="2" t="s">
        <v>75</v>
      </c>
      <c r="O542" s="2">
        <v>1</v>
      </c>
      <c r="P542" s="2" t="str">
        <f>IF(global_freelancer_raw5[[#This Row],[No of projects ]]&lt;=5,"Entry level","Well Experienced")</f>
        <v>Entry level</v>
      </c>
      <c r="Q542" s="2">
        <v>2</v>
      </c>
    </row>
    <row r="543" spans="1:17" x14ac:dyDescent="0.3">
      <c r="A543" t="s">
        <v>1186</v>
      </c>
      <c r="B543" t="s">
        <v>1187</v>
      </c>
      <c r="C543" t="s">
        <v>118</v>
      </c>
      <c r="D543" s="2">
        <v>41</v>
      </c>
      <c r="E543" t="s">
        <v>197</v>
      </c>
      <c r="F543" t="s">
        <v>198</v>
      </c>
      <c r="G543" s="2" t="s">
        <v>66</v>
      </c>
      <c r="H543" s="2">
        <v>0</v>
      </c>
      <c r="I543" s="2" t="s">
        <v>70</v>
      </c>
      <c r="J543" s="2">
        <v>4.5</v>
      </c>
      <c r="K543" s="2" t="s">
        <v>41</v>
      </c>
      <c r="L543" s="2">
        <v>0.68</v>
      </c>
      <c r="M543" s="2" t="s">
        <v>60</v>
      </c>
      <c r="N543" s="2" t="s">
        <v>42</v>
      </c>
      <c r="O543" s="2">
        <v>3</v>
      </c>
      <c r="P543" s="2" t="str">
        <f>IF(global_freelancer_raw5[[#This Row],[No of projects ]]&lt;=5,"Entry level","Well Experienced")</f>
        <v>Entry level</v>
      </c>
      <c r="Q543" s="2">
        <v>2</v>
      </c>
    </row>
    <row r="544" spans="1:17" x14ac:dyDescent="0.3">
      <c r="A544" t="s">
        <v>1188</v>
      </c>
      <c r="B544" t="s">
        <v>1189</v>
      </c>
      <c r="C544" t="s">
        <v>118</v>
      </c>
      <c r="D544" s="2">
        <v>22</v>
      </c>
      <c r="E544" t="s">
        <v>212</v>
      </c>
      <c r="F544" t="s">
        <v>92</v>
      </c>
      <c r="G544" s="2" t="s">
        <v>21</v>
      </c>
      <c r="H544" s="2">
        <v>0</v>
      </c>
      <c r="I544" s="2" t="s">
        <v>58</v>
      </c>
      <c r="J544" s="2">
        <v>0</v>
      </c>
      <c r="K544" s="2" t="s">
        <v>23</v>
      </c>
      <c r="L544" s="2">
        <v>0.87</v>
      </c>
      <c r="M544" s="2" t="s">
        <v>82</v>
      </c>
      <c r="N544" s="2" t="s">
        <v>75</v>
      </c>
      <c r="O544" s="2">
        <v>5</v>
      </c>
      <c r="P544" s="2" t="str">
        <f>IF(global_freelancer_raw5[[#This Row],[No of projects ]]&lt;=5,"Entry level","Well Experienced")</f>
        <v>Entry level</v>
      </c>
      <c r="Q544" s="2">
        <v>3</v>
      </c>
    </row>
    <row r="545" spans="1:17" x14ac:dyDescent="0.3">
      <c r="A545" t="s">
        <v>1190</v>
      </c>
      <c r="B545" t="s">
        <v>1191</v>
      </c>
      <c r="C545" t="s">
        <v>118</v>
      </c>
      <c r="D545" s="2">
        <v>45</v>
      </c>
      <c r="E545" t="s">
        <v>201</v>
      </c>
      <c r="F545" t="s">
        <v>92</v>
      </c>
      <c r="G545" s="2" t="s">
        <v>98</v>
      </c>
      <c r="H545" s="2">
        <v>19</v>
      </c>
      <c r="I545" s="2" t="s">
        <v>103</v>
      </c>
      <c r="J545" s="2">
        <v>0</v>
      </c>
      <c r="K545" s="2" t="s">
        <v>181</v>
      </c>
      <c r="L545" s="2">
        <v>0.72</v>
      </c>
      <c r="M545" s="2" t="s">
        <v>60</v>
      </c>
      <c r="N545" s="2" t="s">
        <v>25</v>
      </c>
      <c r="O545" s="2">
        <v>14</v>
      </c>
      <c r="P545" s="2" t="str">
        <f>IF(global_freelancer_raw5[[#This Row],[No of projects ]]&lt;=5,"Entry level","Well Experienced")</f>
        <v>Well Experienced</v>
      </c>
      <c r="Q545" s="2">
        <v>20</v>
      </c>
    </row>
    <row r="546" spans="1:17" x14ac:dyDescent="0.3">
      <c r="A546" t="s">
        <v>1192</v>
      </c>
      <c r="B546" t="s">
        <v>1193</v>
      </c>
      <c r="C546" t="s">
        <v>97</v>
      </c>
      <c r="D546" s="2">
        <v>22</v>
      </c>
      <c r="E546" t="s">
        <v>29</v>
      </c>
      <c r="F546" t="s">
        <v>30</v>
      </c>
      <c r="G546" s="2" t="s">
        <v>66</v>
      </c>
      <c r="H546" s="2">
        <v>2</v>
      </c>
      <c r="I546" s="2" t="s">
        <v>86</v>
      </c>
      <c r="J546" s="2">
        <v>1.1000000000000001</v>
      </c>
      <c r="K546" s="2" t="s">
        <v>181</v>
      </c>
      <c r="L546" s="2">
        <v>0.76</v>
      </c>
      <c r="M546" s="2" t="s">
        <v>88</v>
      </c>
      <c r="N546" s="2" t="s">
        <v>34</v>
      </c>
      <c r="O546" s="2">
        <v>4</v>
      </c>
      <c r="P546" s="2" t="str">
        <f>IF(global_freelancer_raw5[[#This Row],[No of projects ]]&lt;=5,"Entry level","Well Experienced")</f>
        <v>Entry level</v>
      </c>
      <c r="Q546" s="2">
        <v>1</v>
      </c>
    </row>
    <row r="547" spans="1:17" x14ac:dyDescent="0.3">
      <c r="A547" t="s">
        <v>1194</v>
      </c>
      <c r="B547" t="s">
        <v>1195</v>
      </c>
      <c r="C547" t="s">
        <v>97</v>
      </c>
      <c r="D547" s="2">
        <v>20</v>
      </c>
      <c r="E547" t="s">
        <v>79</v>
      </c>
      <c r="F547" t="s">
        <v>80</v>
      </c>
      <c r="G547" s="2" t="s">
        <v>31</v>
      </c>
      <c r="H547" s="2">
        <v>0</v>
      </c>
      <c r="I547" s="2" t="s">
        <v>22</v>
      </c>
      <c r="J547" s="2">
        <v>0</v>
      </c>
      <c r="K547" s="2" t="s">
        <v>23</v>
      </c>
      <c r="L547" s="2">
        <v>63</v>
      </c>
      <c r="M547" s="2" t="s">
        <v>24</v>
      </c>
      <c r="N547" s="2" t="s">
        <v>75</v>
      </c>
      <c r="O547" s="2">
        <v>1</v>
      </c>
      <c r="P547" s="2" t="str">
        <f>IF(global_freelancer_raw5[[#This Row],[No of projects ]]&lt;=5,"Entry level","Well Experienced")</f>
        <v>Entry level</v>
      </c>
      <c r="Q547" s="2">
        <v>3</v>
      </c>
    </row>
    <row r="548" spans="1:17" x14ac:dyDescent="0.3">
      <c r="A548" t="s">
        <v>1196</v>
      </c>
      <c r="B548" t="s">
        <v>1197</v>
      </c>
      <c r="C548" t="s">
        <v>97</v>
      </c>
      <c r="D548" s="2">
        <v>20</v>
      </c>
      <c r="E548" t="s">
        <v>149</v>
      </c>
      <c r="F548" t="s">
        <v>30</v>
      </c>
      <c r="G548" s="2" t="s">
        <v>66</v>
      </c>
      <c r="H548" s="2">
        <v>2</v>
      </c>
      <c r="I548" s="2" t="s">
        <v>86</v>
      </c>
      <c r="J548" s="2" t="s">
        <v>2120</v>
      </c>
      <c r="K548" s="2" t="s">
        <v>33</v>
      </c>
      <c r="L548" s="2">
        <v>0.91</v>
      </c>
      <c r="M548" s="2" t="s">
        <v>88</v>
      </c>
      <c r="N548" s="2" t="s">
        <v>42</v>
      </c>
      <c r="O548" s="2">
        <v>1</v>
      </c>
      <c r="P548" s="2" t="str">
        <f>IF(global_freelancer_raw5[[#This Row],[No of projects ]]&lt;=5,"Entry level","Well Experienced")</f>
        <v>Entry level</v>
      </c>
      <c r="Q548" s="2">
        <v>1</v>
      </c>
    </row>
    <row r="549" spans="1:17" x14ac:dyDescent="0.3">
      <c r="A549" t="s">
        <v>1198</v>
      </c>
      <c r="B549" t="s">
        <v>1199</v>
      </c>
      <c r="C549" t="s">
        <v>118</v>
      </c>
      <c r="D549" s="2">
        <v>21</v>
      </c>
      <c r="E549" t="s">
        <v>85</v>
      </c>
      <c r="F549" t="s">
        <v>30</v>
      </c>
      <c r="G549" s="2" t="s">
        <v>57</v>
      </c>
      <c r="H549" s="2">
        <v>0</v>
      </c>
      <c r="I549" s="2" t="s">
        <v>22</v>
      </c>
      <c r="J549" s="2" t="s">
        <v>2120</v>
      </c>
      <c r="K549" s="2" t="s">
        <v>23</v>
      </c>
      <c r="L549" s="2">
        <v>0.73</v>
      </c>
      <c r="M549" s="2" t="s">
        <v>88</v>
      </c>
      <c r="N549" s="2" t="s">
        <v>25</v>
      </c>
      <c r="O549" s="2">
        <v>1</v>
      </c>
      <c r="P549" s="2" t="str">
        <f>IF(global_freelancer_raw5[[#This Row],[No of projects ]]&lt;=5,"Entry level","Well Experienced")</f>
        <v>Entry level</v>
      </c>
      <c r="Q549" s="2">
        <v>1</v>
      </c>
    </row>
    <row r="550" spans="1:17" x14ac:dyDescent="0.3">
      <c r="A550" t="s">
        <v>1200</v>
      </c>
      <c r="B550" t="s">
        <v>1201</v>
      </c>
      <c r="C550" t="s">
        <v>118</v>
      </c>
      <c r="D550" s="2">
        <v>22</v>
      </c>
      <c r="E550" t="s">
        <v>55</v>
      </c>
      <c r="F550" t="s">
        <v>56</v>
      </c>
      <c r="G550" s="2" t="s">
        <v>98</v>
      </c>
      <c r="H550" s="2">
        <v>1</v>
      </c>
      <c r="I550" s="2" t="s">
        <v>86</v>
      </c>
      <c r="J550" s="2">
        <v>0</v>
      </c>
      <c r="K550" s="2" t="s">
        <v>23</v>
      </c>
      <c r="L550" s="2">
        <v>0.63</v>
      </c>
      <c r="M550" s="2" t="s">
        <v>24</v>
      </c>
      <c r="N550" s="2" t="s">
        <v>75</v>
      </c>
      <c r="O550" s="2">
        <v>5</v>
      </c>
      <c r="P550" s="2" t="str">
        <f>IF(global_freelancer_raw5[[#This Row],[No of projects ]]&lt;=5,"Entry level","Well Experienced")</f>
        <v>Entry level</v>
      </c>
      <c r="Q550" s="2">
        <v>1</v>
      </c>
    </row>
    <row r="551" spans="1:17" x14ac:dyDescent="0.3">
      <c r="A551" t="s">
        <v>1202</v>
      </c>
      <c r="B551" t="s">
        <v>1203</v>
      </c>
      <c r="C551" t="s">
        <v>97</v>
      </c>
      <c r="D551" s="2">
        <v>28</v>
      </c>
      <c r="E551" t="s">
        <v>85</v>
      </c>
      <c r="F551" t="s">
        <v>30</v>
      </c>
      <c r="G551" s="2" t="s">
        <v>110</v>
      </c>
      <c r="H551" s="2">
        <v>3</v>
      </c>
      <c r="I551" s="2" t="s">
        <v>336</v>
      </c>
      <c r="J551" s="2" t="s">
        <v>2120</v>
      </c>
      <c r="K551" s="2" t="s">
        <v>33</v>
      </c>
      <c r="L551" s="2">
        <v>0.79</v>
      </c>
      <c r="M551" s="2" t="s">
        <v>88</v>
      </c>
      <c r="N551" s="2" t="s">
        <v>42</v>
      </c>
      <c r="O551" s="2">
        <v>2</v>
      </c>
      <c r="P551" s="2" t="str">
        <f>IF(global_freelancer_raw5[[#This Row],[No of projects ]]&lt;=5,"Entry level","Well Experienced")</f>
        <v>Entry level</v>
      </c>
      <c r="Q551" s="2">
        <v>1</v>
      </c>
    </row>
    <row r="552" spans="1:17" x14ac:dyDescent="0.3">
      <c r="A552" t="s">
        <v>1204</v>
      </c>
      <c r="B552" t="s">
        <v>1205</v>
      </c>
      <c r="C552" t="s">
        <v>97</v>
      </c>
      <c r="D552" s="2">
        <v>59</v>
      </c>
      <c r="E552" t="s">
        <v>91</v>
      </c>
      <c r="F552" t="s">
        <v>92</v>
      </c>
      <c r="G552" s="2" t="s">
        <v>57</v>
      </c>
      <c r="H552" s="2" t="s">
        <v>2120</v>
      </c>
      <c r="I552" s="2" t="s">
        <v>162</v>
      </c>
      <c r="J552" s="2">
        <v>4.0999999999999996</v>
      </c>
      <c r="K552" s="2" t="s">
        <v>23</v>
      </c>
      <c r="L552" s="2">
        <v>75</v>
      </c>
      <c r="M552" s="2" t="s">
        <v>88</v>
      </c>
      <c r="N552" s="2" t="s">
        <v>25</v>
      </c>
      <c r="O552" s="2">
        <v>2</v>
      </c>
      <c r="P552" s="2" t="str">
        <f>IF(global_freelancer_raw5[[#This Row],[No of projects ]]&lt;=5,"Entry level","Well Experienced")</f>
        <v>Entry level</v>
      </c>
      <c r="Q552" s="2">
        <v>2</v>
      </c>
    </row>
    <row r="553" spans="1:17" x14ac:dyDescent="0.3">
      <c r="A553" t="s">
        <v>1206</v>
      </c>
      <c r="B553" t="s">
        <v>1207</v>
      </c>
      <c r="C553" t="s">
        <v>97</v>
      </c>
      <c r="D553" s="2">
        <v>28</v>
      </c>
      <c r="E553" t="s">
        <v>156</v>
      </c>
      <c r="F553" t="s">
        <v>157</v>
      </c>
      <c r="G553" s="2" t="s">
        <v>46</v>
      </c>
      <c r="H553" s="2">
        <v>1</v>
      </c>
      <c r="I553" s="2" t="s">
        <v>2119</v>
      </c>
      <c r="J553" s="2">
        <v>0</v>
      </c>
      <c r="K553" s="2" t="s">
        <v>23</v>
      </c>
      <c r="L553" s="2">
        <v>0.7</v>
      </c>
      <c r="M553" s="2" t="s">
        <v>60</v>
      </c>
      <c r="N553" s="2" t="s">
        <v>42</v>
      </c>
      <c r="O553" s="2">
        <v>1</v>
      </c>
      <c r="P553" s="2" t="str">
        <f>IF(global_freelancer_raw5[[#This Row],[No of projects ]]&lt;=5,"Entry level","Well Experienced")</f>
        <v>Entry level</v>
      </c>
      <c r="Q553" s="2">
        <v>2</v>
      </c>
    </row>
    <row r="554" spans="1:17" x14ac:dyDescent="0.3">
      <c r="A554" t="s">
        <v>1208</v>
      </c>
      <c r="B554" t="s">
        <v>1209</v>
      </c>
      <c r="C554" t="s">
        <v>97</v>
      </c>
      <c r="D554" s="2">
        <v>40</v>
      </c>
      <c r="E554" t="s">
        <v>29</v>
      </c>
      <c r="F554" t="s">
        <v>30</v>
      </c>
      <c r="G554" s="2" t="s">
        <v>110</v>
      </c>
      <c r="H554" s="2">
        <v>0</v>
      </c>
      <c r="I554" s="2" t="s">
        <v>251</v>
      </c>
      <c r="J554" s="2">
        <v>1.2</v>
      </c>
      <c r="K554" s="2" t="s">
        <v>2120</v>
      </c>
      <c r="L554" s="2">
        <v>0.87</v>
      </c>
      <c r="M554" s="2" t="s">
        <v>60</v>
      </c>
      <c r="N554" s="2" t="s">
        <v>25</v>
      </c>
      <c r="O554" s="2">
        <v>1</v>
      </c>
      <c r="P554" s="2" t="str">
        <f>IF(global_freelancer_raw5[[#This Row],[No of projects ]]&lt;=5,"Entry level","Well Experienced")</f>
        <v>Entry level</v>
      </c>
      <c r="Q554" s="2">
        <v>1</v>
      </c>
    </row>
    <row r="555" spans="1:17" x14ac:dyDescent="0.3">
      <c r="A555" t="s">
        <v>1210</v>
      </c>
      <c r="B555" t="s">
        <v>1211</v>
      </c>
      <c r="C555" t="s">
        <v>118</v>
      </c>
      <c r="D555" s="2">
        <v>57</v>
      </c>
      <c r="E555" t="s">
        <v>19</v>
      </c>
      <c r="F555" t="s">
        <v>20</v>
      </c>
      <c r="G555" s="2" t="s">
        <v>21</v>
      </c>
      <c r="H555" s="2">
        <v>7</v>
      </c>
      <c r="I555" s="2" t="s">
        <v>52</v>
      </c>
      <c r="J555" s="2">
        <v>1.6</v>
      </c>
      <c r="K555" s="2" t="s">
        <v>181</v>
      </c>
      <c r="L555" s="2" t="s">
        <v>2120</v>
      </c>
      <c r="M555" s="2" t="s">
        <v>24</v>
      </c>
      <c r="N555" s="2" t="s">
        <v>34</v>
      </c>
      <c r="O555" s="2">
        <v>13</v>
      </c>
      <c r="P555" s="2" t="str">
        <f>IF(global_freelancer_raw5[[#This Row],[No of projects ]]&lt;=5,"Entry level","Well Experienced")</f>
        <v>Well Experienced</v>
      </c>
      <c r="Q555" s="2">
        <v>5</v>
      </c>
    </row>
    <row r="556" spans="1:17" x14ac:dyDescent="0.3">
      <c r="A556" t="s">
        <v>1212</v>
      </c>
      <c r="B556" t="s">
        <v>1213</v>
      </c>
      <c r="C556" t="s">
        <v>118</v>
      </c>
      <c r="D556" s="2">
        <v>47</v>
      </c>
      <c r="E556" t="s">
        <v>79</v>
      </c>
      <c r="F556" t="s">
        <v>80</v>
      </c>
      <c r="G556" s="2" t="s">
        <v>110</v>
      </c>
      <c r="H556" s="2">
        <v>1</v>
      </c>
      <c r="I556" s="2" t="s">
        <v>40</v>
      </c>
      <c r="J556" s="2">
        <v>3.9</v>
      </c>
      <c r="K556" s="2" t="s">
        <v>94</v>
      </c>
      <c r="L556" s="2">
        <v>0.88</v>
      </c>
      <c r="M556" s="2" t="s">
        <v>60</v>
      </c>
      <c r="N556" s="2" t="s">
        <v>75</v>
      </c>
      <c r="O556" s="2">
        <v>5</v>
      </c>
      <c r="P556" s="2" t="str">
        <f>IF(global_freelancer_raw5[[#This Row],[No of projects ]]&lt;=5,"Entry level","Well Experienced")</f>
        <v>Entry level</v>
      </c>
      <c r="Q556" s="2">
        <v>3</v>
      </c>
    </row>
    <row r="557" spans="1:17" x14ac:dyDescent="0.3">
      <c r="A557" t="s">
        <v>1214</v>
      </c>
      <c r="B557" t="s">
        <v>1215</v>
      </c>
      <c r="C557" t="s">
        <v>118</v>
      </c>
      <c r="D557" s="2">
        <v>48</v>
      </c>
      <c r="E557" t="s">
        <v>133</v>
      </c>
      <c r="F557" t="s">
        <v>134</v>
      </c>
      <c r="G557" s="2" t="s">
        <v>98</v>
      </c>
      <c r="H557" s="2">
        <v>21</v>
      </c>
      <c r="I557" s="2" t="s">
        <v>86</v>
      </c>
      <c r="J557" s="2">
        <v>0</v>
      </c>
      <c r="K557" s="2" t="s">
        <v>33</v>
      </c>
      <c r="L557" s="2" t="s">
        <v>2120</v>
      </c>
      <c r="M557" s="2" t="s">
        <v>60</v>
      </c>
      <c r="N557" s="2" t="s">
        <v>42</v>
      </c>
      <c r="O557" s="2">
        <v>15</v>
      </c>
      <c r="P557" s="2" t="str">
        <f>IF(global_freelancer_raw5[[#This Row],[No of projects ]]&lt;=5,"Entry level","Well Experienced")</f>
        <v>Well Experienced</v>
      </c>
      <c r="Q557" s="2">
        <v>11</v>
      </c>
    </row>
    <row r="558" spans="1:17" x14ac:dyDescent="0.3">
      <c r="A558" t="s">
        <v>1216</v>
      </c>
      <c r="B558" t="s">
        <v>1217</v>
      </c>
      <c r="C558" t="s">
        <v>118</v>
      </c>
      <c r="D558" s="2">
        <v>28</v>
      </c>
      <c r="E558" t="s">
        <v>73</v>
      </c>
      <c r="F558" t="s">
        <v>30</v>
      </c>
      <c r="G558" s="2" t="s">
        <v>93</v>
      </c>
      <c r="H558" s="2">
        <v>1</v>
      </c>
      <c r="I558" s="2" t="s">
        <v>336</v>
      </c>
      <c r="J558" s="2">
        <v>4.7</v>
      </c>
      <c r="K558" s="2" t="s">
        <v>59</v>
      </c>
      <c r="L558" s="2">
        <v>0.93</v>
      </c>
      <c r="M558" s="2" t="s">
        <v>88</v>
      </c>
      <c r="N558" s="2" t="s">
        <v>25</v>
      </c>
      <c r="O558" s="2">
        <v>5</v>
      </c>
      <c r="P558" s="2" t="str">
        <f>IF(global_freelancer_raw5[[#This Row],[No of projects ]]&lt;=5,"Entry level","Well Experienced")</f>
        <v>Entry level</v>
      </c>
      <c r="Q558" s="2">
        <v>3</v>
      </c>
    </row>
    <row r="559" spans="1:17" x14ac:dyDescent="0.3">
      <c r="A559" t="s">
        <v>1218</v>
      </c>
      <c r="B559" t="s">
        <v>1219</v>
      </c>
      <c r="C559" t="s">
        <v>118</v>
      </c>
      <c r="D559" s="2">
        <v>41</v>
      </c>
      <c r="E559" t="s">
        <v>79</v>
      </c>
      <c r="F559" t="s">
        <v>80</v>
      </c>
      <c r="G559" s="2" t="s">
        <v>39</v>
      </c>
      <c r="H559" s="2">
        <v>15</v>
      </c>
      <c r="I559" s="2" t="s">
        <v>2119</v>
      </c>
      <c r="J559" s="2">
        <v>3.8</v>
      </c>
      <c r="K559" s="2" t="s">
        <v>33</v>
      </c>
      <c r="L559" s="2" t="s">
        <v>2120</v>
      </c>
      <c r="M559" s="2" t="s">
        <v>82</v>
      </c>
      <c r="N559" s="2" t="s">
        <v>42</v>
      </c>
      <c r="O559" s="2">
        <v>13</v>
      </c>
      <c r="P559" s="2" t="str">
        <f>IF(global_freelancer_raw5[[#This Row],[No of projects ]]&lt;=5,"Entry level","Well Experienced")</f>
        <v>Well Experienced</v>
      </c>
      <c r="Q559" s="2">
        <v>5</v>
      </c>
    </row>
    <row r="560" spans="1:17" x14ac:dyDescent="0.3">
      <c r="A560" t="s">
        <v>1220</v>
      </c>
      <c r="B560" t="s">
        <v>1221</v>
      </c>
      <c r="C560" t="s">
        <v>97</v>
      </c>
      <c r="D560" s="2">
        <v>57</v>
      </c>
      <c r="E560" t="s">
        <v>175</v>
      </c>
      <c r="F560" t="s">
        <v>176</v>
      </c>
      <c r="G560" s="2" t="s">
        <v>98</v>
      </c>
      <c r="H560" s="2">
        <v>33</v>
      </c>
      <c r="I560" s="2" t="s">
        <v>22</v>
      </c>
      <c r="J560" s="2">
        <v>3.5</v>
      </c>
      <c r="K560" s="2" t="s">
        <v>181</v>
      </c>
      <c r="L560" s="2">
        <v>0.74</v>
      </c>
      <c r="M560" s="2" t="s">
        <v>60</v>
      </c>
      <c r="N560" s="2" t="s">
        <v>42</v>
      </c>
      <c r="O560" s="2">
        <v>19</v>
      </c>
      <c r="P560" s="2" t="str">
        <f>IF(global_freelancer_raw5[[#This Row],[No of projects ]]&lt;=5,"Entry level","Well Experienced")</f>
        <v>Well Experienced</v>
      </c>
      <c r="Q560" s="2">
        <v>17</v>
      </c>
    </row>
    <row r="561" spans="1:17" x14ac:dyDescent="0.3">
      <c r="A561" t="s">
        <v>1222</v>
      </c>
      <c r="B561" t="s">
        <v>1223</v>
      </c>
      <c r="C561" t="s">
        <v>118</v>
      </c>
      <c r="D561" s="2">
        <v>60</v>
      </c>
      <c r="E561" t="s">
        <v>91</v>
      </c>
      <c r="F561" t="s">
        <v>92</v>
      </c>
      <c r="G561" s="2" t="s">
        <v>39</v>
      </c>
      <c r="H561" s="2">
        <v>39</v>
      </c>
      <c r="I561" s="2" t="s">
        <v>67</v>
      </c>
      <c r="J561" s="2">
        <v>4</v>
      </c>
      <c r="K561" s="2" t="s">
        <v>2120</v>
      </c>
      <c r="L561" s="2">
        <v>0.7</v>
      </c>
      <c r="M561" s="2" t="s">
        <v>82</v>
      </c>
      <c r="N561" s="2" t="s">
        <v>75</v>
      </c>
      <c r="O561" s="2">
        <v>15</v>
      </c>
      <c r="P561" s="2" t="str">
        <f>IF(global_freelancer_raw5[[#This Row],[No of projects ]]&lt;=5,"Entry level","Well Experienced")</f>
        <v>Well Experienced</v>
      </c>
      <c r="Q561" s="2">
        <v>15</v>
      </c>
    </row>
    <row r="562" spans="1:17" x14ac:dyDescent="0.3">
      <c r="A562" t="s">
        <v>1224</v>
      </c>
      <c r="B562" t="s">
        <v>1225</v>
      </c>
      <c r="C562" t="s">
        <v>97</v>
      </c>
      <c r="D562" s="2">
        <v>48</v>
      </c>
      <c r="E562" t="s">
        <v>160</v>
      </c>
      <c r="F562" t="s">
        <v>161</v>
      </c>
      <c r="G562" s="2" t="s">
        <v>39</v>
      </c>
      <c r="H562" s="2">
        <v>21</v>
      </c>
      <c r="I562" s="2" t="s">
        <v>52</v>
      </c>
      <c r="J562" s="2">
        <v>1.6</v>
      </c>
      <c r="K562" s="2" t="s">
        <v>94</v>
      </c>
      <c r="L562" s="2">
        <v>0.67</v>
      </c>
      <c r="M562" s="2" t="s">
        <v>60</v>
      </c>
      <c r="N562" s="2" t="s">
        <v>34</v>
      </c>
      <c r="O562" s="2">
        <v>15</v>
      </c>
      <c r="P562" s="2" t="str">
        <f>IF(global_freelancer_raw5[[#This Row],[No of projects ]]&lt;=5,"Entry level","Well Experienced")</f>
        <v>Well Experienced</v>
      </c>
      <c r="Q562" s="2">
        <v>5</v>
      </c>
    </row>
    <row r="563" spans="1:17" x14ac:dyDescent="0.3">
      <c r="A563" t="s">
        <v>1226</v>
      </c>
      <c r="B563" t="s">
        <v>1227</v>
      </c>
      <c r="C563" t="s">
        <v>97</v>
      </c>
      <c r="D563" s="2">
        <v>24</v>
      </c>
      <c r="E563" t="s">
        <v>156</v>
      </c>
      <c r="F563" t="s">
        <v>157</v>
      </c>
      <c r="G563" s="2" t="s">
        <v>98</v>
      </c>
      <c r="H563" s="2">
        <v>5</v>
      </c>
      <c r="I563" s="2" t="s">
        <v>86</v>
      </c>
      <c r="J563" s="2">
        <v>3</v>
      </c>
      <c r="K563" s="2" t="s">
        <v>181</v>
      </c>
      <c r="L563" s="2">
        <v>0.86</v>
      </c>
      <c r="M563" s="2" t="s">
        <v>60</v>
      </c>
      <c r="N563" s="2" t="s">
        <v>42</v>
      </c>
      <c r="O563" s="2">
        <v>1</v>
      </c>
      <c r="P563" s="2" t="str">
        <f>IF(global_freelancer_raw5[[#This Row],[No of projects ]]&lt;=5,"Entry level","Well Experienced")</f>
        <v>Entry level</v>
      </c>
      <c r="Q563" s="2">
        <v>1</v>
      </c>
    </row>
    <row r="564" spans="1:17" x14ac:dyDescent="0.3">
      <c r="A564" t="s">
        <v>1228</v>
      </c>
      <c r="B564" t="s">
        <v>1229</v>
      </c>
      <c r="C564" t="s">
        <v>97</v>
      </c>
      <c r="D564" s="2">
        <v>33</v>
      </c>
      <c r="E564" t="s">
        <v>201</v>
      </c>
      <c r="F564" t="s">
        <v>92</v>
      </c>
      <c r="G564" s="2" t="s">
        <v>110</v>
      </c>
      <c r="H564" s="2">
        <v>11</v>
      </c>
      <c r="I564" s="2" t="s">
        <v>40</v>
      </c>
      <c r="J564" s="2">
        <v>5</v>
      </c>
      <c r="K564" s="2" t="s">
        <v>87</v>
      </c>
      <c r="L564" s="2">
        <v>0.69</v>
      </c>
      <c r="M564" s="2" t="s">
        <v>24</v>
      </c>
      <c r="N564" s="2" t="s">
        <v>25</v>
      </c>
      <c r="O564" s="2">
        <v>8</v>
      </c>
      <c r="P564" s="2" t="str">
        <f>IF(global_freelancer_raw5[[#This Row],[No of projects ]]&lt;=5,"Entry level","Well Experienced")</f>
        <v>Well Experienced</v>
      </c>
      <c r="Q564" s="2">
        <v>9</v>
      </c>
    </row>
    <row r="565" spans="1:17" x14ac:dyDescent="0.3">
      <c r="A565" t="s">
        <v>1230</v>
      </c>
      <c r="B565" t="s">
        <v>1231</v>
      </c>
      <c r="C565" t="s">
        <v>97</v>
      </c>
      <c r="D565" s="2">
        <v>20</v>
      </c>
      <c r="E565" t="s">
        <v>79</v>
      </c>
      <c r="F565" t="s">
        <v>80</v>
      </c>
      <c r="G565" s="2" t="s">
        <v>39</v>
      </c>
      <c r="H565" s="2">
        <v>0</v>
      </c>
      <c r="I565" s="2" t="s">
        <v>52</v>
      </c>
      <c r="J565" s="2">
        <v>4.8</v>
      </c>
      <c r="K565" s="2" t="s">
        <v>87</v>
      </c>
      <c r="L565" s="2">
        <v>0.68</v>
      </c>
      <c r="M565" s="2" t="s">
        <v>24</v>
      </c>
      <c r="N565" s="2" t="s">
        <v>25</v>
      </c>
      <c r="O565" s="2">
        <v>5</v>
      </c>
      <c r="P565" s="2" t="str">
        <f>IF(global_freelancer_raw5[[#This Row],[No of projects ]]&lt;=5,"Entry level","Well Experienced")</f>
        <v>Entry level</v>
      </c>
      <c r="Q565" s="2">
        <v>3</v>
      </c>
    </row>
    <row r="566" spans="1:17" x14ac:dyDescent="0.3">
      <c r="A566" t="s">
        <v>1232</v>
      </c>
      <c r="B566" t="s">
        <v>1233</v>
      </c>
      <c r="C566" t="s">
        <v>118</v>
      </c>
      <c r="D566" s="2">
        <v>59</v>
      </c>
      <c r="E566" t="s">
        <v>85</v>
      </c>
      <c r="F566" t="s">
        <v>30</v>
      </c>
      <c r="G566" s="2" t="s">
        <v>110</v>
      </c>
      <c r="H566" s="2">
        <v>15</v>
      </c>
      <c r="I566" s="2" t="s">
        <v>81</v>
      </c>
      <c r="J566" s="2" t="s">
        <v>2120</v>
      </c>
      <c r="K566" s="2" t="s">
        <v>181</v>
      </c>
      <c r="L566" s="2" t="s">
        <v>2120</v>
      </c>
      <c r="M566" s="2" t="s">
        <v>24</v>
      </c>
      <c r="N566" s="2" t="s">
        <v>34</v>
      </c>
      <c r="O566" s="2">
        <v>7</v>
      </c>
      <c r="P566" s="2" t="str">
        <f>IF(global_freelancer_raw5[[#This Row],[No of projects ]]&lt;=5,"Entry level","Well Experienced")</f>
        <v>Well Experienced</v>
      </c>
      <c r="Q566" s="2">
        <v>8</v>
      </c>
    </row>
    <row r="567" spans="1:17" x14ac:dyDescent="0.3">
      <c r="A567" t="s">
        <v>1234</v>
      </c>
      <c r="B567" t="s">
        <v>1235</v>
      </c>
      <c r="C567" t="s">
        <v>97</v>
      </c>
      <c r="D567" s="2">
        <v>42</v>
      </c>
      <c r="E567" t="s">
        <v>197</v>
      </c>
      <c r="F567" t="s">
        <v>198</v>
      </c>
      <c r="G567" s="2" t="s">
        <v>110</v>
      </c>
      <c r="H567" s="2">
        <v>22</v>
      </c>
      <c r="I567" s="2" t="s">
        <v>2119</v>
      </c>
      <c r="J567" s="2">
        <v>2.9</v>
      </c>
      <c r="K567" s="2" t="s">
        <v>23</v>
      </c>
      <c r="L567" s="2">
        <v>0.61</v>
      </c>
      <c r="M567" s="2" t="s">
        <v>82</v>
      </c>
      <c r="N567" s="2" t="s">
        <v>25</v>
      </c>
      <c r="O567" s="2">
        <v>14</v>
      </c>
      <c r="P567" s="2" t="str">
        <f>IF(global_freelancer_raw5[[#This Row],[No of projects ]]&lt;=5,"Entry level","Well Experienced")</f>
        <v>Well Experienced</v>
      </c>
      <c r="Q567" s="2">
        <v>9</v>
      </c>
    </row>
    <row r="568" spans="1:17" x14ac:dyDescent="0.3">
      <c r="A568" t="s">
        <v>1236</v>
      </c>
      <c r="B568" t="s">
        <v>1237</v>
      </c>
      <c r="C568" t="s">
        <v>97</v>
      </c>
      <c r="D568" s="2">
        <v>22</v>
      </c>
      <c r="E568" t="s">
        <v>79</v>
      </c>
      <c r="F568" t="s">
        <v>80</v>
      </c>
      <c r="G568" s="2" t="s">
        <v>93</v>
      </c>
      <c r="H568" s="2">
        <v>3</v>
      </c>
      <c r="I568" s="2" t="s">
        <v>2119</v>
      </c>
      <c r="J568" s="2">
        <v>3</v>
      </c>
      <c r="K568" s="2" t="s">
        <v>74</v>
      </c>
      <c r="L568" s="2">
        <v>0.96</v>
      </c>
      <c r="M568" s="2" t="s">
        <v>88</v>
      </c>
      <c r="N568" s="2" t="s">
        <v>34</v>
      </c>
      <c r="O568" s="2">
        <v>1</v>
      </c>
      <c r="P568" s="2" t="str">
        <f>IF(global_freelancer_raw5[[#This Row],[No of projects ]]&lt;=5,"Entry level","Well Experienced")</f>
        <v>Entry level</v>
      </c>
      <c r="Q568" s="2">
        <v>2</v>
      </c>
    </row>
    <row r="569" spans="1:17" x14ac:dyDescent="0.3">
      <c r="A569" t="s">
        <v>1238</v>
      </c>
      <c r="B569" t="s">
        <v>1239</v>
      </c>
      <c r="C569" t="s">
        <v>118</v>
      </c>
      <c r="D569" s="2">
        <v>41</v>
      </c>
      <c r="E569" t="s">
        <v>149</v>
      </c>
      <c r="F569" t="s">
        <v>30</v>
      </c>
      <c r="G569" s="2" t="s">
        <v>98</v>
      </c>
      <c r="H569" s="2">
        <v>11</v>
      </c>
      <c r="I569" s="2" t="s">
        <v>40</v>
      </c>
      <c r="J569" s="2">
        <v>3.5</v>
      </c>
      <c r="K569" s="2" t="s">
        <v>33</v>
      </c>
      <c r="L569" s="2">
        <v>0.68</v>
      </c>
      <c r="M569" s="2" t="s">
        <v>60</v>
      </c>
      <c r="N569" s="2" t="s">
        <v>25</v>
      </c>
      <c r="O569" s="2">
        <v>12</v>
      </c>
      <c r="P569" s="2" t="str">
        <f>IF(global_freelancer_raw5[[#This Row],[No of projects ]]&lt;=5,"Entry level","Well Experienced")</f>
        <v>Well Experienced</v>
      </c>
      <c r="Q569" s="2">
        <v>1</v>
      </c>
    </row>
    <row r="570" spans="1:17" x14ac:dyDescent="0.3">
      <c r="A570" t="s">
        <v>1240</v>
      </c>
      <c r="B570" t="s">
        <v>1241</v>
      </c>
      <c r="C570" t="s">
        <v>97</v>
      </c>
      <c r="D570" s="2">
        <v>25</v>
      </c>
      <c r="E570" t="s">
        <v>91</v>
      </c>
      <c r="F570" t="s">
        <v>92</v>
      </c>
      <c r="G570" s="2" t="s">
        <v>46</v>
      </c>
      <c r="H570" s="2">
        <v>5</v>
      </c>
      <c r="I570" s="2" t="s">
        <v>86</v>
      </c>
      <c r="J570" s="2" t="s">
        <v>2120</v>
      </c>
      <c r="K570" s="2" t="s">
        <v>74</v>
      </c>
      <c r="L570" s="2">
        <v>0.75</v>
      </c>
      <c r="M570" s="2" t="s">
        <v>60</v>
      </c>
      <c r="N570" s="2" t="s">
        <v>75</v>
      </c>
      <c r="O570" s="2">
        <v>4</v>
      </c>
      <c r="P570" s="2" t="str">
        <f>IF(global_freelancer_raw5[[#This Row],[No of projects ]]&lt;=5,"Entry level","Well Experienced")</f>
        <v>Entry level</v>
      </c>
      <c r="Q570" s="2">
        <v>1</v>
      </c>
    </row>
    <row r="571" spans="1:17" x14ac:dyDescent="0.3">
      <c r="A571" t="s">
        <v>1242</v>
      </c>
      <c r="B571" t="s">
        <v>1243</v>
      </c>
      <c r="C571" t="s">
        <v>97</v>
      </c>
      <c r="D571" s="2">
        <v>38</v>
      </c>
      <c r="E571" t="s">
        <v>149</v>
      </c>
      <c r="F571" t="s">
        <v>30</v>
      </c>
      <c r="G571" s="2" t="s">
        <v>93</v>
      </c>
      <c r="H571" s="2">
        <v>3</v>
      </c>
      <c r="I571" s="2" t="s">
        <v>86</v>
      </c>
      <c r="J571" s="2">
        <v>4.7</v>
      </c>
      <c r="K571" s="2" t="s">
        <v>23</v>
      </c>
      <c r="L571" s="2">
        <v>0.69</v>
      </c>
      <c r="M571" s="2" t="s">
        <v>60</v>
      </c>
      <c r="N571" s="2" t="s">
        <v>42</v>
      </c>
      <c r="O571" s="2">
        <v>4</v>
      </c>
      <c r="P571" s="2" t="str">
        <f>IF(global_freelancer_raw5[[#This Row],[No of projects ]]&lt;=5,"Entry level","Well Experienced")</f>
        <v>Entry level</v>
      </c>
      <c r="Q571" s="2">
        <v>2</v>
      </c>
    </row>
    <row r="572" spans="1:17" x14ac:dyDescent="0.3">
      <c r="A572" t="s">
        <v>1244</v>
      </c>
      <c r="B572" t="s">
        <v>1245</v>
      </c>
      <c r="C572" t="s">
        <v>97</v>
      </c>
      <c r="D572" s="2">
        <v>43</v>
      </c>
      <c r="E572" t="s">
        <v>73</v>
      </c>
      <c r="F572" t="s">
        <v>30</v>
      </c>
      <c r="G572" s="2" t="s">
        <v>110</v>
      </c>
      <c r="H572" s="2">
        <v>1</v>
      </c>
      <c r="I572" s="2" t="s">
        <v>2119</v>
      </c>
      <c r="J572" s="2">
        <v>2.9</v>
      </c>
      <c r="K572" s="2" t="s">
        <v>181</v>
      </c>
      <c r="L572" s="2">
        <v>0.78</v>
      </c>
      <c r="M572" s="2" t="s">
        <v>82</v>
      </c>
      <c r="N572" s="2" t="s">
        <v>75</v>
      </c>
      <c r="O572" s="2">
        <v>5</v>
      </c>
      <c r="P572" s="2" t="str">
        <f>IF(global_freelancer_raw5[[#This Row],[No of projects ]]&lt;=5,"Entry level","Well Experienced")</f>
        <v>Entry level</v>
      </c>
      <c r="Q572" s="2">
        <v>2</v>
      </c>
    </row>
    <row r="573" spans="1:17" x14ac:dyDescent="0.3">
      <c r="A573" t="s">
        <v>1246</v>
      </c>
      <c r="B573" t="s">
        <v>1247</v>
      </c>
      <c r="C573" t="s">
        <v>97</v>
      </c>
      <c r="D573" s="2">
        <v>54</v>
      </c>
      <c r="E573" t="s">
        <v>201</v>
      </c>
      <c r="F573" t="s">
        <v>92</v>
      </c>
      <c r="G573" s="2" t="s">
        <v>57</v>
      </c>
      <c r="H573" s="2">
        <v>1</v>
      </c>
      <c r="I573" s="2" t="s">
        <v>103</v>
      </c>
      <c r="J573" s="2">
        <v>4.4000000000000004</v>
      </c>
      <c r="K573" s="2" t="s">
        <v>94</v>
      </c>
      <c r="L573" s="2" t="s">
        <v>2120</v>
      </c>
      <c r="M573" s="2" t="s">
        <v>24</v>
      </c>
      <c r="N573" s="2" t="s">
        <v>42</v>
      </c>
      <c r="O573" s="2">
        <v>4</v>
      </c>
      <c r="P573" s="2" t="str">
        <f>IF(global_freelancer_raw5[[#This Row],[No of projects ]]&lt;=5,"Entry level","Well Experienced")</f>
        <v>Entry level</v>
      </c>
      <c r="Q573" s="2">
        <v>5</v>
      </c>
    </row>
    <row r="574" spans="1:17" x14ac:dyDescent="0.3">
      <c r="A574" t="s">
        <v>1248</v>
      </c>
      <c r="B574" t="s">
        <v>1249</v>
      </c>
      <c r="C574" t="s">
        <v>97</v>
      </c>
      <c r="D574" s="2">
        <v>31</v>
      </c>
      <c r="E574" t="s">
        <v>64</v>
      </c>
      <c r="F574" t="s">
        <v>65</v>
      </c>
      <c r="G574" s="2" t="s">
        <v>31</v>
      </c>
      <c r="H574" s="2">
        <v>2</v>
      </c>
      <c r="I574" s="2" t="s">
        <v>86</v>
      </c>
      <c r="J574" s="2">
        <v>2.2999999999999998</v>
      </c>
      <c r="K574" s="2" t="s">
        <v>41</v>
      </c>
      <c r="L574" s="2">
        <v>0.98</v>
      </c>
      <c r="M574" s="2" t="s">
        <v>88</v>
      </c>
      <c r="N574" s="2" t="s">
        <v>42</v>
      </c>
      <c r="O574" s="2">
        <v>5</v>
      </c>
      <c r="P574" s="2" t="str">
        <f>IF(global_freelancer_raw5[[#This Row],[No of projects ]]&lt;=5,"Entry level","Well Experienced")</f>
        <v>Entry level</v>
      </c>
      <c r="Q574" s="2">
        <v>1</v>
      </c>
    </row>
    <row r="575" spans="1:17" x14ac:dyDescent="0.3">
      <c r="A575" t="s">
        <v>1250</v>
      </c>
      <c r="B575" t="s">
        <v>1251</v>
      </c>
      <c r="C575" t="s">
        <v>97</v>
      </c>
      <c r="D575" s="2">
        <v>56</v>
      </c>
      <c r="E575" t="s">
        <v>201</v>
      </c>
      <c r="F575" t="s">
        <v>92</v>
      </c>
      <c r="G575" s="2" t="s">
        <v>57</v>
      </c>
      <c r="H575" s="2">
        <v>3</v>
      </c>
      <c r="I575" s="2" t="s">
        <v>58</v>
      </c>
      <c r="J575" s="2">
        <v>3.7</v>
      </c>
      <c r="K575" s="2" t="s">
        <v>2120</v>
      </c>
      <c r="L575" s="2">
        <v>0.83</v>
      </c>
      <c r="M575" s="2" t="s">
        <v>82</v>
      </c>
      <c r="N575" s="2" t="s">
        <v>42</v>
      </c>
      <c r="O575" s="2">
        <v>4</v>
      </c>
      <c r="P575" s="2" t="str">
        <f>IF(global_freelancer_raw5[[#This Row],[No of projects ]]&lt;=5,"Entry level","Well Experienced")</f>
        <v>Entry level</v>
      </c>
      <c r="Q575" s="2">
        <v>2</v>
      </c>
    </row>
    <row r="576" spans="1:17" x14ac:dyDescent="0.3">
      <c r="A576" t="s">
        <v>1252</v>
      </c>
      <c r="B576" t="s">
        <v>1253</v>
      </c>
      <c r="C576" t="s">
        <v>118</v>
      </c>
      <c r="D576" s="2">
        <v>46</v>
      </c>
      <c r="E576" t="s">
        <v>201</v>
      </c>
      <c r="F576" t="s">
        <v>92</v>
      </c>
      <c r="G576" s="2" t="s">
        <v>39</v>
      </c>
      <c r="H576" s="2">
        <v>11</v>
      </c>
      <c r="I576" s="2" t="s">
        <v>2119</v>
      </c>
      <c r="J576" s="2">
        <v>1.8</v>
      </c>
      <c r="K576" s="2" t="s">
        <v>33</v>
      </c>
      <c r="L576" s="2">
        <v>0.91</v>
      </c>
      <c r="M576" s="2" t="s">
        <v>24</v>
      </c>
      <c r="N576" s="2" t="s">
        <v>75</v>
      </c>
      <c r="O576" s="2">
        <v>8</v>
      </c>
      <c r="P576" s="2" t="str">
        <f>IF(global_freelancer_raw5[[#This Row],[No of projects ]]&lt;=5,"Entry level","Well Experienced")</f>
        <v>Well Experienced</v>
      </c>
      <c r="Q576" s="2">
        <v>9</v>
      </c>
    </row>
    <row r="577" spans="1:17" x14ac:dyDescent="0.3">
      <c r="A577" t="s">
        <v>1254</v>
      </c>
      <c r="B577" t="s">
        <v>1255</v>
      </c>
      <c r="C577" t="s">
        <v>118</v>
      </c>
      <c r="D577" s="2">
        <v>60</v>
      </c>
      <c r="E577" t="s">
        <v>160</v>
      </c>
      <c r="F577" t="s">
        <v>161</v>
      </c>
      <c r="G577" s="2" t="s">
        <v>57</v>
      </c>
      <c r="H577" s="2" t="s">
        <v>2120</v>
      </c>
      <c r="I577" s="2" t="s">
        <v>22</v>
      </c>
      <c r="J577" s="2">
        <v>0</v>
      </c>
      <c r="K577" s="2" t="s">
        <v>33</v>
      </c>
      <c r="L577" s="2">
        <v>0.96</v>
      </c>
      <c r="M577" s="2" t="s">
        <v>82</v>
      </c>
      <c r="N577" s="2" t="s">
        <v>42</v>
      </c>
      <c r="O577" s="2">
        <v>5</v>
      </c>
      <c r="P577" s="2" t="str">
        <f>IF(global_freelancer_raw5[[#This Row],[No of projects ]]&lt;=5,"Entry level","Well Experienced")</f>
        <v>Entry level</v>
      </c>
      <c r="Q577" s="2">
        <v>1</v>
      </c>
    </row>
    <row r="578" spans="1:17" x14ac:dyDescent="0.3">
      <c r="A578" t="s">
        <v>1256</v>
      </c>
      <c r="B578" t="s">
        <v>1257</v>
      </c>
      <c r="C578" t="s">
        <v>97</v>
      </c>
      <c r="D578" s="2">
        <v>28</v>
      </c>
      <c r="E578" t="s">
        <v>133</v>
      </c>
      <c r="F578" t="s">
        <v>134</v>
      </c>
      <c r="G578" s="2" t="s">
        <v>39</v>
      </c>
      <c r="H578" s="2">
        <v>2</v>
      </c>
      <c r="I578" s="2" t="s">
        <v>119</v>
      </c>
      <c r="J578" s="2" t="s">
        <v>2120</v>
      </c>
      <c r="K578" s="2" t="s">
        <v>33</v>
      </c>
      <c r="L578" s="2">
        <v>0.85</v>
      </c>
      <c r="M578" s="2" t="s">
        <v>88</v>
      </c>
      <c r="N578" s="2" t="s">
        <v>75</v>
      </c>
      <c r="O578" s="2">
        <v>3</v>
      </c>
      <c r="P578" s="2" t="str">
        <f>IF(global_freelancer_raw5[[#This Row],[No of projects ]]&lt;=5,"Entry level","Well Experienced")</f>
        <v>Entry level</v>
      </c>
      <c r="Q578" s="2">
        <v>2</v>
      </c>
    </row>
    <row r="579" spans="1:17" x14ac:dyDescent="0.3">
      <c r="A579" t="s">
        <v>1258</v>
      </c>
      <c r="B579" t="s">
        <v>1259</v>
      </c>
      <c r="C579" t="s">
        <v>97</v>
      </c>
      <c r="D579" s="2">
        <v>43</v>
      </c>
      <c r="E579" t="s">
        <v>64</v>
      </c>
      <c r="F579" t="s">
        <v>65</v>
      </c>
      <c r="G579" s="2" t="s">
        <v>46</v>
      </c>
      <c r="H579" s="2">
        <v>20</v>
      </c>
      <c r="I579" s="2" t="s">
        <v>130</v>
      </c>
      <c r="J579" s="2">
        <v>2.7</v>
      </c>
      <c r="K579" s="2" t="s">
        <v>59</v>
      </c>
      <c r="L579" s="2">
        <v>0.72</v>
      </c>
      <c r="M579" s="2" t="s">
        <v>24</v>
      </c>
      <c r="N579" s="2" t="s">
        <v>34</v>
      </c>
      <c r="O579" s="2">
        <v>14</v>
      </c>
      <c r="P579" s="2" t="str">
        <f>IF(global_freelancer_raw5[[#This Row],[No of projects ]]&lt;=5,"Entry level","Well Experienced")</f>
        <v>Well Experienced</v>
      </c>
      <c r="Q579" s="2">
        <v>2</v>
      </c>
    </row>
    <row r="580" spans="1:17" x14ac:dyDescent="0.3">
      <c r="A580" t="s">
        <v>1260</v>
      </c>
      <c r="B580" t="s">
        <v>1261</v>
      </c>
      <c r="C580" t="s">
        <v>118</v>
      </c>
      <c r="D580" s="2">
        <v>41</v>
      </c>
      <c r="E580" t="s">
        <v>156</v>
      </c>
      <c r="F580" t="s">
        <v>157</v>
      </c>
      <c r="G580" s="2" t="s">
        <v>46</v>
      </c>
      <c r="H580" s="2">
        <v>11</v>
      </c>
      <c r="I580" s="2" t="s">
        <v>142</v>
      </c>
      <c r="J580" s="2">
        <v>4.7</v>
      </c>
      <c r="K580" s="2" t="s">
        <v>2120</v>
      </c>
      <c r="L580" s="2">
        <v>0.69</v>
      </c>
      <c r="M580" s="2" t="s">
        <v>82</v>
      </c>
      <c r="N580" s="2" t="s">
        <v>25</v>
      </c>
      <c r="O580" s="2">
        <v>10</v>
      </c>
      <c r="P580" s="2" t="str">
        <f>IF(global_freelancer_raw5[[#This Row],[No of projects ]]&lt;=5,"Entry level","Well Experienced")</f>
        <v>Well Experienced</v>
      </c>
      <c r="Q580" s="2">
        <v>4</v>
      </c>
    </row>
    <row r="581" spans="1:17" x14ac:dyDescent="0.3">
      <c r="A581" t="s">
        <v>1262</v>
      </c>
      <c r="B581" t="s">
        <v>1263</v>
      </c>
      <c r="C581" t="s">
        <v>118</v>
      </c>
      <c r="D581" s="2">
        <v>41</v>
      </c>
      <c r="E581" t="s">
        <v>85</v>
      </c>
      <c r="F581" t="s">
        <v>30</v>
      </c>
      <c r="G581" s="2" t="s">
        <v>110</v>
      </c>
      <c r="H581" s="2">
        <v>0</v>
      </c>
      <c r="I581" s="2" t="s">
        <v>142</v>
      </c>
      <c r="J581" s="2">
        <v>3.1</v>
      </c>
      <c r="K581" s="2" t="s">
        <v>23</v>
      </c>
      <c r="L581" s="2">
        <v>90</v>
      </c>
      <c r="M581" s="2" t="s">
        <v>88</v>
      </c>
      <c r="N581" s="2" t="s">
        <v>25</v>
      </c>
      <c r="O581" s="2">
        <v>4</v>
      </c>
      <c r="P581" s="2" t="str">
        <f>IF(global_freelancer_raw5[[#This Row],[No of projects ]]&lt;=5,"Entry level","Well Experienced")</f>
        <v>Entry level</v>
      </c>
      <c r="Q581" s="2">
        <v>1</v>
      </c>
    </row>
    <row r="582" spans="1:17" x14ac:dyDescent="0.3">
      <c r="A582" t="s">
        <v>1264</v>
      </c>
      <c r="B582" t="s">
        <v>1265</v>
      </c>
      <c r="C582" t="s">
        <v>97</v>
      </c>
      <c r="D582" s="2">
        <v>40</v>
      </c>
      <c r="E582" t="s">
        <v>85</v>
      </c>
      <c r="F582" t="s">
        <v>30</v>
      </c>
      <c r="G582" s="2" t="s">
        <v>31</v>
      </c>
      <c r="H582" s="2">
        <v>20</v>
      </c>
      <c r="I582" s="2" t="s">
        <v>162</v>
      </c>
      <c r="J582" s="2">
        <v>2.2999999999999998</v>
      </c>
      <c r="K582" s="2" t="s">
        <v>23</v>
      </c>
      <c r="L582" s="2">
        <v>0.92</v>
      </c>
      <c r="M582" s="2" t="s">
        <v>60</v>
      </c>
      <c r="N582" s="2" t="s">
        <v>42</v>
      </c>
      <c r="O582" s="2">
        <v>14</v>
      </c>
      <c r="P582" s="2" t="str">
        <f>IF(global_freelancer_raw5[[#This Row],[No of projects ]]&lt;=5,"Entry level","Well Experienced")</f>
        <v>Well Experienced</v>
      </c>
      <c r="Q582" s="2">
        <v>10</v>
      </c>
    </row>
    <row r="583" spans="1:17" x14ac:dyDescent="0.3">
      <c r="A583" t="s">
        <v>1266</v>
      </c>
      <c r="B583" t="s">
        <v>1267</v>
      </c>
      <c r="C583" t="s">
        <v>118</v>
      </c>
      <c r="D583" s="2">
        <v>45</v>
      </c>
      <c r="E583" t="s">
        <v>38</v>
      </c>
      <c r="F583" t="s">
        <v>38</v>
      </c>
      <c r="G583" s="2" t="s">
        <v>110</v>
      </c>
      <c r="H583" s="2">
        <v>3</v>
      </c>
      <c r="I583" s="2" t="s">
        <v>336</v>
      </c>
      <c r="J583" s="2">
        <v>1.3</v>
      </c>
      <c r="K583" s="2" t="s">
        <v>94</v>
      </c>
      <c r="L583" s="2">
        <v>0.91</v>
      </c>
      <c r="M583" s="2" t="s">
        <v>88</v>
      </c>
      <c r="N583" s="2" t="s">
        <v>75</v>
      </c>
      <c r="O583" s="2">
        <v>5</v>
      </c>
      <c r="P583" s="2" t="str">
        <f>IF(global_freelancer_raw5[[#This Row],[No of projects ]]&lt;=5,"Entry level","Well Experienced")</f>
        <v>Entry level</v>
      </c>
      <c r="Q583" s="2">
        <v>1</v>
      </c>
    </row>
    <row r="584" spans="1:17" x14ac:dyDescent="0.3">
      <c r="A584" t="s">
        <v>1268</v>
      </c>
      <c r="B584" t="s">
        <v>1269</v>
      </c>
      <c r="C584" t="s">
        <v>118</v>
      </c>
      <c r="D584" s="2">
        <v>47</v>
      </c>
      <c r="E584" t="s">
        <v>160</v>
      </c>
      <c r="F584" t="s">
        <v>161</v>
      </c>
      <c r="G584" s="2" t="s">
        <v>110</v>
      </c>
      <c r="H584" s="2">
        <v>28</v>
      </c>
      <c r="I584" s="2" t="s">
        <v>119</v>
      </c>
      <c r="J584" s="2">
        <v>2.9</v>
      </c>
      <c r="K584" s="2" t="s">
        <v>74</v>
      </c>
      <c r="L584" s="2" t="s">
        <v>2120</v>
      </c>
      <c r="M584" s="2" t="s">
        <v>60</v>
      </c>
      <c r="N584" s="2" t="s">
        <v>25</v>
      </c>
      <c r="O584" s="2">
        <v>18</v>
      </c>
      <c r="P584" s="2" t="str">
        <f>IF(global_freelancer_raw5[[#This Row],[No of projects ]]&lt;=5,"Entry level","Well Experienced")</f>
        <v>Well Experienced</v>
      </c>
      <c r="Q584" s="2">
        <v>13</v>
      </c>
    </row>
    <row r="585" spans="1:17" x14ac:dyDescent="0.3">
      <c r="A585" t="s">
        <v>1270</v>
      </c>
      <c r="B585" t="s">
        <v>1271</v>
      </c>
      <c r="C585" t="s">
        <v>118</v>
      </c>
      <c r="D585" s="2">
        <v>34</v>
      </c>
      <c r="E585" t="s">
        <v>114</v>
      </c>
      <c r="F585" t="s">
        <v>115</v>
      </c>
      <c r="G585" s="2" t="s">
        <v>66</v>
      </c>
      <c r="H585" s="2">
        <v>0</v>
      </c>
      <c r="I585" s="2" t="s">
        <v>86</v>
      </c>
      <c r="J585" s="2">
        <v>3.3</v>
      </c>
      <c r="K585" s="2" t="s">
        <v>23</v>
      </c>
      <c r="L585" s="2">
        <v>0.98</v>
      </c>
      <c r="M585" s="2" t="s">
        <v>82</v>
      </c>
      <c r="N585" s="2" t="s">
        <v>75</v>
      </c>
      <c r="O585" s="2">
        <v>1</v>
      </c>
      <c r="P585" s="2" t="str">
        <f>IF(global_freelancer_raw5[[#This Row],[No of projects ]]&lt;=5,"Entry level","Well Experienced")</f>
        <v>Entry level</v>
      </c>
      <c r="Q585" s="2">
        <v>3</v>
      </c>
    </row>
    <row r="586" spans="1:17" x14ac:dyDescent="0.3">
      <c r="A586" t="s">
        <v>1272</v>
      </c>
      <c r="B586" t="s">
        <v>1273</v>
      </c>
      <c r="C586" t="s">
        <v>118</v>
      </c>
      <c r="D586" s="2">
        <v>47</v>
      </c>
      <c r="E586" t="s">
        <v>73</v>
      </c>
      <c r="F586" t="s">
        <v>30</v>
      </c>
      <c r="G586" s="2" t="s">
        <v>93</v>
      </c>
      <c r="H586" s="2">
        <v>4</v>
      </c>
      <c r="I586" s="2" t="s">
        <v>336</v>
      </c>
      <c r="J586" s="2">
        <v>4.2</v>
      </c>
      <c r="K586" s="2" t="s">
        <v>2120</v>
      </c>
      <c r="L586" s="2">
        <v>0.82</v>
      </c>
      <c r="M586" s="2" t="s">
        <v>24</v>
      </c>
      <c r="N586" s="2" t="s">
        <v>75</v>
      </c>
      <c r="O586" s="2">
        <v>5</v>
      </c>
      <c r="P586" s="2" t="str">
        <f>IF(global_freelancer_raw5[[#This Row],[No of projects ]]&lt;=5,"Entry level","Well Experienced")</f>
        <v>Entry level</v>
      </c>
      <c r="Q586" s="2">
        <v>2</v>
      </c>
    </row>
    <row r="587" spans="1:17" x14ac:dyDescent="0.3">
      <c r="A587" t="s">
        <v>1274</v>
      </c>
      <c r="B587" t="s">
        <v>1275</v>
      </c>
      <c r="C587" t="s">
        <v>118</v>
      </c>
      <c r="D587" s="2">
        <v>32</v>
      </c>
      <c r="E587" t="s">
        <v>201</v>
      </c>
      <c r="F587" t="s">
        <v>92</v>
      </c>
      <c r="G587" s="2" t="s">
        <v>93</v>
      </c>
      <c r="H587" s="2">
        <v>9</v>
      </c>
      <c r="I587" s="2" t="s">
        <v>70</v>
      </c>
      <c r="J587" s="2">
        <v>1.3</v>
      </c>
      <c r="K587" s="2" t="s">
        <v>74</v>
      </c>
      <c r="L587" s="2">
        <v>0.83</v>
      </c>
      <c r="M587" s="2" t="s">
        <v>24</v>
      </c>
      <c r="N587" s="2" t="s">
        <v>42</v>
      </c>
      <c r="O587" s="2">
        <v>10</v>
      </c>
      <c r="P587" s="2" t="str">
        <f>IF(global_freelancer_raw5[[#This Row],[No of projects ]]&lt;=5,"Entry level","Well Experienced")</f>
        <v>Well Experienced</v>
      </c>
      <c r="Q587" s="2">
        <v>4</v>
      </c>
    </row>
    <row r="588" spans="1:17" x14ac:dyDescent="0.3">
      <c r="A588" t="s">
        <v>1276</v>
      </c>
      <c r="B588" t="s">
        <v>1277</v>
      </c>
      <c r="C588" t="s">
        <v>118</v>
      </c>
      <c r="D588" s="2">
        <v>28</v>
      </c>
      <c r="E588" t="s">
        <v>85</v>
      </c>
      <c r="F588" t="s">
        <v>30</v>
      </c>
      <c r="G588" s="2" t="s">
        <v>31</v>
      </c>
      <c r="H588" s="2">
        <v>2</v>
      </c>
      <c r="I588" s="2" t="s">
        <v>251</v>
      </c>
      <c r="J588" s="2">
        <v>4.4000000000000004</v>
      </c>
      <c r="K588" s="2" t="s">
        <v>74</v>
      </c>
      <c r="L588" s="2" t="s">
        <v>2120</v>
      </c>
      <c r="M588" s="2" t="s">
        <v>82</v>
      </c>
      <c r="N588" s="2" t="s">
        <v>25</v>
      </c>
      <c r="O588" s="2">
        <v>5</v>
      </c>
      <c r="P588" s="2" t="str">
        <f>IF(global_freelancer_raw5[[#This Row],[No of projects ]]&lt;=5,"Entry level","Well Experienced")</f>
        <v>Entry level</v>
      </c>
      <c r="Q588" s="2">
        <v>2</v>
      </c>
    </row>
    <row r="589" spans="1:17" x14ac:dyDescent="0.3">
      <c r="A589" t="s">
        <v>1278</v>
      </c>
      <c r="B589" t="s">
        <v>1279</v>
      </c>
      <c r="C589" t="s">
        <v>118</v>
      </c>
      <c r="D589" s="2">
        <v>32</v>
      </c>
      <c r="E589" t="s">
        <v>29</v>
      </c>
      <c r="F589" t="s">
        <v>30</v>
      </c>
      <c r="G589" s="2" t="s">
        <v>110</v>
      </c>
      <c r="H589" s="2">
        <v>1</v>
      </c>
      <c r="I589" s="2" t="s">
        <v>22</v>
      </c>
      <c r="J589" s="2">
        <v>3.4</v>
      </c>
      <c r="K589" s="2" t="s">
        <v>74</v>
      </c>
      <c r="L589" s="2" t="s">
        <v>2120</v>
      </c>
      <c r="M589" s="2" t="s">
        <v>24</v>
      </c>
      <c r="N589" s="2" t="s">
        <v>42</v>
      </c>
      <c r="O589" s="2">
        <v>3</v>
      </c>
      <c r="P589" s="2" t="str">
        <f>IF(global_freelancer_raw5[[#This Row],[No of projects ]]&lt;=5,"Entry level","Well Experienced")</f>
        <v>Entry level</v>
      </c>
      <c r="Q589" s="2">
        <v>1</v>
      </c>
    </row>
    <row r="590" spans="1:17" x14ac:dyDescent="0.3">
      <c r="A590" t="s">
        <v>1280</v>
      </c>
      <c r="B590" t="s">
        <v>1281</v>
      </c>
      <c r="C590" t="s">
        <v>97</v>
      </c>
      <c r="D590" s="2">
        <v>49</v>
      </c>
      <c r="E590" t="s">
        <v>55</v>
      </c>
      <c r="F590" t="s">
        <v>56</v>
      </c>
      <c r="G590" s="2" t="s">
        <v>57</v>
      </c>
      <c r="H590" s="2">
        <v>2</v>
      </c>
      <c r="I590" s="2" t="s">
        <v>251</v>
      </c>
      <c r="J590" s="2">
        <v>3.4</v>
      </c>
      <c r="K590" s="2" t="s">
        <v>33</v>
      </c>
      <c r="L590" s="2">
        <v>0.85</v>
      </c>
      <c r="M590" s="2" t="s">
        <v>24</v>
      </c>
      <c r="N590" s="2" t="s">
        <v>42</v>
      </c>
      <c r="O590" s="2">
        <v>5</v>
      </c>
      <c r="P590" s="2" t="str">
        <f>IF(global_freelancer_raw5[[#This Row],[No of projects ]]&lt;=5,"Entry level","Well Experienced")</f>
        <v>Entry level</v>
      </c>
      <c r="Q590" s="2">
        <v>1</v>
      </c>
    </row>
    <row r="591" spans="1:17" x14ac:dyDescent="0.3">
      <c r="A591" t="s">
        <v>1282</v>
      </c>
      <c r="B591" t="s">
        <v>1283</v>
      </c>
      <c r="C591" t="s">
        <v>97</v>
      </c>
      <c r="D591" s="2">
        <v>36</v>
      </c>
      <c r="E591" t="s">
        <v>91</v>
      </c>
      <c r="F591" t="s">
        <v>92</v>
      </c>
      <c r="G591" s="2" t="s">
        <v>31</v>
      </c>
      <c r="H591" s="2">
        <v>16</v>
      </c>
      <c r="I591" s="2" t="s">
        <v>336</v>
      </c>
      <c r="J591" s="2">
        <v>3.2</v>
      </c>
      <c r="K591" s="2" t="s">
        <v>2120</v>
      </c>
      <c r="L591" s="2" t="s">
        <v>2120</v>
      </c>
      <c r="M591" s="2" t="s">
        <v>60</v>
      </c>
      <c r="N591" s="2" t="s">
        <v>25</v>
      </c>
      <c r="O591" s="2">
        <v>18</v>
      </c>
      <c r="P591" s="2" t="str">
        <f>IF(global_freelancer_raw5[[#This Row],[No of projects ]]&lt;=5,"Entry level","Well Experienced")</f>
        <v>Well Experienced</v>
      </c>
      <c r="Q591" s="2">
        <v>2</v>
      </c>
    </row>
    <row r="592" spans="1:17" x14ac:dyDescent="0.3">
      <c r="A592" t="s">
        <v>1284</v>
      </c>
      <c r="B592" t="s">
        <v>1285</v>
      </c>
      <c r="C592" t="s">
        <v>118</v>
      </c>
      <c r="D592" s="2">
        <v>59</v>
      </c>
      <c r="E592" t="s">
        <v>201</v>
      </c>
      <c r="F592" t="s">
        <v>92</v>
      </c>
      <c r="G592" s="2" t="s">
        <v>21</v>
      </c>
      <c r="H592" s="2">
        <v>22</v>
      </c>
      <c r="I592" s="2" t="s">
        <v>336</v>
      </c>
      <c r="J592" s="2">
        <v>3.6</v>
      </c>
      <c r="K592" s="2" t="s">
        <v>41</v>
      </c>
      <c r="L592" s="2">
        <v>0.63</v>
      </c>
      <c r="M592" s="2" t="s">
        <v>82</v>
      </c>
      <c r="N592" s="2" t="s">
        <v>25</v>
      </c>
      <c r="O592" s="2">
        <v>16</v>
      </c>
      <c r="P592" s="2" t="str">
        <f>IF(global_freelancer_raw5[[#This Row],[No of projects ]]&lt;=5,"Entry level","Well Experienced")</f>
        <v>Well Experienced</v>
      </c>
      <c r="Q592" s="2">
        <v>6</v>
      </c>
    </row>
    <row r="593" spans="1:17" x14ac:dyDescent="0.3">
      <c r="A593" t="s">
        <v>1286</v>
      </c>
      <c r="B593" t="s">
        <v>1287</v>
      </c>
      <c r="C593" t="s">
        <v>97</v>
      </c>
      <c r="D593" s="2">
        <v>52</v>
      </c>
      <c r="E593" t="s">
        <v>149</v>
      </c>
      <c r="F593" t="s">
        <v>30</v>
      </c>
      <c r="G593" s="2" t="s">
        <v>98</v>
      </c>
      <c r="H593" s="2">
        <v>22</v>
      </c>
      <c r="I593" s="2" t="s">
        <v>142</v>
      </c>
      <c r="J593" s="2">
        <v>0</v>
      </c>
      <c r="K593" s="2" t="s">
        <v>23</v>
      </c>
      <c r="L593" s="2" t="s">
        <v>2120</v>
      </c>
      <c r="M593" s="2" t="s">
        <v>88</v>
      </c>
      <c r="N593" s="2" t="s">
        <v>34</v>
      </c>
      <c r="O593" s="2">
        <v>14</v>
      </c>
      <c r="P593" s="2" t="str">
        <f>IF(global_freelancer_raw5[[#This Row],[No of projects ]]&lt;=5,"Entry level","Well Experienced")</f>
        <v>Well Experienced</v>
      </c>
      <c r="Q593" s="2">
        <v>10</v>
      </c>
    </row>
    <row r="594" spans="1:17" x14ac:dyDescent="0.3">
      <c r="A594" t="s">
        <v>1288</v>
      </c>
      <c r="B594" t="s">
        <v>1289</v>
      </c>
      <c r="C594" t="s">
        <v>97</v>
      </c>
      <c r="D594" s="2">
        <v>24</v>
      </c>
      <c r="E594" t="s">
        <v>197</v>
      </c>
      <c r="F594" t="s">
        <v>198</v>
      </c>
      <c r="G594" s="2" t="s">
        <v>21</v>
      </c>
      <c r="H594" s="2">
        <v>5</v>
      </c>
      <c r="I594" s="2" t="s">
        <v>86</v>
      </c>
      <c r="J594" s="2">
        <v>1.8</v>
      </c>
      <c r="K594" s="2" t="s">
        <v>33</v>
      </c>
      <c r="L594" s="2">
        <v>0.86</v>
      </c>
      <c r="M594" s="2" t="s">
        <v>60</v>
      </c>
      <c r="N594" s="2" t="s">
        <v>34</v>
      </c>
      <c r="O594" s="2">
        <v>4</v>
      </c>
      <c r="P594" s="2" t="str">
        <f>IF(global_freelancer_raw5[[#This Row],[No of projects ]]&lt;=5,"Entry level","Well Experienced")</f>
        <v>Entry level</v>
      </c>
      <c r="Q594" s="2">
        <v>2</v>
      </c>
    </row>
    <row r="595" spans="1:17" x14ac:dyDescent="0.3">
      <c r="A595" t="s">
        <v>1290</v>
      </c>
      <c r="B595" t="s">
        <v>1291</v>
      </c>
      <c r="C595" t="s">
        <v>97</v>
      </c>
      <c r="D595" s="2">
        <v>26</v>
      </c>
      <c r="E595" t="s">
        <v>29</v>
      </c>
      <c r="F595" t="s">
        <v>30</v>
      </c>
      <c r="G595" s="2" t="s">
        <v>39</v>
      </c>
      <c r="H595" s="2">
        <v>2</v>
      </c>
      <c r="I595" s="2" t="s">
        <v>67</v>
      </c>
      <c r="J595" s="2">
        <v>2.5</v>
      </c>
      <c r="K595" s="2" t="s">
        <v>87</v>
      </c>
      <c r="L595" s="2">
        <v>60</v>
      </c>
      <c r="M595" s="2" t="s">
        <v>82</v>
      </c>
      <c r="N595" s="2" t="s">
        <v>75</v>
      </c>
      <c r="O595" s="2">
        <v>5</v>
      </c>
      <c r="P595" s="2" t="str">
        <f>IF(global_freelancer_raw5[[#This Row],[No of projects ]]&lt;=5,"Entry level","Well Experienced")</f>
        <v>Entry level</v>
      </c>
      <c r="Q595" s="2">
        <v>1</v>
      </c>
    </row>
    <row r="596" spans="1:17" x14ac:dyDescent="0.3">
      <c r="A596" t="s">
        <v>1292</v>
      </c>
      <c r="B596" t="s">
        <v>1293</v>
      </c>
      <c r="C596" t="s">
        <v>118</v>
      </c>
      <c r="D596" s="2">
        <v>55</v>
      </c>
      <c r="E596" t="s">
        <v>149</v>
      </c>
      <c r="F596" t="s">
        <v>30</v>
      </c>
      <c r="G596" s="2" t="s">
        <v>98</v>
      </c>
      <c r="H596" s="2">
        <v>24</v>
      </c>
      <c r="I596" s="2" t="s">
        <v>86</v>
      </c>
      <c r="J596" s="2">
        <v>2</v>
      </c>
      <c r="K596" s="2" t="s">
        <v>33</v>
      </c>
      <c r="L596" s="2">
        <v>88</v>
      </c>
      <c r="M596" s="2" t="s">
        <v>60</v>
      </c>
      <c r="N596" s="2" t="s">
        <v>25</v>
      </c>
      <c r="O596" s="2">
        <v>15</v>
      </c>
      <c r="P596" s="2" t="str">
        <f>IF(global_freelancer_raw5[[#This Row],[No of projects ]]&lt;=5,"Entry level","Well Experienced")</f>
        <v>Well Experienced</v>
      </c>
      <c r="Q596" s="2">
        <v>3</v>
      </c>
    </row>
    <row r="597" spans="1:17" x14ac:dyDescent="0.3">
      <c r="A597" t="s">
        <v>1294</v>
      </c>
      <c r="B597" t="s">
        <v>1295</v>
      </c>
      <c r="C597" t="s">
        <v>97</v>
      </c>
      <c r="D597" s="2">
        <v>56</v>
      </c>
      <c r="E597" t="s">
        <v>19</v>
      </c>
      <c r="F597" t="s">
        <v>20</v>
      </c>
      <c r="G597" s="2" t="s">
        <v>31</v>
      </c>
      <c r="H597" s="2">
        <v>37</v>
      </c>
      <c r="I597" s="2" t="s">
        <v>86</v>
      </c>
      <c r="J597" s="2">
        <v>0</v>
      </c>
      <c r="K597" s="2" t="s">
        <v>41</v>
      </c>
      <c r="L597" s="2">
        <v>0.7</v>
      </c>
      <c r="M597" s="2" t="s">
        <v>88</v>
      </c>
      <c r="N597" s="2" t="s">
        <v>34</v>
      </c>
      <c r="O597" s="2">
        <v>11</v>
      </c>
      <c r="P597" s="2" t="str">
        <f>IF(global_freelancer_raw5[[#This Row],[No of projects ]]&lt;=5,"Entry level","Well Experienced")</f>
        <v>Well Experienced</v>
      </c>
      <c r="Q597" s="2">
        <v>9</v>
      </c>
    </row>
    <row r="598" spans="1:17" x14ac:dyDescent="0.3">
      <c r="A598" t="s">
        <v>1296</v>
      </c>
      <c r="B598" t="s">
        <v>1297</v>
      </c>
      <c r="C598" t="s">
        <v>118</v>
      </c>
      <c r="D598" s="2">
        <v>36</v>
      </c>
      <c r="E598" t="s">
        <v>156</v>
      </c>
      <c r="F598" t="s">
        <v>157</v>
      </c>
      <c r="G598" s="2" t="s">
        <v>39</v>
      </c>
      <c r="H598" s="2">
        <v>3</v>
      </c>
      <c r="I598" s="2" t="s">
        <v>119</v>
      </c>
      <c r="J598" s="2">
        <v>1.3</v>
      </c>
      <c r="K598" s="2" t="s">
        <v>33</v>
      </c>
      <c r="L598" s="2">
        <v>0.77</v>
      </c>
      <c r="M598" s="2" t="s">
        <v>88</v>
      </c>
      <c r="N598" s="2" t="s">
        <v>75</v>
      </c>
      <c r="O598" s="2">
        <v>2</v>
      </c>
      <c r="P598" s="2" t="str">
        <f>IF(global_freelancer_raw5[[#This Row],[No of projects ]]&lt;=5,"Entry level","Well Experienced")</f>
        <v>Entry level</v>
      </c>
      <c r="Q598" s="2">
        <v>4</v>
      </c>
    </row>
    <row r="599" spans="1:17" x14ac:dyDescent="0.3">
      <c r="A599" t="s">
        <v>1298</v>
      </c>
      <c r="B599" t="s">
        <v>1299</v>
      </c>
      <c r="C599" t="s">
        <v>118</v>
      </c>
      <c r="D599" s="2">
        <v>48</v>
      </c>
      <c r="E599" t="s">
        <v>91</v>
      </c>
      <c r="F599" t="s">
        <v>92</v>
      </c>
      <c r="G599" s="2" t="s">
        <v>46</v>
      </c>
      <c r="H599" s="2">
        <v>18</v>
      </c>
      <c r="I599" s="2" t="s">
        <v>103</v>
      </c>
      <c r="J599" s="2">
        <v>0</v>
      </c>
      <c r="K599" s="2" t="s">
        <v>23</v>
      </c>
      <c r="L599" s="2">
        <v>0.8</v>
      </c>
      <c r="M599" s="2" t="s">
        <v>82</v>
      </c>
      <c r="N599" s="2" t="s">
        <v>75</v>
      </c>
      <c r="O599" s="2">
        <v>20</v>
      </c>
      <c r="P599" s="2" t="str">
        <f>IF(global_freelancer_raw5[[#This Row],[No of projects ]]&lt;=5,"Entry level","Well Experienced")</f>
        <v>Well Experienced</v>
      </c>
      <c r="Q599" s="2">
        <v>5</v>
      </c>
    </row>
    <row r="600" spans="1:17" x14ac:dyDescent="0.3">
      <c r="A600" t="s">
        <v>1300</v>
      </c>
      <c r="B600" t="s">
        <v>1301</v>
      </c>
      <c r="C600" t="s">
        <v>118</v>
      </c>
      <c r="D600" s="2">
        <v>55</v>
      </c>
      <c r="E600" t="s">
        <v>160</v>
      </c>
      <c r="F600" t="s">
        <v>161</v>
      </c>
      <c r="G600" s="2" t="s">
        <v>135</v>
      </c>
      <c r="H600" s="2">
        <v>6</v>
      </c>
      <c r="I600" s="2" t="s">
        <v>47</v>
      </c>
      <c r="J600" s="2">
        <v>3.6</v>
      </c>
      <c r="K600" s="2" t="s">
        <v>94</v>
      </c>
      <c r="L600" s="2" t="s">
        <v>2120</v>
      </c>
      <c r="M600" s="2" t="s">
        <v>88</v>
      </c>
      <c r="N600" s="2" t="s">
        <v>75</v>
      </c>
      <c r="O600" s="2">
        <v>13</v>
      </c>
      <c r="P600" s="2" t="str">
        <f>IF(global_freelancer_raw5[[#This Row],[No of projects ]]&lt;=5,"Entry level","Well Experienced")</f>
        <v>Well Experienced</v>
      </c>
      <c r="Q600" s="2">
        <v>3</v>
      </c>
    </row>
    <row r="601" spans="1:17" x14ac:dyDescent="0.3">
      <c r="A601" t="s">
        <v>1302</v>
      </c>
      <c r="B601" t="s">
        <v>1303</v>
      </c>
      <c r="C601" t="s">
        <v>97</v>
      </c>
      <c r="D601" s="2">
        <v>56</v>
      </c>
      <c r="E601" t="s">
        <v>212</v>
      </c>
      <c r="F601" t="s">
        <v>92</v>
      </c>
      <c r="G601" s="2" t="s">
        <v>110</v>
      </c>
      <c r="H601" s="2">
        <v>17</v>
      </c>
      <c r="I601" s="2" t="s">
        <v>2119</v>
      </c>
      <c r="J601" s="2">
        <v>1.3</v>
      </c>
      <c r="K601" s="2" t="s">
        <v>2120</v>
      </c>
      <c r="L601" s="2">
        <v>0.87</v>
      </c>
      <c r="M601" s="2" t="s">
        <v>60</v>
      </c>
      <c r="N601" s="2" t="s">
        <v>34</v>
      </c>
      <c r="O601" s="2">
        <v>12</v>
      </c>
      <c r="P601" s="2" t="str">
        <f>IF(global_freelancer_raw5[[#This Row],[No of projects ]]&lt;=5,"Entry level","Well Experienced")</f>
        <v>Well Experienced</v>
      </c>
      <c r="Q601" s="2">
        <v>5</v>
      </c>
    </row>
    <row r="602" spans="1:17" x14ac:dyDescent="0.3">
      <c r="A602" t="s">
        <v>1304</v>
      </c>
      <c r="B602" t="s">
        <v>1305</v>
      </c>
      <c r="C602" t="s">
        <v>97</v>
      </c>
      <c r="D602" s="2">
        <v>28</v>
      </c>
      <c r="E602" t="s">
        <v>149</v>
      </c>
      <c r="F602" t="s">
        <v>30</v>
      </c>
      <c r="G602" s="2" t="s">
        <v>21</v>
      </c>
      <c r="H602" s="2">
        <v>1</v>
      </c>
      <c r="I602" s="2" t="s">
        <v>103</v>
      </c>
      <c r="J602" s="2">
        <v>2.7</v>
      </c>
      <c r="K602" s="2" t="s">
        <v>74</v>
      </c>
      <c r="L602" s="2">
        <v>0.93</v>
      </c>
      <c r="M602" s="2" t="s">
        <v>88</v>
      </c>
      <c r="N602" s="2" t="s">
        <v>25</v>
      </c>
      <c r="O602" s="2">
        <v>1</v>
      </c>
      <c r="P602" s="2" t="str">
        <f>IF(global_freelancer_raw5[[#This Row],[No of projects ]]&lt;=5,"Entry level","Well Experienced")</f>
        <v>Entry level</v>
      </c>
      <c r="Q602" s="2">
        <v>2</v>
      </c>
    </row>
    <row r="603" spans="1:17" x14ac:dyDescent="0.3">
      <c r="A603" t="s">
        <v>1306</v>
      </c>
      <c r="B603" t="s">
        <v>1307</v>
      </c>
      <c r="C603" t="s">
        <v>118</v>
      </c>
      <c r="D603" s="2">
        <v>60</v>
      </c>
      <c r="E603" t="s">
        <v>73</v>
      </c>
      <c r="F603" t="s">
        <v>30</v>
      </c>
      <c r="G603" s="2" t="s">
        <v>57</v>
      </c>
      <c r="H603" s="2">
        <v>39</v>
      </c>
      <c r="I603" s="2" t="s">
        <v>32</v>
      </c>
      <c r="J603" s="2">
        <v>1.5</v>
      </c>
      <c r="K603" s="2" t="s">
        <v>2120</v>
      </c>
      <c r="L603" s="2">
        <v>88</v>
      </c>
      <c r="M603" s="2" t="s">
        <v>60</v>
      </c>
      <c r="N603" s="2" t="s">
        <v>42</v>
      </c>
      <c r="O603" s="2">
        <v>19</v>
      </c>
      <c r="P603" s="2" t="str">
        <f>IF(global_freelancer_raw5[[#This Row],[No of projects ]]&lt;=5,"Entry level","Well Experienced")</f>
        <v>Well Experienced</v>
      </c>
      <c r="Q603" s="2">
        <v>4</v>
      </c>
    </row>
    <row r="604" spans="1:17" x14ac:dyDescent="0.3">
      <c r="A604" t="s">
        <v>1308</v>
      </c>
      <c r="B604" t="s">
        <v>1309</v>
      </c>
      <c r="C604" t="s">
        <v>118</v>
      </c>
      <c r="D604" s="2">
        <v>34</v>
      </c>
      <c r="E604" t="s">
        <v>133</v>
      </c>
      <c r="F604" t="s">
        <v>134</v>
      </c>
      <c r="G604" s="2" t="s">
        <v>21</v>
      </c>
      <c r="H604" s="2">
        <v>15</v>
      </c>
      <c r="I604" s="2" t="s">
        <v>162</v>
      </c>
      <c r="J604" s="2">
        <v>0</v>
      </c>
      <c r="K604" s="2" t="s">
        <v>23</v>
      </c>
      <c r="L604" s="2">
        <v>1</v>
      </c>
      <c r="M604" s="2" t="s">
        <v>60</v>
      </c>
      <c r="N604" s="2" t="s">
        <v>75</v>
      </c>
      <c r="O604" s="2">
        <v>13</v>
      </c>
      <c r="P604" s="2" t="str">
        <f>IF(global_freelancer_raw5[[#This Row],[No of projects ]]&lt;=5,"Entry level","Well Experienced")</f>
        <v>Well Experienced</v>
      </c>
      <c r="Q604" s="2">
        <v>3</v>
      </c>
    </row>
    <row r="605" spans="1:17" x14ac:dyDescent="0.3">
      <c r="A605" t="s">
        <v>1310</v>
      </c>
      <c r="B605" t="s">
        <v>1311</v>
      </c>
      <c r="C605" t="s">
        <v>97</v>
      </c>
      <c r="D605" s="2">
        <v>38</v>
      </c>
      <c r="E605" t="s">
        <v>64</v>
      </c>
      <c r="F605" t="s">
        <v>65</v>
      </c>
      <c r="G605" s="2" t="s">
        <v>57</v>
      </c>
      <c r="H605" s="2">
        <v>13</v>
      </c>
      <c r="I605" s="2" t="s">
        <v>47</v>
      </c>
      <c r="J605" s="2">
        <v>0</v>
      </c>
      <c r="K605" s="2" t="s">
        <v>33</v>
      </c>
      <c r="L605" s="2">
        <v>61</v>
      </c>
      <c r="M605" s="2" t="s">
        <v>88</v>
      </c>
      <c r="N605" s="2" t="s">
        <v>34</v>
      </c>
      <c r="O605" s="2">
        <v>13</v>
      </c>
      <c r="P605" s="2" t="str">
        <f>IF(global_freelancer_raw5[[#This Row],[No of projects ]]&lt;=5,"Entry level","Well Experienced")</f>
        <v>Well Experienced</v>
      </c>
      <c r="Q605" s="2">
        <v>2</v>
      </c>
    </row>
    <row r="606" spans="1:17" x14ac:dyDescent="0.3">
      <c r="A606" t="s">
        <v>1312</v>
      </c>
      <c r="B606" t="s">
        <v>1313</v>
      </c>
      <c r="C606" t="s">
        <v>97</v>
      </c>
      <c r="D606" s="2">
        <v>51</v>
      </c>
      <c r="E606" t="s">
        <v>133</v>
      </c>
      <c r="F606" t="s">
        <v>134</v>
      </c>
      <c r="G606" s="2" t="s">
        <v>46</v>
      </c>
      <c r="H606" s="2">
        <v>17</v>
      </c>
      <c r="I606" s="2" t="s">
        <v>22</v>
      </c>
      <c r="J606" s="2">
        <v>3</v>
      </c>
      <c r="K606" s="2" t="s">
        <v>59</v>
      </c>
      <c r="L606" s="2">
        <v>0.79</v>
      </c>
      <c r="M606" s="2" t="s">
        <v>82</v>
      </c>
      <c r="N606" s="2" t="s">
        <v>34</v>
      </c>
      <c r="O606" s="2">
        <v>13</v>
      </c>
      <c r="P606" s="2" t="str">
        <f>IF(global_freelancer_raw5[[#This Row],[No of projects ]]&lt;=5,"Entry level","Well Experienced")</f>
        <v>Well Experienced</v>
      </c>
      <c r="Q606" s="2">
        <v>1</v>
      </c>
    </row>
    <row r="607" spans="1:17" x14ac:dyDescent="0.3">
      <c r="A607" t="s">
        <v>1314</v>
      </c>
      <c r="B607" t="s">
        <v>1315</v>
      </c>
      <c r="C607" t="s">
        <v>97</v>
      </c>
      <c r="D607" s="2">
        <v>21</v>
      </c>
      <c r="E607" t="s">
        <v>106</v>
      </c>
      <c r="F607" t="s">
        <v>107</v>
      </c>
      <c r="G607" s="2" t="s">
        <v>31</v>
      </c>
      <c r="H607" s="2">
        <v>1</v>
      </c>
      <c r="I607" s="2" t="s">
        <v>52</v>
      </c>
      <c r="J607" s="2">
        <v>1.2</v>
      </c>
      <c r="K607" s="2" t="s">
        <v>2120</v>
      </c>
      <c r="L607" s="2">
        <v>0.73</v>
      </c>
      <c r="M607" s="2" t="s">
        <v>24</v>
      </c>
      <c r="N607" s="2" t="s">
        <v>42</v>
      </c>
      <c r="O607" s="2">
        <v>1</v>
      </c>
      <c r="P607" s="2" t="str">
        <f>IF(global_freelancer_raw5[[#This Row],[No of projects ]]&lt;=5,"Entry level","Well Experienced")</f>
        <v>Entry level</v>
      </c>
      <c r="Q607" s="2">
        <v>1</v>
      </c>
    </row>
    <row r="608" spans="1:17" x14ac:dyDescent="0.3">
      <c r="A608" t="s">
        <v>1316</v>
      </c>
      <c r="B608" t="s">
        <v>1317</v>
      </c>
      <c r="C608" t="s">
        <v>118</v>
      </c>
      <c r="D608" s="2">
        <v>35</v>
      </c>
      <c r="E608" t="s">
        <v>19</v>
      </c>
      <c r="F608" t="s">
        <v>20</v>
      </c>
      <c r="G608" s="2" t="s">
        <v>93</v>
      </c>
      <c r="H608" s="2">
        <v>16</v>
      </c>
      <c r="I608" s="2" t="s">
        <v>2119</v>
      </c>
      <c r="J608" s="2">
        <v>1.3</v>
      </c>
      <c r="K608" s="2" t="s">
        <v>33</v>
      </c>
      <c r="L608" s="2">
        <v>0.64</v>
      </c>
      <c r="M608" s="2" t="s">
        <v>88</v>
      </c>
      <c r="N608" s="2" t="s">
        <v>42</v>
      </c>
      <c r="O608" s="2">
        <v>12</v>
      </c>
      <c r="P608" s="2" t="str">
        <f>IF(global_freelancer_raw5[[#This Row],[No of projects ]]&lt;=5,"Entry level","Well Experienced")</f>
        <v>Well Experienced</v>
      </c>
      <c r="Q608" s="2">
        <v>18</v>
      </c>
    </row>
    <row r="609" spans="1:17" x14ac:dyDescent="0.3">
      <c r="A609" t="s">
        <v>1318</v>
      </c>
      <c r="B609" t="s">
        <v>1319</v>
      </c>
      <c r="C609" t="s">
        <v>118</v>
      </c>
      <c r="D609" s="2">
        <v>27</v>
      </c>
      <c r="E609" t="s">
        <v>128</v>
      </c>
      <c r="F609" t="s">
        <v>129</v>
      </c>
      <c r="G609" s="2" t="s">
        <v>46</v>
      </c>
      <c r="H609" s="2">
        <v>9</v>
      </c>
      <c r="I609" s="2" t="s">
        <v>251</v>
      </c>
      <c r="J609" s="2" t="s">
        <v>2120</v>
      </c>
      <c r="K609" s="2" t="s">
        <v>74</v>
      </c>
      <c r="L609" s="2" t="s">
        <v>2120</v>
      </c>
      <c r="M609" s="2" t="s">
        <v>60</v>
      </c>
      <c r="N609" s="2" t="s">
        <v>34</v>
      </c>
      <c r="O609" s="2">
        <v>13</v>
      </c>
      <c r="P609" s="2" t="str">
        <f>IF(global_freelancer_raw5[[#This Row],[No of projects ]]&lt;=5,"Entry level","Well Experienced")</f>
        <v>Well Experienced</v>
      </c>
      <c r="Q609" s="2">
        <v>6</v>
      </c>
    </row>
    <row r="610" spans="1:17" x14ac:dyDescent="0.3">
      <c r="A610" t="s">
        <v>1320</v>
      </c>
      <c r="B610" t="s">
        <v>1321</v>
      </c>
      <c r="C610" t="s">
        <v>97</v>
      </c>
      <c r="D610" s="2">
        <v>42</v>
      </c>
      <c r="E610" t="s">
        <v>79</v>
      </c>
      <c r="F610" t="s">
        <v>80</v>
      </c>
      <c r="G610" s="2" t="s">
        <v>31</v>
      </c>
      <c r="H610" s="2">
        <v>20</v>
      </c>
      <c r="I610" s="2" t="s">
        <v>119</v>
      </c>
      <c r="J610" s="2">
        <v>3.8</v>
      </c>
      <c r="K610" s="2" t="s">
        <v>41</v>
      </c>
      <c r="L610" s="2">
        <v>0.93</v>
      </c>
      <c r="M610" s="2" t="s">
        <v>60</v>
      </c>
      <c r="N610" s="2" t="s">
        <v>25</v>
      </c>
      <c r="O610" s="2">
        <v>10</v>
      </c>
      <c r="P610" s="2" t="str">
        <f>IF(global_freelancer_raw5[[#This Row],[No of projects ]]&lt;=5,"Entry level","Well Experienced")</f>
        <v>Well Experienced</v>
      </c>
      <c r="Q610" s="2">
        <v>14</v>
      </c>
    </row>
    <row r="611" spans="1:17" x14ac:dyDescent="0.3">
      <c r="A611" t="s">
        <v>1322</v>
      </c>
      <c r="B611" t="s">
        <v>1323</v>
      </c>
      <c r="C611" t="s">
        <v>97</v>
      </c>
      <c r="D611" s="2">
        <v>52</v>
      </c>
      <c r="E611" t="s">
        <v>149</v>
      </c>
      <c r="F611" t="s">
        <v>30</v>
      </c>
      <c r="G611" s="2" t="s">
        <v>21</v>
      </c>
      <c r="H611" s="2">
        <v>29</v>
      </c>
      <c r="I611" s="2" t="s">
        <v>52</v>
      </c>
      <c r="J611" s="2">
        <v>3.8</v>
      </c>
      <c r="K611" s="2" t="s">
        <v>23</v>
      </c>
      <c r="L611" s="2">
        <v>0.68</v>
      </c>
      <c r="M611" s="2" t="s">
        <v>88</v>
      </c>
      <c r="N611" s="2" t="s">
        <v>42</v>
      </c>
      <c r="O611" s="2">
        <v>14</v>
      </c>
      <c r="P611" s="2" t="str">
        <f>IF(global_freelancer_raw5[[#This Row],[No of projects ]]&lt;=5,"Entry level","Well Experienced")</f>
        <v>Well Experienced</v>
      </c>
      <c r="Q611" s="2">
        <v>7</v>
      </c>
    </row>
    <row r="612" spans="1:17" x14ac:dyDescent="0.3">
      <c r="A612" t="s">
        <v>1324</v>
      </c>
      <c r="B612" t="s">
        <v>1325</v>
      </c>
      <c r="C612" t="s">
        <v>118</v>
      </c>
      <c r="D612" s="2">
        <v>53</v>
      </c>
      <c r="E612" t="s">
        <v>133</v>
      </c>
      <c r="F612" t="s">
        <v>134</v>
      </c>
      <c r="G612" s="2" t="s">
        <v>46</v>
      </c>
      <c r="H612" s="2">
        <v>21</v>
      </c>
      <c r="I612" s="2" t="s">
        <v>86</v>
      </c>
      <c r="J612" s="2">
        <v>4.7</v>
      </c>
      <c r="K612" s="2" t="s">
        <v>33</v>
      </c>
      <c r="L612" s="2">
        <v>0.62</v>
      </c>
      <c r="M612" s="2" t="s">
        <v>82</v>
      </c>
      <c r="N612" s="2" t="s">
        <v>34</v>
      </c>
      <c r="O612" s="2">
        <v>19</v>
      </c>
      <c r="P612" s="2" t="str">
        <f>IF(global_freelancer_raw5[[#This Row],[No of projects ]]&lt;=5,"Entry level","Well Experienced")</f>
        <v>Well Experienced</v>
      </c>
      <c r="Q612" s="2">
        <v>15</v>
      </c>
    </row>
    <row r="613" spans="1:17" x14ac:dyDescent="0.3">
      <c r="A613" t="s">
        <v>1326</v>
      </c>
      <c r="B613" t="s">
        <v>1327</v>
      </c>
      <c r="C613" t="s">
        <v>97</v>
      </c>
      <c r="D613" s="2">
        <v>54</v>
      </c>
      <c r="E613" t="s">
        <v>19</v>
      </c>
      <c r="F613" t="s">
        <v>20</v>
      </c>
      <c r="G613" s="2" t="s">
        <v>31</v>
      </c>
      <c r="H613" s="2">
        <v>28</v>
      </c>
      <c r="I613" s="2" t="s">
        <v>70</v>
      </c>
      <c r="J613" s="2">
        <v>1.1000000000000001</v>
      </c>
      <c r="K613" s="2" t="s">
        <v>181</v>
      </c>
      <c r="L613" s="2" t="s">
        <v>2120</v>
      </c>
      <c r="M613" s="2" t="s">
        <v>82</v>
      </c>
      <c r="N613" s="2" t="s">
        <v>42</v>
      </c>
      <c r="O613" s="2">
        <v>13</v>
      </c>
      <c r="P613" s="2" t="str">
        <f>IF(global_freelancer_raw5[[#This Row],[No of projects ]]&lt;=5,"Entry level","Well Experienced")</f>
        <v>Well Experienced</v>
      </c>
      <c r="Q613" s="2">
        <v>2</v>
      </c>
    </row>
    <row r="614" spans="1:17" x14ac:dyDescent="0.3">
      <c r="A614" t="s">
        <v>1328</v>
      </c>
      <c r="B614" t="s">
        <v>1329</v>
      </c>
      <c r="C614" t="s">
        <v>118</v>
      </c>
      <c r="D614" s="2">
        <v>51</v>
      </c>
      <c r="E614" t="s">
        <v>106</v>
      </c>
      <c r="F614" t="s">
        <v>107</v>
      </c>
      <c r="G614" s="2" t="s">
        <v>39</v>
      </c>
      <c r="H614" s="2">
        <v>5</v>
      </c>
      <c r="I614" s="2" t="s">
        <v>40</v>
      </c>
      <c r="J614" s="2">
        <v>4.2</v>
      </c>
      <c r="K614" s="2" t="s">
        <v>33</v>
      </c>
      <c r="L614" s="2">
        <v>0.82</v>
      </c>
      <c r="M614" s="2" t="s">
        <v>60</v>
      </c>
      <c r="N614" s="2" t="s">
        <v>25</v>
      </c>
      <c r="O614" s="2">
        <v>4</v>
      </c>
      <c r="P614" s="2" t="str">
        <f>IF(global_freelancer_raw5[[#This Row],[No of projects ]]&lt;=5,"Entry level","Well Experienced")</f>
        <v>Entry level</v>
      </c>
      <c r="Q614" s="2">
        <v>2</v>
      </c>
    </row>
    <row r="615" spans="1:17" x14ac:dyDescent="0.3">
      <c r="A615" t="s">
        <v>1330</v>
      </c>
      <c r="B615" t="s">
        <v>1331</v>
      </c>
      <c r="C615" t="s">
        <v>97</v>
      </c>
      <c r="D615" s="2">
        <v>30</v>
      </c>
      <c r="E615" t="s">
        <v>133</v>
      </c>
      <c r="F615" t="s">
        <v>134</v>
      </c>
      <c r="G615" s="2" t="s">
        <v>46</v>
      </c>
      <c r="H615" s="2">
        <v>0</v>
      </c>
      <c r="I615" s="2" t="s">
        <v>2119</v>
      </c>
      <c r="J615" s="2">
        <v>0</v>
      </c>
      <c r="K615" s="2" t="s">
        <v>23</v>
      </c>
      <c r="L615" s="2" t="s">
        <v>2120</v>
      </c>
      <c r="M615" s="2" t="s">
        <v>60</v>
      </c>
      <c r="N615" s="2" t="s">
        <v>75</v>
      </c>
      <c r="O615" s="2">
        <v>1</v>
      </c>
      <c r="P615" s="2" t="str">
        <f>IF(global_freelancer_raw5[[#This Row],[No of projects ]]&lt;=5,"Entry level","Well Experienced")</f>
        <v>Entry level</v>
      </c>
      <c r="Q615" s="2">
        <v>5</v>
      </c>
    </row>
    <row r="616" spans="1:17" x14ac:dyDescent="0.3">
      <c r="A616" t="s">
        <v>1332</v>
      </c>
      <c r="B616" t="s">
        <v>1333</v>
      </c>
      <c r="C616" t="s">
        <v>97</v>
      </c>
      <c r="D616" s="2">
        <v>45</v>
      </c>
      <c r="E616" t="s">
        <v>55</v>
      </c>
      <c r="F616" t="s">
        <v>56</v>
      </c>
      <c r="G616" s="2" t="s">
        <v>135</v>
      </c>
      <c r="H616" s="2">
        <v>27</v>
      </c>
      <c r="I616" s="2" t="s">
        <v>67</v>
      </c>
      <c r="J616" s="2">
        <v>0</v>
      </c>
      <c r="K616" s="2" t="s">
        <v>2120</v>
      </c>
      <c r="L616" s="2">
        <v>0.85</v>
      </c>
      <c r="M616" s="2" t="s">
        <v>82</v>
      </c>
      <c r="N616" s="2" t="s">
        <v>42</v>
      </c>
      <c r="O616" s="2">
        <v>20</v>
      </c>
      <c r="P616" s="2" t="str">
        <f>IF(global_freelancer_raw5[[#This Row],[No of projects ]]&lt;=5,"Entry level","Well Experienced")</f>
        <v>Well Experienced</v>
      </c>
      <c r="Q616" s="2">
        <v>2</v>
      </c>
    </row>
    <row r="617" spans="1:17" x14ac:dyDescent="0.3">
      <c r="A617" t="s">
        <v>1334</v>
      </c>
      <c r="B617" t="s">
        <v>1335</v>
      </c>
      <c r="C617" t="s">
        <v>118</v>
      </c>
      <c r="D617" s="2">
        <v>57</v>
      </c>
      <c r="E617" t="s">
        <v>64</v>
      </c>
      <c r="F617" t="s">
        <v>65</v>
      </c>
      <c r="G617" s="2" t="s">
        <v>39</v>
      </c>
      <c r="H617" s="2">
        <v>26</v>
      </c>
      <c r="I617" s="2" t="s">
        <v>32</v>
      </c>
      <c r="J617" s="2">
        <v>2.4</v>
      </c>
      <c r="K617" s="2" t="s">
        <v>33</v>
      </c>
      <c r="L617" s="2">
        <v>0.78</v>
      </c>
      <c r="M617" s="2" t="s">
        <v>24</v>
      </c>
      <c r="N617" s="2" t="s">
        <v>25</v>
      </c>
      <c r="O617" s="2">
        <v>13</v>
      </c>
      <c r="P617" s="2" t="str">
        <f>IF(global_freelancer_raw5[[#This Row],[No of projects ]]&lt;=5,"Entry level","Well Experienced")</f>
        <v>Well Experienced</v>
      </c>
      <c r="Q617" s="2">
        <v>11</v>
      </c>
    </row>
    <row r="618" spans="1:17" x14ac:dyDescent="0.3">
      <c r="A618" t="s">
        <v>1336</v>
      </c>
      <c r="B618" t="s">
        <v>1337</v>
      </c>
      <c r="C618" t="s">
        <v>118</v>
      </c>
      <c r="D618" s="2">
        <v>38</v>
      </c>
      <c r="E618" t="s">
        <v>79</v>
      </c>
      <c r="F618" t="s">
        <v>80</v>
      </c>
      <c r="G618" s="2" t="s">
        <v>21</v>
      </c>
      <c r="H618" s="2">
        <v>19</v>
      </c>
      <c r="I618" s="2" t="s">
        <v>86</v>
      </c>
      <c r="J618" s="2">
        <v>0</v>
      </c>
      <c r="K618" s="2" t="s">
        <v>33</v>
      </c>
      <c r="L618" s="2">
        <v>0.86</v>
      </c>
      <c r="M618" s="2" t="s">
        <v>88</v>
      </c>
      <c r="N618" s="2" t="s">
        <v>34</v>
      </c>
      <c r="O618" s="2">
        <v>17</v>
      </c>
      <c r="P618" s="2" t="str">
        <f>IF(global_freelancer_raw5[[#This Row],[No of projects ]]&lt;=5,"Entry level","Well Experienced")</f>
        <v>Well Experienced</v>
      </c>
      <c r="Q618" s="2">
        <v>5</v>
      </c>
    </row>
    <row r="619" spans="1:17" x14ac:dyDescent="0.3">
      <c r="A619" t="s">
        <v>1338</v>
      </c>
      <c r="B619" t="s">
        <v>1339</v>
      </c>
      <c r="C619" t="s">
        <v>97</v>
      </c>
      <c r="D619" s="2">
        <v>42</v>
      </c>
      <c r="E619" t="s">
        <v>145</v>
      </c>
      <c r="F619" t="s">
        <v>146</v>
      </c>
      <c r="G619" s="2" t="s">
        <v>110</v>
      </c>
      <c r="H619" s="2">
        <v>24</v>
      </c>
      <c r="I619" s="2" t="s">
        <v>70</v>
      </c>
      <c r="J619" s="2" t="s">
        <v>2120</v>
      </c>
      <c r="K619" s="2" t="s">
        <v>59</v>
      </c>
      <c r="L619" s="2">
        <v>0.88</v>
      </c>
      <c r="M619" s="2" t="s">
        <v>60</v>
      </c>
      <c r="N619" s="2" t="s">
        <v>42</v>
      </c>
      <c r="O619" s="2">
        <v>12</v>
      </c>
      <c r="P619" s="2" t="str">
        <f>IF(global_freelancer_raw5[[#This Row],[No of projects ]]&lt;=5,"Entry level","Well Experienced")</f>
        <v>Well Experienced</v>
      </c>
      <c r="Q619" s="2">
        <v>3</v>
      </c>
    </row>
    <row r="620" spans="1:17" x14ac:dyDescent="0.3">
      <c r="A620" t="s">
        <v>1340</v>
      </c>
      <c r="B620" t="s">
        <v>1341</v>
      </c>
      <c r="C620" t="s">
        <v>97</v>
      </c>
      <c r="D620" s="2">
        <v>30</v>
      </c>
      <c r="E620" t="s">
        <v>175</v>
      </c>
      <c r="F620" t="s">
        <v>176</v>
      </c>
      <c r="G620" s="2" t="s">
        <v>110</v>
      </c>
      <c r="H620" s="2">
        <v>7</v>
      </c>
      <c r="I620" s="2" t="s">
        <v>52</v>
      </c>
      <c r="J620" s="2">
        <v>3.3</v>
      </c>
      <c r="K620" s="2" t="s">
        <v>2120</v>
      </c>
      <c r="L620" s="2">
        <v>0.68</v>
      </c>
      <c r="M620" s="2" t="s">
        <v>60</v>
      </c>
      <c r="N620" s="2" t="s">
        <v>42</v>
      </c>
      <c r="O620" s="2">
        <v>8</v>
      </c>
      <c r="P620" s="2" t="str">
        <f>IF(global_freelancer_raw5[[#This Row],[No of projects ]]&lt;=5,"Entry level","Well Experienced")</f>
        <v>Well Experienced</v>
      </c>
      <c r="Q620" s="2">
        <v>14</v>
      </c>
    </row>
    <row r="621" spans="1:17" x14ac:dyDescent="0.3">
      <c r="A621" t="s">
        <v>1342</v>
      </c>
      <c r="B621" t="s">
        <v>1343</v>
      </c>
      <c r="C621" t="s">
        <v>97</v>
      </c>
      <c r="D621" s="2">
        <v>43</v>
      </c>
      <c r="E621" t="s">
        <v>29</v>
      </c>
      <c r="F621" t="s">
        <v>30</v>
      </c>
      <c r="G621" s="2" t="s">
        <v>46</v>
      </c>
      <c r="H621" s="2">
        <v>13</v>
      </c>
      <c r="I621" s="2" t="s">
        <v>251</v>
      </c>
      <c r="J621" s="2">
        <v>1.4</v>
      </c>
      <c r="K621" s="2" t="s">
        <v>33</v>
      </c>
      <c r="L621" s="2">
        <v>0.97</v>
      </c>
      <c r="M621" s="2" t="s">
        <v>82</v>
      </c>
      <c r="N621" s="2" t="s">
        <v>34</v>
      </c>
      <c r="O621" s="2">
        <v>7</v>
      </c>
      <c r="P621" s="2" t="str">
        <f>IF(global_freelancer_raw5[[#This Row],[No of projects ]]&lt;=5,"Entry level","Well Experienced")</f>
        <v>Well Experienced</v>
      </c>
      <c r="Q621" s="2">
        <v>4</v>
      </c>
    </row>
    <row r="622" spans="1:17" x14ac:dyDescent="0.3">
      <c r="A622" t="s">
        <v>1344</v>
      </c>
      <c r="B622" t="s">
        <v>1345</v>
      </c>
      <c r="C622" t="s">
        <v>118</v>
      </c>
      <c r="D622" s="2">
        <v>22</v>
      </c>
      <c r="E622" t="s">
        <v>160</v>
      </c>
      <c r="F622" t="s">
        <v>161</v>
      </c>
      <c r="G622" s="2" t="s">
        <v>93</v>
      </c>
      <c r="H622" s="2">
        <v>2</v>
      </c>
      <c r="I622" s="2" t="s">
        <v>192</v>
      </c>
      <c r="J622" s="2">
        <v>1.7</v>
      </c>
      <c r="K622" s="2" t="s">
        <v>181</v>
      </c>
      <c r="L622" s="2">
        <v>0.91</v>
      </c>
      <c r="M622" s="2" t="s">
        <v>88</v>
      </c>
      <c r="N622" s="2" t="s">
        <v>75</v>
      </c>
      <c r="O622" s="2">
        <v>5</v>
      </c>
      <c r="P622" s="2" t="str">
        <f>IF(global_freelancer_raw5[[#This Row],[No of projects ]]&lt;=5,"Entry level","Well Experienced")</f>
        <v>Entry level</v>
      </c>
      <c r="Q622" s="2">
        <v>1</v>
      </c>
    </row>
    <row r="623" spans="1:17" x14ac:dyDescent="0.3">
      <c r="A623" t="s">
        <v>1346</v>
      </c>
      <c r="B623" t="s">
        <v>1347</v>
      </c>
      <c r="C623" t="s">
        <v>118</v>
      </c>
      <c r="D623" s="2">
        <v>57</v>
      </c>
      <c r="E623" t="s">
        <v>201</v>
      </c>
      <c r="F623" t="s">
        <v>92</v>
      </c>
      <c r="G623" s="2" t="s">
        <v>135</v>
      </c>
      <c r="H623" s="2">
        <v>37</v>
      </c>
      <c r="I623" s="2" t="s">
        <v>52</v>
      </c>
      <c r="J623" s="2">
        <v>4.8</v>
      </c>
      <c r="K623" s="2" t="s">
        <v>59</v>
      </c>
      <c r="L623" s="2" t="s">
        <v>2120</v>
      </c>
      <c r="M623" s="2" t="s">
        <v>82</v>
      </c>
      <c r="N623" s="2" t="s">
        <v>34</v>
      </c>
      <c r="O623" s="2">
        <v>10</v>
      </c>
      <c r="P623" s="2" t="str">
        <f>IF(global_freelancer_raw5[[#This Row],[No of projects ]]&lt;=5,"Entry level","Well Experienced")</f>
        <v>Well Experienced</v>
      </c>
      <c r="Q623" s="2">
        <v>7</v>
      </c>
    </row>
    <row r="624" spans="1:17" x14ac:dyDescent="0.3">
      <c r="A624" t="s">
        <v>1348</v>
      </c>
      <c r="B624" t="s">
        <v>1349</v>
      </c>
      <c r="C624" t="s">
        <v>118</v>
      </c>
      <c r="D624" s="2">
        <v>44</v>
      </c>
      <c r="E624" t="s">
        <v>85</v>
      </c>
      <c r="F624" t="s">
        <v>30</v>
      </c>
      <c r="G624" s="2" t="s">
        <v>39</v>
      </c>
      <c r="H624" s="2">
        <v>1</v>
      </c>
      <c r="I624" s="2" t="s">
        <v>2119</v>
      </c>
      <c r="J624" s="2">
        <v>4.8</v>
      </c>
      <c r="K624" s="2" t="s">
        <v>41</v>
      </c>
      <c r="L624" s="2">
        <v>0.97</v>
      </c>
      <c r="M624" s="2" t="s">
        <v>88</v>
      </c>
      <c r="N624" s="2" t="s">
        <v>42</v>
      </c>
      <c r="O624" s="2">
        <v>1</v>
      </c>
      <c r="P624" s="2" t="str">
        <f>IF(global_freelancer_raw5[[#This Row],[No of projects ]]&lt;=5,"Entry level","Well Experienced")</f>
        <v>Entry level</v>
      </c>
      <c r="Q624" s="2">
        <v>1</v>
      </c>
    </row>
    <row r="625" spans="1:17" x14ac:dyDescent="0.3">
      <c r="A625" t="s">
        <v>1350</v>
      </c>
      <c r="B625" t="s">
        <v>1351</v>
      </c>
      <c r="C625" t="s">
        <v>97</v>
      </c>
      <c r="D625" s="2">
        <v>46</v>
      </c>
      <c r="E625" t="s">
        <v>197</v>
      </c>
      <c r="F625" t="s">
        <v>198</v>
      </c>
      <c r="G625" s="2" t="s">
        <v>110</v>
      </c>
      <c r="H625" s="2">
        <v>5</v>
      </c>
      <c r="I625" s="2" t="s">
        <v>130</v>
      </c>
      <c r="J625" s="2">
        <v>2</v>
      </c>
      <c r="K625" s="2" t="s">
        <v>87</v>
      </c>
      <c r="L625" s="2">
        <v>0.64</v>
      </c>
      <c r="M625" s="2" t="s">
        <v>88</v>
      </c>
      <c r="N625" s="2" t="s">
        <v>34</v>
      </c>
      <c r="O625" s="2">
        <v>3</v>
      </c>
      <c r="P625" s="2" t="str">
        <f>IF(global_freelancer_raw5[[#This Row],[No of projects ]]&lt;=5,"Entry level","Well Experienced")</f>
        <v>Entry level</v>
      </c>
      <c r="Q625" s="2">
        <v>1</v>
      </c>
    </row>
    <row r="626" spans="1:17" x14ac:dyDescent="0.3">
      <c r="A626" t="s">
        <v>1352</v>
      </c>
      <c r="B626" t="s">
        <v>1353</v>
      </c>
      <c r="C626" t="s">
        <v>118</v>
      </c>
      <c r="D626" s="2" t="s">
        <v>2119</v>
      </c>
      <c r="E626" t="s">
        <v>212</v>
      </c>
      <c r="F626" t="s">
        <v>92</v>
      </c>
      <c r="G626" s="2" t="s">
        <v>21</v>
      </c>
      <c r="H626" s="2">
        <v>1</v>
      </c>
      <c r="I626" s="2" t="s">
        <v>119</v>
      </c>
      <c r="J626" s="2">
        <v>2.8</v>
      </c>
      <c r="K626" s="2" t="s">
        <v>181</v>
      </c>
      <c r="L626" s="2">
        <v>0.87</v>
      </c>
      <c r="M626" s="2" t="s">
        <v>88</v>
      </c>
      <c r="N626" s="2" t="s">
        <v>25</v>
      </c>
      <c r="O626" s="2">
        <v>3</v>
      </c>
      <c r="P626" s="2" t="str">
        <f>IF(global_freelancer_raw5[[#This Row],[No of projects ]]&lt;=5,"Entry level","Well Experienced")</f>
        <v>Entry level</v>
      </c>
      <c r="Q626" s="2">
        <v>1</v>
      </c>
    </row>
    <row r="627" spans="1:17" x14ac:dyDescent="0.3">
      <c r="A627" t="s">
        <v>1354</v>
      </c>
      <c r="B627" t="s">
        <v>1355</v>
      </c>
      <c r="C627" t="s">
        <v>97</v>
      </c>
      <c r="D627" s="2">
        <v>34</v>
      </c>
      <c r="E627" t="s">
        <v>29</v>
      </c>
      <c r="F627" t="s">
        <v>30</v>
      </c>
      <c r="G627" s="2" t="s">
        <v>66</v>
      </c>
      <c r="H627" s="2">
        <v>2</v>
      </c>
      <c r="I627" s="2" t="s">
        <v>22</v>
      </c>
      <c r="J627" s="2">
        <v>0</v>
      </c>
      <c r="K627" s="2" t="s">
        <v>23</v>
      </c>
      <c r="L627" s="2">
        <v>86</v>
      </c>
      <c r="M627" s="2" t="s">
        <v>60</v>
      </c>
      <c r="N627" s="2" t="s">
        <v>34</v>
      </c>
      <c r="O627" s="2">
        <v>5</v>
      </c>
      <c r="P627" s="2" t="str">
        <f>IF(global_freelancer_raw5[[#This Row],[No of projects ]]&lt;=5,"Entry level","Well Experienced")</f>
        <v>Entry level</v>
      </c>
      <c r="Q627" s="2">
        <v>1</v>
      </c>
    </row>
    <row r="628" spans="1:17" x14ac:dyDescent="0.3">
      <c r="A628" t="s">
        <v>1356</v>
      </c>
      <c r="B628" t="s">
        <v>1357</v>
      </c>
      <c r="C628" t="s">
        <v>97</v>
      </c>
      <c r="D628" s="2">
        <v>46</v>
      </c>
      <c r="E628" t="s">
        <v>19</v>
      </c>
      <c r="F628" t="s">
        <v>20</v>
      </c>
      <c r="G628" s="2" t="s">
        <v>31</v>
      </c>
      <c r="H628" s="2" t="s">
        <v>2120</v>
      </c>
      <c r="I628" s="2" t="s">
        <v>251</v>
      </c>
      <c r="J628" s="2">
        <v>4.4000000000000004</v>
      </c>
      <c r="K628" s="2" t="s">
        <v>33</v>
      </c>
      <c r="L628" s="2">
        <v>97</v>
      </c>
      <c r="M628" s="2" t="s">
        <v>24</v>
      </c>
      <c r="N628" s="2" t="s">
        <v>42</v>
      </c>
      <c r="O628" s="2">
        <v>2</v>
      </c>
      <c r="P628" s="2" t="str">
        <f>IF(global_freelancer_raw5[[#This Row],[No of projects ]]&lt;=5,"Entry level","Well Experienced")</f>
        <v>Entry level</v>
      </c>
      <c r="Q628" s="2">
        <v>3</v>
      </c>
    </row>
    <row r="629" spans="1:17" x14ac:dyDescent="0.3">
      <c r="A629" t="s">
        <v>1358</v>
      </c>
      <c r="B629" t="s">
        <v>1359</v>
      </c>
      <c r="C629" t="s">
        <v>97</v>
      </c>
      <c r="D629" s="2">
        <v>22</v>
      </c>
      <c r="E629" t="s">
        <v>156</v>
      </c>
      <c r="F629" t="s">
        <v>157</v>
      </c>
      <c r="G629" s="2" t="s">
        <v>21</v>
      </c>
      <c r="H629" s="2">
        <v>0</v>
      </c>
      <c r="I629" s="2" t="s">
        <v>130</v>
      </c>
      <c r="J629" s="2">
        <v>4.9000000000000004</v>
      </c>
      <c r="K629" s="2" t="s">
        <v>59</v>
      </c>
      <c r="L629" s="2">
        <v>0.73</v>
      </c>
      <c r="M629" s="2" t="s">
        <v>82</v>
      </c>
      <c r="N629" s="2" t="s">
        <v>34</v>
      </c>
      <c r="O629" s="2">
        <v>3</v>
      </c>
      <c r="P629" s="2" t="str">
        <f>IF(global_freelancer_raw5[[#This Row],[No of projects ]]&lt;=5,"Entry level","Well Experienced")</f>
        <v>Entry level</v>
      </c>
      <c r="Q629" s="2">
        <v>2</v>
      </c>
    </row>
    <row r="630" spans="1:17" x14ac:dyDescent="0.3">
      <c r="A630" t="s">
        <v>1360</v>
      </c>
      <c r="B630" t="s">
        <v>1361</v>
      </c>
      <c r="C630" t="s">
        <v>97</v>
      </c>
      <c r="D630" s="2">
        <v>23</v>
      </c>
      <c r="E630" t="s">
        <v>175</v>
      </c>
      <c r="F630" t="s">
        <v>176</v>
      </c>
      <c r="G630" s="2" t="s">
        <v>57</v>
      </c>
      <c r="H630" s="2">
        <v>0</v>
      </c>
      <c r="I630" s="2" t="s">
        <v>67</v>
      </c>
      <c r="J630" s="2">
        <v>2.2999999999999998</v>
      </c>
      <c r="K630" s="2" t="s">
        <v>2120</v>
      </c>
      <c r="L630" s="2">
        <v>0.6</v>
      </c>
      <c r="M630" s="2" t="s">
        <v>24</v>
      </c>
      <c r="N630" s="2" t="s">
        <v>75</v>
      </c>
      <c r="O630" s="2">
        <v>4</v>
      </c>
      <c r="P630" s="2" t="str">
        <f>IF(global_freelancer_raw5[[#This Row],[No of projects ]]&lt;=5,"Entry level","Well Experienced")</f>
        <v>Entry level</v>
      </c>
      <c r="Q630" s="2">
        <v>1</v>
      </c>
    </row>
    <row r="631" spans="1:17" x14ac:dyDescent="0.3">
      <c r="A631" t="s">
        <v>1362</v>
      </c>
      <c r="B631" t="s">
        <v>1363</v>
      </c>
      <c r="C631" t="s">
        <v>97</v>
      </c>
      <c r="D631" s="2">
        <v>60</v>
      </c>
      <c r="E631" t="s">
        <v>79</v>
      </c>
      <c r="F631" t="s">
        <v>80</v>
      </c>
      <c r="G631" s="2" t="s">
        <v>46</v>
      </c>
      <c r="H631" s="2">
        <v>41</v>
      </c>
      <c r="I631" s="2" t="s">
        <v>47</v>
      </c>
      <c r="J631" s="2">
        <v>4.9000000000000004</v>
      </c>
      <c r="K631" s="2" t="s">
        <v>33</v>
      </c>
      <c r="L631" s="2">
        <v>66</v>
      </c>
      <c r="M631" s="2" t="s">
        <v>82</v>
      </c>
      <c r="N631" s="2" t="s">
        <v>34</v>
      </c>
      <c r="O631" s="2">
        <v>20</v>
      </c>
      <c r="P631" s="2" t="str">
        <f>IF(global_freelancer_raw5[[#This Row],[No of projects ]]&lt;=5,"Entry level","Well Experienced")</f>
        <v>Well Experienced</v>
      </c>
      <c r="Q631" s="2">
        <v>19</v>
      </c>
    </row>
    <row r="632" spans="1:17" x14ac:dyDescent="0.3">
      <c r="A632" t="s">
        <v>1364</v>
      </c>
      <c r="B632" t="s">
        <v>1365</v>
      </c>
      <c r="C632" t="s">
        <v>118</v>
      </c>
      <c r="D632" s="2">
        <v>20</v>
      </c>
      <c r="E632" t="s">
        <v>149</v>
      </c>
      <c r="F632" t="s">
        <v>30</v>
      </c>
      <c r="G632" s="2" t="s">
        <v>110</v>
      </c>
      <c r="H632" s="2" t="s">
        <v>2120</v>
      </c>
      <c r="I632" s="2" t="s">
        <v>192</v>
      </c>
      <c r="J632" s="2">
        <v>4.3</v>
      </c>
      <c r="K632" s="2" t="s">
        <v>23</v>
      </c>
      <c r="L632" s="2">
        <v>0.9</v>
      </c>
      <c r="M632" s="2" t="s">
        <v>88</v>
      </c>
      <c r="N632" s="2" t="s">
        <v>75</v>
      </c>
      <c r="O632" s="2">
        <v>1</v>
      </c>
      <c r="P632" s="2" t="str">
        <f>IF(global_freelancer_raw5[[#This Row],[No of projects ]]&lt;=5,"Entry level","Well Experienced")</f>
        <v>Entry level</v>
      </c>
      <c r="Q632" s="2">
        <v>2</v>
      </c>
    </row>
    <row r="633" spans="1:17" x14ac:dyDescent="0.3">
      <c r="A633" t="s">
        <v>1366</v>
      </c>
      <c r="B633" t="s">
        <v>1367</v>
      </c>
      <c r="C633" t="s">
        <v>97</v>
      </c>
      <c r="D633" s="2">
        <v>41</v>
      </c>
      <c r="E633" t="s">
        <v>133</v>
      </c>
      <c r="F633" t="s">
        <v>134</v>
      </c>
      <c r="G633" s="2" t="s">
        <v>93</v>
      </c>
      <c r="H633" s="2">
        <v>23</v>
      </c>
      <c r="I633" s="2" t="s">
        <v>192</v>
      </c>
      <c r="J633" s="2">
        <v>1.4</v>
      </c>
      <c r="K633" s="2" t="s">
        <v>23</v>
      </c>
      <c r="L633" s="2" t="s">
        <v>2120</v>
      </c>
      <c r="M633" s="2" t="s">
        <v>60</v>
      </c>
      <c r="N633" s="2" t="s">
        <v>25</v>
      </c>
      <c r="O633" s="2">
        <v>11</v>
      </c>
      <c r="P633" s="2" t="str">
        <f>IF(global_freelancer_raw5[[#This Row],[No of projects ]]&lt;=5,"Entry level","Well Experienced")</f>
        <v>Well Experienced</v>
      </c>
      <c r="Q633" s="2">
        <v>4</v>
      </c>
    </row>
    <row r="634" spans="1:17" x14ac:dyDescent="0.3">
      <c r="A634" t="s">
        <v>1368</v>
      </c>
      <c r="B634" t="s">
        <v>1369</v>
      </c>
      <c r="C634" t="s">
        <v>118</v>
      </c>
      <c r="D634" s="2">
        <v>24</v>
      </c>
      <c r="E634" t="s">
        <v>156</v>
      </c>
      <c r="F634" t="s">
        <v>157</v>
      </c>
      <c r="G634" s="2" t="s">
        <v>31</v>
      </c>
      <c r="H634" s="2">
        <v>0</v>
      </c>
      <c r="I634" s="2" t="s">
        <v>22</v>
      </c>
      <c r="J634" s="2" t="s">
        <v>2120</v>
      </c>
      <c r="K634" s="2" t="s">
        <v>181</v>
      </c>
      <c r="L634" s="2" t="s">
        <v>2120</v>
      </c>
      <c r="M634" s="2" t="s">
        <v>24</v>
      </c>
      <c r="N634" s="2" t="s">
        <v>75</v>
      </c>
      <c r="O634" s="2">
        <v>5</v>
      </c>
      <c r="P634" s="2" t="str">
        <f>IF(global_freelancer_raw5[[#This Row],[No of projects ]]&lt;=5,"Entry level","Well Experienced")</f>
        <v>Entry level</v>
      </c>
      <c r="Q634" s="2">
        <v>1</v>
      </c>
    </row>
    <row r="635" spans="1:17" x14ac:dyDescent="0.3">
      <c r="A635" t="s">
        <v>1370</v>
      </c>
      <c r="B635" t="s">
        <v>1371</v>
      </c>
      <c r="C635" t="s">
        <v>118</v>
      </c>
      <c r="D635" s="2">
        <v>44</v>
      </c>
      <c r="E635" t="s">
        <v>55</v>
      </c>
      <c r="F635" t="s">
        <v>56</v>
      </c>
      <c r="G635" s="2" t="s">
        <v>135</v>
      </c>
      <c r="H635" s="2">
        <v>4</v>
      </c>
      <c r="I635" s="2" t="s">
        <v>2119</v>
      </c>
      <c r="J635" s="2">
        <v>1.3</v>
      </c>
      <c r="K635" s="2" t="s">
        <v>87</v>
      </c>
      <c r="L635" s="2">
        <v>77</v>
      </c>
      <c r="M635" s="2" t="s">
        <v>60</v>
      </c>
      <c r="N635" s="2" t="s">
        <v>34</v>
      </c>
      <c r="O635" s="2">
        <v>3</v>
      </c>
      <c r="P635" s="2" t="str">
        <f>IF(global_freelancer_raw5[[#This Row],[No of projects ]]&lt;=5,"Entry level","Well Experienced")</f>
        <v>Entry level</v>
      </c>
      <c r="Q635" s="2">
        <v>3</v>
      </c>
    </row>
    <row r="636" spans="1:17" x14ac:dyDescent="0.3">
      <c r="A636" t="s">
        <v>1372</v>
      </c>
      <c r="B636" t="s">
        <v>1373</v>
      </c>
      <c r="C636" t="s">
        <v>118</v>
      </c>
      <c r="D636" s="2">
        <v>52</v>
      </c>
      <c r="E636" t="s">
        <v>197</v>
      </c>
      <c r="F636" t="s">
        <v>198</v>
      </c>
      <c r="G636" s="2" t="s">
        <v>93</v>
      </c>
      <c r="H636" s="2">
        <v>4</v>
      </c>
      <c r="I636" s="2" t="s">
        <v>103</v>
      </c>
      <c r="J636" s="2">
        <v>2.2999999999999998</v>
      </c>
      <c r="K636" s="2" t="s">
        <v>33</v>
      </c>
      <c r="L636" s="2">
        <v>0.79</v>
      </c>
      <c r="M636" s="2" t="s">
        <v>82</v>
      </c>
      <c r="N636" s="2" t="s">
        <v>42</v>
      </c>
      <c r="O636" s="2">
        <v>1</v>
      </c>
      <c r="P636" s="2" t="str">
        <f>IF(global_freelancer_raw5[[#This Row],[No of projects ]]&lt;=5,"Entry level","Well Experienced")</f>
        <v>Entry level</v>
      </c>
      <c r="Q636" s="2">
        <v>2</v>
      </c>
    </row>
    <row r="637" spans="1:17" x14ac:dyDescent="0.3">
      <c r="A637" t="s">
        <v>1374</v>
      </c>
      <c r="B637" t="s">
        <v>1375</v>
      </c>
      <c r="C637" t="s">
        <v>118</v>
      </c>
      <c r="D637" s="2">
        <v>35</v>
      </c>
      <c r="E637" t="s">
        <v>212</v>
      </c>
      <c r="F637" t="s">
        <v>92</v>
      </c>
      <c r="G637" s="2" t="s">
        <v>135</v>
      </c>
      <c r="H637" s="2">
        <v>13</v>
      </c>
      <c r="I637" s="2" t="s">
        <v>86</v>
      </c>
      <c r="J637" s="2">
        <v>3.6</v>
      </c>
      <c r="K637" s="2" t="s">
        <v>23</v>
      </c>
      <c r="L637" s="2">
        <v>0.83</v>
      </c>
      <c r="M637" s="2" t="s">
        <v>60</v>
      </c>
      <c r="N637" s="2" t="s">
        <v>75</v>
      </c>
      <c r="O637" s="2">
        <v>14</v>
      </c>
      <c r="P637" s="2" t="str">
        <f>IF(global_freelancer_raw5[[#This Row],[No of projects ]]&lt;=5,"Entry level","Well Experienced")</f>
        <v>Well Experienced</v>
      </c>
      <c r="Q637" s="2">
        <v>4</v>
      </c>
    </row>
    <row r="638" spans="1:17" x14ac:dyDescent="0.3">
      <c r="A638" t="s">
        <v>1376</v>
      </c>
      <c r="B638" t="s">
        <v>1377</v>
      </c>
      <c r="C638" t="s">
        <v>97</v>
      </c>
      <c r="D638" s="2">
        <v>24</v>
      </c>
      <c r="E638" t="s">
        <v>55</v>
      </c>
      <c r="F638" t="s">
        <v>56</v>
      </c>
      <c r="G638" s="2" t="s">
        <v>110</v>
      </c>
      <c r="H638" s="2">
        <v>2</v>
      </c>
      <c r="I638" s="2" t="s">
        <v>81</v>
      </c>
      <c r="J638" s="2" t="s">
        <v>2120</v>
      </c>
      <c r="K638" s="2" t="s">
        <v>41</v>
      </c>
      <c r="L638" s="2">
        <v>0.64</v>
      </c>
      <c r="M638" s="2" t="s">
        <v>60</v>
      </c>
      <c r="N638" s="2" t="s">
        <v>25</v>
      </c>
      <c r="O638" s="2">
        <v>4</v>
      </c>
      <c r="P638" s="2" t="str">
        <f>IF(global_freelancer_raw5[[#This Row],[No of projects ]]&lt;=5,"Entry level","Well Experienced")</f>
        <v>Entry level</v>
      </c>
      <c r="Q638" s="2">
        <v>2</v>
      </c>
    </row>
    <row r="639" spans="1:17" x14ac:dyDescent="0.3">
      <c r="A639" t="s">
        <v>1378</v>
      </c>
      <c r="B639" t="s">
        <v>1379</v>
      </c>
      <c r="C639" t="s">
        <v>97</v>
      </c>
      <c r="D639" s="2">
        <v>46</v>
      </c>
      <c r="E639" t="s">
        <v>29</v>
      </c>
      <c r="F639" t="s">
        <v>30</v>
      </c>
      <c r="G639" s="2" t="s">
        <v>98</v>
      </c>
      <c r="H639" s="2">
        <v>25</v>
      </c>
      <c r="I639" s="2" t="s">
        <v>251</v>
      </c>
      <c r="J639" s="2">
        <v>1.3</v>
      </c>
      <c r="K639" s="2" t="s">
        <v>181</v>
      </c>
      <c r="L639" s="2">
        <v>0.8</v>
      </c>
      <c r="M639" s="2" t="s">
        <v>24</v>
      </c>
      <c r="N639" s="2" t="s">
        <v>75</v>
      </c>
      <c r="O639" s="2">
        <v>18</v>
      </c>
      <c r="P639" s="2" t="str">
        <f>IF(global_freelancer_raw5[[#This Row],[No of projects ]]&lt;=5,"Entry level","Well Experienced")</f>
        <v>Well Experienced</v>
      </c>
      <c r="Q639" s="2">
        <v>5</v>
      </c>
    </row>
    <row r="640" spans="1:17" x14ac:dyDescent="0.3">
      <c r="A640" t="s">
        <v>1380</v>
      </c>
      <c r="B640" t="s">
        <v>1381</v>
      </c>
      <c r="C640" t="s">
        <v>118</v>
      </c>
      <c r="D640" s="2">
        <v>57</v>
      </c>
      <c r="E640" t="s">
        <v>201</v>
      </c>
      <c r="F640" t="s">
        <v>92</v>
      </c>
      <c r="G640" s="2" t="s">
        <v>31</v>
      </c>
      <c r="H640" s="2">
        <v>18</v>
      </c>
      <c r="I640" s="2" t="s">
        <v>130</v>
      </c>
      <c r="J640" s="2">
        <v>1.1000000000000001</v>
      </c>
      <c r="K640" s="2" t="s">
        <v>59</v>
      </c>
      <c r="L640" s="2">
        <v>0.9</v>
      </c>
      <c r="M640" s="2" t="s">
        <v>88</v>
      </c>
      <c r="N640" s="2" t="s">
        <v>75</v>
      </c>
      <c r="O640" s="2">
        <v>13</v>
      </c>
      <c r="P640" s="2" t="str">
        <f>IF(global_freelancer_raw5[[#This Row],[No of projects ]]&lt;=5,"Entry level","Well Experienced")</f>
        <v>Well Experienced</v>
      </c>
      <c r="Q640" s="2">
        <v>6</v>
      </c>
    </row>
    <row r="641" spans="1:17" x14ac:dyDescent="0.3">
      <c r="A641" t="s">
        <v>1382</v>
      </c>
      <c r="B641" t="s">
        <v>1383</v>
      </c>
      <c r="C641" t="s">
        <v>97</v>
      </c>
      <c r="D641" s="2">
        <v>49</v>
      </c>
      <c r="E641" t="s">
        <v>201</v>
      </c>
      <c r="F641" t="s">
        <v>92</v>
      </c>
      <c r="G641" s="2" t="s">
        <v>46</v>
      </c>
      <c r="H641" s="2">
        <v>24</v>
      </c>
      <c r="I641" s="2" t="s">
        <v>81</v>
      </c>
      <c r="J641" s="2">
        <v>0</v>
      </c>
      <c r="K641" s="2" t="s">
        <v>23</v>
      </c>
      <c r="L641" s="2">
        <v>0.94</v>
      </c>
      <c r="M641" s="2" t="s">
        <v>60</v>
      </c>
      <c r="N641" s="2" t="s">
        <v>75</v>
      </c>
      <c r="O641" s="2">
        <v>14</v>
      </c>
      <c r="P641" s="2" t="str">
        <f>IF(global_freelancer_raw5[[#This Row],[No of projects ]]&lt;=5,"Entry level","Well Experienced")</f>
        <v>Well Experienced</v>
      </c>
      <c r="Q641" s="2">
        <v>8</v>
      </c>
    </row>
    <row r="642" spans="1:17" x14ac:dyDescent="0.3">
      <c r="A642" t="s">
        <v>1384</v>
      </c>
      <c r="B642" t="s">
        <v>1385</v>
      </c>
      <c r="C642" t="s">
        <v>118</v>
      </c>
      <c r="D642" s="2">
        <v>41</v>
      </c>
      <c r="E642" t="s">
        <v>106</v>
      </c>
      <c r="F642" t="s">
        <v>107</v>
      </c>
      <c r="G642" s="2" t="s">
        <v>57</v>
      </c>
      <c r="H642" s="2">
        <v>7</v>
      </c>
      <c r="I642" s="2" t="s">
        <v>86</v>
      </c>
      <c r="J642" s="2">
        <v>1.8</v>
      </c>
      <c r="K642" s="2" t="s">
        <v>59</v>
      </c>
      <c r="L642" s="2">
        <v>0.7</v>
      </c>
      <c r="M642" s="2" t="s">
        <v>88</v>
      </c>
      <c r="N642" s="2" t="s">
        <v>25</v>
      </c>
      <c r="O642" s="2">
        <v>14</v>
      </c>
      <c r="P642" s="2" t="str">
        <f>IF(global_freelancer_raw5[[#This Row],[No of projects ]]&lt;=5,"Entry level","Well Experienced")</f>
        <v>Well Experienced</v>
      </c>
      <c r="Q642" s="2">
        <v>6</v>
      </c>
    </row>
    <row r="643" spans="1:17" x14ac:dyDescent="0.3">
      <c r="A643" t="s">
        <v>1386</v>
      </c>
      <c r="B643" t="s">
        <v>1387</v>
      </c>
      <c r="C643" t="s">
        <v>118</v>
      </c>
      <c r="D643" s="2">
        <v>22</v>
      </c>
      <c r="E643" t="s">
        <v>201</v>
      </c>
      <c r="F643" t="s">
        <v>92</v>
      </c>
      <c r="G643" s="2" t="s">
        <v>135</v>
      </c>
      <c r="H643" s="2">
        <v>1</v>
      </c>
      <c r="I643" s="2" t="s">
        <v>336</v>
      </c>
      <c r="J643" s="2" t="s">
        <v>2120</v>
      </c>
      <c r="K643" s="2" t="s">
        <v>87</v>
      </c>
      <c r="L643" s="2">
        <v>0.75</v>
      </c>
      <c r="M643" s="2" t="s">
        <v>82</v>
      </c>
      <c r="N643" s="2" t="s">
        <v>34</v>
      </c>
      <c r="O643" s="2">
        <v>1</v>
      </c>
      <c r="P643" s="2" t="str">
        <f>IF(global_freelancer_raw5[[#This Row],[No of projects ]]&lt;=5,"Entry level","Well Experienced")</f>
        <v>Entry level</v>
      </c>
      <c r="Q643" s="2">
        <v>1</v>
      </c>
    </row>
    <row r="644" spans="1:17" x14ac:dyDescent="0.3">
      <c r="A644" t="s">
        <v>1388</v>
      </c>
      <c r="B644" t="s">
        <v>1389</v>
      </c>
      <c r="C644" t="s">
        <v>118</v>
      </c>
      <c r="D644" s="2">
        <v>50</v>
      </c>
      <c r="E644" t="s">
        <v>29</v>
      </c>
      <c r="F644" t="s">
        <v>30</v>
      </c>
      <c r="G644" s="2" t="s">
        <v>21</v>
      </c>
      <c r="H644" s="2">
        <v>17</v>
      </c>
      <c r="I644" s="2" t="s">
        <v>103</v>
      </c>
      <c r="J644" s="2">
        <v>3.3</v>
      </c>
      <c r="K644" s="2" t="s">
        <v>33</v>
      </c>
      <c r="L644" s="2">
        <v>0.69</v>
      </c>
      <c r="M644" s="2" t="s">
        <v>60</v>
      </c>
      <c r="N644" s="2" t="s">
        <v>75</v>
      </c>
      <c r="O644" s="2">
        <v>15</v>
      </c>
      <c r="P644" s="2" t="str">
        <f>IF(global_freelancer_raw5[[#This Row],[No of projects ]]&lt;=5,"Entry level","Well Experienced")</f>
        <v>Well Experienced</v>
      </c>
      <c r="Q644" s="2">
        <v>9</v>
      </c>
    </row>
    <row r="645" spans="1:17" x14ac:dyDescent="0.3">
      <c r="A645" t="s">
        <v>1390</v>
      </c>
      <c r="B645" t="s">
        <v>1391</v>
      </c>
      <c r="C645" t="s">
        <v>118</v>
      </c>
      <c r="D645" s="2">
        <v>57</v>
      </c>
      <c r="E645" t="s">
        <v>38</v>
      </c>
      <c r="F645" t="s">
        <v>38</v>
      </c>
      <c r="G645" s="2" t="s">
        <v>39</v>
      </c>
      <c r="H645" s="2">
        <v>4</v>
      </c>
      <c r="I645" s="2" t="s">
        <v>130</v>
      </c>
      <c r="J645" s="2">
        <v>4.2</v>
      </c>
      <c r="K645" s="2" t="s">
        <v>23</v>
      </c>
      <c r="L645" s="2" t="s">
        <v>2120</v>
      </c>
      <c r="M645" s="2" t="s">
        <v>24</v>
      </c>
      <c r="N645" s="2" t="s">
        <v>75</v>
      </c>
      <c r="O645" s="2">
        <v>5</v>
      </c>
      <c r="P645" s="2" t="str">
        <f>IF(global_freelancer_raw5[[#This Row],[No of projects ]]&lt;=5,"Entry level","Well Experienced")</f>
        <v>Entry level</v>
      </c>
      <c r="Q645" s="2">
        <v>2</v>
      </c>
    </row>
    <row r="646" spans="1:17" x14ac:dyDescent="0.3">
      <c r="A646" t="s">
        <v>1392</v>
      </c>
      <c r="B646" t="s">
        <v>1393</v>
      </c>
      <c r="C646" t="s">
        <v>97</v>
      </c>
      <c r="D646" s="2">
        <v>47</v>
      </c>
      <c r="E646" t="s">
        <v>201</v>
      </c>
      <c r="F646" t="s">
        <v>92</v>
      </c>
      <c r="G646" s="2" t="s">
        <v>57</v>
      </c>
      <c r="H646" s="2">
        <v>29</v>
      </c>
      <c r="I646" s="2" t="s">
        <v>81</v>
      </c>
      <c r="J646" s="2" t="s">
        <v>2120</v>
      </c>
      <c r="K646" s="2" t="s">
        <v>33</v>
      </c>
      <c r="L646" s="2">
        <v>0.79</v>
      </c>
      <c r="M646" s="2" t="s">
        <v>82</v>
      </c>
      <c r="N646" s="2" t="s">
        <v>42</v>
      </c>
      <c r="O646" s="2">
        <v>14</v>
      </c>
      <c r="P646" s="2" t="str">
        <f>IF(global_freelancer_raw5[[#This Row],[No of projects ]]&lt;=5,"Entry level","Well Experienced")</f>
        <v>Well Experienced</v>
      </c>
      <c r="Q646" s="2">
        <v>5</v>
      </c>
    </row>
    <row r="647" spans="1:17" x14ac:dyDescent="0.3">
      <c r="A647" t="s">
        <v>1394</v>
      </c>
      <c r="B647" t="s">
        <v>1395</v>
      </c>
      <c r="C647" t="s">
        <v>118</v>
      </c>
      <c r="D647" s="2">
        <v>24</v>
      </c>
      <c r="E647" t="s">
        <v>175</v>
      </c>
      <c r="F647" t="s">
        <v>176</v>
      </c>
      <c r="G647" s="2" t="s">
        <v>66</v>
      </c>
      <c r="H647" s="2">
        <v>2</v>
      </c>
      <c r="I647" s="2" t="s">
        <v>251</v>
      </c>
      <c r="J647" s="2">
        <v>3.8</v>
      </c>
      <c r="K647" s="2" t="s">
        <v>33</v>
      </c>
      <c r="L647" s="2">
        <v>0.71</v>
      </c>
      <c r="M647" s="2" t="s">
        <v>82</v>
      </c>
      <c r="N647" s="2" t="s">
        <v>25</v>
      </c>
      <c r="O647" s="2">
        <v>5</v>
      </c>
      <c r="P647" s="2" t="str">
        <f>IF(global_freelancer_raw5[[#This Row],[No of projects ]]&lt;=5,"Entry level","Well Experienced")</f>
        <v>Entry level</v>
      </c>
      <c r="Q647" s="2">
        <v>1</v>
      </c>
    </row>
    <row r="648" spans="1:17" x14ac:dyDescent="0.3">
      <c r="A648" t="s">
        <v>1396</v>
      </c>
      <c r="B648" t="s">
        <v>1397</v>
      </c>
      <c r="C648" t="s">
        <v>118</v>
      </c>
      <c r="D648" s="2" t="s">
        <v>2119</v>
      </c>
      <c r="E648" t="s">
        <v>114</v>
      </c>
      <c r="F648" t="s">
        <v>115</v>
      </c>
      <c r="G648" s="2" t="s">
        <v>98</v>
      </c>
      <c r="H648" s="2">
        <v>9</v>
      </c>
      <c r="I648" s="2" t="s">
        <v>22</v>
      </c>
      <c r="J648" s="2">
        <v>4.8</v>
      </c>
      <c r="K648" s="2" t="s">
        <v>94</v>
      </c>
      <c r="L648" s="2">
        <v>0.72</v>
      </c>
      <c r="M648" s="2" t="s">
        <v>24</v>
      </c>
      <c r="N648" s="2" t="s">
        <v>75</v>
      </c>
      <c r="O648" s="2">
        <v>12</v>
      </c>
      <c r="P648" s="2" t="str">
        <f>IF(global_freelancer_raw5[[#This Row],[No of projects ]]&lt;=5,"Entry level","Well Experienced")</f>
        <v>Well Experienced</v>
      </c>
      <c r="Q648" s="2">
        <v>10</v>
      </c>
    </row>
    <row r="649" spans="1:17" x14ac:dyDescent="0.3">
      <c r="A649" t="s">
        <v>1398</v>
      </c>
      <c r="B649" t="s">
        <v>1399</v>
      </c>
      <c r="C649" t="s">
        <v>97</v>
      </c>
      <c r="D649" s="2">
        <v>50</v>
      </c>
      <c r="E649" t="s">
        <v>38</v>
      </c>
      <c r="F649" t="s">
        <v>38</v>
      </c>
      <c r="G649" s="2" t="s">
        <v>110</v>
      </c>
      <c r="H649" s="2">
        <v>10</v>
      </c>
      <c r="I649" s="2" t="s">
        <v>251</v>
      </c>
      <c r="J649" s="2">
        <v>4.3</v>
      </c>
      <c r="K649" s="2" t="s">
        <v>41</v>
      </c>
      <c r="L649" s="2">
        <v>0.93</v>
      </c>
      <c r="M649" s="2" t="s">
        <v>60</v>
      </c>
      <c r="N649" s="2" t="s">
        <v>25</v>
      </c>
      <c r="O649" s="2">
        <v>8</v>
      </c>
      <c r="P649" s="2" t="str">
        <f>IF(global_freelancer_raw5[[#This Row],[No of projects ]]&lt;=5,"Entry level","Well Experienced")</f>
        <v>Well Experienced</v>
      </c>
      <c r="Q649" s="2">
        <v>5</v>
      </c>
    </row>
    <row r="650" spans="1:17" x14ac:dyDescent="0.3">
      <c r="A650" t="s">
        <v>1400</v>
      </c>
      <c r="B650" t="s">
        <v>1401</v>
      </c>
      <c r="C650" t="s">
        <v>118</v>
      </c>
      <c r="D650" s="2">
        <v>46</v>
      </c>
      <c r="E650" t="s">
        <v>128</v>
      </c>
      <c r="F650" t="s">
        <v>129</v>
      </c>
      <c r="G650" s="2" t="s">
        <v>135</v>
      </c>
      <c r="H650" s="2">
        <v>20</v>
      </c>
      <c r="I650" s="2" t="s">
        <v>2119</v>
      </c>
      <c r="J650" s="2">
        <v>4.8</v>
      </c>
      <c r="K650" s="2" t="s">
        <v>33</v>
      </c>
      <c r="L650" s="2">
        <v>0.82</v>
      </c>
      <c r="M650" s="2" t="s">
        <v>60</v>
      </c>
      <c r="N650" s="2" t="s">
        <v>75</v>
      </c>
      <c r="O650" s="2">
        <v>10</v>
      </c>
      <c r="P650" s="2" t="str">
        <f>IF(global_freelancer_raw5[[#This Row],[No of projects ]]&lt;=5,"Entry level","Well Experienced")</f>
        <v>Well Experienced</v>
      </c>
      <c r="Q650" s="2">
        <v>9</v>
      </c>
    </row>
    <row r="651" spans="1:17" x14ac:dyDescent="0.3">
      <c r="A651" t="s">
        <v>1402</v>
      </c>
      <c r="B651" t="s">
        <v>1403</v>
      </c>
      <c r="C651" t="s">
        <v>118</v>
      </c>
      <c r="D651" s="2">
        <v>51</v>
      </c>
      <c r="E651" t="s">
        <v>29</v>
      </c>
      <c r="F651" t="s">
        <v>30</v>
      </c>
      <c r="G651" s="2" t="s">
        <v>98</v>
      </c>
      <c r="H651" s="2">
        <v>9</v>
      </c>
      <c r="I651" s="2" t="s">
        <v>47</v>
      </c>
      <c r="J651" s="2" t="s">
        <v>2120</v>
      </c>
      <c r="K651" s="2" t="s">
        <v>41</v>
      </c>
      <c r="L651" s="2">
        <v>60</v>
      </c>
      <c r="M651" s="2" t="s">
        <v>82</v>
      </c>
      <c r="N651" s="2" t="s">
        <v>34</v>
      </c>
      <c r="O651" s="2">
        <v>12</v>
      </c>
      <c r="P651" s="2" t="str">
        <f>IF(global_freelancer_raw5[[#This Row],[No of projects ]]&lt;=5,"Entry level","Well Experienced")</f>
        <v>Well Experienced</v>
      </c>
      <c r="Q651" s="2">
        <v>5</v>
      </c>
    </row>
    <row r="652" spans="1:17" x14ac:dyDescent="0.3">
      <c r="A652" t="s">
        <v>1404</v>
      </c>
      <c r="B652" t="s">
        <v>1405</v>
      </c>
      <c r="C652" t="s">
        <v>118</v>
      </c>
      <c r="D652" s="2">
        <v>51</v>
      </c>
      <c r="E652" t="s">
        <v>85</v>
      </c>
      <c r="F652" t="s">
        <v>30</v>
      </c>
      <c r="G652" s="2" t="s">
        <v>57</v>
      </c>
      <c r="H652" s="2">
        <v>12</v>
      </c>
      <c r="I652" s="2" t="s">
        <v>162</v>
      </c>
      <c r="J652" s="2">
        <v>4</v>
      </c>
      <c r="K652" s="2" t="s">
        <v>23</v>
      </c>
      <c r="L652" s="2">
        <v>93</v>
      </c>
      <c r="M652" s="2" t="s">
        <v>60</v>
      </c>
      <c r="N652" s="2" t="s">
        <v>34</v>
      </c>
      <c r="O652" s="2">
        <v>15</v>
      </c>
      <c r="P652" s="2" t="str">
        <f>IF(global_freelancer_raw5[[#This Row],[No of projects ]]&lt;=5,"Entry level","Well Experienced")</f>
        <v>Well Experienced</v>
      </c>
      <c r="Q652" s="2">
        <v>3</v>
      </c>
    </row>
    <row r="653" spans="1:17" x14ac:dyDescent="0.3">
      <c r="A653" t="s">
        <v>1406</v>
      </c>
      <c r="B653" t="s">
        <v>1407</v>
      </c>
      <c r="C653" t="s">
        <v>118</v>
      </c>
      <c r="D653" s="2">
        <v>27</v>
      </c>
      <c r="E653" t="s">
        <v>85</v>
      </c>
      <c r="F653" t="s">
        <v>30</v>
      </c>
      <c r="G653" s="2" t="s">
        <v>57</v>
      </c>
      <c r="H653" s="2">
        <v>3</v>
      </c>
      <c r="I653" s="2" t="s">
        <v>119</v>
      </c>
      <c r="J653" s="2" t="s">
        <v>2120</v>
      </c>
      <c r="K653" s="2" t="s">
        <v>59</v>
      </c>
      <c r="L653" s="2" t="s">
        <v>2120</v>
      </c>
      <c r="M653" s="2" t="s">
        <v>88</v>
      </c>
      <c r="N653" s="2" t="s">
        <v>75</v>
      </c>
      <c r="O653" s="2">
        <v>1</v>
      </c>
      <c r="P653" s="2" t="str">
        <f>IF(global_freelancer_raw5[[#This Row],[No of projects ]]&lt;=5,"Entry level","Well Experienced")</f>
        <v>Entry level</v>
      </c>
      <c r="Q653" s="2">
        <v>3</v>
      </c>
    </row>
    <row r="654" spans="1:17" x14ac:dyDescent="0.3">
      <c r="A654" t="s">
        <v>1408</v>
      </c>
      <c r="B654" t="s">
        <v>1409</v>
      </c>
      <c r="C654" t="s">
        <v>118</v>
      </c>
      <c r="D654" s="2">
        <v>42</v>
      </c>
      <c r="E654" t="s">
        <v>212</v>
      </c>
      <c r="F654" t="s">
        <v>92</v>
      </c>
      <c r="G654" s="2" t="s">
        <v>46</v>
      </c>
      <c r="H654" s="2">
        <v>13</v>
      </c>
      <c r="I654" s="2" t="s">
        <v>52</v>
      </c>
      <c r="J654" s="2">
        <v>0</v>
      </c>
      <c r="K654" s="2" t="s">
        <v>59</v>
      </c>
      <c r="L654" s="2">
        <v>0.74</v>
      </c>
      <c r="M654" s="2" t="s">
        <v>24</v>
      </c>
      <c r="N654" s="2" t="s">
        <v>34</v>
      </c>
      <c r="O654" s="2">
        <v>12</v>
      </c>
      <c r="P654" s="2" t="str">
        <f>IF(global_freelancer_raw5[[#This Row],[No of projects ]]&lt;=5,"Entry level","Well Experienced")</f>
        <v>Well Experienced</v>
      </c>
      <c r="Q654" s="2">
        <v>8</v>
      </c>
    </row>
    <row r="655" spans="1:17" x14ac:dyDescent="0.3">
      <c r="A655" t="s">
        <v>1410</v>
      </c>
      <c r="B655" t="s">
        <v>1411</v>
      </c>
      <c r="C655" t="s">
        <v>118</v>
      </c>
      <c r="D655" s="2">
        <v>25</v>
      </c>
      <c r="E655" t="s">
        <v>38</v>
      </c>
      <c r="F655" t="s">
        <v>38</v>
      </c>
      <c r="G655" s="2" t="s">
        <v>93</v>
      </c>
      <c r="H655" s="2">
        <v>4</v>
      </c>
      <c r="I655" s="2" t="s">
        <v>47</v>
      </c>
      <c r="J655" s="2">
        <v>2.2999999999999998</v>
      </c>
      <c r="K655" s="2" t="s">
        <v>87</v>
      </c>
      <c r="L655" s="2">
        <v>73</v>
      </c>
      <c r="M655" s="2" t="s">
        <v>88</v>
      </c>
      <c r="N655" s="2" t="s">
        <v>75</v>
      </c>
      <c r="O655" s="2">
        <v>1</v>
      </c>
      <c r="P655" s="2" t="str">
        <f>IF(global_freelancer_raw5[[#This Row],[No of projects ]]&lt;=5,"Entry level","Well Experienced")</f>
        <v>Entry level</v>
      </c>
      <c r="Q655" s="2">
        <v>1</v>
      </c>
    </row>
    <row r="656" spans="1:17" x14ac:dyDescent="0.3">
      <c r="A656" t="s">
        <v>1412</v>
      </c>
      <c r="B656" t="s">
        <v>1413</v>
      </c>
      <c r="C656" t="s">
        <v>97</v>
      </c>
      <c r="D656" s="2">
        <v>32</v>
      </c>
      <c r="E656" t="s">
        <v>38</v>
      </c>
      <c r="F656" t="s">
        <v>38</v>
      </c>
      <c r="G656" s="2" t="s">
        <v>66</v>
      </c>
      <c r="H656" s="2">
        <v>9</v>
      </c>
      <c r="I656" s="2" t="s">
        <v>103</v>
      </c>
      <c r="J656" s="2" t="s">
        <v>2120</v>
      </c>
      <c r="K656" s="2" t="s">
        <v>41</v>
      </c>
      <c r="L656" s="2">
        <v>0.96</v>
      </c>
      <c r="M656" s="2" t="s">
        <v>60</v>
      </c>
      <c r="N656" s="2" t="s">
        <v>34</v>
      </c>
      <c r="O656" s="2">
        <v>11</v>
      </c>
      <c r="P656" s="2" t="str">
        <f>IF(global_freelancer_raw5[[#This Row],[No of projects ]]&lt;=5,"Entry level","Well Experienced")</f>
        <v>Well Experienced</v>
      </c>
      <c r="Q656" s="2">
        <v>5</v>
      </c>
    </row>
    <row r="657" spans="1:17" x14ac:dyDescent="0.3">
      <c r="A657" t="s">
        <v>1414</v>
      </c>
      <c r="B657" t="s">
        <v>1415</v>
      </c>
      <c r="C657" t="s">
        <v>97</v>
      </c>
      <c r="D657" s="2">
        <v>59</v>
      </c>
      <c r="E657" t="s">
        <v>149</v>
      </c>
      <c r="F657" t="s">
        <v>30</v>
      </c>
      <c r="G657" s="2" t="s">
        <v>39</v>
      </c>
      <c r="H657" s="2">
        <v>14</v>
      </c>
      <c r="I657" s="2" t="s">
        <v>52</v>
      </c>
      <c r="J657" s="2">
        <v>3.8</v>
      </c>
      <c r="K657" s="2" t="s">
        <v>2120</v>
      </c>
      <c r="L657" s="2">
        <v>0.66</v>
      </c>
      <c r="M657" s="2" t="s">
        <v>82</v>
      </c>
      <c r="N657" s="2" t="s">
        <v>42</v>
      </c>
      <c r="O657" s="2">
        <v>8</v>
      </c>
      <c r="P657" s="2" t="str">
        <f>IF(global_freelancer_raw5[[#This Row],[No of projects ]]&lt;=5,"Entry level","Well Experienced")</f>
        <v>Well Experienced</v>
      </c>
      <c r="Q657" s="2">
        <v>8</v>
      </c>
    </row>
    <row r="658" spans="1:17" x14ac:dyDescent="0.3">
      <c r="A658" t="s">
        <v>1416</v>
      </c>
      <c r="B658" t="s">
        <v>1417</v>
      </c>
      <c r="C658" t="s">
        <v>97</v>
      </c>
      <c r="D658" s="2">
        <v>59</v>
      </c>
      <c r="E658" t="s">
        <v>156</v>
      </c>
      <c r="F658" t="s">
        <v>157</v>
      </c>
      <c r="G658" s="2" t="s">
        <v>98</v>
      </c>
      <c r="H658" s="2">
        <v>37</v>
      </c>
      <c r="I658" s="2" t="s">
        <v>52</v>
      </c>
      <c r="J658" s="2">
        <v>4</v>
      </c>
      <c r="K658" s="2" t="s">
        <v>59</v>
      </c>
      <c r="L658" s="2">
        <v>0.62</v>
      </c>
      <c r="M658" s="2" t="s">
        <v>24</v>
      </c>
      <c r="N658" s="2" t="s">
        <v>42</v>
      </c>
      <c r="O658" s="2">
        <v>20</v>
      </c>
      <c r="P658" s="2" t="str">
        <f>IF(global_freelancer_raw5[[#This Row],[No of projects ]]&lt;=5,"Entry level","Well Experienced")</f>
        <v>Well Experienced</v>
      </c>
      <c r="Q658" s="2">
        <v>2</v>
      </c>
    </row>
    <row r="659" spans="1:17" x14ac:dyDescent="0.3">
      <c r="A659" t="s">
        <v>1418</v>
      </c>
      <c r="B659" t="s">
        <v>1419</v>
      </c>
      <c r="C659" t="s">
        <v>118</v>
      </c>
      <c r="D659" s="2">
        <v>29</v>
      </c>
      <c r="E659" t="s">
        <v>38</v>
      </c>
      <c r="F659" t="s">
        <v>38</v>
      </c>
      <c r="G659" s="2" t="s">
        <v>39</v>
      </c>
      <c r="H659" s="2">
        <v>2</v>
      </c>
      <c r="I659" s="2" t="s">
        <v>67</v>
      </c>
      <c r="J659" s="2">
        <v>2.2000000000000002</v>
      </c>
      <c r="K659" s="2" t="s">
        <v>94</v>
      </c>
      <c r="L659" s="2">
        <v>0.85</v>
      </c>
      <c r="M659" s="2" t="s">
        <v>60</v>
      </c>
      <c r="N659" s="2" t="s">
        <v>42</v>
      </c>
      <c r="O659" s="2">
        <v>5</v>
      </c>
      <c r="P659" s="2" t="str">
        <f>IF(global_freelancer_raw5[[#This Row],[No of projects ]]&lt;=5,"Entry level","Well Experienced")</f>
        <v>Entry level</v>
      </c>
      <c r="Q659" s="2">
        <v>1</v>
      </c>
    </row>
    <row r="660" spans="1:17" x14ac:dyDescent="0.3">
      <c r="A660" t="s">
        <v>1420</v>
      </c>
      <c r="B660" t="s">
        <v>1421</v>
      </c>
      <c r="C660" t="s">
        <v>118</v>
      </c>
      <c r="D660" s="2">
        <v>58</v>
      </c>
      <c r="E660" t="s">
        <v>197</v>
      </c>
      <c r="F660" t="s">
        <v>198</v>
      </c>
      <c r="G660" s="2" t="s">
        <v>57</v>
      </c>
      <c r="H660" s="2">
        <v>11</v>
      </c>
      <c r="I660" s="2" t="s">
        <v>22</v>
      </c>
      <c r="J660" s="2">
        <v>4.3</v>
      </c>
      <c r="K660" s="2" t="s">
        <v>23</v>
      </c>
      <c r="L660" s="2">
        <v>0.66</v>
      </c>
      <c r="M660" s="2" t="s">
        <v>60</v>
      </c>
      <c r="N660" s="2" t="s">
        <v>25</v>
      </c>
      <c r="O660" s="2">
        <v>6</v>
      </c>
      <c r="P660" s="2" t="str">
        <f>IF(global_freelancer_raw5[[#This Row],[No of projects ]]&lt;=5,"Entry level","Well Experienced")</f>
        <v>Well Experienced</v>
      </c>
      <c r="Q660" s="2">
        <v>3</v>
      </c>
    </row>
    <row r="661" spans="1:17" x14ac:dyDescent="0.3">
      <c r="A661" t="s">
        <v>1422</v>
      </c>
      <c r="B661" t="s">
        <v>1423</v>
      </c>
      <c r="C661" t="s">
        <v>97</v>
      </c>
      <c r="D661" s="2">
        <v>56</v>
      </c>
      <c r="E661" t="s">
        <v>149</v>
      </c>
      <c r="F661" t="s">
        <v>30</v>
      </c>
      <c r="G661" s="2" t="s">
        <v>98</v>
      </c>
      <c r="H661" s="2">
        <v>19</v>
      </c>
      <c r="I661" s="2" t="s">
        <v>162</v>
      </c>
      <c r="J661" s="2">
        <v>0</v>
      </c>
      <c r="K661" s="2" t="s">
        <v>23</v>
      </c>
      <c r="L661" s="2">
        <v>0.87</v>
      </c>
      <c r="M661" s="2" t="s">
        <v>82</v>
      </c>
      <c r="N661" s="2" t="s">
        <v>25</v>
      </c>
      <c r="O661" s="2">
        <v>16</v>
      </c>
      <c r="P661" s="2" t="str">
        <f>IF(global_freelancer_raw5[[#This Row],[No of projects ]]&lt;=5,"Entry level","Well Experienced")</f>
        <v>Well Experienced</v>
      </c>
      <c r="Q661" s="2">
        <v>5</v>
      </c>
    </row>
    <row r="662" spans="1:17" x14ac:dyDescent="0.3">
      <c r="A662" t="s">
        <v>1424</v>
      </c>
      <c r="B662" t="s">
        <v>1425</v>
      </c>
      <c r="C662" t="s">
        <v>97</v>
      </c>
      <c r="D662" s="2">
        <v>36</v>
      </c>
      <c r="E662" t="s">
        <v>73</v>
      </c>
      <c r="F662" t="s">
        <v>30</v>
      </c>
      <c r="G662" s="2" t="s">
        <v>135</v>
      </c>
      <c r="H662" s="2">
        <v>9</v>
      </c>
      <c r="I662" s="2" t="s">
        <v>162</v>
      </c>
      <c r="J662" s="2">
        <v>0</v>
      </c>
      <c r="K662" s="2" t="s">
        <v>33</v>
      </c>
      <c r="L662" s="2">
        <v>68</v>
      </c>
      <c r="M662" s="2" t="s">
        <v>82</v>
      </c>
      <c r="N662" s="2" t="s">
        <v>42</v>
      </c>
      <c r="O662" s="2">
        <v>9</v>
      </c>
      <c r="P662" s="2" t="str">
        <f>IF(global_freelancer_raw5[[#This Row],[No of projects ]]&lt;=5,"Entry level","Well Experienced")</f>
        <v>Well Experienced</v>
      </c>
      <c r="Q662" s="2">
        <v>10</v>
      </c>
    </row>
    <row r="663" spans="1:17" x14ac:dyDescent="0.3">
      <c r="A663" t="s">
        <v>1426</v>
      </c>
      <c r="B663" t="s">
        <v>1427</v>
      </c>
      <c r="C663" t="s">
        <v>97</v>
      </c>
      <c r="D663" s="2">
        <v>52</v>
      </c>
      <c r="E663" t="s">
        <v>149</v>
      </c>
      <c r="F663" t="s">
        <v>30</v>
      </c>
      <c r="G663" s="2" t="s">
        <v>93</v>
      </c>
      <c r="H663" s="2">
        <v>16</v>
      </c>
      <c r="I663" s="2" t="s">
        <v>22</v>
      </c>
      <c r="J663" s="2">
        <v>4</v>
      </c>
      <c r="K663" s="2" t="s">
        <v>33</v>
      </c>
      <c r="L663" s="2" t="s">
        <v>2120</v>
      </c>
      <c r="M663" s="2" t="s">
        <v>88</v>
      </c>
      <c r="N663" s="2" t="s">
        <v>25</v>
      </c>
      <c r="O663" s="2">
        <v>10</v>
      </c>
      <c r="P663" s="2" t="str">
        <f>IF(global_freelancer_raw5[[#This Row],[No of projects ]]&lt;=5,"Entry level","Well Experienced")</f>
        <v>Well Experienced</v>
      </c>
      <c r="Q663" s="2">
        <v>11</v>
      </c>
    </row>
    <row r="664" spans="1:17" x14ac:dyDescent="0.3">
      <c r="A664" t="s">
        <v>1428</v>
      </c>
      <c r="B664" t="s">
        <v>1429</v>
      </c>
      <c r="C664" t="s">
        <v>97</v>
      </c>
      <c r="D664" s="2">
        <v>42</v>
      </c>
      <c r="E664" t="s">
        <v>55</v>
      </c>
      <c r="F664" t="s">
        <v>56</v>
      </c>
      <c r="G664" s="2" t="s">
        <v>31</v>
      </c>
      <c r="H664" s="2">
        <v>8</v>
      </c>
      <c r="I664" s="2" t="s">
        <v>119</v>
      </c>
      <c r="J664" s="2" t="s">
        <v>2120</v>
      </c>
      <c r="K664" s="2" t="s">
        <v>2120</v>
      </c>
      <c r="L664" s="2" t="s">
        <v>2120</v>
      </c>
      <c r="M664" s="2" t="s">
        <v>24</v>
      </c>
      <c r="N664" s="2" t="s">
        <v>34</v>
      </c>
      <c r="O664" s="2">
        <v>6</v>
      </c>
      <c r="P664" s="2" t="str">
        <f>IF(global_freelancer_raw5[[#This Row],[No of projects ]]&lt;=5,"Entry level","Well Experienced")</f>
        <v>Well Experienced</v>
      </c>
      <c r="Q664" s="2">
        <v>11</v>
      </c>
    </row>
    <row r="665" spans="1:17" x14ac:dyDescent="0.3">
      <c r="A665" t="s">
        <v>1430</v>
      </c>
      <c r="B665" t="s">
        <v>1431</v>
      </c>
      <c r="C665" t="s">
        <v>97</v>
      </c>
      <c r="D665" s="2">
        <v>59</v>
      </c>
      <c r="E665" t="s">
        <v>114</v>
      </c>
      <c r="F665" t="s">
        <v>115</v>
      </c>
      <c r="G665" s="2" t="s">
        <v>31</v>
      </c>
      <c r="H665" s="2">
        <v>34</v>
      </c>
      <c r="I665" s="2" t="s">
        <v>22</v>
      </c>
      <c r="J665" s="2">
        <v>2</v>
      </c>
      <c r="K665" s="2" t="s">
        <v>33</v>
      </c>
      <c r="L665" s="2">
        <v>0.79</v>
      </c>
      <c r="M665" s="2" t="s">
        <v>24</v>
      </c>
      <c r="N665" s="2" t="s">
        <v>75</v>
      </c>
      <c r="O665" s="2">
        <v>18</v>
      </c>
      <c r="P665" s="2" t="str">
        <f>IF(global_freelancer_raw5[[#This Row],[No of projects ]]&lt;=5,"Entry level","Well Experienced")</f>
        <v>Well Experienced</v>
      </c>
      <c r="Q665" s="2">
        <v>8</v>
      </c>
    </row>
    <row r="666" spans="1:17" x14ac:dyDescent="0.3">
      <c r="A666" t="s">
        <v>1432</v>
      </c>
      <c r="B666" t="s">
        <v>1433</v>
      </c>
      <c r="C666" t="s">
        <v>118</v>
      </c>
      <c r="D666" s="2">
        <v>33</v>
      </c>
      <c r="E666" t="s">
        <v>55</v>
      </c>
      <c r="F666" t="s">
        <v>56</v>
      </c>
      <c r="G666" s="2" t="s">
        <v>31</v>
      </c>
      <c r="H666" s="2">
        <v>5</v>
      </c>
      <c r="I666" s="2" t="s">
        <v>81</v>
      </c>
      <c r="J666" s="2">
        <v>4.7</v>
      </c>
      <c r="K666" s="2" t="s">
        <v>33</v>
      </c>
      <c r="L666" s="2">
        <v>0.88</v>
      </c>
      <c r="M666" s="2" t="s">
        <v>82</v>
      </c>
      <c r="N666" s="2" t="s">
        <v>75</v>
      </c>
      <c r="O666" s="2">
        <v>4</v>
      </c>
      <c r="P666" s="2" t="str">
        <f>IF(global_freelancer_raw5[[#This Row],[No of projects ]]&lt;=5,"Entry level","Well Experienced")</f>
        <v>Entry level</v>
      </c>
      <c r="Q666" s="2">
        <v>2</v>
      </c>
    </row>
    <row r="667" spans="1:17" x14ac:dyDescent="0.3">
      <c r="A667" t="s">
        <v>1434</v>
      </c>
      <c r="B667" t="s">
        <v>1435</v>
      </c>
      <c r="C667" t="s">
        <v>97</v>
      </c>
      <c r="D667" s="2">
        <v>55</v>
      </c>
      <c r="E667" t="s">
        <v>149</v>
      </c>
      <c r="F667" t="s">
        <v>30</v>
      </c>
      <c r="G667" s="2" t="s">
        <v>46</v>
      </c>
      <c r="H667" s="2">
        <v>14</v>
      </c>
      <c r="I667" s="2" t="s">
        <v>119</v>
      </c>
      <c r="J667" s="2">
        <v>3.6</v>
      </c>
      <c r="K667" s="2" t="s">
        <v>33</v>
      </c>
      <c r="L667" s="2">
        <v>0.81</v>
      </c>
      <c r="M667" s="2" t="s">
        <v>88</v>
      </c>
      <c r="N667" s="2" t="s">
        <v>75</v>
      </c>
      <c r="O667" s="2">
        <v>9</v>
      </c>
      <c r="P667" s="2" t="str">
        <f>IF(global_freelancer_raw5[[#This Row],[No of projects ]]&lt;=5,"Entry level","Well Experienced")</f>
        <v>Well Experienced</v>
      </c>
      <c r="Q667" s="2">
        <v>7</v>
      </c>
    </row>
    <row r="668" spans="1:17" x14ac:dyDescent="0.3">
      <c r="A668" t="s">
        <v>1436</v>
      </c>
      <c r="B668" t="s">
        <v>1437</v>
      </c>
      <c r="C668" t="s">
        <v>118</v>
      </c>
      <c r="D668" s="2">
        <v>47</v>
      </c>
      <c r="E668" t="s">
        <v>133</v>
      </c>
      <c r="F668" t="s">
        <v>134</v>
      </c>
      <c r="G668" s="2" t="s">
        <v>93</v>
      </c>
      <c r="H668" s="2">
        <v>17</v>
      </c>
      <c r="I668" s="2" t="s">
        <v>40</v>
      </c>
      <c r="J668" s="2">
        <v>1.2</v>
      </c>
      <c r="K668" s="2" t="s">
        <v>41</v>
      </c>
      <c r="L668" s="2" t="s">
        <v>2120</v>
      </c>
      <c r="M668" s="2" t="s">
        <v>24</v>
      </c>
      <c r="N668" s="2" t="s">
        <v>42</v>
      </c>
      <c r="O668" s="2">
        <v>14</v>
      </c>
      <c r="P668" s="2" t="str">
        <f>IF(global_freelancer_raw5[[#This Row],[No of projects ]]&lt;=5,"Entry level","Well Experienced")</f>
        <v>Well Experienced</v>
      </c>
      <c r="Q668" s="2">
        <v>5</v>
      </c>
    </row>
    <row r="669" spans="1:17" x14ac:dyDescent="0.3">
      <c r="A669" t="s">
        <v>1438</v>
      </c>
      <c r="B669" t="s">
        <v>1439</v>
      </c>
      <c r="C669" t="s">
        <v>97</v>
      </c>
      <c r="D669" s="2">
        <v>29</v>
      </c>
      <c r="E669" t="s">
        <v>201</v>
      </c>
      <c r="F669" t="s">
        <v>92</v>
      </c>
      <c r="G669" s="2" t="s">
        <v>57</v>
      </c>
      <c r="H669" s="2">
        <v>10</v>
      </c>
      <c r="I669" s="2" t="s">
        <v>2119</v>
      </c>
      <c r="J669" s="2">
        <v>4.4000000000000004</v>
      </c>
      <c r="K669" s="2" t="s">
        <v>94</v>
      </c>
      <c r="L669" s="2">
        <v>0.67</v>
      </c>
      <c r="M669" s="2" t="s">
        <v>82</v>
      </c>
      <c r="N669" s="2" t="s">
        <v>25</v>
      </c>
      <c r="O669" s="2">
        <v>15</v>
      </c>
      <c r="P669" s="2" t="str">
        <f>IF(global_freelancer_raw5[[#This Row],[No of projects ]]&lt;=5,"Entry level","Well Experienced")</f>
        <v>Well Experienced</v>
      </c>
      <c r="Q669" s="2">
        <v>5</v>
      </c>
    </row>
    <row r="670" spans="1:17" x14ac:dyDescent="0.3">
      <c r="A670" t="s">
        <v>1440</v>
      </c>
      <c r="B670" t="s">
        <v>1441</v>
      </c>
      <c r="C670" t="s">
        <v>97</v>
      </c>
      <c r="D670" s="2">
        <v>30</v>
      </c>
      <c r="E670" t="s">
        <v>85</v>
      </c>
      <c r="F670" t="s">
        <v>30</v>
      </c>
      <c r="G670" s="2" t="s">
        <v>110</v>
      </c>
      <c r="H670" s="2">
        <v>8</v>
      </c>
      <c r="I670" s="2" t="s">
        <v>22</v>
      </c>
      <c r="J670" s="2">
        <v>1.4</v>
      </c>
      <c r="K670" s="2" t="s">
        <v>87</v>
      </c>
      <c r="L670" s="2">
        <v>62</v>
      </c>
      <c r="M670" s="2" t="s">
        <v>60</v>
      </c>
      <c r="N670" s="2" t="s">
        <v>34</v>
      </c>
      <c r="O670" s="2">
        <v>14</v>
      </c>
      <c r="P670" s="2" t="str">
        <f>IF(global_freelancer_raw5[[#This Row],[No of projects ]]&lt;=5,"Entry level","Well Experienced")</f>
        <v>Well Experienced</v>
      </c>
      <c r="Q670" s="2">
        <v>5</v>
      </c>
    </row>
    <row r="671" spans="1:17" x14ac:dyDescent="0.3">
      <c r="A671" t="s">
        <v>1442</v>
      </c>
      <c r="B671" t="s">
        <v>1443</v>
      </c>
      <c r="C671" t="s">
        <v>97</v>
      </c>
      <c r="D671" s="2">
        <v>25</v>
      </c>
      <c r="E671" t="s">
        <v>149</v>
      </c>
      <c r="F671" t="s">
        <v>30</v>
      </c>
      <c r="G671" s="2" t="s">
        <v>110</v>
      </c>
      <c r="H671" s="2">
        <v>1</v>
      </c>
      <c r="I671" s="2" t="s">
        <v>130</v>
      </c>
      <c r="J671" s="2">
        <v>3.2</v>
      </c>
      <c r="K671" s="2" t="s">
        <v>23</v>
      </c>
      <c r="L671" s="2">
        <v>0.87</v>
      </c>
      <c r="M671" s="2" t="s">
        <v>24</v>
      </c>
      <c r="N671" s="2" t="s">
        <v>34</v>
      </c>
      <c r="O671" s="2">
        <v>3</v>
      </c>
      <c r="P671" s="2" t="str">
        <f>IF(global_freelancer_raw5[[#This Row],[No of projects ]]&lt;=5,"Entry level","Well Experienced")</f>
        <v>Entry level</v>
      </c>
      <c r="Q671" s="2">
        <v>2</v>
      </c>
    </row>
    <row r="672" spans="1:17" x14ac:dyDescent="0.3">
      <c r="A672" t="s">
        <v>1444</v>
      </c>
      <c r="B672" t="s">
        <v>1445</v>
      </c>
      <c r="C672" t="s">
        <v>97</v>
      </c>
      <c r="D672" s="2">
        <v>28</v>
      </c>
      <c r="E672" t="s">
        <v>160</v>
      </c>
      <c r="F672" t="s">
        <v>161</v>
      </c>
      <c r="G672" s="2" t="s">
        <v>98</v>
      </c>
      <c r="H672" s="2">
        <v>10</v>
      </c>
      <c r="I672" s="2" t="s">
        <v>2119</v>
      </c>
      <c r="J672" s="2">
        <v>3.8</v>
      </c>
      <c r="K672" s="2" t="s">
        <v>87</v>
      </c>
      <c r="L672" s="2">
        <v>0.98</v>
      </c>
      <c r="M672" s="2" t="s">
        <v>88</v>
      </c>
      <c r="N672" s="2" t="s">
        <v>42</v>
      </c>
      <c r="O672" s="2">
        <v>12</v>
      </c>
      <c r="P672" s="2" t="str">
        <f>IF(global_freelancer_raw5[[#This Row],[No of projects ]]&lt;=5,"Entry level","Well Experienced")</f>
        <v>Well Experienced</v>
      </c>
      <c r="Q672" s="2">
        <v>11</v>
      </c>
    </row>
    <row r="673" spans="1:17" x14ac:dyDescent="0.3">
      <c r="A673" t="s">
        <v>1446</v>
      </c>
      <c r="B673" t="s">
        <v>1447</v>
      </c>
      <c r="C673" t="s">
        <v>118</v>
      </c>
      <c r="D673" s="2">
        <v>29</v>
      </c>
      <c r="E673" t="s">
        <v>133</v>
      </c>
      <c r="F673" t="s">
        <v>134</v>
      </c>
      <c r="G673" s="2" t="s">
        <v>21</v>
      </c>
      <c r="H673" s="2">
        <v>0</v>
      </c>
      <c r="I673" s="2" t="s">
        <v>192</v>
      </c>
      <c r="J673" s="2">
        <v>1.5</v>
      </c>
      <c r="K673" s="2" t="s">
        <v>74</v>
      </c>
      <c r="L673" s="2">
        <v>0.64</v>
      </c>
      <c r="M673" s="2" t="s">
        <v>88</v>
      </c>
      <c r="N673" s="2" t="s">
        <v>34</v>
      </c>
      <c r="O673" s="2">
        <v>5</v>
      </c>
      <c r="P673" s="2" t="str">
        <f>IF(global_freelancer_raw5[[#This Row],[No of projects ]]&lt;=5,"Entry level","Well Experienced")</f>
        <v>Entry level</v>
      </c>
      <c r="Q673" s="2">
        <v>4</v>
      </c>
    </row>
    <row r="674" spans="1:17" x14ac:dyDescent="0.3">
      <c r="A674" t="s">
        <v>1448</v>
      </c>
      <c r="B674" t="s">
        <v>1449</v>
      </c>
      <c r="C674" t="s">
        <v>118</v>
      </c>
      <c r="D674" s="2">
        <v>30</v>
      </c>
      <c r="E674" t="s">
        <v>212</v>
      </c>
      <c r="F674" t="s">
        <v>92</v>
      </c>
      <c r="G674" s="2" t="s">
        <v>39</v>
      </c>
      <c r="H674" s="2">
        <v>4</v>
      </c>
      <c r="I674" s="2" t="s">
        <v>2119</v>
      </c>
      <c r="J674" s="2">
        <v>2.8</v>
      </c>
      <c r="K674" s="2" t="s">
        <v>33</v>
      </c>
      <c r="L674" s="2">
        <v>0.71</v>
      </c>
      <c r="M674" s="2" t="s">
        <v>88</v>
      </c>
      <c r="N674" s="2" t="s">
        <v>34</v>
      </c>
      <c r="O674" s="2">
        <v>4</v>
      </c>
      <c r="P674" s="2" t="str">
        <f>IF(global_freelancer_raw5[[#This Row],[No of projects ]]&lt;=5,"Entry level","Well Experienced")</f>
        <v>Entry level</v>
      </c>
      <c r="Q674" s="2">
        <v>1</v>
      </c>
    </row>
    <row r="675" spans="1:17" x14ac:dyDescent="0.3">
      <c r="A675" t="s">
        <v>1450</v>
      </c>
      <c r="B675" t="s">
        <v>1451</v>
      </c>
      <c r="C675" t="s">
        <v>118</v>
      </c>
      <c r="D675" s="2">
        <v>47</v>
      </c>
      <c r="E675" t="s">
        <v>160</v>
      </c>
      <c r="F675" t="s">
        <v>161</v>
      </c>
      <c r="G675" s="2" t="s">
        <v>57</v>
      </c>
      <c r="H675" s="2">
        <v>2</v>
      </c>
      <c r="I675" s="2" t="s">
        <v>40</v>
      </c>
      <c r="J675" s="2">
        <v>2.7</v>
      </c>
      <c r="K675" s="2" t="s">
        <v>181</v>
      </c>
      <c r="L675" s="2">
        <v>96</v>
      </c>
      <c r="M675" s="2" t="s">
        <v>60</v>
      </c>
      <c r="N675" s="2" t="s">
        <v>34</v>
      </c>
      <c r="O675" s="2">
        <v>4</v>
      </c>
      <c r="P675" s="2" t="str">
        <f>IF(global_freelancer_raw5[[#This Row],[No of projects ]]&lt;=5,"Entry level","Well Experienced")</f>
        <v>Entry level</v>
      </c>
      <c r="Q675" s="2">
        <v>1</v>
      </c>
    </row>
    <row r="676" spans="1:17" x14ac:dyDescent="0.3">
      <c r="A676" t="s">
        <v>1452</v>
      </c>
      <c r="B676" t="s">
        <v>1453</v>
      </c>
      <c r="C676" t="s">
        <v>118</v>
      </c>
      <c r="D676" s="2">
        <v>34</v>
      </c>
      <c r="E676" t="s">
        <v>29</v>
      </c>
      <c r="F676" t="s">
        <v>30</v>
      </c>
      <c r="G676" s="2" t="s">
        <v>21</v>
      </c>
      <c r="H676" s="2">
        <v>10</v>
      </c>
      <c r="I676" s="2" t="s">
        <v>58</v>
      </c>
      <c r="J676" s="2">
        <v>3.9</v>
      </c>
      <c r="K676" s="2" t="s">
        <v>2120</v>
      </c>
      <c r="L676" s="2" t="s">
        <v>2120</v>
      </c>
      <c r="M676" s="2" t="s">
        <v>24</v>
      </c>
      <c r="N676" s="2" t="s">
        <v>34</v>
      </c>
      <c r="O676" s="2">
        <v>12</v>
      </c>
      <c r="P676" s="2" t="str">
        <f>IF(global_freelancer_raw5[[#This Row],[No of projects ]]&lt;=5,"Entry level","Well Experienced")</f>
        <v>Well Experienced</v>
      </c>
      <c r="Q676" s="2">
        <v>13</v>
      </c>
    </row>
    <row r="677" spans="1:17" x14ac:dyDescent="0.3">
      <c r="A677" t="s">
        <v>1454</v>
      </c>
      <c r="B677" t="s">
        <v>1455</v>
      </c>
      <c r="C677" t="s">
        <v>118</v>
      </c>
      <c r="D677" s="2">
        <v>45</v>
      </c>
      <c r="E677" t="s">
        <v>73</v>
      </c>
      <c r="F677" t="s">
        <v>30</v>
      </c>
      <c r="G677" s="2" t="s">
        <v>39</v>
      </c>
      <c r="H677" s="2">
        <v>16</v>
      </c>
      <c r="I677" s="2" t="s">
        <v>22</v>
      </c>
      <c r="J677" s="2">
        <v>4.5999999999999996</v>
      </c>
      <c r="K677" s="2" t="s">
        <v>41</v>
      </c>
      <c r="L677" s="2">
        <v>0.78</v>
      </c>
      <c r="M677" s="2" t="s">
        <v>24</v>
      </c>
      <c r="N677" s="2" t="s">
        <v>25</v>
      </c>
      <c r="O677" s="2">
        <v>15</v>
      </c>
      <c r="P677" s="2" t="str">
        <f>IF(global_freelancer_raw5[[#This Row],[No of projects ]]&lt;=5,"Entry level","Well Experienced")</f>
        <v>Well Experienced</v>
      </c>
      <c r="Q677" s="2">
        <v>7</v>
      </c>
    </row>
    <row r="678" spans="1:17" x14ac:dyDescent="0.3">
      <c r="A678" t="s">
        <v>1456</v>
      </c>
      <c r="B678" t="s">
        <v>1457</v>
      </c>
      <c r="C678" t="s">
        <v>97</v>
      </c>
      <c r="D678" s="2">
        <v>56</v>
      </c>
      <c r="E678" t="s">
        <v>212</v>
      </c>
      <c r="F678" t="s">
        <v>92</v>
      </c>
      <c r="G678" s="2" t="s">
        <v>98</v>
      </c>
      <c r="H678" s="2">
        <v>27</v>
      </c>
      <c r="I678" s="2" t="s">
        <v>142</v>
      </c>
      <c r="J678" s="2">
        <v>2.2000000000000002</v>
      </c>
      <c r="K678" s="2" t="s">
        <v>59</v>
      </c>
      <c r="L678" s="2">
        <v>0.7</v>
      </c>
      <c r="M678" s="2" t="s">
        <v>60</v>
      </c>
      <c r="N678" s="2" t="s">
        <v>34</v>
      </c>
      <c r="O678" s="2">
        <v>19</v>
      </c>
      <c r="P678" s="2" t="str">
        <f>IF(global_freelancer_raw5[[#This Row],[No of projects ]]&lt;=5,"Entry level","Well Experienced")</f>
        <v>Well Experienced</v>
      </c>
      <c r="Q678" s="2">
        <v>3</v>
      </c>
    </row>
    <row r="679" spans="1:17" x14ac:dyDescent="0.3">
      <c r="A679" t="s">
        <v>1458</v>
      </c>
      <c r="B679" t="s">
        <v>1459</v>
      </c>
      <c r="C679" t="s">
        <v>97</v>
      </c>
      <c r="D679" s="2">
        <v>49</v>
      </c>
      <c r="E679" t="s">
        <v>197</v>
      </c>
      <c r="F679" t="s">
        <v>198</v>
      </c>
      <c r="G679" s="2" t="s">
        <v>110</v>
      </c>
      <c r="H679" s="2">
        <v>20</v>
      </c>
      <c r="I679" s="2" t="s">
        <v>40</v>
      </c>
      <c r="J679" s="2">
        <v>2.5</v>
      </c>
      <c r="K679" s="2" t="s">
        <v>23</v>
      </c>
      <c r="L679" s="2">
        <v>0.82</v>
      </c>
      <c r="M679" s="2" t="s">
        <v>24</v>
      </c>
      <c r="N679" s="2" t="s">
        <v>75</v>
      </c>
      <c r="O679" s="2">
        <v>15</v>
      </c>
      <c r="P679" s="2" t="str">
        <f>IF(global_freelancer_raw5[[#This Row],[No of projects ]]&lt;=5,"Entry level","Well Experienced")</f>
        <v>Well Experienced</v>
      </c>
      <c r="Q679" s="2">
        <v>11</v>
      </c>
    </row>
    <row r="680" spans="1:17" x14ac:dyDescent="0.3">
      <c r="A680" t="s">
        <v>1460</v>
      </c>
      <c r="B680" t="s">
        <v>1461</v>
      </c>
      <c r="C680" t="s">
        <v>118</v>
      </c>
      <c r="D680" s="2">
        <v>48</v>
      </c>
      <c r="E680" t="s">
        <v>156</v>
      </c>
      <c r="F680" t="s">
        <v>157</v>
      </c>
      <c r="G680" s="2" t="s">
        <v>57</v>
      </c>
      <c r="H680" s="2">
        <v>10</v>
      </c>
      <c r="I680" s="2" t="s">
        <v>2119</v>
      </c>
      <c r="J680" s="2">
        <v>3.1</v>
      </c>
      <c r="K680" s="2" t="s">
        <v>59</v>
      </c>
      <c r="L680" s="2" t="s">
        <v>2120</v>
      </c>
      <c r="M680" s="2" t="s">
        <v>60</v>
      </c>
      <c r="N680" s="2" t="s">
        <v>42</v>
      </c>
      <c r="O680" s="2">
        <v>13</v>
      </c>
      <c r="P680" s="2" t="str">
        <f>IF(global_freelancer_raw5[[#This Row],[No of projects ]]&lt;=5,"Entry level","Well Experienced")</f>
        <v>Well Experienced</v>
      </c>
      <c r="Q680" s="2">
        <v>4</v>
      </c>
    </row>
    <row r="681" spans="1:17" x14ac:dyDescent="0.3">
      <c r="A681" t="s">
        <v>1462</v>
      </c>
      <c r="B681" t="s">
        <v>1463</v>
      </c>
      <c r="C681" t="s">
        <v>97</v>
      </c>
      <c r="D681" s="2">
        <v>29</v>
      </c>
      <c r="E681" t="s">
        <v>133</v>
      </c>
      <c r="F681" t="s">
        <v>134</v>
      </c>
      <c r="G681" s="2" t="s">
        <v>39</v>
      </c>
      <c r="H681" s="2">
        <v>0</v>
      </c>
      <c r="I681" s="2" t="s">
        <v>142</v>
      </c>
      <c r="J681" s="2" t="s">
        <v>2120</v>
      </c>
      <c r="K681" s="2" t="s">
        <v>33</v>
      </c>
      <c r="L681" s="2">
        <v>0.99</v>
      </c>
      <c r="M681" s="2" t="s">
        <v>60</v>
      </c>
      <c r="N681" s="2" t="s">
        <v>25</v>
      </c>
      <c r="O681" s="2">
        <v>3</v>
      </c>
      <c r="P681" s="2" t="str">
        <f>IF(global_freelancer_raw5[[#This Row],[No of projects ]]&lt;=5,"Entry level","Well Experienced")</f>
        <v>Entry level</v>
      </c>
      <c r="Q681" s="2">
        <v>2</v>
      </c>
    </row>
    <row r="682" spans="1:17" x14ac:dyDescent="0.3">
      <c r="A682" t="s">
        <v>1464</v>
      </c>
      <c r="B682" t="s">
        <v>1465</v>
      </c>
      <c r="C682" t="s">
        <v>97</v>
      </c>
      <c r="D682" s="2">
        <v>49</v>
      </c>
      <c r="E682" t="s">
        <v>55</v>
      </c>
      <c r="F682" t="s">
        <v>56</v>
      </c>
      <c r="G682" s="2" t="s">
        <v>46</v>
      </c>
      <c r="H682" s="2">
        <v>11</v>
      </c>
      <c r="I682" s="2" t="s">
        <v>103</v>
      </c>
      <c r="J682" s="2">
        <v>3.8</v>
      </c>
      <c r="K682" s="2" t="s">
        <v>94</v>
      </c>
      <c r="L682" s="2">
        <v>0.93</v>
      </c>
      <c r="M682" s="2" t="s">
        <v>60</v>
      </c>
      <c r="N682" s="2" t="s">
        <v>34</v>
      </c>
      <c r="O682" s="2">
        <v>13</v>
      </c>
      <c r="P682" s="2" t="str">
        <f>IF(global_freelancer_raw5[[#This Row],[No of projects ]]&lt;=5,"Entry level","Well Experienced")</f>
        <v>Well Experienced</v>
      </c>
      <c r="Q682" s="2">
        <v>5</v>
      </c>
    </row>
    <row r="683" spans="1:17" x14ac:dyDescent="0.3">
      <c r="A683" t="s">
        <v>1466</v>
      </c>
      <c r="B683" t="s">
        <v>1467</v>
      </c>
      <c r="C683" t="s">
        <v>97</v>
      </c>
      <c r="D683" s="2">
        <v>22</v>
      </c>
      <c r="E683" t="s">
        <v>197</v>
      </c>
      <c r="F683" t="s">
        <v>198</v>
      </c>
      <c r="G683" s="2" t="s">
        <v>21</v>
      </c>
      <c r="H683" s="2">
        <v>1</v>
      </c>
      <c r="I683" s="2" t="s">
        <v>22</v>
      </c>
      <c r="J683" s="2">
        <v>4.8</v>
      </c>
      <c r="K683" s="2" t="s">
        <v>94</v>
      </c>
      <c r="L683" s="2">
        <v>0.75</v>
      </c>
      <c r="M683" s="2" t="s">
        <v>88</v>
      </c>
      <c r="N683" s="2" t="s">
        <v>25</v>
      </c>
      <c r="O683" s="2">
        <v>1</v>
      </c>
      <c r="P683" s="2" t="str">
        <f>IF(global_freelancer_raw5[[#This Row],[No of projects ]]&lt;=5,"Entry level","Well Experienced")</f>
        <v>Entry level</v>
      </c>
      <c r="Q683" s="2">
        <v>1</v>
      </c>
    </row>
    <row r="684" spans="1:17" x14ac:dyDescent="0.3">
      <c r="A684" t="s">
        <v>1468</v>
      </c>
      <c r="B684" t="s">
        <v>1469</v>
      </c>
      <c r="C684" t="s">
        <v>118</v>
      </c>
      <c r="D684" s="2">
        <v>52</v>
      </c>
      <c r="E684" t="s">
        <v>201</v>
      </c>
      <c r="F684" t="s">
        <v>92</v>
      </c>
      <c r="G684" s="2" t="s">
        <v>39</v>
      </c>
      <c r="H684" s="2">
        <v>30</v>
      </c>
      <c r="I684" s="2" t="s">
        <v>32</v>
      </c>
      <c r="J684" s="2">
        <v>2.5</v>
      </c>
      <c r="K684" s="2" t="s">
        <v>2120</v>
      </c>
      <c r="L684" s="2">
        <v>61</v>
      </c>
      <c r="M684" s="2" t="s">
        <v>24</v>
      </c>
      <c r="N684" s="2" t="s">
        <v>34</v>
      </c>
      <c r="O684" s="2">
        <v>19</v>
      </c>
      <c r="P684" s="2" t="str">
        <f>IF(global_freelancer_raw5[[#This Row],[No of projects ]]&lt;=5,"Entry level","Well Experienced")</f>
        <v>Well Experienced</v>
      </c>
      <c r="Q684" s="2">
        <v>14</v>
      </c>
    </row>
    <row r="685" spans="1:17" x14ac:dyDescent="0.3">
      <c r="A685" t="s">
        <v>1470</v>
      </c>
      <c r="B685" t="s">
        <v>1471</v>
      </c>
      <c r="C685" t="s">
        <v>118</v>
      </c>
      <c r="D685" s="2">
        <v>60</v>
      </c>
      <c r="E685" t="s">
        <v>149</v>
      </c>
      <c r="F685" t="s">
        <v>30</v>
      </c>
      <c r="G685" s="2" t="s">
        <v>21</v>
      </c>
      <c r="H685" s="2">
        <v>7</v>
      </c>
      <c r="I685" s="2" t="s">
        <v>130</v>
      </c>
      <c r="J685" s="2">
        <v>0</v>
      </c>
      <c r="K685" s="2" t="s">
        <v>181</v>
      </c>
      <c r="L685" s="2">
        <v>0.97</v>
      </c>
      <c r="M685" s="2" t="s">
        <v>60</v>
      </c>
      <c r="N685" s="2" t="s">
        <v>75</v>
      </c>
      <c r="O685" s="2">
        <v>9</v>
      </c>
      <c r="P685" s="2" t="str">
        <f>IF(global_freelancer_raw5[[#This Row],[No of projects ]]&lt;=5,"Entry level","Well Experienced")</f>
        <v>Well Experienced</v>
      </c>
      <c r="Q685" s="2">
        <v>8</v>
      </c>
    </row>
    <row r="686" spans="1:17" x14ac:dyDescent="0.3">
      <c r="A686" t="s">
        <v>1472</v>
      </c>
      <c r="B686" t="s">
        <v>1473</v>
      </c>
      <c r="C686" t="s">
        <v>97</v>
      </c>
      <c r="D686" s="2">
        <v>33</v>
      </c>
      <c r="E686" t="s">
        <v>106</v>
      </c>
      <c r="F686" t="s">
        <v>107</v>
      </c>
      <c r="G686" s="2" t="s">
        <v>93</v>
      </c>
      <c r="H686" s="2">
        <v>0</v>
      </c>
      <c r="I686" s="2" t="s">
        <v>251</v>
      </c>
      <c r="J686" s="2">
        <v>1.7</v>
      </c>
      <c r="K686" s="2" t="s">
        <v>33</v>
      </c>
      <c r="L686" s="2">
        <v>95</v>
      </c>
      <c r="M686" s="2" t="s">
        <v>24</v>
      </c>
      <c r="N686" s="2" t="s">
        <v>42</v>
      </c>
      <c r="O686" s="2">
        <v>4</v>
      </c>
      <c r="P686" s="2" t="str">
        <f>IF(global_freelancer_raw5[[#This Row],[No of projects ]]&lt;=5,"Entry level","Well Experienced")</f>
        <v>Entry level</v>
      </c>
      <c r="Q686" s="2">
        <v>5</v>
      </c>
    </row>
    <row r="687" spans="1:17" x14ac:dyDescent="0.3">
      <c r="A687" t="s">
        <v>1474</v>
      </c>
      <c r="B687" t="s">
        <v>1475</v>
      </c>
      <c r="C687" t="s">
        <v>118</v>
      </c>
      <c r="D687" s="2">
        <v>52</v>
      </c>
      <c r="E687" t="s">
        <v>133</v>
      </c>
      <c r="F687" t="s">
        <v>134</v>
      </c>
      <c r="G687" s="2" t="s">
        <v>39</v>
      </c>
      <c r="H687" s="2">
        <v>21</v>
      </c>
      <c r="I687" s="2" t="s">
        <v>70</v>
      </c>
      <c r="J687" s="2">
        <v>4</v>
      </c>
      <c r="K687" s="2" t="s">
        <v>2120</v>
      </c>
      <c r="L687" s="2">
        <v>0.69</v>
      </c>
      <c r="M687" s="2" t="s">
        <v>88</v>
      </c>
      <c r="N687" s="2" t="s">
        <v>34</v>
      </c>
      <c r="O687" s="2">
        <v>14</v>
      </c>
      <c r="P687" s="2" t="str">
        <f>IF(global_freelancer_raw5[[#This Row],[No of projects ]]&lt;=5,"Entry level","Well Experienced")</f>
        <v>Well Experienced</v>
      </c>
      <c r="Q687" s="2">
        <v>9</v>
      </c>
    </row>
    <row r="688" spans="1:17" x14ac:dyDescent="0.3">
      <c r="A688" t="s">
        <v>1476</v>
      </c>
      <c r="B688" t="s">
        <v>1477</v>
      </c>
      <c r="C688" t="s">
        <v>97</v>
      </c>
      <c r="D688" s="2">
        <v>25</v>
      </c>
      <c r="E688" t="s">
        <v>38</v>
      </c>
      <c r="F688" t="s">
        <v>38</v>
      </c>
      <c r="G688" s="2" t="s">
        <v>110</v>
      </c>
      <c r="H688" s="2">
        <v>7</v>
      </c>
      <c r="I688" s="2" t="s">
        <v>32</v>
      </c>
      <c r="J688" s="2">
        <v>1.9</v>
      </c>
      <c r="K688" s="2" t="s">
        <v>59</v>
      </c>
      <c r="L688" s="2">
        <v>0.63</v>
      </c>
      <c r="M688" s="2" t="s">
        <v>60</v>
      </c>
      <c r="N688" s="2" t="s">
        <v>34</v>
      </c>
      <c r="O688" s="2">
        <v>11</v>
      </c>
      <c r="P688" s="2" t="str">
        <f>IF(global_freelancer_raw5[[#This Row],[No of projects ]]&lt;=5,"Entry level","Well Experienced")</f>
        <v>Well Experienced</v>
      </c>
      <c r="Q688" s="2">
        <v>5</v>
      </c>
    </row>
    <row r="689" spans="1:17" x14ac:dyDescent="0.3">
      <c r="A689" t="s">
        <v>1478</v>
      </c>
      <c r="B689" t="s">
        <v>1479</v>
      </c>
      <c r="C689" t="s">
        <v>118</v>
      </c>
      <c r="D689" s="2">
        <v>33</v>
      </c>
      <c r="E689" t="s">
        <v>106</v>
      </c>
      <c r="F689" t="s">
        <v>107</v>
      </c>
      <c r="G689" s="2" t="s">
        <v>98</v>
      </c>
      <c r="H689" s="2" t="s">
        <v>2120</v>
      </c>
      <c r="I689" s="2" t="s">
        <v>130</v>
      </c>
      <c r="J689" s="2">
        <v>4.4000000000000004</v>
      </c>
      <c r="K689" s="2" t="s">
        <v>74</v>
      </c>
      <c r="L689" s="2">
        <v>0.65</v>
      </c>
      <c r="M689" s="2" t="s">
        <v>82</v>
      </c>
      <c r="N689" s="2" t="s">
        <v>34</v>
      </c>
      <c r="O689" s="2">
        <v>1</v>
      </c>
      <c r="P689" s="2" t="str">
        <f>IF(global_freelancer_raw5[[#This Row],[No of projects ]]&lt;=5,"Entry level","Well Experienced")</f>
        <v>Entry level</v>
      </c>
      <c r="Q689" s="2">
        <v>1</v>
      </c>
    </row>
    <row r="690" spans="1:17" x14ac:dyDescent="0.3">
      <c r="A690" t="s">
        <v>1480</v>
      </c>
      <c r="B690" t="s">
        <v>1481</v>
      </c>
      <c r="C690" t="s">
        <v>97</v>
      </c>
      <c r="D690" s="2">
        <v>33</v>
      </c>
      <c r="E690" t="s">
        <v>197</v>
      </c>
      <c r="F690" t="s">
        <v>198</v>
      </c>
      <c r="G690" s="2" t="s">
        <v>31</v>
      </c>
      <c r="H690" s="2" t="s">
        <v>2120</v>
      </c>
      <c r="I690" s="2" t="s">
        <v>2119</v>
      </c>
      <c r="J690" s="2">
        <v>4.2</v>
      </c>
      <c r="K690" s="2" t="s">
        <v>94</v>
      </c>
      <c r="L690" s="2">
        <v>0.9</v>
      </c>
      <c r="M690" s="2" t="s">
        <v>88</v>
      </c>
      <c r="N690" s="2" t="s">
        <v>34</v>
      </c>
      <c r="O690" s="2">
        <v>1</v>
      </c>
      <c r="P690" s="2" t="str">
        <f>IF(global_freelancer_raw5[[#This Row],[No of projects ]]&lt;=5,"Entry level","Well Experienced")</f>
        <v>Entry level</v>
      </c>
      <c r="Q690" s="2">
        <v>1</v>
      </c>
    </row>
    <row r="691" spans="1:17" x14ac:dyDescent="0.3">
      <c r="A691" t="s">
        <v>1482</v>
      </c>
      <c r="B691" t="s">
        <v>54</v>
      </c>
      <c r="C691" t="s">
        <v>97</v>
      </c>
      <c r="D691" s="2">
        <v>52</v>
      </c>
      <c r="E691" t="s">
        <v>149</v>
      </c>
      <c r="F691" t="s">
        <v>30</v>
      </c>
      <c r="G691" s="2" t="s">
        <v>93</v>
      </c>
      <c r="H691" s="2">
        <v>25</v>
      </c>
      <c r="I691" s="2" t="s">
        <v>22</v>
      </c>
      <c r="J691" s="2">
        <v>4.8</v>
      </c>
      <c r="K691" s="2" t="s">
        <v>41</v>
      </c>
      <c r="L691" s="2" t="s">
        <v>2120</v>
      </c>
      <c r="M691" s="2" t="s">
        <v>82</v>
      </c>
      <c r="N691" s="2" t="s">
        <v>42</v>
      </c>
      <c r="O691" s="2">
        <v>10</v>
      </c>
      <c r="P691" s="2" t="str">
        <f>IF(global_freelancer_raw5[[#This Row],[No of projects ]]&lt;=5,"Entry level","Well Experienced")</f>
        <v>Well Experienced</v>
      </c>
      <c r="Q691" s="2">
        <v>8</v>
      </c>
    </row>
    <row r="692" spans="1:17" x14ac:dyDescent="0.3">
      <c r="A692" t="s">
        <v>1483</v>
      </c>
      <c r="B692" t="s">
        <v>1484</v>
      </c>
      <c r="C692" t="s">
        <v>97</v>
      </c>
      <c r="D692" s="2">
        <v>20</v>
      </c>
      <c r="E692" t="s">
        <v>64</v>
      </c>
      <c r="F692" t="s">
        <v>65</v>
      </c>
      <c r="G692" s="2" t="s">
        <v>46</v>
      </c>
      <c r="H692" s="2">
        <v>1</v>
      </c>
      <c r="I692" s="2" t="s">
        <v>130</v>
      </c>
      <c r="J692" s="2">
        <v>2</v>
      </c>
      <c r="K692" s="2" t="s">
        <v>181</v>
      </c>
      <c r="L692" s="2">
        <v>0.89</v>
      </c>
      <c r="M692" s="2" t="s">
        <v>24</v>
      </c>
      <c r="N692" s="2" t="s">
        <v>42</v>
      </c>
      <c r="O692" s="2">
        <v>1</v>
      </c>
      <c r="P692" s="2" t="str">
        <f>IF(global_freelancer_raw5[[#This Row],[No of projects ]]&lt;=5,"Entry level","Well Experienced")</f>
        <v>Entry level</v>
      </c>
      <c r="Q692" s="2">
        <v>2</v>
      </c>
    </row>
    <row r="693" spans="1:17" x14ac:dyDescent="0.3">
      <c r="A693" t="s">
        <v>1485</v>
      </c>
      <c r="B693" t="s">
        <v>1486</v>
      </c>
      <c r="C693" t="s">
        <v>97</v>
      </c>
      <c r="D693" s="2">
        <v>43</v>
      </c>
      <c r="E693" t="s">
        <v>145</v>
      </c>
      <c r="F693" t="s">
        <v>146</v>
      </c>
      <c r="G693" s="2" t="s">
        <v>66</v>
      </c>
      <c r="H693" s="2">
        <v>7</v>
      </c>
      <c r="I693" s="2" t="s">
        <v>119</v>
      </c>
      <c r="J693" s="2" t="s">
        <v>2120</v>
      </c>
      <c r="K693" s="2" t="s">
        <v>33</v>
      </c>
      <c r="L693" s="2">
        <v>0.8</v>
      </c>
      <c r="M693" s="2" t="s">
        <v>24</v>
      </c>
      <c r="N693" s="2" t="s">
        <v>75</v>
      </c>
      <c r="O693" s="2">
        <v>11</v>
      </c>
      <c r="P693" s="2" t="str">
        <f>IF(global_freelancer_raw5[[#This Row],[No of projects ]]&lt;=5,"Entry level","Well Experienced")</f>
        <v>Well Experienced</v>
      </c>
      <c r="Q693" s="2">
        <v>3</v>
      </c>
    </row>
    <row r="694" spans="1:17" x14ac:dyDescent="0.3">
      <c r="A694" t="s">
        <v>1487</v>
      </c>
      <c r="B694" t="s">
        <v>1443</v>
      </c>
      <c r="C694" t="s">
        <v>97</v>
      </c>
      <c r="D694" s="2">
        <v>31</v>
      </c>
      <c r="E694" t="s">
        <v>156</v>
      </c>
      <c r="F694" t="s">
        <v>157</v>
      </c>
      <c r="G694" s="2" t="s">
        <v>31</v>
      </c>
      <c r="H694" s="2" t="s">
        <v>2120</v>
      </c>
      <c r="I694" s="2" t="s">
        <v>40</v>
      </c>
      <c r="J694" s="2">
        <v>1.4</v>
      </c>
      <c r="K694" s="2" t="s">
        <v>181</v>
      </c>
      <c r="L694" s="2">
        <v>0.8</v>
      </c>
      <c r="M694" s="2" t="s">
        <v>88</v>
      </c>
      <c r="N694" s="2" t="s">
        <v>42</v>
      </c>
      <c r="O694" s="2">
        <v>5</v>
      </c>
      <c r="P694" s="2" t="str">
        <f>IF(global_freelancer_raw5[[#This Row],[No of projects ]]&lt;=5,"Entry level","Well Experienced")</f>
        <v>Entry level</v>
      </c>
      <c r="Q694" s="2">
        <v>2</v>
      </c>
    </row>
    <row r="695" spans="1:17" x14ac:dyDescent="0.3">
      <c r="A695" t="s">
        <v>1488</v>
      </c>
      <c r="B695" t="s">
        <v>1489</v>
      </c>
      <c r="C695" t="s">
        <v>97</v>
      </c>
      <c r="D695" s="2">
        <v>29</v>
      </c>
      <c r="E695" t="s">
        <v>38</v>
      </c>
      <c r="F695" t="s">
        <v>38</v>
      </c>
      <c r="G695" s="2" t="s">
        <v>66</v>
      </c>
      <c r="H695" s="2">
        <v>6</v>
      </c>
      <c r="I695" s="2" t="s">
        <v>22</v>
      </c>
      <c r="J695" s="2">
        <v>1.8</v>
      </c>
      <c r="K695" s="2" t="s">
        <v>41</v>
      </c>
      <c r="L695" s="2" t="s">
        <v>2120</v>
      </c>
      <c r="M695" s="2" t="s">
        <v>24</v>
      </c>
      <c r="N695" s="2" t="s">
        <v>34</v>
      </c>
      <c r="O695" s="2">
        <v>6</v>
      </c>
      <c r="P695" s="2" t="str">
        <f>IF(global_freelancer_raw5[[#This Row],[No of projects ]]&lt;=5,"Entry level","Well Experienced")</f>
        <v>Well Experienced</v>
      </c>
      <c r="Q695" s="2">
        <v>10</v>
      </c>
    </row>
    <row r="696" spans="1:17" x14ac:dyDescent="0.3">
      <c r="A696" t="s">
        <v>1490</v>
      </c>
      <c r="B696" t="s">
        <v>861</v>
      </c>
      <c r="C696" t="s">
        <v>97</v>
      </c>
      <c r="D696" s="2">
        <v>53</v>
      </c>
      <c r="E696" t="s">
        <v>175</v>
      </c>
      <c r="F696" t="s">
        <v>176</v>
      </c>
      <c r="G696" s="2" t="s">
        <v>39</v>
      </c>
      <c r="H696" s="2">
        <v>35</v>
      </c>
      <c r="I696" s="2" t="s">
        <v>2119</v>
      </c>
      <c r="J696" s="2">
        <v>0</v>
      </c>
      <c r="K696" s="2" t="s">
        <v>33</v>
      </c>
      <c r="L696" s="2">
        <v>0.67</v>
      </c>
      <c r="M696" s="2" t="s">
        <v>82</v>
      </c>
      <c r="N696" s="2" t="s">
        <v>75</v>
      </c>
      <c r="O696" s="2">
        <v>18</v>
      </c>
      <c r="P696" s="2" t="str">
        <f>IF(global_freelancer_raw5[[#This Row],[No of projects ]]&lt;=5,"Entry level","Well Experienced")</f>
        <v>Well Experienced</v>
      </c>
      <c r="Q696" s="2">
        <v>9</v>
      </c>
    </row>
    <row r="697" spans="1:17" x14ac:dyDescent="0.3">
      <c r="A697" t="s">
        <v>1491</v>
      </c>
      <c r="B697" t="s">
        <v>1492</v>
      </c>
      <c r="C697" t="s">
        <v>118</v>
      </c>
      <c r="D697" s="2">
        <v>38</v>
      </c>
      <c r="E697" t="s">
        <v>114</v>
      </c>
      <c r="F697" t="s">
        <v>115</v>
      </c>
      <c r="G697" s="2" t="s">
        <v>31</v>
      </c>
      <c r="H697" s="2">
        <v>1</v>
      </c>
      <c r="I697" s="2" t="s">
        <v>70</v>
      </c>
      <c r="J697" s="2">
        <v>0</v>
      </c>
      <c r="K697" s="2" t="s">
        <v>23</v>
      </c>
      <c r="L697" s="2">
        <v>0.96</v>
      </c>
      <c r="M697" s="2" t="s">
        <v>60</v>
      </c>
      <c r="N697" s="2" t="s">
        <v>75</v>
      </c>
      <c r="O697" s="2">
        <v>2</v>
      </c>
      <c r="P697" s="2" t="str">
        <f>IF(global_freelancer_raw5[[#This Row],[No of projects ]]&lt;=5,"Entry level","Well Experienced")</f>
        <v>Entry level</v>
      </c>
      <c r="Q697" s="2">
        <v>2</v>
      </c>
    </row>
    <row r="698" spans="1:17" x14ac:dyDescent="0.3">
      <c r="A698" t="s">
        <v>1493</v>
      </c>
      <c r="B698" t="s">
        <v>1494</v>
      </c>
      <c r="C698" t="s">
        <v>118</v>
      </c>
      <c r="D698" s="2">
        <v>29</v>
      </c>
      <c r="E698" t="s">
        <v>212</v>
      </c>
      <c r="F698" t="s">
        <v>92</v>
      </c>
      <c r="G698" s="2" t="s">
        <v>39</v>
      </c>
      <c r="H698" s="2" t="s">
        <v>2120</v>
      </c>
      <c r="I698" s="2" t="s">
        <v>162</v>
      </c>
      <c r="J698" s="2">
        <v>0</v>
      </c>
      <c r="K698" s="2" t="s">
        <v>23</v>
      </c>
      <c r="L698" s="2">
        <v>0.9</v>
      </c>
      <c r="M698" s="2" t="s">
        <v>60</v>
      </c>
      <c r="N698" s="2" t="s">
        <v>75</v>
      </c>
      <c r="O698" s="2">
        <v>3</v>
      </c>
      <c r="P698" s="2" t="str">
        <f>IF(global_freelancer_raw5[[#This Row],[No of projects ]]&lt;=5,"Entry level","Well Experienced")</f>
        <v>Entry level</v>
      </c>
      <c r="Q698" s="2">
        <v>3</v>
      </c>
    </row>
    <row r="699" spans="1:17" x14ac:dyDescent="0.3">
      <c r="A699" t="s">
        <v>1495</v>
      </c>
      <c r="B699" t="s">
        <v>1496</v>
      </c>
      <c r="C699" t="s">
        <v>118</v>
      </c>
      <c r="D699" s="2">
        <v>42</v>
      </c>
      <c r="E699" t="s">
        <v>133</v>
      </c>
      <c r="F699" t="s">
        <v>134</v>
      </c>
      <c r="G699" s="2" t="s">
        <v>93</v>
      </c>
      <c r="H699" s="2">
        <v>0</v>
      </c>
      <c r="I699" s="2" t="s">
        <v>2119</v>
      </c>
      <c r="J699" s="2">
        <v>3.9</v>
      </c>
      <c r="K699" s="2" t="s">
        <v>59</v>
      </c>
      <c r="L699" s="2">
        <v>0.62</v>
      </c>
      <c r="M699" s="2" t="s">
        <v>60</v>
      </c>
      <c r="N699" s="2" t="s">
        <v>34</v>
      </c>
      <c r="O699" s="2">
        <v>5</v>
      </c>
      <c r="P699" s="2" t="str">
        <f>IF(global_freelancer_raw5[[#This Row],[No of projects ]]&lt;=5,"Entry level","Well Experienced")</f>
        <v>Entry level</v>
      </c>
      <c r="Q699" s="2">
        <v>2</v>
      </c>
    </row>
    <row r="700" spans="1:17" x14ac:dyDescent="0.3">
      <c r="A700" t="s">
        <v>1497</v>
      </c>
      <c r="B700" t="s">
        <v>1498</v>
      </c>
      <c r="C700" t="s">
        <v>97</v>
      </c>
      <c r="D700" s="2">
        <v>54</v>
      </c>
      <c r="E700" t="s">
        <v>73</v>
      </c>
      <c r="F700" t="s">
        <v>30</v>
      </c>
      <c r="G700" s="2" t="s">
        <v>135</v>
      </c>
      <c r="H700" s="2">
        <v>9</v>
      </c>
      <c r="I700" s="2" t="s">
        <v>22</v>
      </c>
      <c r="J700" s="2" t="s">
        <v>2120</v>
      </c>
      <c r="K700" s="2" t="s">
        <v>41</v>
      </c>
      <c r="L700" s="2">
        <v>0.72</v>
      </c>
      <c r="M700" s="2" t="s">
        <v>88</v>
      </c>
      <c r="N700" s="2" t="s">
        <v>25</v>
      </c>
      <c r="O700" s="2">
        <v>13</v>
      </c>
      <c r="P700" s="2" t="str">
        <f>IF(global_freelancer_raw5[[#This Row],[No of projects ]]&lt;=5,"Entry level","Well Experienced")</f>
        <v>Well Experienced</v>
      </c>
      <c r="Q700" s="2">
        <v>10</v>
      </c>
    </row>
    <row r="701" spans="1:17" x14ac:dyDescent="0.3">
      <c r="A701" t="s">
        <v>1499</v>
      </c>
      <c r="B701" t="s">
        <v>1500</v>
      </c>
      <c r="C701" t="s">
        <v>118</v>
      </c>
      <c r="D701" s="2">
        <v>56</v>
      </c>
      <c r="E701" t="s">
        <v>197</v>
      </c>
      <c r="F701" t="s">
        <v>198</v>
      </c>
      <c r="G701" s="2" t="s">
        <v>93</v>
      </c>
      <c r="H701" s="2">
        <v>18</v>
      </c>
      <c r="I701" s="2" t="s">
        <v>119</v>
      </c>
      <c r="J701" s="2">
        <v>4.4000000000000004</v>
      </c>
      <c r="K701" s="2" t="s">
        <v>94</v>
      </c>
      <c r="L701" s="2">
        <v>0.83</v>
      </c>
      <c r="M701" s="2" t="s">
        <v>24</v>
      </c>
      <c r="N701" s="2" t="s">
        <v>34</v>
      </c>
      <c r="O701" s="2">
        <v>18</v>
      </c>
      <c r="P701" s="2" t="str">
        <f>IF(global_freelancer_raw5[[#This Row],[No of projects ]]&lt;=5,"Entry level","Well Experienced")</f>
        <v>Well Experienced</v>
      </c>
      <c r="Q701" s="2">
        <v>10</v>
      </c>
    </row>
    <row r="702" spans="1:17" x14ac:dyDescent="0.3">
      <c r="A702" t="s">
        <v>1501</v>
      </c>
      <c r="B702" t="s">
        <v>1502</v>
      </c>
      <c r="C702" t="s">
        <v>97</v>
      </c>
      <c r="D702" s="2">
        <v>47</v>
      </c>
      <c r="E702" t="s">
        <v>79</v>
      </c>
      <c r="F702" t="s">
        <v>80</v>
      </c>
      <c r="G702" s="2" t="s">
        <v>39</v>
      </c>
      <c r="H702" s="2">
        <v>22</v>
      </c>
      <c r="I702" s="2" t="s">
        <v>22</v>
      </c>
      <c r="J702" s="2">
        <v>4.4000000000000004</v>
      </c>
      <c r="K702" s="2" t="s">
        <v>181</v>
      </c>
      <c r="L702" s="2">
        <v>0.7</v>
      </c>
      <c r="M702" s="2" t="s">
        <v>82</v>
      </c>
      <c r="N702" s="2" t="s">
        <v>42</v>
      </c>
      <c r="O702" s="2">
        <v>17</v>
      </c>
      <c r="P702" s="2" t="str">
        <f>IF(global_freelancer_raw5[[#This Row],[No of projects ]]&lt;=5,"Entry level","Well Experienced")</f>
        <v>Well Experienced</v>
      </c>
      <c r="Q702" s="2">
        <v>16</v>
      </c>
    </row>
    <row r="703" spans="1:17" x14ac:dyDescent="0.3">
      <c r="A703" t="s">
        <v>1503</v>
      </c>
      <c r="B703" t="s">
        <v>1504</v>
      </c>
      <c r="C703" t="s">
        <v>118</v>
      </c>
      <c r="D703" s="2">
        <v>45</v>
      </c>
      <c r="E703" t="s">
        <v>145</v>
      </c>
      <c r="F703" t="s">
        <v>146</v>
      </c>
      <c r="G703" s="2" t="s">
        <v>21</v>
      </c>
      <c r="H703" s="2">
        <v>25</v>
      </c>
      <c r="I703" s="2" t="s">
        <v>40</v>
      </c>
      <c r="J703" s="2">
        <v>0</v>
      </c>
      <c r="K703" s="2" t="s">
        <v>181</v>
      </c>
      <c r="L703" s="2">
        <v>99</v>
      </c>
      <c r="M703" s="2" t="s">
        <v>24</v>
      </c>
      <c r="N703" s="2" t="s">
        <v>42</v>
      </c>
      <c r="O703" s="2">
        <v>17</v>
      </c>
      <c r="P703" s="2" t="str">
        <f>IF(global_freelancer_raw5[[#This Row],[No of projects ]]&lt;=5,"Entry level","Well Experienced")</f>
        <v>Well Experienced</v>
      </c>
      <c r="Q703" s="2">
        <v>3</v>
      </c>
    </row>
    <row r="704" spans="1:17" x14ac:dyDescent="0.3">
      <c r="A704" t="s">
        <v>1505</v>
      </c>
      <c r="B704" t="s">
        <v>1506</v>
      </c>
      <c r="C704" t="s">
        <v>118</v>
      </c>
      <c r="D704" s="2">
        <v>45</v>
      </c>
      <c r="E704" t="s">
        <v>197</v>
      </c>
      <c r="F704" t="s">
        <v>198</v>
      </c>
      <c r="G704" s="2" t="s">
        <v>66</v>
      </c>
      <c r="H704" s="2">
        <v>6</v>
      </c>
      <c r="I704" s="2" t="s">
        <v>40</v>
      </c>
      <c r="J704" s="2">
        <v>1.4</v>
      </c>
      <c r="K704" s="2" t="s">
        <v>2120</v>
      </c>
      <c r="L704" s="2">
        <v>97</v>
      </c>
      <c r="M704" s="2" t="s">
        <v>24</v>
      </c>
      <c r="N704" s="2" t="s">
        <v>34</v>
      </c>
      <c r="O704" s="2">
        <v>6</v>
      </c>
      <c r="P704" s="2" t="str">
        <f>IF(global_freelancer_raw5[[#This Row],[No of projects ]]&lt;=5,"Entry level","Well Experienced")</f>
        <v>Well Experienced</v>
      </c>
      <c r="Q704" s="2">
        <v>5</v>
      </c>
    </row>
    <row r="705" spans="1:17" x14ac:dyDescent="0.3">
      <c r="A705" t="s">
        <v>1507</v>
      </c>
      <c r="B705" t="s">
        <v>1508</v>
      </c>
      <c r="C705" t="s">
        <v>118</v>
      </c>
      <c r="D705" s="2">
        <v>35</v>
      </c>
      <c r="E705" t="s">
        <v>149</v>
      </c>
      <c r="F705" t="s">
        <v>30</v>
      </c>
      <c r="G705" s="2" t="s">
        <v>135</v>
      </c>
      <c r="H705" s="2">
        <v>10</v>
      </c>
      <c r="I705" s="2" t="s">
        <v>162</v>
      </c>
      <c r="J705" s="2">
        <v>3.2</v>
      </c>
      <c r="K705" s="2" t="s">
        <v>74</v>
      </c>
      <c r="L705" s="2">
        <v>0.77</v>
      </c>
      <c r="M705" s="2" t="s">
        <v>24</v>
      </c>
      <c r="N705" s="2" t="s">
        <v>34</v>
      </c>
      <c r="O705" s="2">
        <v>6</v>
      </c>
      <c r="P705" s="2" t="str">
        <f>IF(global_freelancer_raw5[[#This Row],[No of projects ]]&lt;=5,"Entry level","Well Experienced")</f>
        <v>Well Experienced</v>
      </c>
      <c r="Q705" s="2">
        <v>10</v>
      </c>
    </row>
    <row r="706" spans="1:17" x14ac:dyDescent="0.3">
      <c r="A706" t="s">
        <v>1509</v>
      </c>
      <c r="B706" t="s">
        <v>1510</v>
      </c>
      <c r="C706" t="s">
        <v>118</v>
      </c>
      <c r="D706" s="2">
        <v>51</v>
      </c>
      <c r="E706" t="s">
        <v>149</v>
      </c>
      <c r="F706" t="s">
        <v>30</v>
      </c>
      <c r="G706" s="2" t="s">
        <v>110</v>
      </c>
      <c r="H706" s="2">
        <v>4</v>
      </c>
      <c r="I706" s="2" t="s">
        <v>119</v>
      </c>
      <c r="J706" s="2">
        <v>2</v>
      </c>
      <c r="K706" s="2" t="s">
        <v>181</v>
      </c>
      <c r="L706" s="2">
        <v>0.92</v>
      </c>
      <c r="M706" s="2" t="s">
        <v>60</v>
      </c>
      <c r="N706" s="2" t="s">
        <v>75</v>
      </c>
      <c r="O706" s="2">
        <v>2</v>
      </c>
      <c r="P706" s="2" t="str">
        <f>IF(global_freelancer_raw5[[#This Row],[No of projects ]]&lt;=5,"Entry level","Well Experienced")</f>
        <v>Entry level</v>
      </c>
      <c r="Q706" s="2">
        <v>2</v>
      </c>
    </row>
    <row r="707" spans="1:17" x14ac:dyDescent="0.3">
      <c r="A707" t="s">
        <v>1511</v>
      </c>
      <c r="B707" t="s">
        <v>1512</v>
      </c>
      <c r="C707" t="s">
        <v>97</v>
      </c>
      <c r="D707" s="2">
        <v>34</v>
      </c>
      <c r="E707" t="s">
        <v>212</v>
      </c>
      <c r="F707" t="s">
        <v>92</v>
      </c>
      <c r="G707" s="2" t="s">
        <v>31</v>
      </c>
      <c r="H707" s="2">
        <v>11</v>
      </c>
      <c r="I707" s="2" t="s">
        <v>40</v>
      </c>
      <c r="J707" s="2">
        <v>3.3</v>
      </c>
      <c r="K707" s="2" t="s">
        <v>87</v>
      </c>
      <c r="L707" s="2">
        <v>0.76</v>
      </c>
      <c r="M707" s="2" t="s">
        <v>82</v>
      </c>
      <c r="N707" s="2" t="s">
        <v>34</v>
      </c>
      <c r="O707" s="2">
        <v>9</v>
      </c>
      <c r="P707" s="2" t="str">
        <f>IF(global_freelancer_raw5[[#This Row],[No of projects ]]&lt;=5,"Entry level","Well Experienced")</f>
        <v>Well Experienced</v>
      </c>
      <c r="Q707" s="2">
        <v>4</v>
      </c>
    </row>
    <row r="708" spans="1:17" x14ac:dyDescent="0.3">
      <c r="A708" t="s">
        <v>1513</v>
      </c>
      <c r="B708" t="s">
        <v>1514</v>
      </c>
      <c r="C708" t="s">
        <v>97</v>
      </c>
      <c r="D708" s="2">
        <v>51</v>
      </c>
      <c r="E708" t="s">
        <v>64</v>
      </c>
      <c r="F708" t="s">
        <v>65</v>
      </c>
      <c r="G708" s="2" t="s">
        <v>39</v>
      </c>
      <c r="H708" s="2">
        <v>1</v>
      </c>
      <c r="I708" s="2" t="s">
        <v>81</v>
      </c>
      <c r="J708" s="2">
        <v>0</v>
      </c>
      <c r="K708" s="2" t="s">
        <v>94</v>
      </c>
      <c r="L708" s="2">
        <v>0.97</v>
      </c>
      <c r="M708" s="2" t="s">
        <v>82</v>
      </c>
      <c r="N708" s="2" t="s">
        <v>75</v>
      </c>
      <c r="O708" s="2">
        <v>1</v>
      </c>
      <c r="P708" s="2" t="str">
        <f>IF(global_freelancer_raw5[[#This Row],[No of projects ]]&lt;=5,"Entry level","Well Experienced")</f>
        <v>Entry level</v>
      </c>
      <c r="Q708" s="2">
        <v>1</v>
      </c>
    </row>
    <row r="709" spans="1:17" x14ac:dyDescent="0.3">
      <c r="A709" t="s">
        <v>1515</v>
      </c>
      <c r="B709" t="s">
        <v>1516</v>
      </c>
      <c r="C709" t="s">
        <v>118</v>
      </c>
      <c r="D709" s="2">
        <v>58</v>
      </c>
      <c r="E709" t="s">
        <v>160</v>
      </c>
      <c r="F709" t="s">
        <v>161</v>
      </c>
      <c r="G709" s="2" t="s">
        <v>39</v>
      </c>
      <c r="H709" s="2">
        <v>35</v>
      </c>
      <c r="I709" s="2" t="s">
        <v>32</v>
      </c>
      <c r="J709" s="2">
        <v>2.2999999999999998</v>
      </c>
      <c r="K709" s="2" t="s">
        <v>94</v>
      </c>
      <c r="L709" s="2" t="s">
        <v>2120</v>
      </c>
      <c r="M709" s="2" t="s">
        <v>24</v>
      </c>
      <c r="N709" s="2" t="s">
        <v>42</v>
      </c>
      <c r="O709" s="2">
        <v>16</v>
      </c>
      <c r="P709" s="2" t="str">
        <f>IF(global_freelancer_raw5[[#This Row],[No of projects ]]&lt;=5,"Entry level","Well Experienced")</f>
        <v>Well Experienced</v>
      </c>
      <c r="Q709" s="2">
        <v>5</v>
      </c>
    </row>
    <row r="710" spans="1:17" x14ac:dyDescent="0.3">
      <c r="A710" t="s">
        <v>1517</v>
      </c>
      <c r="B710" t="s">
        <v>1518</v>
      </c>
      <c r="C710" t="s">
        <v>97</v>
      </c>
      <c r="D710" s="2">
        <v>36</v>
      </c>
      <c r="E710" t="s">
        <v>55</v>
      </c>
      <c r="F710" t="s">
        <v>56</v>
      </c>
      <c r="G710" s="2" t="s">
        <v>46</v>
      </c>
      <c r="H710" s="2">
        <v>17</v>
      </c>
      <c r="I710" s="2" t="s">
        <v>142</v>
      </c>
      <c r="J710" s="2">
        <v>0</v>
      </c>
      <c r="K710" s="2" t="s">
        <v>33</v>
      </c>
      <c r="L710" s="2">
        <v>99</v>
      </c>
      <c r="M710" s="2" t="s">
        <v>60</v>
      </c>
      <c r="N710" s="2" t="s">
        <v>75</v>
      </c>
      <c r="O710" s="2">
        <v>12</v>
      </c>
      <c r="P710" s="2" t="str">
        <f>IF(global_freelancer_raw5[[#This Row],[No of projects ]]&lt;=5,"Entry level","Well Experienced")</f>
        <v>Well Experienced</v>
      </c>
      <c r="Q710" s="2">
        <v>8</v>
      </c>
    </row>
    <row r="711" spans="1:17" x14ac:dyDescent="0.3">
      <c r="A711" t="s">
        <v>1519</v>
      </c>
      <c r="B711" t="s">
        <v>1520</v>
      </c>
      <c r="C711" t="s">
        <v>118</v>
      </c>
      <c r="D711" s="2" t="s">
        <v>2119</v>
      </c>
      <c r="E711" t="s">
        <v>145</v>
      </c>
      <c r="F711" t="s">
        <v>146</v>
      </c>
      <c r="G711" s="2" t="s">
        <v>57</v>
      </c>
      <c r="H711" s="2">
        <v>12</v>
      </c>
      <c r="I711" s="2" t="s">
        <v>52</v>
      </c>
      <c r="J711" s="2">
        <v>2.6</v>
      </c>
      <c r="K711" s="2" t="s">
        <v>94</v>
      </c>
      <c r="L711" s="2" t="s">
        <v>2120</v>
      </c>
      <c r="M711" s="2" t="s">
        <v>60</v>
      </c>
      <c r="N711" s="2" t="s">
        <v>34</v>
      </c>
      <c r="O711" s="2">
        <v>6</v>
      </c>
      <c r="P711" s="2" t="str">
        <f>IF(global_freelancer_raw5[[#This Row],[No of projects ]]&lt;=5,"Entry level","Well Experienced")</f>
        <v>Well Experienced</v>
      </c>
      <c r="Q711" s="2">
        <v>10</v>
      </c>
    </row>
    <row r="712" spans="1:17" x14ac:dyDescent="0.3">
      <c r="A712" t="s">
        <v>1521</v>
      </c>
      <c r="B712" t="s">
        <v>1522</v>
      </c>
      <c r="C712" t="s">
        <v>118</v>
      </c>
      <c r="D712" s="2">
        <v>56</v>
      </c>
      <c r="E712" t="s">
        <v>175</v>
      </c>
      <c r="F712" t="s">
        <v>176</v>
      </c>
      <c r="G712" s="2" t="s">
        <v>135</v>
      </c>
      <c r="H712" s="2">
        <v>30</v>
      </c>
      <c r="I712" s="2" t="s">
        <v>86</v>
      </c>
      <c r="J712" s="2">
        <v>3.3</v>
      </c>
      <c r="K712" s="2" t="s">
        <v>87</v>
      </c>
      <c r="L712" s="2">
        <v>0.82</v>
      </c>
      <c r="M712" s="2" t="s">
        <v>82</v>
      </c>
      <c r="N712" s="2" t="s">
        <v>42</v>
      </c>
      <c r="O712" s="2">
        <v>12</v>
      </c>
      <c r="P712" s="2" t="str">
        <f>IF(global_freelancer_raw5[[#This Row],[No of projects ]]&lt;=5,"Entry level","Well Experienced")</f>
        <v>Well Experienced</v>
      </c>
      <c r="Q712" s="2">
        <v>3</v>
      </c>
    </row>
    <row r="713" spans="1:17" x14ac:dyDescent="0.3">
      <c r="A713" t="s">
        <v>1523</v>
      </c>
      <c r="B713" t="s">
        <v>1524</v>
      </c>
      <c r="C713" t="s">
        <v>97</v>
      </c>
      <c r="D713" s="2">
        <v>58</v>
      </c>
      <c r="E713" t="s">
        <v>149</v>
      </c>
      <c r="F713" t="s">
        <v>30</v>
      </c>
      <c r="G713" s="2" t="s">
        <v>98</v>
      </c>
      <c r="H713" s="2">
        <v>20</v>
      </c>
      <c r="I713" s="2" t="s">
        <v>103</v>
      </c>
      <c r="J713" s="2">
        <v>3.6</v>
      </c>
      <c r="K713" s="2" t="s">
        <v>87</v>
      </c>
      <c r="L713" s="2">
        <v>0.78</v>
      </c>
      <c r="M713" s="2" t="s">
        <v>60</v>
      </c>
      <c r="N713" s="2" t="s">
        <v>25</v>
      </c>
      <c r="O713" s="2">
        <v>11</v>
      </c>
      <c r="P713" s="2" t="str">
        <f>IF(global_freelancer_raw5[[#This Row],[No of projects ]]&lt;=5,"Entry level","Well Experienced")</f>
        <v>Well Experienced</v>
      </c>
      <c r="Q713" s="2">
        <v>13</v>
      </c>
    </row>
    <row r="714" spans="1:17" x14ac:dyDescent="0.3">
      <c r="A714" t="s">
        <v>1525</v>
      </c>
      <c r="B714" t="s">
        <v>1526</v>
      </c>
      <c r="C714" t="s">
        <v>97</v>
      </c>
      <c r="D714" s="2">
        <v>58</v>
      </c>
      <c r="E714" t="s">
        <v>73</v>
      </c>
      <c r="F714" t="s">
        <v>30</v>
      </c>
      <c r="G714" s="2" t="s">
        <v>98</v>
      </c>
      <c r="H714" s="2">
        <v>22</v>
      </c>
      <c r="I714" s="2" t="s">
        <v>22</v>
      </c>
      <c r="J714" s="2">
        <v>3.7</v>
      </c>
      <c r="K714" s="2" t="s">
        <v>23</v>
      </c>
      <c r="L714" s="2" t="s">
        <v>2120</v>
      </c>
      <c r="M714" s="2" t="s">
        <v>60</v>
      </c>
      <c r="N714" s="2" t="s">
        <v>75</v>
      </c>
      <c r="O714" s="2">
        <v>13</v>
      </c>
      <c r="P714" s="2" t="str">
        <f>IF(global_freelancer_raw5[[#This Row],[No of projects ]]&lt;=5,"Entry level","Well Experienced")</f>
        <v>Well Experienced</v>
      </c>
      <c r="Q714" s="2">
        <v>8</v>
      </c>
    </row>
    <row r="715" spans="1:17" x14ac:dyDescent="0.3">
      <c r="A715" t="s">
        <v>1527</v>
      </c>
      <c r="B715" t="s">
        <v>1528</v>
      </c>
      <c r="C715" t="s">
        <v>97</v>
      </c>
      <c r="D715" s="2">
        <v>54</v>
      </c>
      <c r="E715" t="s">
        <v>85</v>
      </c>
      <c r="F715" t="s">
        <v>30</v>
      </c>
      <c r="G715" s="2" t="s">
        <v>57</v>
      </c>
      <c r="H715" s="2">
        <v>32</v>
      </c>
      <c r="I715" s="2" t="s">
        <v>142</v>
      </c>
      <c r="J715" s="2">
        <v>3.4</v>
      </c>
      <c r="K715" s="2" t="s">
        <v>181</v>
      </c>
      <c r="L715" s="2" t="s">
        <v>2120</v>
      </c>
      <c r="M715" s="2" t="s">
        <v>60</v>
      </c>
      <c r="N715" s="2" t="s">
        <v>42</v>
      </c>
      <c r="O715" s="2">
        <v>11</v>
      </c>
      <c r="P715" s="2" t="str">
        <f>IF(global_freelancer_raw5[[#This Row],[No of projects ]]&lt;=5,"Entry level","Well Experienced")</f>
        <v>Well Experienced</v>
      </c>
      <c r="Q715" s="2">
        <v>15</v>
      </c>
    </row>
    <row r="716" spans="1:17" x14ac:dyDescent="0.3">
      <c r="A716" t="s">
        <v>1529</v>
      </c>
      <c r="B716" t="s">
        <v>1530</v>
      </c>
      <c r="C716" t="s">
        <v>118</v>
      </c>
      <c r="D716" s="2">
        <v>53</v>
      </c>
      <c r="E716" t="s">
        <v>29</v>
      </c>
      <c r="F716" t="s">
        <v>30</v>
      </c>
      <c r="G716" s="2" t="s">
        <v>93</v>
      </c>
      <c r="H716" s="2">
        <v>9</v>
      </c>
      <c r="I716" s="2" t="s">
        <v>40</v>
      </c>
      <c r="J716" s="2">
        <v>4</v>
      </c>
      <c r="K716" s="2" t="s">
        <v>94</v>
      </c>
      <c r="L716" s="2">
        <v>0.72</v>
      </c>
      <c r="M716" s="2" t="s">
        <v>88</v>
      </c>
      <c r="N716" s="2" t="s">
        <v>75</v>
      </c>
      <c r="O716" s="2">
        <v>14</v>
      </c>
      <c r="P716" s="2" t="str">
        <f>IF(global_freelancer_raw5[[#This Row],[No of projects ]]&lt;=5,"Entry level","Well Experienced")</f>
        <v>Well Experienced</v>
      </c>
      <c r="Q716" s="2">
        <v>2</v>
      </c>
    </row>
    <row r="717" spans="1:17" x14ac:dyDescent="0.3">
      <c r="A717" t="s">
        <v>1531</v>
      </c>
      <c r="B717" t="s">
        <v>1532</v>
      </c>
      <c r="C717" t="s">
        <v>97</v>
      </c>
      <c r="D717" s="2">
        <v>43</v>
      </c>
      <c r="E717" t="s">
        <v>29</v>
      </c>
      <c r="F717" t="s">
        <v>30</v>
      </c>
      <c r="G717" s="2" t="s">
        <v>46</v>
      </c>
      <c r="H717" s="2">
        <v>22</v>
      </c>
      <c r="I717" s="2" t="s">
        <v>86</v>
      </c>
      <c r="J717" s="2">
        <v>4.5</v>
      </c>
      <c r="K717" s="2" t="s">
        <v>2120</v>
      </c>
      <c r="L717" s="2" t="s">
        <v>2120</v>
      </c>
      <c r="M717" s="2" t="s">
        <v>24</v>
      </c>
      <c r="N717" s="2" t="s">
        <v>42</v>
      </c>
      <c r="O717" s="2">
        <v>16</v>
      </c>
      <c r="P717" s="2" t="str">
        <f>IF(global_freelancer_raw5[[#This Row],[No of projects ]]&lt;=5,"Entry level","Well Experienced")</f>
        <v>Well Experienced</v>
      </c>
      <c r="Q717" s="2">
        <v>6</v>
      </c>
    </row>
    <row r="718" spans="1:17" x14ac:dyDescent="0.3">
      <c r="A718" t="s">
        <v>1533</v>
      </c>
      <c r="B718" t="s">
        <v>1534</v>
      </c>
      <c r="C718" t="s">
        <v>118</v>
      </c>
      <c r="D718" s="2">
        <v>44</v>
      </c>
      <c r="E718" t="s">
        <v>133</v>
      </c>
      <c r="F718" t="s">
        <v>134</v>
      </c>
      <c r="G718" s="2" t="s">
        <v>135</v>
      </c>
      <c r="H718" s="2">
        <v>1</v>
      </c>
      <c r="I718" s="2" t="s">
        <v>103</v>
      </c>
      <c r="J718" s="2">
        <v>4.3</v>
      </c>
      <c r="K718" s="2" t="s">
        <v>33</v>
      </c>
      <c r="L718" s="2" t="s">
        <v>2120</v>
      </c>
      <c r="M718" s="2" t="s">
        <v>82</v>
      </c>
      <c r="N718" s="2" t="s">
        <v>42</v>
      </c>
      <c r="O718" s="2">
        <v>1</v>
      </c>
      <c r="P718" s="2" t="str">
        <f>IF(global_freelancer_raw5[[#This Row],[No of projects ]]&lt;=5,"Entry level","Well Experienced")</f>
        <v>Entry level</v>
      </c>
      <c r="Q718" s="2">
        <v>1</v>
      </c>
    </row>
    <row r="719" spans="1:17" x14ac:dyDescent="0.3">
      <c r="A719" t="s">
        <v>1535</v>
      </c>
      <c r="B719" t="s">
        <v>1536</v>
      </c>
      <c r="C719" t="s">
        <v>118</v>
      </c>
      <c r="D719" s="2">
        <v>34</v>
      </c>
      <c r="E719" t="s">
        <v>149</v>
      </c>
      <c r="F719" t="s">
        <v>30</v>
      </c>
      <c r="G719" s="2" t="s">
        <v>98</v>
      </c>
      <c r="H719" s="2">
        <v>4</v>
      </c>
      <c r="I719" s="2" t="s">
        <v>103</v>
      </c>
      <c r="J719" s="2">
        <v>4</v>
      </c>
      <c r="K719" s="2" t="s">
        <v>33</v>
      </c>
      <c r="L719" s="2" t="s">
        <v>2120</v>
      </c>
      <c r="M719" s="2" t="s">
        <v>82</v>
      </c>
      <c r="N719" s="2" t="s">
        <v>75</v>
      </c>
      <c r="O719" s="2">
        <v>3</v>
      </c>
      <c r="P719" s="2" t="str">
        <f>IF(global_freelancer_raw5[[#This Row],[No of projects ]]&lt;=5,"Entry level","Well Experienced")</f>
        <v>Entry level</v>
      </c>
      <c r="Q719" s="2">
        <v>2</v>
      </c>
    </row>
    <row r="720" spans="1:17" x14ac:dyDescent="0.3">
      <c r="A720" t="s">
        <v>1537</v>
      </c>
      <c r="B720" t="s">
        <v>1538</v>
      </c>
      <c r="C720" t="s">
        <v>97</v>
      </c>
      <c r="D720" s="2">
        <v>27</v>
      </c>
      <c r="E720" t="s">
        <v>128</v>
      </c>
      <c r="F720" t="s">
        <v>129</v>
      </c>
      <c r="G720" s="2" t="s">
        <v>31</v>
      </c>
      <c r="H720" s="2">
        <v>8</v>
      </c>
      <c r="I720" s="2" t="s">
        <v>81</v>
      </c>
      <c r="J720" s="2">
        <v>1.6</v>
      </c>
      <c r="K720" s="2" t="s">
        <v>87</v>
      </c>
      <c r="L720" s="2" t="s">
        <v>2120</v>
      </c>
      <c r="M720" s="2" t="s">
        <v>88</v>
      </c>
      <c r="N720" s="2" t="s">
        <v>25</v>
      </c>
      <c r="O720" s="2">
        <v>15</v>
      </c>
      <c r="P720" s="2" t="str">
        <f>IF(global_freelancer_raw5[[#This Row],[No of projects ]]&lt;=5,"Entry level","Well Experienced")</f>
        <v>Well Experienced</v>
      </c>
      <c r="Q720" s="2">
        <v>5</v>
      </c>
    </row>
    <row r="721" spans="1:17" x14ac:dyDescent="0.3">
      <c r="A721" t="s">
        <v>1539</v>
      </c>
      <c r="B721" t="s">
        <v>1540</v>
      </c>
      <c r="C721" t="s">
        <v>118</v>
      </c>
      <c r="D721" s="2">
        <v>50</v>
      </c>
      <c r="E721" t="s">
        <v>106</v>
      </c>
      <c r="F721" t="s">
        <v>107</v>
      </c>
      <c r="G721" s="2" t="s">
        <v>66</v>
      </c>
      <c r="H721" s="2">
        <v>3</v>
      </c>
      <c r="I721" s="2" t="s">
        <v>22</v>
      </c>
      <c r="J721" s="2">
        <v>0</v>
      </c>
      <c r="K721" s="2" t="s">
        <v>94</v>
      </c>
      <c r="L721" s="2" t="s">
        <v>2120</v>
      </c>
      <c r="M721" s="2" t="s">
        <v>24</v>
      </c>
      <c r="N721" s="2" t="s">
        <v>42</v>
      </c>
      <c r="O721" s="2">
        <v>2</v>
      </c>
      <c r="P721" s="2" t="str">
        <f>IF(global_freelancer_raw5[[#This Row],[No of projects ]]&lt;=5,"Entry level","Well Experienced")</f>
        <v>Entry level</v>
      </c>
      <c r="Q721" s="2">
        <v>2</v>
      </c>
    </row>
    <row r="722" spans="1:17" x14ac:dyDescent="0.3">
      <c r="A722" t="s">
        <v>1541</v>
      </c>
      <c r="B722" t="s">
        <v>1542</v>
      </c>
      <c r="C722" t="s">
        <v>97</v>
      </c>
      <c r="D722" s="2">
        <v>52</v>
      </c>
      <c r="E722" t="s">
        <v>133</v>
      </c>
      <c r="F722" t="s">
        <v>134</v>
      </c>
      <c r="G722" s="2" t="s">
        <v>93</v>
      </c>
      <c r="H722" s="2">
        <v>30</v>
      </c>
      <c r="I722" s="2" t="s">
        <v>103</v>
      </c>
      <c r="J722" s="2" t="s">
        <v>2120</v>
      </c>
      <c r="K722" s="2" t="s">
        <v>181</v>
      </c>
      <c r="L722" s="2">
        <v>0.94</v>
      </c>
      <c r="M722" s="2" t="s">
        <v>82</v>
      </c>
      <c r="N722" s="2" t="s">
        <v>42</v>
      </c>
      <c r="O722" s="2">
        <v>10</v>
      </c>
      <c r="P722" s="2" t="str">
        <f>IF(global_freelancer_raw5[[#This Row],[No of projects ]]&lt;=5,"Entry level","Well Experienced")</f>
        <v>Well Experienced</v>
      </c>
      <c r="Q722" s="2">
        <v>6</v>
      </c>
    </row>
    <row r="723" spans="1:17" x14ac:dyDescent="0.3">
      <c r="A723" t="s">
        <v>1543</v>
      </c>
      <c r="B723" t="s">
        <v>1544</v>
      </c>
      <c r="C723" t="s">
        <v>118</v>
      </c>
      <c r="D723" s="2">
        <v>57</v>
      </c>
      <c r="E723" t="s">
        <v>212</v>
      </c>
      <c r="F723" t="s">
        <v>92</v>
      </c>
      <c r="G723" s="2" t="s">
        <v>21</v>
      </c>
      <c r="H723" s="2">
        <v>11</v>
      </c>
      <c r="I723" s="2" t="s">
        <v>336</v>
      </c>
      <c r="J723" s="2">
        <v>4.9000000000000004</v>
      </c>
      <c r="K723" s="2" t="s">
        <v>94</v>
      </c>
      <c r="L723" s="2" t="s">
        <v>2120</v>
      </c>
      <c r="M723" s="2" t="s">
        <v>60</v>
      </c>
      <c r="N723" s="2" t="s">
        <v>42</v>
      </c>
      <c r="O723" s="2">
        <v>11</v>
      </c>
      <c r="P723" s="2" t="str">
        <f>IF(global_freelancer_raw5[[#This Row],[No of projects ]]&lt;=5,"Entry level","Well Experienced")</f>
        <v>Well Experienced</v>
      </c>
      <c r="Q723" s="2">
        <v>4</v>
      </c>
    </row>
    <row r="724" spans="1:17" x14ac:dyDescent="0.3">
      <c r="A724" t="s">
        <v>1545</v>
      </c>
      <c r="B724" t="s">
        <v>1546</v>
      </c>
      <c r="C724" t="s">
        <v>97</v>
      </c>
      <c r="D724" s="2">
        <v>53</v>
      </c>
      <c r="E724" t="s">
        <v>201</v>
      </c>
      <c r="F724" t="s">
        <v>92</v>
      </c>
      <c r="G724" s="2" t="s">
        <v>110</v>
      </c>
      <c r="H724" s="2">
        <v>8</v>
      </c>
      <c r="I724" s="2" t="s">
        <v>162</v>
      </c>
      <c r="J724" s="2">
        <v>2.8</v>
      </c>
      <c r="K724" s="2" t="s">
        <v>74</v>
      </c>
      <c r="L724" s="2" t="s">
        <v>2120</v>
      </c>
      <c r="M724" s="2" t="s">
        <v>82</v>
      </c>
      <c r="N724" s="2" t="s">
        <v>25</v>
      </c>
      <c r="O724" s="2">
        <v>9</v>
      </c>
      <c r="P724" s="2" t="str">
        <f>IF(global_freelancer_raw5[[#This Row],[No of projects ]]&lt;=5,"Entry level","Well Experienced")</f>
        <v>Well Experienced</v>
      </c>
      <c r="Q724" s="2">
        <v>2</v>
      </c>
    </row>
    <row r="725" spans="1:17" x14ac:dyDescent="0.3">
      <c r="A725" t="s">
        <v>1547</v>
      </c>
      <c r="B725" t="s">
        <v>1548</v>
      </c>
      <c r="C725" t="s">
        <v>118</v>
      </c>
      <c r="D725" s="2">
        <v>51</v>
      </c>
      <c r="E725" t="s">
        <v>79</v>
      </c>
      <c r="F725" t="s">
        <v>80</v>
      </c>
      <c r="G725" s="2" t="s">
        <v>93</v>
      </c>
      <c r="H725" s="2">
        <v>11</v>
      </c>
      <c r="I725" s="2" t="s">
        <v>130</v>
      </c>
      <c r="J725" s="2">
        <v>3.6</v>
      </c>
      <c r="K725" s="2" t="s">
        <v>94</v>
      </c>
      <c r="L725" s="2">
        <v>0.77</v>
      </c>
      <c r="M725" s="2" t="s">
        <v>60</v>
      </c>
      <c r="N725" s="2" t="s">
        <v>25</v>
      </c>
      <c r="O725" s="2">
        <v>7</v>
      </c>
      <c r="P725" s="2" t="str">
        <f>IF(global_freelancer_raw5[[#This Row],[No of projects ]]&lt;=5,"Entry level","Well Experienced")</f>
        <v>Well Experienced</v>
      </c>
      <c r="Q725" s="2">
        <v>3</v>
      </c>
    </row>
    <row r="726" spans="1:17" x14ac:dyDescent="0.3">
      <c r="A726" t="s">
        <v>1549</v>
      </c>
      <c r="B726" t="s">
        <v>1550</v>
      </c>
      <c r="C726" t="s">
        <v>97</v>
      </c>
      <c r="D726" s="2">
        <v>37</v>
      </c>
      <c r="E726" t="s">
        <v>149</v>
      </c>
      <c r="F726" t="s">
        <v>30</v>
      </c>
      <c r="G726" s="2" t="s">
        <v>98</v>
      </c>
      <c r="H726" s="2">
        <v>9</v>
      </c>
      <c r="I726" s="2" t="s">
        <v>81</v>
      </c>
      <c r="J726" s="2" t="s">
        <v>2120</v>
      </c>
      <c r="K726" s="2" t="s">
        <v>87</v>
      </c>
      <c r="L726" s="2">
        <v>84</v>
      </c>
      <c r="M726" s="2" t="s">
        <v>88</v>
      </c>
      <c r="N726" s="2" t="s">
        <v>34</v>
      </c>
      <c r="O726" s="2">
        <v>7</v>
      </c>
      <c r="P726" s="2" t="str">
        <f>IF(global_freelancer_raw5[[#This Row],[No of projects ]]&lt;=5,"Entry level","Well Experienced")</f>
        <v>Well Experienced</v>
      </c>
      <c r="Q726" s="2">
        <v>6</v>
      </c>
    </row>
    <row r="727" spans="1:17" x14ac:dyDescent="0.3">
      <c r="A727" t="s">
        <v>1551</v>
      </c>
      <c r="B727" t="s">
        <v>1552</v>
      </c>
      <c r="C727" t="s">
        <v>118</v>
      </c>
      <c r="D727" s="2">
        <v>40</v>
      </c>
      <c r="E727" t="s">
        <v>212</v>
      </c>
      <c r="F727" t="s">
        <v>92</v>
      </c>
      <c r="G727" s="2" t="s">
        <v>46</v>
      </c>
      <c r="H727" s="2">
        <v>7</v>
      </c>
      <c r="I727" s="2" t="s">
        <v>86</v>
      </c>
      <c r="J727" s="2">
        <v>4.5</v>
      </c>
      <c r="K727" s="2" t="s">
        <v>2120</v>
      </c>
      <c r="L727" s="2">
        <v>79</v>
      </c>
      <c r="M727" s="2" t="s">
        <v>60</v>
      </c>
      <c r="N727" s="2" t="s">
        <v>75</v>
      </c>
      <c r="O727" s="2">
        <v>15</v>
      </c>
      <c r="P727" s="2" t="str">
        <f>IF(global_freelancer_raw5[[#This Row],[No of projects ]]&lt;=5,"Entry level","Well Experienced")</f>
        <v>Well Experienced</v>
      </c>
      <c r="Q727" s="2">
        <v>6</v>
      </c>
    </row>
    <row r="728" spans="1:17" x14ac:dyDescent="0.3">
      <c r="A728" t="s">
        <v>1553</v>
      </c>
      <c r="B728" t="s">
        <v>1554</v>
      </c>
      <c r="C728" t="s">
        <v>118</v>
      </c>
      <c r="D728" s="2">
        <v>60</v>
      </c>
      <c r="E728" t="s">
        <v>106</v>
      </c>
      <c r="F728" t="s">
        <v>107</v>
      </c>
      <c r="G728" s="2" t="s">
        <v>66</v>
      </c>
      <c r="H728" s="2">
        <v>24</v>
      </c>
      <c r="I728" s="2" t="s">
        <v>70</v>
      </c>
      <c r="J728" s="2">
        <v>3.1</v>
      </c>
      <c r="K728" s="2" t="s">
        <v>23</v>
      </c>
      <c r="L728" s="2">
        <v>0.69</v>
      </c>
      <c r="M728" s="2" t="s">
        <v>82</v>
      </c>
      <c r="N728" s="2" t="s">
        <v>25</v>
      </c>
      <c r="O728" s="2">
        <v>18</v>
      </c>
      <c r="P728" s="2" t="str">
        <f>IF(global_freelancer_raw5[[#This Row],[No of projects ]]&lt;=5,"Entry level","Well Experienced")</f>
        <v>Well Experienced</v>
      </c>
      <c r="Q728" s="2">
        <v>12</v>
      </c>
    </row>
    <row r="729" spans="1:17" x14ac:dyDescent="0.3">
      <c r="A729" t="s">
        <v>1555</v>
      </c>
      <c r="B729" t="s">
        <v>1556</v>
      </c>
      <c r="C729" t="s">
        <v>118</v>
      </c>
      <c r="D729" s="2">
        <v>60</v>
      </c>
      <c r="E729" t="s">
        <v>156</v>
      </c>
      <c r="F729" t="s">
        <v>157</v>
      </c>
      <c r="G729" s="2" t="s">
        <v>93</v>
      </c>
      <c r="H729" s="2">
        <v>0</v>
      </c>
      <c r="I729" s="2" t="s">
        <v>86</v>
      </c>
      <c r="J729" s="2">
        <v>4.9000000000000004</v>
      </c>
      <c r="K729" s="2" t="s">
        <v>94</v>
      </c>
      <c r="L729" s="2">
        <v>0.68</v>
      </c>
      <c r="M729" s="2" t="s">
        <v>82</v>
      </c>
      <c r="N729" s="2" t="s">
        <v>75</v>
      </c>
      <c r="O729" s="2">
        <v>5</v>
      </c>
      <c r="P729" s="2" t="str">
        <f>IF(global_freelancer_raw5[[#This Row],[No of projects ]]&lt;=5,"Entry level","Well Experienced")</f>
        <v>Entry level</v>
      </c>
      <c r="Q729" s="2">
        <v>1</v>
      </c>
    </row>
    <row r="730" spans="1:17" x14ac:dyDescent="0.3">
      <c r="A730" t="s">
        <v>1557</v>
      </c>
      <c r="B730" t="s">
        <v>1558</v>
      </c>
      <c r="C730" t="s">
        <v>97</v>
      </c>
      <c r="D730" s="2">
        <v>53</v>
      </c>
      <c r="E730" t="s">
        <v>133</v>
      </c>
      <c r="F730" t="s">
        <v>134</v>
      </c>
      <c r="G730" s="2" t="s">
        <v>93</v>
      </c>
      <c r="H730" s="2">
        <v>21</v>
      </c>
      <c r="I730" s="2" t="s">
        <v>58</v>
      </c>
      <c r="J730" s="2">
        <v>4.2</v>
      </c>
      <c r="K730" s="2" t="s">
        <v>33</v>
      </c>
      <c r="L730" s="2">
        <v>73</v>
      </c>
      <c r="M730" s="2" t="s">
        <v>82</v>
      </c>
      <c r="N730" s="2" t="s">
        <v>34</v>
      </c>
      <c r="O730" s="2">
        <v>10</v>
      </c>
      <c r="P730" s="2" t="str">
        <f>IF(global_freelancer_raw5[[#This Row],[No of projects ]]&lt;=5,"Entry level","Well Experienced")</f>
        <v>Well Experienced</v>
      </c>
      <c r="Q730" s="2">
        <v>9</v>
      </c>
    </row>
    <row r="731" spans="1:17" x14ac:dyDescent="0.3">
      <c r="A731" t="s">
        <v>1559</v>
      </c>
      <c r="B731" t="s">
        <v>1560</v>
      </c>
      <c r="C731" t="s">
        <v>97</v>
      </c>
      <c r="D731" s="2">
        <v>20</v>
      </c>
      <c r="E731" t="s">
        <v>201</v>
      </c>
      <c r="F731" t="s">
        <v>92</v>
      </c>
      <c r="G731" s="2" t="s">
        <v>21</v>
      </c>
      <c r="H731" s="2">
        <v>0</v>
      </c>
      <c r="I731" s="2" t="s">
        <v>103</v>
      </c>
      <c r="J731" s="2">
        <v>3.2</v>
      </c>
      <c r="K731" s="2" t="s">
        <v>33</v>
      </c>
      <c r="L731" s="2">
        <v>0.74</v>
      </c>
      <c r="M731" s="2" t="s">
        <v>88</v>
      </c>
      <c r="N731" s="2" t="s">
        <v>75</v>
      </c>
      <c r="O731" s="2">
        <v>2</v>
      </c>
      <c r="P731" s="2" t="str">
        <f>IF(global_freelancer_raw5[[#This Row],[No of projects ]]&lt;=5,"Entry level","Well Experienced")</f>
        <v>Entry level</v>
      </c>
      <c r="Q731" s="2">
        <v>2</v>
      </c>
    </row>
    <row r="732" spans="1:17" x14ac:dyDescent="0.3">
      <c r="A732" t="s">
        <v>1561</v>
      </c>
      <c r="B732" t="s">
        <v>1562</v>
      </c>
      <c r="C732" t="s">
        <v>118</v>
      </c>
      <c r="D732" s="2">
        <v>42</v>
      </c>
      <c r="E732" t="s">
        <v>145</v>
      </c>
      <c r="F732" t="s">
        <v>146</v>
      </c>
      <c r="G732" s="2" t="s">
        <v>46</v>
      </c>
      <c r="H732" s="2">
        <v>7</v>
      </c>
      <c r="I732" s="2" t="s">
        <v>336</v>
      </c>
      <c r="J732" s="2" t="s">
        <v>2120</v>
      </c>
      <c r="K732" s="2" t="s">
        <v>59</v>
      </c>
      <c r="L732" s="2">
        <v>1</v>
      </c>
      <c r="M732" s="2" t="s">
        <v>88</v>
      </c>
      <c r="N732" s="2" t="s">
        <v>25</v>
      </c>
      <c r="O732" s="2">
        <v>15</v>
      </c>
      <c r="P732" s="2" t="str">
        <f>IF(global_freelancer_raw5[[#This Row],[No of projects ]]&lt;=5,"Entry level","Well Experienced")</f>
        <v>Well Experienced</v>
      </c>
      <c r="Q732" s="2">
        <v>14</v>
      </c>
    </row>
    <row r="733" spans="1:17" x14ac:dyDescent="0.3">
      <c r="A733" t="s">
        <v>1563</v>
      </c>
      <c r="B733" t="s">
        <v>1564</v>
      </c>
      <c r="C733" t="s">
        <v>118</v>
      </c>
      <c r="D733" s="2">
        <v>21</v>
      </c>
      <c r="E733" t="s">
        <v>85</v>
      </c>
      <c r="F733" t="s">
        <v>30</v>
      </c>
      <c r="G733" s="2" t="s">
        <v>31</v>
      </c>
      <c r="H733" s="2">
        <v>3</v>
      </c>
      <c r="I733" s="2" t="s">
        <v>86</v>
      </c>
      <c r="J733" s="2">
        <v>0</v>
      </c>
      <c r="K733" s="2" t="s">
        <v>23</v>
      </c>
      <c r="L733" s="2">
        <v>0.87</v>
      </c>
      <c r="M733" s="2" t="s">
        <v>24</v>
      </c>
      <c r="N733" s="2" t="s">
        <v>75</v>
      </c>
      <c r="O733" s="2">
        <v>1</v>
      </c>
      <c r="P733" s="2" t="str">
        <f>IF(global_freelancer_raw5[[#This Row],[No of projects ]]&lt;=5,"Entry level","Well Experienced")</f>
        <v>Entry level</v>
      </c>
      <c r="Q733" s="2">
        <v>1</v>
      </c>
    </row>
    <row r="734" spans="1:17" x14ac:dyDescent="0.3">
      <c r="A734" t="s">
        <v>1565</v>
      </c>
      <c r="B734" t="s">
        <v>1566</v>
      </c>
      <c r="C734" t="s">
        <v>118</v>
      </c>
      <c r="D734" s="2">
        <v>39</v>
      </c>
      <c r="E734" t="s">
        <v>38</v>
      </c>
      <c r="F734" t="s">
        <v>38</v>
      </c>
      <c r="G734" s="2" t="s">
        <v>46</v>
      </c>
      <c r="H734" s="2">
        <v>21</v>
      </c>
      <c r="I734" s="2" t="s">
        <v>22</v>
      </c>
      <c r="J734" s="2">
        <v>2.2000000000000002</v>
      </c>
      <c r="K734" s="2" t="s">
        <v>23</v>
      </c>
      <c r="L734" s="2">
        <v>0.79</v>
      </c>
      <c r="M734" s="2" t="s">
        <v>82</v>
      </c>
      <c r="N734" s="2" t="s">
        <v>25</v>
      </c>
      <c r="O734" s="2">
        <v>12</v>
      </c>
      <c r="P734" s="2" t="str">
        <f>IF(global_freelancer_raw5[[#This Row],[No of projects ]]&lt;=5,"Entry level","Well Experienced")</f>
        <v>Well Experienced</v>
      </c>
      <c r="Q734" s="2">
        <v>13</v>
      </c>
    </row>
    <row r="735" spans="1:17" x14ac:dyDescent="0.3">
      <c r="A735" t="s">
        <v>1567</v>
      </c>
      <c r="B735" t="s">
        <v>1568</v>
      </c>
      <c r="C735" t="s">
        <v>118</v>
      </c>
      <c r="D735" s="2">
        <v>32</v>
      </c>
      <c r="E735" t="s">
        <v>114</v>
      </c>
      <c r="F735" t="s">
        <v>115</v>
      </c>
      <c r="G735" s="2" t="s">
        <v>21</v>
      </c>
      <c r="H735" s="2" t="s">
        <v>2120</v>
      </c>
      <c r="I735" s="2" t="s">
        <v>52</v>
      </c>
      <c r="J735" s="2">
        <v>1.5</v>
      </c>
      <c r="K735" s="2" t="s">
        <v>23</v>
      </c>
      <c r="L735" s="2">
        <v>0.68</v>
      </c>
      <c r="M735" s="2" t="s">
        <v>60</v>
      </c>
      <c r="N735" s="2" t="s">
        <v>75</v>
      </c>
      <c r="O735" s="2">
        <v>4</v>
      </c>
      <c r="P735" s="2" t="str">
        <f>IF(global_freelancer_raw5[[#This Row],[No of projects ]]&lt;=5,"Entry level","Well Experienced")</f>
        <v>Entry level</v>
      </c>
      <c r="Q735" s="2">
        <v>1</v>
      </c>
    </row>
    <row r="736" spans="1:17" x14ac:dyDescent="0.3">
      <c r="A736" t="s">
        <v>1569</v>
      </c>
      <c r="B736" t="s">
        <v>1570</v>
      </c>
      <c r="C736" t="s">
        <v>118</v>
      </c>
      <c r="D736" s="2">
        <v>35</v>
      </c>
      <c r="E736" t="s">
        <v>38</v>
      </c>
      <c r="F736" t="s">
        <v>38</v>
      </c>
      <c r="G736" s="2" t="s">
        <v>66</v>
      </c>
      <c r="H736" s="2" t="s">
        <v>2120</v>
      </c>
      <c r="I736" s="2" t="s">
        <v>32</v>
      </c>
      <c r="J736" s="2" t="s">
        <v>2120</v>
      </c>
      <c r="K736" s="2" t="s">
        <v>23</v>
      </c>
      <c r="L736" s="2">
        <v>0.84</v>
      </c>
      <c r="M736" s="2" t="s">
        <v>88</v>
      </c>
      <c r="N736" s="2" t="s">
        <v>25</v>
      </c>
      <c r="O736" s="2">
        <v>1</v>
      </c>
      <c r="P736" s="2" t="str">
        <f>IF(global_freelancer_raw5[[#This Row],[No of projects ]]&lt;=5,"Entry level","Well Experienced")</f>
        <v>Entry level</v>
      </c>
      <c r="Q736" s="2">
        <v>2</v>
      </c>
    </row>
    <row r="737" spans="1:17" x14ac:dyDescent="0.3">
      <c r="A737" t="s">
        <v>1571</v>
      </c>
      <c r="B737" t="s">
        <v>1572</v>
      </c>
      <c r="C737" t="s">
        <v>97</v>
      </c>
      <c r="D737" s="2">
        <v>35</v>
      </c>
      <c r="E737" t="s">
        <v>156</v>
      </c>
      <c r="F737" t="s">
        <v>157</v>
      </c>
      <c r="G737" s="2" t="s">
        <v>93</v>
      </c>
      <c r="H737" s="2">
        <v>17</v>
      </c>
      <c r="I737" s="2" t="s">
        <v>40</v>
      </c>
      <c r="J737" s="2">
        <v>3.1</v>
      </c>
      <c r="K737" s="2" t="s">
        <v>23</v>
      </c>
      <c r="L737" s="2">
        <v>0.71</v>
      </c>
      <c r="M737" s="2" t="s">
        <v>82</v>
      </c>
      <c r="N737" s="2" t="s">
        <v>25</v>
      </c>
      <c r="O737" s="2">
        <v>10</v>
      </c>
      <c r="P737" s="2" t="str">
        <f>IF(global_freelancer_raw5[[#This Row],[No of projects ]]&lt;=5,"Entry level","Well Experienced")</f>
        <v>Well Experienced</v>
      </c>
      <c r="Q737" s="2">
        <v>2</v>
      </c>
    </row>
    <row r="738" spans="1:17" x14ac:dyDescent="0.3">
      <c r="A738" t="s">
        <v>1573</v>
      </c>
      <c r="B738" t="s">
        <v>1574</v>
      </c>
      <c r="C738" t="s">
        <v>97</v>
      </c>
      <c r="D738" s="2">
        <v>23</v>
      </c>
      <c r="E738" t="s">
        <v>91</v>
      </c>
      <c r="F738" t="s">
        <v>92</v>
      </c>
      <c r="G738" s="2" t="s">
        <v>93</v>
      </c>
      <c r="H738" s="2">
        <v>0</v>
      </c>
      <c r="I738" s="2" t="s">
        <v>103</v>
      </c>
      <c r="J738" s="2">
        <v>0</v>
      </c>
      <c r="K738" s="2" t="s">
        <v>181</v>
      </c>
      <c r="L738" s="2">
        <v>0.92</v>
      </c>
      <c r="M738" s="2" t="s">
        <v>82</v>
      </c>
      <c r="N738" s="2" t="s">
        <v>75</v>
      </c>
      <c r="O738" s="2">
        <v>1</v>
      </c>
      <c r="P738" s="2" t="str">
        <f>IF(global_freelancer_raw5[[#This Row],[No of projects ]]&lt;=5,"Entry level","Well Experienced")</f>
        <v>Entry level</v>
      </c>
      <c r="Q738" s="2">
        <v>2</v>
      </c>
    </row>
    <row r="739" spans="1:17" x14ac:dyDescent="0.3">
      <c r="A739" t="s">
        <v>1575</v>
      </c>
      <c r="B739" t="s">
        <v>1576</v>
      </c>
      <c r="C739" t="s">
        <v>118</v>
      </c>
      <c r="D739" s="2">
        <v>26</v>
      </c>
      <c r="E739" t="s">
        <v>55</v>
      </c>
      <c r="F739" t="s">
        <v>56</v>
      </c>
      <c r="G739" s="2" t="s">
        <v>57</v>
      </c>
      <c r="H739" s="2">
        <v>6</v>
      </c>
      <c r="I739" s="2" t="s">
        <v>32</v>
      </c>
      <c r="J739" s="2" t="s">
        <v>2120</v>
      </c>
      <c r="K739" s="2" t="s">
        <v>181</v>
      </c>
      <c r="L739" s="2">
        <v>0.69</v>
      </c>
      <c r="M739" s="2" t="s">
        <v>88</v>
      </c>
      <c r="N739" s="2" t="s">
        <v>34</v>
      </c>
      <c r="O739" s="2">
        <v>8</v>
      </c>
      <c r="P739" s="2" t="str">
        <f>IF(global_freelancer_raw5[[#This Row],[No of projects ]]&lt;=5,"Entry level","Well Experienced")</f>
        <v>Well Experienced</v>
      </c>
      <c r="Q739" s="2">
        <v>9</v>
      </c>
    </row>
    <row r="740" spans="1:17" x14ac:dyDescent="0.3">
      <c r="A740" t="s">
        <v>1577</v>
      </c>
      <c r="B740" t="s">
        <v>1578</v>
      </c>
      <c r="C740" t="s">
        <v>97</v>
      </c>
      <c r="D740" s="2">
        <v>34</v>
      </c>
      <c r="E740" t="s">
        <v>149</v>
      </c>
      <c r="F740" t="s">
        <v>30</v>
      </c>
      <c r="G740" s="2" t="s">
        <v>135</v>
      </c>
      <c r="H740" s="2">
        <v>3</v>
      </c>
      <c r="I740" s="2" t="s">
        <v>2119</v>
      </c>
      <c r="J740" s="2">
        <v>0</v>
      </c>
      <c r="K740" s="2" t="s">
        <v>33</v>
      </c>
      <c r="L740" s="2">
        <v>0.71</v>
      </c>
      <c r="M740" s="2" t="s">
        <v>24</v>
      </c>
      <c r="N740" s="2" t="s">
        <v>42</v>
      </c>
      <c r="O740" s="2">
        <v>2</v>
      </c>
      <c r="P740" s="2" t="str">
        <f>IF(global_freelancer_raw5[[#This Row],[No of projects ]]&lt;=5,"Entry level","Well Experienced")</f>
        <v>Entry level</v>
      </c>
      <c r="Q740" s="2">
        <v>1</v>
      </c>
    </row>
    <row r="741" spans="1:17" x14ac:dyDescent="0.3">
      <c r="A741" t="s">
        <v>1579</v>
      </c>
      <c r="B741" t="s">
        <v>1580</v>
      </c>
      <c r="C741" t="s">
        <v>97</v>
      </c>
      <c r="D741" s="2">
        <v>34</v>
      </c>
      <c r="E741" t="s">
        <v>38</v>
      </c>
      <c r="F741" t="s">
        <v>38</v>
      </c>
      <c r="G741" s="2" t="s">
        <v>21</v>
      </c>
      <c r="H741" s="2">
        <v>3</v>
      </c>
      <c r="I741" s="2" t="s">
        <v>2119</v>
      </c>
      <c r="J741" s="2" t="s">
        <v>2120</v>
      </c>
      <c r="K741" s="2" t="s">
        <v>59</v>
      </c>
      <c r="L741" s="2">
        <v>0.77</v>
      </c>
      <c r="M741" s="2" t="s">
        <v>88</v>
      </c>
      <c r="N741" s="2" t="s">
        <v>34</v>
      </c>
      <c r="O741" s="2">
        <v>2</v>
      </c>
      <c r="P741" s="2" t="str">
        <f>IF(global_freelancer_raw5[[#This Row],[No of projects ]]&lt;=5,"Entry level","Well Experienced")</f>
        <v>Entry level</v>
      </c>
      <c r="Q741" s="2">
        <v>1</v>
      </c>
    </row>
    <row r="742" spans="1:17" x14ac:dyDescent="0.3">
      <c r="A742" t="s">
        <v>1581</v>
      </c>
      <c r="B742" t="s">
        <v>1582</v>
      </c>
      <c r="C742" t="s">
        <v>118</v>
      </c>
      <c r="D742" s="2">
        <v>57</v>
      </c>
      <c r="E742" t="s">
        <v>19</v>
      </c>
      <c r="F742" t="s">
        <v>20</v>
      </c>
      <c r="G742" s="2" t="s">
        <v>46</v>
      </c>
      <c r="H742" s="2">
        <v>31</v>
      </c>
      <c r="I742" s="2" t="s">
        <v>40</v>
      </c>
      <c r="J742" s="2">
        <v>3</v>
      </c>
      <c r="K742" s="2" t="s">
        <v>74</v>
      </c>
      <c r="L742" s="2">
        <v>0.87</v>
      </c>
      <c r="M742" s="2" t="s">
        <v>88</v>
      </c>
      <c r="N742" s="2" t="s">
        <v>75</v>
      </c>
      <c r="O742" s="2">
        <v>15</v>
      </c>
      <c r="P742" s="2" t="str">
        <f>IF(global_freelancer_raw5[[#This Row],[No of projects ]]&lt;=5,"Entry level","Well Experienced")</f>
        <v>Well Experienced</v>
      </c>
      <c r="Q742" s="2">
        <v>10</v>
      </c>
    </row>
    <row r="743" spans="1:17" x14ac:dyDescent="0.3">
      <c r="A743" t="s">
        <v>1583</v>
      </c>
      <c r="B743" t="s">
        <v>1584</v>
      </c>
      <c r="C743" t="s">
        <v>118</v>
      </c>
      <c r="D743" s="2">
        <v>46</v>
      </c>
      <c r="E743" t="s">
        <v>149</v>
      </c>
      <c r="F743" t="s">
        <v>30</v>
      </c>
      <c r="G743" s="2" t="s">
        <v>46</v>
      </c>
      <c r="H743" s="2">
        <v>5</v>
      </c>
      <c r="I743" s="2" t="s">
        <v>58</v>
      </c>
      <c r="J743" s="2">
        <v>2.6</v>
      </c>
      <c r="K743" s="2" t="s">
        <v>181</v>
      </c>
      <c r="L743" s="2">
        <v>0.76</v>
      </c>
      <c r="M743" s="2" t="s">
        <v>60</v>
      </c>
      <c r="N743" s="2" t="s">
        <v>34</v>
      </c>
      <c r="O743" s="2">
        <v>2</v>
      </c>
      <c r="P743" s="2" t="str">
        <f>IF(global_freelancer_raw5[[#This Row],[No of projects ]]&lt;=5,"Entry level","Well Experienced")</f>
        <v>Entry level</v>
      </c>
      <c r="Q743" s="2">
        <v>3</v>
      </c>
    </row>
    <row r="744" spans="1:17" x14ac:dyDescent="0.3">
      <c r="A744" t="s">
        <v>1585</v>
      </c>
      <c r="B744" t="s">
        <v>1586</v>
      </c>
      <c r="C744" t="s">
        <v>118</v>
      </c>
      <c r="D744" s="2">
        <v>55</v>
      </c>
      <c r="E744" t="s">
        <v>114</v>
      </c>
      <c r="F744" t="s">
        <v>115</v>
      </c>
      <c r="G744" s="2" t="s">
        <v>57</v>
      </c>
      <c r="H744" s="2">
        <v>37</v>
      </c>
      <c r="I744" s="2" t="s">
        <v>67</v>
      </c>
      <c r="J744" s="2">
        <v>4.0999999999999996</v>
      </c>
      <c r="K744" s="2" t="s">
        <v>181</v>
      </c>
      <c r="L744" s="2" t="s">
        <v>2120</v>
      </c>
      <c r="M744" s="2" t="s">
        <v>60</v>
      </c>
      <c r="N744" s="2" t="s">
        <v>25</v>
      </c>
      <c r="O744" s="2">
        <v>16</v>
      </c>
      <c r="P744" s="2" t="str">
        <f>IF(global_freelancer_raw5[[#This Row],[No of projects ]]&lt;=5,"Entry level","Well Experienced")</f>
        <v>Well Experienced</v>
      </c>
      <c r="Q744" s="2">
        <v>7</v>
      </c>
    </row>
    <row r="745" spans="1:17" x14ac:dyDescent="0.3">
      <c r="A745" t="s">
        <v>1587</v>
      </c>
      <c r="B745" t="s">
        <v>1588</v>
      </c>
      <c r="C745" t="s">
        <v>97</v>
      </c>
      <c r="D745" s="2">
        <v>32</v>
      </c>
      <c r="E745" t="s">
        <v>29</v>
      </c>
      <c r="F745" t="s">
        <v>30</v>
      </c>
      <c r="G745" s="2" t="s">
        <v>110</v>
      </c>
      <c r="H745" s="2">
        <v>10</v>
      </c>
      <c r="I745" s="2" t="s">
        <v>119</v>
      </c>
      <c r="J745" s="2">
        <v>1.5</v>
      </c>
      <c r="K745" s="2" t="s">
        <v>59</v>
      </c>
      <c r="L745" s="2">
        <v>0.65</v>
      </c>
      <c r="M745" s="2" t="s">
        <v>24</v>
      </c>
      <c r="N745" s="2" t="s">
        <v>42</v>
      </c>
      <c r="O745" s="2">
        <v>15</v>
      </c>
      <c r="P745" s="2" t="str">
        <f>IF(global_freelancer_raw5[[#This Row],[No of projects ]]&lt;=5,"Entry level","Well Experienced")</f>
        <v>Well Experienced</v>
      </c>
      <c r="Q745" s="2">
        <v>6</v>
      </c>
    </row>
    <row r="746" spans="1:17" x14ac:dyDescent="0.3">
      <c r="A746" t="s">
        <v>1589</v>
      </c>
      <c r="B746" t="s">
        <v>1590</v>
      </c>
      <c r="C746" t="s">
        <v>118</v>
      </c>
      <c r="D746" s="2">
        <v>53</v>
      </c>
      <c r="E746" t="s">
        <v>64</v>
      </c>
      <c r="F746" t="s">
        <v>65</v>
      </c>
      <c r="G746" s="2" t="s">
        <v>57</v>
      </c>
      <c r="H746" s="2">
        <v>28</v>
      </c>
      <c r="I746" s="2" t="s">
        <v>119</v>
      </c>
      <c r="J746" s="2">
        <v>2.9</v>
      </c>
      <c r="K746" s="2" t="s">
        <v>87</v>
      </c>
      <c r="L746" s="2">
        <v>0.82</v>
      </c>
      <c r="M746" s="2" t="s">
        <v>82</v>
      </c>
      <c r="N746" s="2" t="s">
        <v>75</v>
      </c>
      <c r="O746" s="2">
        <v>10</v>
      </c>
      <c r="P746" s="2" t="str">
        <f>IF(global_freelancer_raw5[[#This Row],[No of projects ]]&lt;=5,"Entry level","Well Experienced")</f>
        <v>Well Experienced</v>
      </c>
      <c r="Q746" s="2">
        <v>13</v>
      </c>
    </row>
    <row r="747" spans="1:17" x14ac:dyDescent="0.3">
      <c r="A747" t="s">
        <v>1591</v>
      </c>
      <c r="B747" t="s">
        <v>1592</v>
      </c>
      <c r="C747" t="s">
        <v>118</v>
      </c>
      <c r="D747" s="2">
        <v>59</v>
      </c>
      <c r="E747" t="s">
        <v>201</v>
      </c>
      <c r="F747" t="s">
        <v>92</v>
      </c>
      <c r="G747" s="2" t="s">
        <v>57</v>
      </c>
      <c r="H747" s="2">
        <v>0</v>
      </c>
      <c r="I747" s="2" t="s">
        <v>22</v>
      </c>
      <c r="J747" s="2">
        <v>0</v>
      </c>
      <c r="K747" s="2" t="s">
        <v>94</v>
      </c>
      <c r="L747" s="2">
        <v>87</v>
      </c>
      <c r="M747" s="2" t="s">
        <v>88</v>
      </c>
      <c r="N747" s="2" t="s">
        <v>75</v>
      </c>
      <c r="O747" s="2">
        <v>4</v>
      </c>
      <c r="P747" s="2" t="str">
        <f>IF(global_freelancer_raw5[[#This Row],[No of projects ]]&lt;=5,"Entry level","Well Experienced")</f>
        <v>Entry level</v>
      </c>
      <c r="Q747" s="2">
        <v>4</v>
      </c>
    </row>
    <row r="748" spans="1:17" x14ac:dyDescent="0.3">
      <c r="A748" t="s">
        <v>1593</v>
      </c>
      <c r="B748" t="s">
        <v>1594</v>
      </c>
      <c r="C748" t="s">
        <v>97</v>
      </c>
      <c r="D748" s="2">
        <v>44</v>
      </c>
      <c r="E748" t="s">
        <v>55</v>
      </c>
      <c r="F748" t="s">
        <v>56</v>
      </c>
      <c r="G748" s="2" t="s">
        <v>135</v>
      </c>
      <c r="H748" s="2">
        <v>19</v>
      </c>
      <c r="I748" s="2" t="s">
        <v>47</v>
      </c>
      <c r="J748" s="2">
        <v>4.9000000000000004</v>
      </c>
      <c r="K748" s="2" t="s">
        <v>41</v>
      </c>
      <c r="L748" s="2">
        <v>1</v>
      </c>
      <c r="M748" s="2" t="s">
        <v>24</v>
      </c>
      <c r="N748" s="2" t="s">
        <v>75</v>
      </c>
      <c r="O748" s="2">
        <v>17</v>
      </c>
      <c r="P748" s="2" t="str">
        <f>IF(global_freelancer_raw5[[#This Row],[No of projects ]]&lt;=5,"Entry level","Well Experienced")</f>
        <v>Well Experienced</v>
      </c>
      <c r="Q748" s="2">
        <v>14</v>
      </c>
    </row>
    <row r="749" spans="1:17" x14ac:dyDescent="0.3">
      <c r="A749" t="s">
        <v>1595</v>
      </c>
      <c r="B749" t="s">
        <v>1596</v>
      </c>
      <c r="C749" t="s">
        <v>118</v>
      </c>
      <c r="D749" s="2">
        <v>35</v>
      </c>
      <c r="E749" t="s">
        <v>160</v>
      </c>
      <c r="F749" t="s">
        <v>161</v>
      </c>
      <c r="G749" s="2" t="s">
        <v>21</v>
      </c>
      <c r="H749" s="2">
        <v>9</v>
      </c>
      <c r="I749" s="2" t="s">
        <v>119</v>
      </c>
      <c r="J749" s="2">
        <v>3</v>
      </c>
      <c r="K749" s="2" t="s">
        <v>41</v>
      </c>
      <c r="L749" s="2">
        <v>71</v>
      </c>
      <c r="M749" s="2" t="s">
        <v>60</v>
      </c>
      <c r="N749" s="2" t="s">
        <v>42</v>
      </c>
      <c r="O749" s="2">
        <v>6</v>
      </c>
      <c r="P749" s="2" t="str">
        <f>IF(global_freelancer_raw5[[#This Row],[No of projects ]]&lt;=5,"Entry level","Well Experienced")</f>
        <v>Well Experienced</v>
      </c>
      <c r="Q749" s="2">
        <v>13</v>
      </c>
    </row>
    <row r="750" spans="1:17" x14ac:dyDescent="0.3">
      <c r="A750" t="s">
        <v>1597</v>
      </c>
      <c r="B750" t="s">
        <v>1598</v>
      </c>
      <c r="C750" t="s">
        <v>97</v>
      </c>
      <c r="D750" s="2">
        <v>42</v>
      </c>
      <c r="E750" t="s">
        <v>197</v>
      </c>
      <c r="F750" t="s">
        <v>198</v>
      </c>
      <c r="G750" s="2" t="s">
        <v>135</v>
      </c>
      <c r="H750" s="2">
        <v>5</v>
      </c>
      <c r="I750" s="2" t="s">
        <v>52</v>
      </c>
      <c r="J750" s="2">
        <v>4.9000000000000004</v>
      </c>
      <c r="K750" s="2" t="s">
        <v>33</v>
      </c>
      <c r="L750" s="2">
        <v>87</v>
      </c>
      <c r="M750" s="2" t="s">
        <v>88</v>
      </c>
      <c r="N750" s="2" t="s">
        <v>25</v>
      </c>
      <c r="O750" s="2">
        <v>1</v>
      </c>
      <c r="P750" s="2" t="str">
        <f>IF(global_freelancer_raw5[[#This Row],[No of projects ]]&lt;=5,"Entry level","Well Experienced")</f>
        <v>Entry level</v>
      </c>
      <c r="Q750" s="2">
        <v>1</v>
      </c>
    </row>
    <row r="751" spans="1:17" x14ac:dyDescent="0.3">
      <c r="A751" t="s">
        <v>1599</v>
      </c>
      <c r="B751" t="s">
        <v>1600</v>
      </c>
      <c r="C751" t="s">
        <v>97</v>
      </c>
      <c r="D751" s="2">
        <v>58</v>
      </c>
      <c r="E751" t="s">
        <v>133</v>
      </c>
      <c r="F751" t="s">
        <v>134</v>
      </c>
      <c r="G751" s="2" t="s">
        <v>21</v>
      </c>
      <c r="H751" s="2">
        <v>0</v>
      </c>
      <c r="I751" s="2" t="s">
        <v>130</v>
      </c>
      <c r="J751" s="2">
        <v>4.5999999999999996</v>
      </c>
      <c r="K751" s="2" t="s">
        <v>23</v>
      </c>
      <c r="L751" s="2">
        <v>70</v>
      </c>
      <c r="M751" s="2" t="s">
        <v>82</v>
      </c>
      <c r="N751" s="2" t="s">
        <v>75</v>
      </c>
      <c r="O751" s="2">
        <v>4</v>
      </c>
      <c r="P751" s="2" t="str">
        <f>IF(global_freelancer_raw5[[#This Row],[No of projects ]]&lt;=5,"Entry level","Well Experienced")</f>
        <v>Entry level</v>
      </c>
      <c r="Q751" s="2">
        <v>2</v>
      </c>
    </row>
    <row r="752" spans="1:17" x14ac:dyDescent="0.3">
      <c r="A752" t="s">
        <v>1601</v>
      </c>
      <c r="B752" t="s">
        <v>1602</v>
      </c>
      <c r="C752" t="s">
        <v>118</v>
      </c>
      <c r="D752" s="2">
        <v>41</v>
      </c>
      <c r="E752" t="s">
        <v>55</v>
      </c>
      <c r="F752" t="s">
        <v>56</v>
      </c>
      <c r="G752" s="2" t="s">
        <v>57</v>
      </c>
      <c r="H752" s="2">
        <v>21</v>
      </c>
      <c r="I752" s="2" t="s">
        <v>32</v>
      </c>
      <c r="J752" s="2">
        <v>2.2000000000000002</v>
      </c>
      <c r="K752" s="2" t="s">
        <v>33</v>
      </c>
      <c r="L752" s="2">
        <v>0.83</v>
      </c>
      <c r="M752" s="2" t="s">
        <v>60</v>
      </c>
      <c r="N752" s="2" t="s">
        <v>34</v>
      </c>
      <c r="O752" s="2">
        <v>17</v>
      </c>
      <c r="P752" s="2" t="str">
        <f>IF(global_freelancer_raw5[[#This Row],[No of projects ]]&lt;=5,"Entry level","Well Experienced")</f>
        <v>Well Experienced</v>
      </c>
      <c r="Q752" s="2">
        <v>6</v>
      </c>
    </row>
    <row r="753" spans="1:17" x14ac:dyDescent="0.3">
      <c r="A753" t="s">
        <v>1603</v>
      </c>
      <c r="B753" t="s">
        <v>1604</v>
      </c>
      <c r="C753" t="s">
        <v>97</v>
      </c>
      <c r="D753" s="2" t="s">
        <v>2119</v>
      </c>
      <c r="E753" t="s">
        <v>91</v>
      </c>
      <c r="F753" t="s">
        <v>92</v>
      </c>
      <c r="G753" s="2" t="s">
        <v>46</v>
      </c>
      <c r="H753" s="2">
        <v>0</v>
      </c>
      <c r="I753" s="2" t="s">
        <v>86</v>
      </c>
      <c r="J753" s="2" t="s">
        <v>2120</v>
      </c>
      <c r="K753" s="2" t="s">
        <v>94</v>
      </c>
      <c r="L753" s="2">
        <v>0.74</v>
      </c>
      <c r="M753" s="2" t="s">
        <v>60</v>
      </c>
      <c r="N753" s="2" t="s">
        <v>75</v>
      </c>
      <c r="O753" s="2">
        <v>1</v>
      </c>
      <c r="P753" s="2" t="str">
        <f>IF(global_freelancer_raw5[[#This Row],[No of projects ]]&lt;=5,"Entry level","Well Experienced")</f>
        <v>Entry level</v>
      </c>
      <c r="Q753" s="2">
        <v>2</v>
      </c>
    </row>
    <row r="754" spans="1:17" x14ac:dyDescent="0.3">
      <c r="A754" t="s">
        <v>1605</v>
      </c>
      <c r="B754" t="s">
        <v>1606</v>
      </c>
      <c r="C754" t="s">
        <v>97</v>
      </c>
      <c r="D754" s="2">
        <v>23</v>
      </c>
      <c r="E754" t="s">
        <v>149</v>
      </c>
      <c r="F754" t="s">
        <v>30</v>
      </c>
      <c r="G754" s="2" t="s">
        <v>21</v>
      </c>
      <c r="H754" s="2">
        <v>0</v>
      </c>
      <c r="I754" s="2" t="s">
        <v>52</v>
      </c>
      <c r="J754" s="2">
        <v>1.1000000000000001</v>
      </c>
      <c r="K754" s="2" t="s">
        <v>87</v>
      </c>
      <c r="L754" s="2">
        <v>0.86</v>
      </c>
      <c r="M754" s="2" t="s">
        <v>60</v>
      </c>
      <c r="N754" s="2" t="s">
        <v>75</v>
      </c>
      <c r="O754" s="2">
        <v>4</v>
      </c>
      <c r="P754" s="2" t="str">
        <f>IF(global_freelancer_raw5[[#This Row],[No of projects ]]&lt;=5,"Entry level","Well Experienced")</f>
        <v>Entry level</v>
      </c>
      <c r="Q754" s="2">
        <v>2</v>
      </c>
    </row>
    <row r="755" spans="1:17" x14ac:dyDescent="0.3">
      <c r="A755" t="s">
        <v>1607</v>
      </c>
      <c r="B755" t="s">
        <v>1608</v>
      </c>
      <c r="C755" t="s">
        <v>118</v>
      </c>
      <c r="D755" s="2">
        <v>51</v>
      </c>
      <c r="E755" t="s">
        <v>197</v>
      </c>
      <c r="F755" t="s">
        <v>198</v>
      </c>
      <c r="G755" s="2" t="s">
        <v>21</v>
      </c>
      <c r="H755" s="2">
        <v>17</v>
      </c>
      <c r="I755" s="2" t="s">
        <v>86</v>
      </c>
      <c r="J755" s="2">
        <v>4.5</v>
      </c>
      <c r="K755" s="2" t="s">
        <v>33</v>
      </c>
      <c r="L755" s="2">
        <v>0.72</v>
      </c>
      <c r="M755" s="2" t="s">
        <v>24</v>
      </c>
      <c r="N755" s="2" t="s">
        <v>75</v>
      </c>
      <c r="O755" s="2">
        <v>11</v>
      </c>
      <c r="P755" s="2" t="str">
        <f>IF(global_freelancer_raw5[[#This Row],[No of projects ]]&lt;=5,"Entry level","Well Experienced")</f>
        <v>Well Experienced</v>
      </c>
      <c r="Q755" s="2">
        <v>2</v>
      </c>
    </row>
    <row r="756" spans="1:17" x14ac:dyDescent="0.3">
      <c r="A756" t="s">
        <v>1609</v>
      </c>
      <c r="B756" t="s">
        <v>1610</v>
      </c>
      <c r="C756" t="s">
        <v>97</v>
      </c>
      <c r="D756" s="2">
        <v>42</v>
      </c>
      <c r="E756" t="s">
        <v>156</v>
      </c>
      <c r="F756" t="s">
        <v>157</v>
      </c>
      <c r="G756" s="2" t="s">
        <v>57</v>
      </c>
      <c r="H756" s="2">
        <v>21</v>
      </c>
      <c r="I756" s="2" t="s">
        <v>2119</v>
      </c>
      <c r="J756" s="2">
        <v>2.5</v>
      </c>
      <c r="K756" s="2" t="s">
        <v>74</v>
      </c>
      <c r="L756" s="2">
        <v>0.73</v>
      </c>
      <c r="M756" s="2" t="s">
        <v>82</v>
      </c>
      <c r="N756" s="2" t="s">
        <v>75</v>
      </c>
      <c r="O756" s="2">
        <v>10</v>
      </c>
      <c r="P756" s="2" t="str">
        <f>IF(global_freelancer_raw5[[#This Row],[No of projects ]]&lt;=5,"Entry level","Well Experienced")</f>
        <v>Well Experienced</v>
      </c>
      <c r="Q756" s="2">
        <v>7</v>
      </c>
    </row>
    <row r="757" spans="1:17" x14ac:dyDescent="0.3">
      <c r="A757" t="s">
        <v>1611</v>
      </c>
      <c r="B757" t="s">
        <v>1612</v>
      </c>
      <c r="C757" t="s">
        <v>118</v>
      </c>
      <c r="D757" s="2">
        <v>26</v>
      </c>
      <c r="E757" t="s">
        <v>106</v>
      </c>
      <c r="F757" t="s">
        <v>107</v>
      </c>
      <c r="G757" s="2" t="s">
        <v>66</v>
      </c>
      <c r="H757" s="2">
        <v>7</v>
      </c>
      <c r="I757" s="2" t="s">
        <v>67</v>
      </c>
      <c r="J757" s="2">
        <v>2.9</v>
      </c>
      <c r="K757" s="2" t="s">
        <v>23</v>
      </c>
      <c r="L757" s="2">
        <v>0.78</v>
      </c>
      <c r="M757" s="2" t="s">
        <v>88</v>
      </c>
      <c r="N757" s="2" t="s">
        <v>25</v>
      </c>
      <c r="O757" s="2">
        <v>15</v>
      </c>
      <c r="P757" s="2" t="str">
        <f>IF(global_freelancer_raw5[[#This Row],[No of projects ]]&lt;=5,"Entry level","Well Experienced")</f>
        <v>Well Experienced</v>
      </c>
      <c r="Q757" s="2">
        <v>1</v>
      </c>
    </row>
    <row r="758" spans="1:17" x14ac:dyDescent="0.3">
      <c r="A758" t="s">
        <v>1613</v>
      </c>
      <c r="B758" t="s">
        <v>1614</v>
      </c>
      <c r="C758" t="s">
        <v>97</v>
      </c>
      <c r="D758" s="2">
        <v>49</v>
      </c>
      <c r="E758" t="s">
        <v>64</v>
      </c>
      <c r="F758" t="s">
        <v>65</v>
      </c>
      <c r="G758" s="2" t="s">
        <v>57</v>
      </c>
      <c r="H758" s="2">
        <v>22</v>
      </c>
      <c r="I758" s="2" t="s">
        <v>103</v>
      </c>
      <c r="J758" s="2">
        <v>0</v>
      </c>
      <c r="K758" s="2" t="s">
        <v>74</v>
      </c>
      <c r="L758" s="2" t="s">
        <v>2120</v>
      </c>
      <c r="M758" s="2" t="s">
        <v>24</v>
      </c>
      <c r="N758" s="2" t="s">
        <v>34</v>
      </c>
      <c r="O758" s="2">
        <v>16</v>
      </c>
      <c r="P758" s="2" t="str">
        <f>IF(global_freelancer_raw5[[#This Row],[No of projects ]]&lt;=5,"Entry level","Well Experienced")</f>
        <v>Well Experienced</v>
      </c>
      <c r="Q758" s="2">
        <v>18</v>
      </c>
    </row>
    <row r="759" spans="1:17" x14ac:dyDescent="0.3">
      <c r="A759" t="s">
        <v>1615</v>
      </c>
      <c r="B759" t="s">
        <v>1616</v>
      </c>
      <c r="C759" t="s">
        <v>97</v>
      </c>
      <c r="D759" s="2">
        <v>37</v>
      </c>
      <c r="E759" t="s">
        <v>19</v>
      </c>
      <c r="F759" t="s">
        <v>20</v>
      </c>
      <c r="G759" s="2" t="s">
        <v>110</v>
      </c>
      <c r="H759" s="2" t="s">
        <v>2120</v>
      </c>
      <c r="I759" s="2" t="s">
        <v>67</v>
      </c>
      <c r="J759" s="2">
        <v>3.5</v>
      </c>
      <c r="K759" s="2" t="s">
        <v>41</v>
      </c>
      <c r="L759" s="2">
        <v>0.75</v>
      </c>
      <c r="M759" s="2" t="s">
        <v>24</v>
      </c>
      <c r="N759" s="2" t="s">
        <v>25</v>
      </c>
      <c r="O759" s="2">
        <v>2</v>
      </c>
      <c r="P759" s="2" t="str">
        <f>IF(global_freelancer_raw5[[#This Row],[No of projects ]]&lt;=5,"Entry level","Well Experienced")</f>
        <v>Entry level</v>
      </c>
      <c r="Q759" s="2">
        <v>2</v>
      </c>
    </row>
    <row r="760" spans="1:17" x14ac:dyDescent="0.3">
      <c r="A760" t="s">
        <v>1617</v>
      </c>
      <c r="B760" t="s">
        <v>1618</v>
      </c>
      <c r="C760" t="s">
        <v>118</v>
      </c>
      <c r="D760" s="2">
        <v>31</v>
      </c>
      <c r="E760" t="s">
        <v>29</v>
      </c>
      <c r="F760" t="s">
        <v>30</v>
      </c>
      <c r="G760" s="2" t="s">
        <v>57</v>
      </c>
      <c r="H760" s="2">
        <v>1</v>
      </c>
      <c r="I760" s="2" t="s">
        <v>86</v>
      </c>
      <c r="J760" s="2">
        <v>4.5</v>
      </c>
      <c r="K760" s="2" t="s">
        <v>23</v>
      </c>
      <c r="L760" s="2">
        <v>0.96</v>
      </c>
      <c r="M760" s="2" t="s">
        <v>24</v>
      </c>
      <c r="N760" s="2" t="s">
        <v>34</v>
      </c>
      <c r="O760" s="2">
        <v>1</v>
      </c>
      <c r="P760" s="2" t="str">
        <f>IF(global_freelancer_raw5[[#This Row],[No of projects ]]&lt;=5,"Entry level","Well Experienced")</f>
        <v>Entry level</v>
      </c>
      <c r="Q760" s="2">
        <v>3</v>
      </c>
    </row>
    <row r="761" spans="1:17" x14ac:dyDescent="0.3">
      <c r="A761" t="s">
        <v>1619</v>
      </c>
      <c r="B761" t="s">
        <v>1620</v>
      </c>
      <c r="C761" t="s">
        <v>118</v>
      </c>
      <c r="D761" s="2">
        <v>51</v>
      </c>
      <c r="E761" t="s">
        <v>133</v>
      </c>
      <c r="F761" t="s">
        <v>134</v>
      </c>
      <c r="G761" s="2" t="s">
        <v>31</v>
      </c>
      <c r="H761" s="2">
        <v>5</v>
      </c>
      <c r="I761" s="2" t="s">
        <v>70</v>
      </c>
      <c r="J761" s="2">
        <v>1.7</v>
      </c>
      <c r="K761" s="2" t="s">
        <v>87</v>
      </c>
      <c r="L761" s="2">
        <v>0.61</v>
      </c>
      <c r="M761" s="2" t="s">
        <v>60</v>
      </c>
      <c r="N761" s="2" t="s">
        <v>75</v>
      </c>
      <c r="O761" s="2">
        <v>3</v>
      </c>
      <c r="P761" s="2" t="str">
        <f>IF(global_freelancer_raw5[[#This Row],[No of projects ]]&lt;=5,"Entry level","Well Experienced")</f>
        <v>Entry level</v>
      </c>
      <c r="Q761" s="2">
        <v>3</v>
      </c>
    </row>
    <row r="762" spans="1:17" x14ac:dyDescent="0.3">
      <c r="A762" t="s">
        <v>1621</v>
      </c>
      <c r="B762" t="s">
        <v>1622</v>
      </c>
      <c r="C762" t="s">
        <v>118</v>
      </c>
      <c r="D762" s="2">
        <v>60</v>
      </c>
      <c r="E762" t="s">
        <v>197</v>
      </c>
      <c r="F762" t="s">
        <v>198</v>
      </c>
      <c r="G762" s="2" t="s">
        <v>110</v>
      </c>
      <c r="H762" s="2">
        <v>40</v>
      </c>
      <c r="I762" s="2" t="s">
        <v>40</v>
      </c>
      <c r="J762" s="2">
        <v>4.5999999999999996</v>
      </c>
      <c r="K762" s="2" t="s">
        <v>74</v>
      </c>
      <c r="L762" s="2">
        <v>1</v>
      </c>
      <c r="M762" s="2" t="s">
        <v>82</v>
      </c>
      <c r="N762" s="2" t="s">
        <v>42</v>
      </c>
      <c r="O762" s="2">
        <v>13</v>
      </c>
      <c r="P762" s="2" t="str">
        <f>IF(global_freelancer_raw5[[#This Row],[No of projects ]]&lt;=5,"Entry level","Well Experienced")</f>
        <v>Well Experienced</v>
      </c>
      <c r="Q762" s="2">
        <v>2</v>
      </c>
    </row>
    <row r="763" spans="1:17" x14ac:dyDescent="0.3">
      <c r="A763" t="s">
        <v>1623</v>
      </c>
      <c r="B763" t="s">
        <v>1624</v>
      </c>
      <c r="C763" t="s">
        <v>118</v>
      </c>
      <c r="D763" s="2">
        <v>51</v>
      </c>
      <c r="E763" t="s">
        <v>149</v>
      </c>
      <c r="F763" t="s">
        <v>30</v>
      </c>
      <c r="G763" s="2" t="s">
        <v>21</v>
      </c>
      <c r="H763" s="2">
        <v>19</v>
      </c>
      <c r="I763" s="2" t="s">
        <v>40</v>
      </c>
      <c r="J763" s="2" t="s">
        <v>2120</v>
      </c>
      <c r="K763" s="2" t="s">
        <v>94</v>
      </c>
      <c r="L763" s="2">
        <v>0.82</v>
      </c>
      <c r="M763" s="2" t="s">
        <v>24</v>
      </c>
      <c r="N763" s="2" t="s">
        <v>25</v>
      </c>
      <c r="O763" s="2">
        <v>17</v>
      </c>
      <c r="P763" s="2" t="str">
        <f>IF(global_freelancer_raw5[[#This Row],[No of projects ]]&lt;=5,"Entry level","Well Experienced")</f>
        <v>Well Experienced</v>
      </c>
      <c r="Q763" s="2">
        <v>4</v>
      </c>
    </row>
    <row r="764" spans="1:17" x14ac:dyDescent="0.3">
      <c r="A764" t="s">
        <v>1625</v>
      </c>
      <c r="B764" t="s">
        <v>1626</v>
      </c>
      <c r="C764" t="s">
        <v>118</v>
      </c>
      <c r="D764" s="2">
        <v>37</v>
      </c>
      <c r="E764" t="s">
        <v>38</v>
      </c>
      <c r="F764" t="s">
        <v>38</v>
      </c>
      <c r="G764" s="2" t="s">
        <v>39</v>
      </c>
      <c r="H764" s="2">
        <v>12</v>
      </c>
      <c r="I764" s="2" t="s">
        <v>2119</v>
      </c>
      <c r="J764" s="2">
        <v>4.9000000000000004</v>
      </c>
      <c r="K764" s="2" t="s">
        <v>33</v>
      </c>
      <c r="L764" s="2">
        <v>0.8</v>
      </c>
      <c r="M764" s="2" t="s">
        <v>88</v>
      </c>
      <c r="N764" s="2" t="s">
        <v>42</v>
      </c>
      <c r="O764" s="2">
        <v>7</v>
      </c>
      <c r="P764" s="2" t="str">
        <f>IF(global_freelancer_raw5[[#This Row],[No of projects ]]&lt;=5,"Entry level","Well Experienced")</f>
        <v>Well Experienced</v>
      </c>
      <c r="Q764" s="2">
        <v>6</v>
      </c>
    </row>
    <row r="765" spans="1:17" x14ac:dyDescent="0.3">
      <c r="A765" t="s">
        <v>1627</v>
      </c>
      <c r="B765" t="s">
        <v>1628</v>
      </c>
      <c r="C765" t="s">
        <v>118</v>
      </c>
      <c r="D765" s="2">
        <v>52</v>
      </c>
      <c r="E765" t="s">
        <v>114</v>
      </c>
      <c r="F765" t="s">
        <v>115</v>
      </c>
      <c r="G765" s="2" t="s">
        <v>21</v>
      </c>
      <c r="H765" s="2">
        <v>7</v>
      </c>
      <c r="I765" s="2" t="s">
        <v>86</v>
      </c>
      <c r="J765" s="2">
        <v>2.2000000000000002</v>
      </c>
      <c r="K765" s="2" t="s">
        <v>2120</v>
      </c>
      <c r="L765" s="2">
        <v>0.96</v>
      </c>
      <c r="M765" s="2" t="s">
        <v>82</v>
      </c>
      <c r="N765" s="2" t="s">
        <v>25</v>
      </c>
      <c r="O765" s="2">
        <v>8</v>
      </c>
      <c r="P765" s="2" t="str">
        <f>IF(global_freelancer_raw5[[#This Row],[No of projects ]]&lt;=5,"Entry level","Well Experienced")</f>
        <v>Well Experienced</v>
      </c>
      <c r="Q765" s="2">
        <v>8</v>
      </c>
    </row>
    <row r="766" spans="1:17" x14ac:dyDescent="0.3">
      <c r="A766" t="s">
        <v>1629</v>
      </c>
      <c r="B766" t="s">
        <v>1630</v>
      </c>
      <c r="C766" t="s">
        <v>118</v>
      </c>
      <c r="D766" s="2">
        <v>27</v>
      </c>
      <c r="E766" t="s">
        <v>64</v>
      </c>
      <c r="F766" t="s">
        <v>65</v>
      </c>
      <c r="G766" s="2" t="s">
        <v>21</v>
      </c>
      <c r="H766" s="2">
        <v>4</v>
      </c>
      <c r="I766" s="2" t="s">
        <v>162</v>
      </c>
      <c r="J766" s="2" t="s">
        <v>2120</v>
      </c>
      <c r="K766" s="2" t="s">
        <v>23</v>
      </c>
      <c r="L766" s="2">
        <v>0.63</v>
      </c>
      <c r="M766" s="2" t="s">
        <v>88</v>
      </c>
      <c r="N766" s="2" t="s">
        <v>75</v>
      </c>
      <c r="O766" s="2">
        <v>3</v>
      </c>
      <c r="P766" s="2" t="str">
        <f>IF(global_freelancer_raw5[[#This Row],[No of projects ]]&lt;=5,"Entry level","Well Experienced")</f>
        <v>Entry level</v>
      </c>
      <c r="Q766" s="2">
        <v>3</v>
      </c>
    </row>
    <row r="767" spans="1:17" x14ac:dyDescent="0.3">
      <c r="A767" t="s">
        <v>1631</v>
      </c>
      <c r="B767" t="s">
        <v>1632</v>
      </c>
      <c r="C767" t="s">
        <v>118</v>
      </c>
      <c r="D767" s="2">
        <v>48</v>
      </c>
      <c r="E767" t="s">
        <v>29</v>
      </c>
      <c r="F767" t="s">
        <v>30</v>
      </c>
      <c r="G767" s="2" t="s">
        <v>39</v>
      </c>
      <c r="H767" s="2">
        <v>24</v>
      </c>
      <c r="I767" s="2" t="s">
        <v>47</v>
      </c>
      <c r="J767" s="2">
        <v>2.2000000000000002</v>
      </c>
      <c r="K767" s="2" t="s">
        <v>23</v>
      </c>
      <c r="L767" s="2">
        <v>0.67</v>
      </c>
      <c r="M767" s="2" t="s">
        <v>82</v>
      </c>
      <c r="N767" s="2" t="s">
        <v>25</v>
      </c>
      <c r="O767" s="2">
        <v>12</v>
      </c>
      <c r="P767" s="2" t="str">
        <f>IF(global_freelancer_raw5[[#This Row],[No of projects ]]&lt;=5,"Entry level","Well Experienced")</f>
        <v>Well Experienced</v>
      </c>
      <c r="Q767" s="2">
        <v>13</v>
      </c>
    </row>
    <row r="768" spans="1:17" x14ac:dyDescent="0.3">
      <c r="A768" t="s">
        <v>1633</v>
      </c>
      <c r="B768" t="s">
        <v>1634</v>
      </c>
      <c r="C768" t="s">
        <v>97</v>
      </c>
      <c r="D768" s="2">
        <v>22</v>
      </c>
      <c r="E768" t="s">
        <v>106</v>
      </c>
      <c r="F768" t="s">
        <v>107</v>
      </c>
      <c r="G768" s="2" t="s">
        <v>66</v>
      </c>
      <c r="H768" s="2">
        <v>1</v>
      </c>
      <c r="I768" s="2" t="s">
        <v>130</v>
      </c>
      <c r="J768" s="2">
        <v>3.3</v>
      </c>
      <c r="K768" s="2" t="s">
        <v>33</v>
      </c>
      <c r="L768" s="2">
        <v>0.61</v>
      </c>
      <c r="M768" s="2" t="s">
        <v>88</v>
      </c>
      <c r="N768" s="2" t="s">
        <v>75</v>
      </c>
      <c r="O768" s="2">
        <v>3</v>
      </c>
      <c r="P768" s="2" t="str">
        <f>IF(global_freelancer_raw5[[#This Row],[No of projects ]]&lt;=5,"Entry level","Well Experienced")</f>
        <v>Entry level</v>
      </c>
      <c r="Q768" s="2">
        <v>5</v>
      </c>
    </row>
    <row r="769" spans="1:17" x14ac:dyDescent="0.3">
      <c r="A769" t="s">
        <v>1635</v>
      </c>
      <c r="B769" t="s">
        <v>1636</v>
      </c>
      <c r="C769" t="s">
        <v>97</v>
      </c>
      <c r="D769" s="2">
        <v>48</v>
      </c>
      <c r="E769" t="s">
        <v>38</v>
      </c>
      <c r="F769" t="s">
        <v>38</v>
      </c>
      <c r="G769" s="2" t="s">
        <v>31</v>
      </c>
      <c r="H769" s="2">
        <v>28</v>
      </c>
      <c r="I769" s="2" t="s">
        <v>130</v>
      </c>
      <c r="J769" s="2">
        <v>4.9000000000000004</v>
      </c>
      <c r="K769" s="2" t="s">
        <v>23</v>
      </c>
      <c r="L769" s="2">
        <v>0.77</v>
      </c>
      <c r="M769" s="2" t="s">
        <v>60</v>
      </c>
      <c r="N769" s="2" t="s">
        <v>25</v>
      </c>
      <c r="O769" s="2">
        <v>19</v>
      </c>
      <c r="P769" s="2" t="str">
        <f>IF(global_freelancer_raw5[[#This Row],[No of projects ]]&lt;=5,"Entry level","Well Experienced")</f>
        <v>Well Experienced</v>
      </c>
      <c r="Q769" s="2">
        <v>8</v>
      </c>
    </row>
    <row r="770" spans="1:17" x14ac:dyDescent="0.3">
      <c r="A770" t="s">
        <v>1637</v>
      </c>
      <c r="B770" t="s">
        <v>1638</v>
      </c>
      <c r="C770" t="s">
        <v>97</v>
      </c>
      <c r="D770" s="2">
        <v>54</v>
      </c>
      <c r="E770" t="s">
        <v>73</v>
      </c>
      <c r="F770" t="s">
        <v>30</v>
      </c>
      <c r="G770" s="2" t="s">
        <v>31</v>
      </c>
      <c r="H770" s="2">
        <v>19</v>
      </c>
      <c r="I770" s="2" t="s">
        <v>103</v>
      </c>
      <c r="J770" s="2">
        <v>0</v>
      </c>
      <c r="K770" s="2" t="s">
        <v>2120</v>
      </c>
      <c r="L770" s="2" t="s">
        <v>2120</v>
      </c>
      <c r="M770" s="2" t="s">
        <v>24</v>
      </c>
      <c r="N770" s="2" t="s">
        <v>75</v>
      </c>
      <c r="O770" s="2">
        <v>14</v>
      </c>
      <c r="P770" s="2" t="str">
        <f>IF(global_freelancer_raw5[[#This Row],[No of projects ]]&lt;=5,"Entry level","Well Experienced")</f>
        <v>Well Experienced</v>
      </c>
      <c r="Q770" s="2">
        <v>9</v>
      </c>
    </row>
    <row r="771" spans="1:17" x14ac:dyDescent="0.3">
      <c r="A771" t="s">
        <v>1639</v>
      </c>
      <c r="B771" t="s">
        <v>1640</v>
      </c>
      <c r="C771" t="s">
        <v>97</v>
      </c>
      <c r="D771" s="2">
        <v>52</v>
      </c>
      <c r="E771" t="s">
        <v>133</v>
      </c>
      <c r="F771" t="s">
        <v>134</v>
      </c>
      <c r="G771" s="2" t="s">
        <v>66</v>
      </c>
      <c r="H771" s="2">
        <v>4</v>
      </c>
      <c r="I771" s="2" t="s">
        <v>40</v>
      </c>
      <c r="J771" s="2" t="s">
        <v>2120</v>
      </c>
      <c r="K771" s="2" t="s">
        <v>41</v>
      </c>
      <c r="L771" s="2">
        <v>0.84</v>
      </c>
      <c r="M771" s="2" t="s">
        <v>88</v>
      </c>
      <c r="N771" s="2" t="s">
        <v>75</v>
      </c>
      <c r="O771" s="2">
        <v>5</v>
      </c>
      <c r="P771" s="2" t="str">
        <f>IF(global_freelancer_raw5[[#This Row],[No of projects ]]&lt;=5,"Entry level","Well Experienced")</f>
        <v>Entry level</v>
      </c>
      <c r="Q771" s="2">
        <v>1</v>
      </c>
    </row>
    <row r="772" spans="1:17" x14ac:dyDescent="0.3">
      <c r="A772" t="s">
        <v>1641</v>
      </c>
      <c r="B772" t="s">
        <v>1642</v>
      </c>
      <c r="C772" t="s">
        <v>97</v>
      </c>
      <c r="D772" s="2">
        <v>39</v>
      </c>
      <c r="E772" t="s">
        <v>79</v>
      </c>
      <c r="F772" t="s">
        <v>80</v>
      </c>
      <c r="G772" s="2" t="s">
        <v>46</v>
      </c>
      <c r="H772" s="2">
        <v>20</v>
      </c>
      <c r="I772" s="2" t="s">
        <v>32</v>
      </c>
      <c r="J772" s="2" t="s">
        <v>2120</v>
      </c>
      <c r="K772" s="2" t="s">
        <v>94</v>
      </c>
      <c r="L772" s="2">
        <v>0.89</v>
      </c>
      <c r="M772" s="2" t="s">
        <v>82</v>
      </c>
      <c r="N772" s="2" t="s">
        <v>34</v>
      </c>
      <c r="O772" s="2">
        <v>13</v>
      </c>
      <c r="P772" s="2" t="str">
        <f>IF(global_freelancer_raw5[[#This Row],[No of projects ]]&lt;=5,"Entry level","Well Experienced")</f>
        <v>Well Experienced</v>
      </c>
      <c r="Q772" s="2">
        <v>2</v>
      </c>
    </row>
    <row r="773" spans="1:17" x14ac:dyDescent="0.3">
      <c r="A773" t="s">
        <v>1643</v>
      </c>
      <c r="B773" t="s">
        <v>1644</v>
      </c>
      <c r="C773" t="s">
        <v>97</v>
      </c>
      <c r="D773" s="2">
        <v>54</v>
      </c>
      <c r="E773" t="s">
        <v>145</v>
      </c>
      <c r="F773" t="s">
        <v>146</v>
      </c>
      <c r="G773" s="2" t="s">
        <v>31</v>
      </c>
      <c r="H773" s="2">
        <v>19</v>
      </c>
      <c r="I773" s="2" t="s">
        <v>130</v>
      </c>
      <c r="J773" s="2">
        <v>4</v>
      </c>
      <c r="K773" s="2" t="s">
        <v>2120</v>
      </c>
      <c r="L773" s="2">
        <v>0.9</v>
      </c>
      <c r="M773" s="2" t="s">
        <v>24</v>
      </c>
      <c r="N773" s="2" t="s">
        <v>75</v>
      </c>
      <c r="O773" s="2">
        <v>14</v>
      </c>
      <c r="P773" s="2" t="str">
        <f>IF(global_freelancer_raw5[[#This Row],[No of projects ]]&lt;=5,"Entry level","Well Experienced")</f>
        <v>Well Experienced</v>
      </c>
      <c r="Q773" s="2">
        <v>3</v>
      </c>
    </row>
    <row r="774" spans="1:17" x14ac:dyDescent="0.3">
      <c r="A774" t="s">
        <v>1645</v>
      </c>
      <c r="B774" t="s">
        <v>1646</v>
      </c>
      <c r="C774" t="s">
        <v>97</v>
      </c>
      <c r="D774" s="2">
        <v>22</v>
      </c>
      <c r="E774" t="s">
        <v>73</v>
      </c>
      <c r="F774" t="s">
        <v>30</v>
      </c>
      <c r="G774" s="2" t="s">
        <v>98</v>
      </c>
      <c r="H774" s="2">
        <v>1</v>
      </c>
      <c r="I774" s="2" t="s">
        <v>162</v>
      </c>
      <c r="J774" s="2">
        <v>4.8</v>
      </c>
      <c r="K774" s="2" t="s">
        <v>59</v>
      </c>
      <c r="L774" s="2">
        <v>0.87</v>
      </c>
      <c r="M774" s="2" t="s">
        <v>24</v>
      </c>
      <c r="N774" s="2" t="s">
        <v>34</v>
      </c>
      <c r="O774" s="2">
        <v>3</v>
      </c>
      <c r="P774" s="2" t="str">
        <f>IF(global_freelancer_raw5[[#This Row],[No of projects ]]&lt;=5,"Entry level","Well Experienced")</f>
        <v>Entry level</v>
      </c>
      <c r="Q774" s="2">
        <v>4</v>
      </c>
    </row>
    <row r="775" spans="1:17" x14ac:dyDescent="0.3">
      <c r="A775" t="s">
        <v>1647</v>
      </c>
      <c r="B775" t="s">
        <v>1648</v>
      </c>
      <c r="C775" t="s">
        <v>97</v>
      </c>
      <c r="D775" s="2">
        <v>29</v>
      </c>
      <c r="E775" t="s">
        <v>175</v>
      </c>
      <c r="F775" t="s">
        <v>176</v>
      </c>
      <c r="G775" s="2" t="s">
        <v>31</v>
      </c>
      <c r="H775" s="2">
        <v>8</v>
      </c>
      <c r="I775" s="2" t="s">
        <v>40</v>
      </c>
      <c r="J775" s="2">
        <v>0</v>
      </c>
      <c r="K775" s="2" t="s">
        <v>23</v>
      </c>
      <c r="L775" s="2">
        <v>0.77</v>
      </c>
      <c r="M775" s="2" t="s">
        <v>82</v>
      </c>
      <c r="N775" s="2" t="s">
        <v>75</v>
      </c>
      <c r="O775" s="2">
        <v>11</v>
      </c>
      <c r="P775" s="2" t="str">
        <f>IF(global_freelancer_raw5[[#This Row],[No of projects ]]&lt;=5,"Entry level","Well Experienced")</f>
        <v>Well Experienced</v>
      </c>
      <c r="Q775" s="2">
        <v>3</v>
      </c>
    </row>
    <row r="776" spans="1:17" x14ac:dyDescent="0.3">
      <c r="A776" t="s">
        <v>1649</v>
      </c>
      <c r="B776" t="s">
        <v>1650</v>
      </c>
      <c r="C776" t="s">
        <v>118</v>
      </c>
      <c r="D776" s="2">
        <v>23</v>
      </c>
      <c r="E776" t="s">
        <v>212</v>
      </c>
      <c r="F776" t="s">
        <v>92</v>
      </c>
      <c r="G776" s="2" t="s">
        <v>110</v>
      </c>
      <c r="H776" s="2">
        <v>3</v>
      </c>
      <c r="I776" s="2" t="s">
        <v>130</v>
      </c>
      <c r="J776" s="2">
        <v>1.6</v>
      </c>
      <c r="K776" s="2" t="s">
        <v>94</v>
      </c>
      <c r="L776" s="2">
        <v>0.72</v>
      </c>
      <c r="M776" s="2" t="s">
        <v>88</v>
      </c>
      <c r="N776" s="2" t="s">
        <v>42</v>
      </c>
      <c r="O776" s="2">
        <v>1</v>
      </c>
      <c r="P776" s="2" t="str">
        <f>IF(global_freelancer_raw5[[#This Row],[No of projects ]]&lt;=5,"Entry level","Well Experienced")</f>
        <v>Entry level</v>
      </c>
      <c r="Q776" s="2">
        <v>1</v>
      </c>
    </row>
    <row r="777" spans="1:17" x14ac:dyDescent="0.3">
      <c r="A777" t="s">
        <v>1651</v>
      </c>
      <c r="B777" t="s">
        <v>1652</v>
      </c>
      <c r="C777" t="s">
        <v>97</v>
      </c>
      <c r="D777" s="2">
        <v>58</v>
      </c>
      <c r="E777" t="s">
        <v>201</v>
      </c>
      <c r="F777" t="s">
        <v>92</v>
      </c>
      <c r="G777" s="2" t="s">
        <v>110</v>
      </c>
      <c r="H777" s="2">
        <v>30</v>
      </c>
      <c r="I777" s="2" t="s">
        <v>40</v>
      </c>
      <c r="J777" s="2">
        <v>1.3</v>
      </c>
      <c r="K777" s="2" t="s">
        <v>87</v>
      </c>
      <c r="L777" s="2">
        <v>0.87</v>
      </c>
      <c r="M777" s="2" t="s">
        <v>60</v>
      </c>
      <c r="N777" s="2" t="s">
        <v>75</v>
      </c>
      <c r="O777" s="2">
        <v>13</v>
      </c>
      <c r="P777" s="2" t="str">
        <f>IF(global_freelancer_raw5[[#This Row],[No of projects ]]&lt;=5,"Entry level","Well Experienced")</f>
        <v>Well Experienced</v>
      </c>
      <c r="Q777" s="2">
        <v>6</v>
      </c>
    </row>
    <row r="778" spans="1:17" x14ac:dyDescent="0.3">
      <c r="A778" t="s">
        <v>1653</v>
      </c>
      <c r="B778" t="s">
        <v>1654</v>
      </c>
      <c r="C778" t="s">
        <v>97</v>
      </c>
      <c r="D778" s="2">
        <v>56</v>
      </c>
      <c r="E778" t="s">
        <v>197</v>
      </c>
      <c r="F778" t="s">
        <v>198</v>
      </c>
      <c r="G778" s="2" t="s">
        <v>21</v>
      </c>
      <c r="H778" s="2">
        <v>3</v>
      </c>
      <c r="I778" s="2" t="s">
        <v>86</v>
      </c>
      <c r="J778" s="2">
        <v>4.0999999999999996</v>
      </c>
      <c r="K778" s="2" t="s">
        <v>74</v>
      </c>
      <c r="L778" s="2">
        <v>0.89</v>
      </c>
      <c r="M778" s="2" t="s">
        <v>60</v>
      </c>
      <c r="N778" s="2" t="s">
        <v>42</v>
      </c>
      <c r="O778" s="2">
        <v>5</v>
      </c>
      <c r="P778" s="2" t="str">
        <f>IF(global_freelancer_raw5[[#This Row],[No of projects ]]&lt;=5,"Entry level","Well Experienced")</f>
        <v>Entry level</v>
      </c>
      <c r="Q778" s="2">
        <v>1</v>
      </c>
    </row>
    <row r="779" spans="1:17" x14ac:dyDescent="0.3">
      <c r="A779" t="s">
        <v>1655</v>
      </c>
      <c r="B779" t="s">
        <v>1656</v>
      </c>
      <c r="C779" t="s">
        <v>118</v>
      </c>
      <c r="D779" s="2">
        <v>48</v>
      </c>
      <c r="E779" t="s">
        <v>79</v>
      </c>
      <c r="F779" t="s">
        <v>80</v>
      </c>
      <c r="G779" s="2" t="s">
        <v>46</v>
      </c>
      <c r="H779" s="2">
        <v>19</v>
      </c>
      <c r="I779" s="2" t="s">
        <v>86</v>
      </c>
      <c r="J779" s="2">
        <v>1.5</v>
      </c>
      <c r="K779" s="2" t="s">
        <v>23</v>
      </c>
      <c r="L779" s="2">
        <v>0.87</v>
      </c>
      <c r="M779" s="2" t="s">
        <v>88</v>
      </c>
      <c r="N779" s="2" t="s">
        <v>42</v>
      </c>
      <c r="O779" s="2">
        <v>14</v>
      </c>
      <c r="P779" s="2" t="str">
        <f>IF(global_freelancer_raw5[[#This Row],[No of projects ]]&lt;=5,"Entry level","Well Experienced")</f>
        <v>Well Experienced</v>
      </c>
      <c r="Q779" s="2">
        <v>11</v>
      </c>
    </row>
    <row r="780" spans="1:17" x14ac:dyDescent="0.3">
      <c r="A780" t="s">
        <v>1657</v>
      </c>
      <c r="B780" t="s">
        <v>1658</v>
      </c>
      <c r="C780" t="s">
        <v>97</v>
      </c>
      <c r="D780" s="2">
        <v>31</v>
      </c>
      <c r="E780" t="s">
        <v>145</v>
      </c>
      <c r="F780" t="s">
        <v>146</v>
      </c>
      <c r="G780" s="2" t="s">
        <v>31</v>
      </c>
      <c r="H780" s="2">
        <v>11</v>
      </c>
      <c r="I780" s="2" t="s">
        <v>70</v>
      </c>
      <c r="J780" s="2">
        <v>4.3</v>
      </c>
      <c r="K780" s="2" t="s">
        <v>94</v>
      </c>
      <c r="L780" s="2">
        <v>0.76</v>
      </c>
      <c r="M780" s="2" t="s">
        <v>24</v>
      </c>
      <c r="N780" s="2" t="s">
        <v>75</v>
      </c>
      <c r="O780" s="2">
        <v>6</v>
      </c>
      <c r="P780" s="2" t="str">
        <f>IF(global_freelancer_raw5[[#This Row],[No of projects ]]&lt;=5,"Entry level","Well Experienced")</f>
        <v>Well Experienced</v>
      </c>
      <c r="Q780" s="2">
        <v>3</v>
      </c>
    </row>
    <row r="781" spans="1:17" x14ac:dyDescent="0.3">
      <c r="A781" t="s">
        <v>1659</v>
      </c>
      <c r="B781" t="s">
        <v>1660</v>
      </c>
      <c r="C781" t="s">
        <v>118</v>
      </c>
      <c r="D781" s="2">
        <v>44</v>
      </c>
      <c r="E781" t="s">
        <v>29</v>
      </c>
      <c r="F781" t="s">
        <v>30</v>
      </c>
      <c r="G781" s="2" t="s">
        <v>135</v>
      </c>
      <c r="H781" s="2">
        <v>26</v>
      </c>
      <c r="I781" s="2" t="s">
        <v>40</v>
      </c>
      <c r="J781" s="2">
        <v>1.6</v>
      </c>
      <c r="K781" s="2" t="s">
        <v>2120</v>
      </c>
      <c r="L781" s="2">
        <v>1</v>
      </c>
      <c r="M781" s="2" t="s">
        <v>24</v>
      </c>
      <c r="N781" s="2" t="s">
        <v>42</v>
      </c>
      <c r="O781" s="2">
        <v>20</v>
      </c>
      <c r="P781" s="2" t="str">
        <f>IF(global_freelancer_raw5[[#This Row],[No of projects ]]&lt;=5,"Entry level","Well Experienced")</f>
        <v>Well Experienced</v>
      </c>
      <c r="Q781" s="2">
        <v>8</v>
      </c>
    </row>
    <row r="782" spans="1:17" x14ac:dyDescent="0.3">
      <c r="A782" t="s">
        <v>1661</v>
      </c>
      <c r="B782" t="s">
        <v>1662</v>
      </c>
      <c r="C782" t="s">
        <v>97</v>
      </c>
      <c r="D782" s="2">
        <v>42</v>
      </c>
      <c r="E782" t="s">
        <v>160</v>
      </c>
      <c r="F782" t="s">
        <v>161</v>
      </c>
      <c r="G782" s="2" t="s">
        <v>31</v>
      </c>
      <c r="H782" s="2">
        <v>10</v>
      </c>
      <c r="I782" s="2" t="s">
        <v>22</v>
      </c>
      <c r="J782" s="2">
        <v>3.7</v>
      </c>
      <c r="K782" s="2" t="s">
        <v>94</v>
      </c>
      <c r="L782" s="2">
        <v>0.94</v>
      </c>
      <c r="M782" s="2" t="s">
        <v>24</v>
      </c>
      <c r="N782" s="2" t="s">
        <v>34</v>
      </c>
      <c r="O782" s="2">
        <v>8</v>
      </c>
      <c r="P782" s="2" t="str">
        <f>IF(global_freelancer_raw5[[#This Row],[No of projects ]]&lt;=5,"Entry level","Well Experienced")</f>
        <v>Well Experienced</v>
      </c>
      <c r="Q782" s="2">
        <v>2</v>
      </c>
    </row>
    <row r="783" spans="1:17" x14ac:dyDescent="0.3">
      <c r="A783" t="s">
        <v>1663</v>
      </c>
      <c r="B783" t="s">
        <v>1664</v>
      </c>
      <c r="C783" t="s">
        <v>118</v>
      </c>
      <c r="D783" s="2">
        <v>59</v>
      </c>
      <c r="E783" t="s">
        <v>73</v>
      </c>
      <c r="F783" t="s">
        <v>30</v>
      </c>
      <c r="G783" s="2" t="s">
        <v>98</v>
      </c>
      <c r="H783" s="2">
        <v>17</v>
      </c>
      <c r="I783" s="2" t="s">
        <v>40</v>
      </c>
      <c r="J783" s="2">
        <v>1.4</v>
      </c>
      <c r="K783" s="2" t="s">
        <v>87</v>
      </c>
      <c r="L783" s="2" t="s">
        <v>2120</v>
      </c>
      <c r="M783" s="2" t="s">
        <v>24</v>
      </c>
      <c r="N783" s="2" t="s">
        <v>25</v>
      </c>
      <c r="O783" s="2">
        <v>20</v>
      </c>
      <c r="P783" s="2" t="str">
        <f>IF(global_freelancer_raw5[[#This Row],[No of projects ]]&lt;=5,"Entry level","Well Experienced")</f>
        <v>Well Experienced</v>
      </c>
      <c r="Q783" s="2">
        <v>12</v>
      </c>
    </row>
    <row r="784" spans="1:17" x14ac:dyDescent="0.3">
      <c r="A784" t="s">
        <v>1665</v>
      </c>
      <c r="B784" t="s">
        <v>1666</v>
      </c>
      <c r="C784" t="s">
        <v>97</v>
      </c>
      <c r="D784" s="2" t="s">
        <v>2119</v>
      </c>
      <c r="E784" t="s">
        <v>91</v>
      </c>
      <c r="F784" t="s">
        <v>92</v>
      </c>
      <c r="G784" s="2" t="s">
        <v>21</v>
      </c>
      <c r="H784" s="2">
        <v>9</v>
      </c>
      <c r="I784" s="2" t="s">
        <v>251</v>
      </c>
      <c r="J784" s="2">
        <v>4.5</v>
      </c>
      <c r="K784" s="2" t="s">
        <v>94</v>
      </c>
      <c r="L784" s="2">
        <v>83</v>
      </c>
      <c r="M784" s="2" t="s">
        <v>88</v>
      </c>
      <c r="N784" s="2" t="s">
        <v>75</v>
      </c>
      <c r="O784" s="2">
        <v>15</v>
      </c>
      <c r="P784" s="2" t="str">
        <f>IF(global_freelancer_raw5[[#This Row],[No of projects ]]&lt;=5,"Entry level","Well Experienced")</f>
        <v>Well Experienced</v>
      </c>
      <c r="Q784" s="2">
        <v>1</v>
      </c>
    </row>
    <row r="785" spans="1:17" x14ac:dyDescent="0.3">
      <c r="A785" t="s">
        <v>1667</v>
      </c>
      <c r="B785" t="s">
        <v>1668</v>
      </c>
      <c r="C785" t="s">
        <v>118</v>
      </c>
      <c r="D785" s="2">
        <v>21</v>
      </c>
      <c r="E785" t="s">
        <v>197</v>
      </c>
      <c r="F785" t="s">
        <v>198</v>
      </c>
      <c r="G785" s="2" t="s">
        <v>66</v>
      </c>
      <c r="H785" s="2">
        <v>0</v>
      </c>
      <c r="I785" s="2" t="s">
        <v>70</v>
      </c>
      <c r="J785" s="2">
        <v>3.7</v>
      </c>
      <c r="K785" s="2" t="s">
        <v>23</v>
      </c>
      <c r="L785" s="2">
        <v>0.74</v>
      </c>
      <c r="M785" s="2" t="s">
        <v>24</v>
      </c>
      <c r="N785" s="2" t="s">
        <v>42</v>
      </c>
      <c r="O785" s="2">
        <v>1</v>
      </c>
      <c r="P785" s="2" t="str">
        <f>IF(global_freelancer_raw5[[#This Row],[No of projects ]]&lt;=5,"Entry level","Well Experienced")</f>
        <v>Entry level</v>
      </c>
      <c r="Q785" s="2">
        <v>1</v>
      </c>
    </row>
    <row r="786" spans="1:17" x14ac:dyDescent="0.3">
      <c r="A786" t="s">
        <v>1669</v>
      </c>
      <c r="B786" t="s">
        <v>1670</v>
      </c>
      <c r="C786" t="s">
        <v>118</v>
      </c>
      <c r="D786" s="2">
        <v>53</v>
      </c>
      <c r="E786" t="s">
        <v>85</v>
      </c>
      <c r="F786" t="s">
        <v>30</v>
      </c>
      <c r="G786" s="2" t="s">
        <v>110</v>
      </c>
      <c r="H786" s="2">
        <v>5</v>
      </c>
      <c r="I786" s="2" t="s">
        <v>103</v>
      </c>
      <c r="J786" s="2">
        <v>1.1000000000000001</v>
      </c>
      <c r="K786" s="2" t="s">
        <v>23</v>
      </c>
      <c r="L786" s="2">
        <v>92</v>
      </c>
      <c r="M786" s="2" t="s">
        <v>82</v>
      </c>
      <c r="N786" s="2" t="s">
        <v>75</v>
      </c>
      <c r="O786" s="2">
        <v>1</v>
      </c>
      <c r="P786" s="2" t="str">
        <f>IF(global_freelancer_raw5[[#This Row],[No of projects ]]&lt;=5,"Entry level","Well Experienced")</f>
        <v>Entry level</v>
      </c>
      <c r="Q786" s="2">
        <v>1</v>
      </c>
    </row>
    <row r="787" spans="1:17" x14ac:dyDescent="0.3">
      <c r="A787" t="s">
        <v>1671</v>
      </c>
      <c r="B787" t="s">
        <v>1672</v>
      </c>
      <c r="C787" t="s">
        <v>118</v>
      </c>
      <c r="D787" s="2">
        <v>35</v>
      </c>
      <c r="E787" t="s">
        <v>91</v>
      </c>
      <c r="F787" t="s">
        <v>92</v>
      </c>
      <c r="G787" s="2" t="s">
        <v>31</v>
      </c>
      <c r="H787" s="2">
        <v>15</v>
      </c>
      <c r="I787" s="2" t="s">
        <v>2119</v>
      </c>
      <c r="J787" s="2">
        <v>3.7</v>
      </c>
      <c r="K787" s="2" t="s">
        <v>59</v>
      </c>
      <c r="L787" s="2">
        <v>0.66</v>
      </c>
      <c r="M787" s="2" t="s">
        <v>24</v>
      </c>
      <c r="N787" s="2" t="s">
        <v>34</v>
      </c>
      <c r="O787" s="2">
        <v>8</v>
      </c>
      <c r="P787" s="2" t="str">
        <f>IF(global_freelancer_raw5[[#This Row],[No of projects ]]&lt;=5,"Entry level","Well Experienced")</f>
        <v>Well Experienced</v>
      </c>
      <c r="Q787" s="2">
        <v>7</v>
      </c>
    </row>
    <row r="788" spans="1:17" x14ac:dyDescent="0.3">
      <c r="A788" t="s">
        <v>1673</v>
      </c>
      <c r="B788" t="s">
        <v>1674</v>
      </c>
      <c r="C788" t="s">
        <v>97</v>
      </c>
      <c r="D788" s="2">
        <v>25</v>
      </c>
      <c r="E788" t="s">
        <v>128</v>
      </c>
      <c r="F788" t="s">
        <v>129</v>
      </c>
      <c r="G788" s="2" t="s">
        <v>135</v>
      </c>
      <c r="H788" s="2">
        <v>3</v>
      </c>
      <c r="I788" s="2" t="s">
        <v>81</v>
      </c>
      <c r="J788" s="2">
        <v>3.2</v>
      </c>
      <c r="K788" s="2" t="s">
        <v>74</v>
      </c>
      <c r="L788" s="2">
        <v>0.74</v>
      </c>
      <c r="M788" s="2" t="s">
        <v>60</v>
      </c>
      <c r="N788" s="2" t="s">
        <v>75</v>
      </c>
      <c r="O788" s="2">
        <v>2</v>
      </c>
      <c r="P788" s="2" t="str">
        <f>IF(global_freelancer_raw5[[#This Row],[No of projects ]]&lt;=5,"Entry level","Well Experienced")</f>
        <v>Entry level</v>
      </c>
      <c r="Q788" s="2">
        <v>2</v>
      </c>
    </row>
    <row r="789" spans="1:17" x14ac:dyDescent="0.3">
      <c r="A789" t="s">
        <v>1675</v>
      </c>
      <c r="B789" t="s">
        <v>1676</v>
      </c>
      <c r="C789" t="s">
        <v>97</v>
      </c>
      <c r="D789" s="2">
        <v>23</v>
      </c>
      <c r="E789" t="s">
        <v>19</v>
      </c>
      <c r="F789" t="s">
        <v>20</v>
      </c>
      <c r="G789" s="2" t="s">
        <v>93</v>
      </c>
      <c r="H789" s="2">
        <v>1</v>
      </c>
      <c r="I789" s="2" t="s">
        <v>52</v>
      </c>
      <c r="J789" s="2">
        <v>5</v>
      </c>
      <c r="K789" s="2" t="s">
        <v>41</v>
      </c>
      <c r="L789" s="2">
        <v>0.97</v>
      </c>
      <c r="M789" s="2" t="s">
        <v>24</v>
      </c>
      <c r="N789" s="2" t="s">
        <v>75</v>
      </c>
      <c r="O789" s="2">
        <v>2</v>
      </c>
      <c r="P789" s="2" t="str">
        <f>IF(global_freelancer_raw5[[#This Row],[No of projects ]]&lt;=5,"Entry level","Well Experienced")</f>
        <v>Entry level</v>
      </c>
      <c r="Q789" s="2">
        <v>1</v>
      </c>
    </row>
    <row r="790" spans="1:17" x14ac:dyDescent="0.3">
      <c r="A790" t="s">
        <v>1677</v>
      </c>
      <c r="B790" t="s">
        <v>1678</v>
      </c>
      <c r="C790" t="s">
        <v>97</v>
      </c>
      <c r="D790" s="2">
        <v>56</v>
      </c>
      <c r="E790" t="s">
        <v>160</v>
      </c>
      <c r="F790" t="s">
        <v>161</v>
      </c>
      <c r="G790" s="2" t="s">
        <v>39</v>
      </c>
      <c r="H790" s="2">
        <v>13</v>
      </c>
      <c r="I790" s="2" t="s">
        <v>52</v>
      </c>
      <c r="J790" s="2">
        <v>0</v>
      </c>
      <c r="K790" s="2" t="s">
        <v>2120</v>
      </c>
      <c r="L790" s="2">
        <v>77</v>
      </c>
      <c r="M790" s="2" t="s">
        <v>88</v>
      </c>
      <c r="N790" s="2" t="s">
        <v>42</v>
      </c>
      <c r="O790" s="2">
        <v>6</v>
      </c>
      <c r="P790" s="2" t="str">
        <f>IF(global_freelancer_raw5[[#This Row],[No of projects ]]&lt;=5,"Entry level","Well Experienced")</f>
        <v>Well Experienced</v>
      </c>
      <c r="Q790" s="2">
        <v>7</v>
      </c>
    </row>
    <row r="791" spans="1:17" x14ac:dyDescent="0.3">
      <c r="A791" t="s">
        <v>1679</v>
      </c>
      <c r="B791" t="s">
        <v>1680</v>
      </c>
      <c r="C791" t="s">
        <v>97</v>
      </c>
      <c r="D791" s="2">
        <v>31</v>
      </c>
      <c r="E791" t="s">
        <v>201</v>
      </c>
      <c r="F791" t="s">
        <v>92</v>
      </c>
      <c r="G791" s="2" t="s">
        <v>93</v>
      </c>
      <c r="H791" s="2">
        <v>6</v>
      </c>
      <c r="I791" s="2" t="s">
        <v>2119</v>
      </c>
      <c r="J791" s="2">
        <v>3.5</v>
      </c>
      <c r="K791" s="2" t="s">
        <v>181</v>
      </c>
      <c r="L791" s="2">
        <v>0.86</v>
      </c>
      <c r="M791" s="2" t="s">
        <v>60</v>
      </c>
      <c r="N791" s="2" t="s">
        <v>34</v>
      </c>
      <c r="O791" s="2">
        <v>12</v>
      </c>
      <c r="P791" s="2" t="str">
        <f>IF(global_freelancer_raw5[[#This Row],[No of projects ]]&lt;=5,"Entry level","Well Experienced")</f>
        <v>Well Experienced</v>
      </c>
      <c r="Q791" s="2">
        <v>2</v>
      </c>
    </row>
    <row r="792" spans="1:17" x14ac:dyDescent="0.3">
      <c r="A792" t="s">
        <v>1681</v>
      </c>
      <c r="B792" t="s">
        <v>1682</v>
      </c>
      <c r="C792" t="s">
        <v>118</v>
      </c>
      <c r="D792" s="2">
        <v>24</v>
      </c>
      <c r="E792" t="s">
        <v>73</v>
      </c>
      <c r="F792" t="s">
        <v>30</v>
      </c>
      <c r="G792" s="2" t="s">
        <v>98</v>
      </c>
      <c r="H792" s="2">
        <v>4</v>
      </c>
      <c r="I792" s="2" t="s">
        <v>40</v>
      </c>
      <c r="J792" s="2">
        <v>3.1</v>
      </c>
      <c r="K792" s="2" t="s">
        <v>59</v>
      </c>
      <c r="L792" s="2">
        <v>0.95</v>
      </c>
      <c r="M792" s="2" t="s">
        <v>88</v>
      </c>
      <c r="N792" s="2" t="s">
        <v>25</v>
      </c>
      <c r="O792" s="2">
        <v>5</v>
      </c>
      <c r="P792" s="2" t="str">
        <f>IF(global_freelancer_raw5[[#This Row],[No of projects ]]&lt;=5,"Entry level","Well Experienced")</f>
        <v>Entry level</v>
      </c>
      <c r="Q792" s="2">
        <v>2</v>
      </c>
    </row>
    <row r="793" spans="1:17" x14ac:dyDescent="0.3">
      <c r="A793" t="s">
        <v>1683</v>
      </c>
      <c r="B793" t="s">
        <v>1684</v>
      </c>
      <c r="C793" t="s">
        <v>97</v>
      </c>
      <c r="D793" s="2">
        <v>35</v>
      </c>
      <c r="E793" t="s">
        <v>128</v>
      </c>
      <c r="F793" t="s">
        <v>129</v>
      </c>
      <c r="G793" s="2" t="s">
        <v>98</v>
      </c>
      <c r="H793" s="2">
        <v>7</v>
      </c>
      <c r="I793" s="2" t="s">
        <v>2119</v>
      </c>
      <c r="J793" s="2">
        <v>3.9</v>
      </c>
      <c r="K793" s="2" t="s">
        <v>23</v>
      </c>
      <c r="L793" s="2">
        <v>0.72</v>
      </c>
      <c r="M793" s="2" t="s">
        <v>88</v>
      </c>
      <c r="N793" s="2" t="s">
        <v>25</v>
      </c>
      <c r="O793" s="2">
        <v>6</v>
      </c>
      <c r="P793" s="2" t="str">
        <f>IF(global_freelancer_raw5[[#This Row],[No of projects ]]&lt;=5,"Entry level","Well Experienced")</f>
        <v>Well Experienced</v>
      </c>
      <c r="Q793" s="2">
        <v>9</v>
      </c>
    </row>
    <row r="794" spans="1:17" x14ac:dyDescent="0.3">
      <c r="A794" t="s">
        <v>1685</v>
      </c>
      <c r="B794" t="s">
        <v>1686</v>
      </c>
      <c r="C794" t="s">
        <v>97</v>
      </c>
      <c r="D794" s="2">
        <v>20</v>
      </c>
      <c r="E794" t="s">
        <v>212</v>
      </c>
      <c r="F794" t="s">
        <v>92</v>
      </c>
      <c r="G794" s="2" t="s">
        <v>57</v>
      </c>
      <c r="H794" s="2">
        <v>1</v>
      </c>
      <c r="I794" s="2" t="s">
        <v>2119</v>
      </c>
      <c r="J794" s="2">
        <v>3.5</v>
      </c>
      <c r="K794" s="2" t="s">
        <v>23</v>
      </c>
      <c r="L794" s="2">
        <v>0.71</v>
      </c>
      <c r="M794" s="2" t="s">
        <v>60</v>
      </c>
      <c r="N794" s="2" t="s">
        <v>42</v>
      </c>
      <c r="O794" s="2">
        <v>3</v>
      </c>
      <c r="P794" s="2" t="str">
        <f>IF(global_freelancer_raw5[[#This Row],[No of projects ]]&lt;=5,"Entry level","Well Experienced")</f>
        <v>Entry level</v>
      </c>
      <c r="Q794" s="2">
        <v>1</v>
      </c>
    </row>
    <row r="795" spans="1:17" x14ac:dyDescent="0.3">
      <c r="A795" t="s">
        <v>1687</v>
      </c>
      <c r="B795" t="s">
        <v>1688</v>
      </c>
      <c r="C795" t="s">
        <v>118</v>
      </c>
      <c r="D795" s="2">
        <v>26</v>
      </c>
      <c r="E795" t="s">
        <v>29</v>
      </c>
      <c r="F795" t="s">
        <v>30</v>
      </c>
      <c r="G795" s="2" t="s">
        <v>66</v>
      </c>
      <c r="H795" s="2">
        <v>5</v>
      </c>
      <c r="I795" s="2" t="s">
        <v>251</v>
      </c>
      <c r="J795" s="2">
        <v>2.5</v>
      </c>
      <c r="K795" s="2" t="s">
        <v>74</v>
      </c>
      <c r="L795" s="2">
        <v>0.93</v>
      </c>
      <c r="M795" s="2" t="s">
        <v>88</v>
      </c>
      <c r="N795" s="2" t="s">
        <v>75</v>
      </c>
      <c r="O795" s="2">
        <v>1</v>
      </c>
      <c r="P795" s="2" t="str">
        <f>IF(global_freelancer_raw5[[#This Row],[No of projects ]]&lt;=5,"Entry level","Well Experienced")</f>
        <v>Entry level</v>
      </c>
      <c r="Q795" s="2">
        <v>1</v>
      </c>
    </row>
    <row r="796" spans="1:17" x14ac:dyDescent="0.3">
      <c r="A796" t="s">
        <v>1689</v>
      </c>
      <c r="B796" t="s">
        <v>1690</v>
      </c>
      <c r="C796" t="s">
        <v>118</v>
      </c>
      <c r="D796" s="2">
        <v>54</v>
      </c>
      <c r="E796" t="s">
        <v>85</v>
      </c>
      <c r="F796" t="s">
        <v>30</v>
      </c>
      <c r="G796" s="2" t="s">
        <v>110</v>
      </c>
      <c r="H796" s="2">
        <v>29</v>
      </c>
      <c r="I796" s="2" t="s">
        <v>70</v>
      </c>
      <c r="J796" s="2">
        <v>3.1</v>
      </c>
      <c r="K796" s="2" t="s">
        <v>33</v>
      </c>
      <c r="L796" s="2" t="s">
        <v>2120</v>
      </c>
      <c r="M796" s="2" t="s">
        <v>88</v>
      </c>
      <c r="N796" s="2" t="s">
        <v>42</v>
      </c>
      <c r="O796" s="2">
        <v>14</v>
      </c>
      <c r="P796" s="2" t="str">
        <f>IF(global_freelancer_raw5[[#This Row],[No of projects ]]&lt;=5,"Entry level","Well Experienced")</f>
        <v>Well Experienced</v>
      </c>
      <c r="Q796" s="2">
        <v>12</v>
      </c>
    </row>
    <row r="797" spans="1:17" x14ac:dyDescent="0.3">
      <c r="A797" t="s">
        <v>1691</v>
      </c>
      <c r="B797" t="s">
        <v>1692</v>
      </c>
      <c r="C797" t="s">
        <v>118</v>
      </c>
      <c r="D797" s="2">
        <v>53</v>
      </c>
      <c r="E797" t="s">
        <v>145</v>
      </c>
      <c r="F797" t="s">
        <v>146</v>
      </c>
      <c r="G797" s="2" t="s">
        <v>98</v>
      </c>
      <c r="H797" s="2">
        <v>12</v>
      </c>
      <c r="I797" s="2" t="s">
        <v>22</v>
      </c>
      <c r="J797" s="2">
        <v>4.7</v>
      </c>
      <c r="K797" s="2" t="s">
        <v>33</v>
      </c>
      <c r="L797" s="2">
        <v>0.87</v>
      </c>
      <c r="M797" s="2" t="s">
        <v>24</v>
      </c>
      <c r="N797" s="2" t="s">
        <v>42</v>
      </c>
      <c r="O797" s="2">
        <v>10</v>
      </c>
      <c r="P797" s="2" t="str">
        <f>IF(global_freelancer_raw5[[#This Row],[No of projects ]]&lt;=5,"Entry level","Well Experienced")</f>
        <v>Well Experienced</v>
      </c>
      <c r="Q797" s="2">
        <v>11</v>
      </c>
    </row>
    <row r="798" spans="1:17" x14ac:dyDescent="0.3">
      <c r="A798" t="s">
        <v>1693</v>
      </c>
      <c r="B798" t="s">
        <v>1694</v>
      </c>
      <c r="C798" t="s">
        <v>97</v>
      </c>
      <c r="D798" s="2">
        <v>33</v>
      </c>
      <c r="E798" t="s">
        <v>149</v>
      </c>
      <c r="F798" t="s">
        <v>30</v>
      </c>
      <c r="G798" s="2" t="s">
        <v>110</v>
      </c>
      <c r="H798" s="2">
        <v>4</v>
      </c>
      <c r="I798" s="2" t="s">
        <v>2119</v>
      </c>
      <c r="J798" s="2">
        <v>1.9</v>
      </c>
      <c r="K798" s="2" t="s">
        <v>59</v>
      </c>
      <c r="L798" s="2">
        <v>73</v>
      </c>
      <c r="M798" s="2" t="s">
        <v>82</v>
      </c>
      <c r="N798" s="2" t="s">
        <v>42</v>
      </c>
      <c r="O798" s="2">
        <v>2</v>
      </c>
      <c r="P798" s="2" t="str">
        <f>IF(global_freelancer_raw5[[#This Row],[No of projects ]]&lt;=5,"Entry level","Well Experienced")</f>
        <v>Entry level</v>
      </c>
      <c r="Q798" s="2">
        <v>1</v>
      </c>
    </row>
    <row r="799" spans="1:17" x14ac:dyDescent="0.3">
      <c r="A799" t="s">
        <v>1695</v>
      </c>
      <c r="B799" t="s">
        <v>1696</v>
      </c>
      <c r="C799" t="s">
        <v>118</v>
      </c>
      <c r="D799" s="2">
        <v>43</v>
      </c>
      <c r="E799" t="s">
        <v>55</v>
      </c>
      <c r="F799" t="s">
        <v>56</v>
      </c>
      <c r="G799" s="2" t="s">
        <v>46</v>
      </c>
      <c r="H799" s="2">
        <v>12</v>
      </c>
      <c r="I799" s="2" t="s">
        <v>2119</v>
      </c>
      <c r="J799" s="2">
        <v>1.6</v>
      </c>
      <c r="K799" s="2" t="s">
        <v>33</v>
      </c>
      <c r="L799" s="2">
        <v>0.74</v>
      </c>
      <c r="M799" s="2" t="s">
        <v>88</v>
      </c>
      <c r="N799" s="2" t="s">
        <v>75</v>
      </c>
      <c r="O799" s="2">
        <v>6</v>
      </c>
      <c r="P799" s="2" t="str">
        <f>IF(global_freelancer_raw5[[#This Row],[No of projects ]]&lt;=5,"Entry level","Well Experienced")</f>
        <v>Well Experienced</v>
      </c>
      <c r="Q799" s="2">
        <v>2</v>
      </c>
    </row>
    <row r="800" spans="1:17" x14ac:dyDescent="0.3">
      <c r="A800" t="s">
        <v>1697</v>
      </c>
      <c r="B800" t="s">
        <v>1698</v>
      </c>
      <c r="C800" t="s">
        <v>118</v>
      </c>
      <c r="D800" s="2">
        <v>37</v>
      </c>
      <c r="E800" t="s">
        <v>149</v>
      </c>
      <c r="F800" t="s">
        <v>30</v>
      </c>
      <c r="G800" s="2" t="s">
        <v>110</v>
      </c>
      <c r="H800" s="2">
        <v>3</v>
      </c>
      <c r="I800" s="2" t="s">
        <v>162</v>
      </c>
      <c r="J800" s="2">
        <v>2.5</v>
      </c>
      <c r="K800" s="2" t="s">
        <v>41</v>
      </c>
      <c r="L800" s="2">
        <v>0.62</v>
      </c>
      <c r="M800" s="2" t="s">
        <v>88</v>
      </c>
      <c r="N800" s="2" t="s">
        <v>34</v>
      </c>
      <c r="O800" s="2">
        <v>3</v>
      </c>
      <c r="P800" s="2" t="str">
        <f>IF(global_freelancer_raw5[[#This Row],[No of projects ]]&lt;=5,"Entry level","Well Experienced")</f>
        <v>Entry level</v>
      </c>
      <c r="Q800" s="2">
        <v>1</v>
      </c>
    </row>
    <row r="801" spans="1:17" x14ac:dyDescent="0.3">
      <c r="A801" t="s">
        <v>1699</v>
      </c>
      <c r="B801" t="s">
        <v>1700</v>
      </c>
      <c r="C801" t="s">
        <v>97</v>
      </c>
      <c r="D801" s="2">
        <v>58</v>
      </c>
      <c r="E801" t="s">
        <v>156</v>
      </c>
      <c r="F801" t="s">
        <v>157</v>
      </c>
      <c r="G801" s="2" t="s">
        <v>66</v>
      </c>
      <c r="H801" s="2">
        <v>15</v>
      </c>
      <c r="I801" s="2" t="s">
        <v>162</v>
      </c>
      <c r="J801" s="2">
        <v>3.5</v>
      </c>
      <c r="K801" s="2" t="s">
        <v>2120</v>
      </c>
      <c r="L801" s="2">
        <v>0.98</v>
      </c>
      <c r="M801" s="2" t="s">
        <v>88</v>
      </c>
      <c r="N801" s="2" t="s">
        <v>42</v>
      </c>
      <c r="O801" s="2">
        <v>9</v>
      </c>
      <c r="P801" s="2" t="str">
        <f>IF(global_freelancer_raw5[[#This Row],[No of projects ]]&lt;=5,"Entry level","Well Experienced")</f>
        <v>Well Experienced</v>
      </c>
      <c r="Q801" s="2">
        <v>12</v>
      </c>
    </row>
    <row r="802" spans="1:17" x14ac:dyDescent="0.3">
      <c r="A802" t="s">
        <v>1701</v>
      </c>
      <c r="B802" t="s">
        <v>1702</v>
      </c>
      <c r="C802" t="s">
        <v>97</v>
      </c>
      <c r="D802" s="2">
        <v>39</v>
      </c>
      <c r="E802" t="s">
        <v>212</v>
      </c>
      <c r="F802" t="s">
        <v>92</v>
      </c>
      <c r="G802" s="2" t="s">
        <v>31</v>
      </c>
      <c r="H802" s="2">
        <v>15</v>
      </c>
      <c r="I802" s="2" t="s">
        <v>40</v>
      </c>
      <c r="J802" s="2" t="s">
        <v>2120</v>
      </c>
      <c r="K802" s="2" t="s">
        <v>23</v>
      </c>
      <c r="L802" s="2">
        <v>0.8</v>
      </c>
      <c r="M802" s="2" t="s">
        <v>24</v>
      </c>
      <c r="N802" s="2" t="s">
        <v>75</v>
      </c>
      <c r="O802" s="2">
        <v>15</v>
      </c>
      <c r="P802" s="2" t="str">
        <f>IF(global_freelancer_raw5[[#This Row],[No of projects ]]&lt;=5,"Entry level","Well Experienced")</f>
        <v>Well Experienced</v>
      </c>
      <c r="Q802" s="2">
        <v>2</v>
      </c>
    </row>
    <row r="803" spans="1:17" x14ac:dyDescent="0.3">
      <c r="A803" t="s">
        <v>1703</v>
      </c>
      <c r="B803" t="s">
        <v>1704</v>
      </c>
      <c r="C803" t="s">
        <v>118</v>
      </c>
      <c r="D803" s="2">
        <v>43</v>
      </c>
      <c r="E803" t="s">
        <v>79</v>
      </c>
      <c r="F803" t="s">
        <v>80</v>
      </c>
      <c r="G803" s="2" t="s">
        <v>39</v>
      </c>
      <c r="H803" s="2">
        <v>13</v>
      </c>
      <c r="I803" s="2" t="s">
        <v>336</v>
      </c>
      <c r="J803" s="2">
        <v>1.2</v>
      </c>
      <c r="K803" s="2" t="s">
        <v>94</v>
      </c>
      <c r="L803" s="2">
        <v>69</v>
      </c>
      <c r="M803" s="2" t="s">
        <v>82</v>
      </c>
      <c r="N803" s="2" t="s">
        <v>34</v>
      </c>
      <c r="O803" s="2">
        <v>14</v>
      </c>
      <c r="P803" s="2" t="str">
        <f>IF(global_freelancer_raw5[[#This Row],[No of projects ]]&lt;=5,"Entry level","Well Experienced")</f>
        <v>Well Experienced</v>
      </c>
      <c r="Q803" s="2">
        <v>1</v>
      </c>
    </row>
    <row r="804" spans="1:17" x14ac:dyDescent="0.3">
      <c r="A804" t="s">
        <v>1705</v>
      </c>
      <c r="B804" t="s">
        <v>1706</v>
      </c>
      <c r="C804" t="s">
        <v>97</v>
      </c>
      <c r="D804" s="2">
        <v>40</v>
      </c>
      <c r="E804" t="s">
        <v>212</v>
      </c>
      <c r="F804" t="s">
        <v>92</v>
      </c>
      <c r="G804" s="2" t="s">
        <v>21</v>
      </c>
      <c r="H804" s="2">
        <v>20</v>
      </c>
      <c r="I804" s="2" t="s">
        <v>130</v>
      </c>
      <c r="J804" s="2" t="s">
        <v>2120</v>
      </c>
      <c r="K804" s="2" t="s">
        <v>59</v>
      </c>
      <c r="L804" s="2">
        <v>90</v>
      </c>
      <c r="M804" s="2" t="s">
        <v>60</v>
      </c>
      <c r="N804" s="2" t="s">
        <v>42</v>
      </c>
      <c r="O804" s="2">
        <v>11</v>
      </c>
      <c r="P804" s="2" t="str">
        <f>IF(global_freelancer_raw5[[#This Row],[No of projects ]]&lt;=5,"Entry level","Well Experienced")</f>
        <v>Well Experienced</v>
      </c>
      <c r="Q804" s="2">
        <v>3</v>
      </c>
    </row>
    <row r="805" spans="1:17" x14ac:dyDescent="0.3">
      <c r="A805" t="s">
        <v>1707</v>
      </c>
      <c r="B805" t="s">
        <v>1708</v>
      </c>
      <c r="C805" t="s">
        <v>97</v>
      </c>
      <c r="D805" s="2">
        <v>51</v>
      </c>
      <c r="E805" t="s">
        <v>85</v>
      </c>
      <c r="F805" t="s">
        <v>30</v>
      </c>
      <c r="G805" s="2" t="s">
        <v>135</v>
      </c>
      <c r="H805" s="2">
        <v>30</v>
      </c>
      <c r="I805" s="2" t="s">
        <v>103</v>
      </c>
      <c r="J805" s="2" t="s">
        <v>2120</v>
      </c>
      <c r="K805" s="2" t="s">
        <v>74</v>
      </c>
      <c r="L805" s="2">
        <v>0.74</v>
      </c>
      <c r="M805" s="2" t="s">
        <v>24</v>
      </c>
      <c r="N805" s="2" t="s">
        <v>25</v>
      </c>
      <c r="O805" s="2">
        <v>20</v>
      </c>
      <c r="P805" s="2" t="str">
        <f>IF(global_freelancer_raw5[[#This Row],[No of projects ]]&lt;=5,"Entry level","Well Experienced")</f>
        <v>Well Experienced</v>
      </c>
      <c r="Q805" s="2">
        <v>11</v>
      </c>
    </row>
    <row r="806" spans="1:17" x14ac:dyDescent="0.3">
      <c r="A806" t="s">
        <v>1709</v>
      </c>
      <c r="B806" t="s">
        <v>1710</v>
      </c>
      <c r="C806" t="s">
        <v>118</v>
      </c>
      <c r="D806" s="2">
        <v>23</v>
      </c>
      <c r="E806" t="s">
        <v>38</v>
      </c>
      <c r="F806" t="s">
        <v>38</v>
      </c>
      <c r="G806" s="2" t="s">
        <v>57</v>
      </c>
      <c r="H806" s="2">
        <v>4</v>
      </c>
      <c r="I806" s="2" t="s">
        <v>40</v>
      </c>
      <c r="J806" s="2">
        <v>4.5</v>
      </c>
      <c r="K806" s="2" t="s">
        <v>41</v>
      </c>
      <c r="L806" s="2">
        <v>0.98</v>
      </c>
      <c r="M806" s="2" t="s">
        <v>24</v>
      </c>
      <c r="N806" s="2" t="s">
        <v>34</v>
      </c>
      <c r="O806" s="2">
        <v>1</v>
      </c>
      <c r="P806" s="2" t="str">
        <f>IF(global_freelancer_raw5[[#This Row],[No of projects ]]&lt;=5,"Entry level","Well Experienced")</f>
        <v>Entry level</v>
      </c>
      <c r="Q806" s="2">
        <v>3</v>
      </c>
    </row>
    <row r="807" spans="1:17" x14ac:dyDescent="0.3">
      <c r="A807" t="s">
        <v>1711</v>
      </c>
      <c r="B807" t="s">
        <v>1712</v>
      </c>
      <c r="C807" t="s">
        <v>97</v>
      </c>
      <c r="D807" s="2">
        <v>31</v>
      </c>
      <c r="E807" t="s">
        <v>64</v>
      </c>
      <c r="F807" t="s">
        <v>65</v>
      </c>
      <c r="G807" s="2" t="s">
        <v>39</v>
      </c>
      <c r="H807" s="2" t="s">
        <v>2120</v>
      </c>
      <c r="I807" s="2" t="s">
        <v>336</v>
      </c>
      <c r="J807" s="2" t="s">
        <v>2120</v>
      </c>
      <c r="K807" s="2" t="s">
        <v>94</v>
      </c>
      <c r="L807" s="2">
        <v>0.84</v>
      </c>
      <c r="M807" s="2" t="s">
        <v>82</v>
      </c>
      <c r="N807" s="2" t="s">
        <v>42</v>
      </c>
      <c r="O807" s="2">
        <v>5</v>
      </c>
      <c r="P807" s="2" t="str">
        <f>IF(global_freelancer_raw5[[#This Row],[No of projects ]]&lt;=5,"Entry level","Well Experienced")</f>
        <v>Entry level</v>
      </c>
      <c r="Q807" s="2">
        <v>1</v>
      </c>
    </row>
    <row r="808" spans="1:17" x14ac:dyDescent="0.3">
      <c r="A808" t="s">
        <v>1713</v>
      </c>
      <c r="B808" t="s">
        <v>1714</v>
      </c>
      <c r="C808" t="s">
        <v>97</v>
      </c>
      <c r="D808" s="2">
        <v>44</v>
      </c>
      <c r="E808" t="s">
        <v>145</v>
      </c>
      <c r="F808" t="s">
        <v>146</v>
      </c>
      <c r="G808" s="2" t="s">
        <v>46</v>
      </c>
      <c r="H808" s="2">
        <v>3</v>
      </c>
      <c r="I808" s="2" t="s">
        <v>142</v>
      </c>
      <c r="J808" s="2">
        <v>5</v>
      </c>
      <c r="K808" s="2" t="s">
        <v>87</v>
      </c>
      <c r="L808" s="2">
        <v>0.75</v>
      </c>
      <c r="M808" s="2" t="s">
        <v>82</v>
      </c>
      <c r="N808" s="2" t="s">
        <v>34</v>
      </c>
      <c r="O808" s="2">
        <v>4</v>
      </c>
      <c r="P808" s="2" t="str">
        <f>IF(global_freelancer_raw5[[#This Row],[No of projects ]]&lt;=5,"Entry level","Well Experienced")</f>
        <v>Entry level</v>
      </c>
      <c r="Q808" s="2">
        <v>2</v>
      </c>
    </row>
    <row r="809" spans="1:17" x14ac:dyDescent="0.3">
      <c r="A809" t="s">
        <v>1715</v>
      </c>
      <c r="B809" t="s">
        <v>1716</v>
      </c>
      <c r="C809" t="s">
        <v>118</v>
      </c>
      <c r="D809" s="2">
        <v>56</v>
      </c>
      <c r="E809" t="s">
        <v>38</v>
      </c>
      <c r="F809" t="s">
        <v>38</v>
      </c>
      <c r="G809" s="2" t="s">
        <v>31</v>
      </c>
      <c r="H809" s="2">
        <v>23</v>
      </c>
      <c r="I809" s="2" t="s">
        <v>103</v>
      </c>
      <c r="J809" s="2">
        <v>3.9</v>
      </c>
      <c r="K809" s="2" t="s">
        <v>33</v>
      </c>
      <c r="L809" s="2" t="s">
        <v>2120</v>
      </c>
      <c r="M809" s="2" t="s">
        <v>24</v>
      </c>
      <c r="N809" s="2" t="s">
        <v>34</v>
      </c>
      <c r="O809" s="2">
        <v>14</v>
      </c>
      <c r="P809" s="2" t="str">
        <f>IF(global_freelancer_raw5[[#This Row],[No of projects ]]&lt;=5,"Entry level","Well Experienced")</f>
        <v>Well Experienced</v>
      </c>
      <c r="Q809" s="2">
        <v>7</v>
      </c>
    </row>
    <row r="810" spans="1:17" x14ac:dyDescent="0.3">
      <c r="A810" t="s">
        <v>1717</v>
      </c>
      <c r="B810" t="s">
        <v>1718</v>
      </c>
      <c r="C810" t="s">
        <v>97</v>
      </c>
      <c r="D810" s="2">
        <v>48</v>
      </c>
      <c r="E810" t="s">
        <v>29</v>
      </c>
      <c r="F810" t="s">
        <v>30</v>
      </c>
      <c r="G810" s="2" t="s">
        <v>98</v>
      </c>
      <c r="H810" s="2">
        <v>5</v>
      </c>
      <c r="I810" s="2" t="s">
        <v>251</v>
      </c>
      <c r="J810" s="2">
        <v>1.8</v>
      </c>
      <c r="K810" s="2" t="s">
        <v>74</v>
      </c>
      <c r="L810" s="2">
        <v>0.97</v>
      </c>
      <c r="M810" s="2" t="s">
        <v>60</v>
      </c>
      <c r="N810" s="2" t="s">
        <v>34</v>
      </c>
      <c r="O810" s="2">
        <v>3</v>
      </c>
      <c r="P810" s="2" t="str">
        <f>IF(global_freelancer_raw5[[#This Row],[No of projects ]]&lt;=5,"Entry level","Well Experienced")</f>
        <v>Entry level</v>
      </c>
      <c r="Q810" s="2">
        <v>3</v>
      </c>
    </row>
    <row r="811" spans="1:17" x14ac:dyDescent="0.3">
      <c r="A811" t="s">
        <v>1719</v>
      </c>
      <c r="B811" t="s">
        <v>1720</v>
      </c>
      <c r="C811" t="s">
        <v>97</v>
      </c>
      <c r="D811" s="2">
        <v>46</v>
      </c>
      <c r="E811" t="s">
        <v>145</v>
      </c>
      <c r="F811" t="s">
        <v>146</v>
      </c>
      <c r="G811" s="2" t="s">
        <v>46</v>
      </c>
      <c r="H811" s="2">
        <v>28</v>
      </c>
      <c r="I811" s="2" t="s">
        <v>52</v>
      </c>
      <c r="J811" s="2">
        <v>4.2</v>
      </c>
      <c r="K811" s="2" t="s">
        <v>74</v>
      </c>
      <c r="L811" s="2" t="s">
        <v>2120</v>
      </c>
      <c r="M811" s="2" t="s">
        <v>24</v>
      </c>
      <c r="N811" s="2" t="s">
        <v>34</v>
      </c>
      <c r="O811" s="2">
        <v>16</v>
      </c>
      <c r="P811" s="2" t="str">
        <f>IF(global_freelancer_raw5[[#This Row],[No of projects ]]&lt;=5,"Entry level","Well Experienced")</f>
        <v>Well Experienced</v>
      </c>
      <c r="Q811" s="2">
        <v>9</v>
      </c>
    </row>
    <row r="812" spans="1:17" x14ac:dyDescent="0.3">
      <c r="A812" t="s">
        <v>1721</v>
      </c>
      <c r="B812" t="s">
        <v>1722</v>
      </c>
      <c r="C812" t="s">
        <v>118</v>
      </c>
      <c r="D812" s="2">
        <v>21</v>
      </c>
      <c r="E812" t="s">
        <v>160</v>
      </c>
      <c r="F812" t="s">
        <v>161</v>
      </c>
      <c r="G812" s="2" t="s">
        <v>57</v>
      </c>
      <c r="H812" s="2">
        <v>0</v>
      </c>
      <c r="I812" s="2" t="s">
        <v>162</v>
      </c>
      <c r="J812" s="2">
        <v>2.6</v>
      </c>
      <c r="K812" s="2" t="s">
        <v>181</v>
      </c>
      <c r="L812" s="2">
        <v>0.64</v>
      </c>
      <c r="M812" s="2" t="s">
        <v>82</v>
      </c>
      <c r="N812" s="2" t="s">
        <v>34</v>
      </c>
      <c r="O812" s="2">
        <v>3</v>
      </c>
      <c r="P812" s="2" t="str">
        <f>IF(global_freelancer_raw5[[#This Row],[No of projects ]]&lt;=5,"Entry level","Well Experienced")</f>
        <v>Entry level</v>
      </c>
      <c r="Q812" s="2">
        <v>2</v>
      </c>
    </row>
    <row r="813" spans="1:17" x14ac:dyDescent="0.3">
      <c r="A813" t="s">
        <v>1723</v>
      </c>
      <c r="B813" t="s">
        <v>1724</v>
      </c>
      <c r="C813" t="s">
        <v>118</v>
      </c>
      <c r="D813" s="2">
        <v>52</v>
      </c>
      <c r="E813" t="s">
        <v>145</v>
      </c>
      <c r="F813" t="s">
        <v>146</v>
      </c>
      <c r="G813" s="2" t="s">
        <v>66</v>
      </c>
      <c r="H813" s="2">
        <v>30</v>
      </c>
      <c r="I813" s="2" t="s">
        <v>52</v>
      </c>
      <c r="J813" s="2">
        <v>2</v>
      </c>
      <c r="K813" s="2" t="s">
        <v>33</v>
      </c>
      <c r="L813" s="2">
        <v>0.68</v>
      </c>
      <c r="M813" s="2" t="s">
        <v>60</v>
      </c>
      <c r="N813" s="2" t="s">
        <v>34</v>
      </c>
      <c r="O813" s="2">
        <v>10</v>
      </c>
      <c r="P813" s="2" t="str">
        <f>IF(global_freelancer_raw5[[#This Row],[No of projects ]]&lt;=5,"Entry level","Well Experienced")</f>
        <v>Well Experienced</v>
      </c>
      <c r="Q813" s="2">
        <v>6</v>
      </c>
    </row>
    <row r="814" spans="1:17" x14ac:dyDescent="0.3">
      <c r="A814" t="s">
        <v>1725</v>
      </c>
      <c r="B814" t="s">
        <v>1726</v>
      </c>
      <c r="C814" t="s">
        <v>97</v>
      </c>
      <c r="D814" s="2">
        <v>39</v>
      </c>
      <c r="E814" t="s">
        <v>145</v>
      </c>
      <c r="F814" t="s">
        <v>146</v>
      </c>
      <c r="G814" s="2" t="s">
        <v>39</v>
      </c>
      <c r="H814" s="2">
        <v>20</v>
      </c>
      <c r="I814" s="2" t="s">
        <v>192</v>
      </c>
      <c r="J814" s="2">
        <v>2.7</v>
      </c>
      <c r="K814" s="2" t="s">
        <v>33</v>
      </c>
      <c r="L814" s="2">
        <v>0.67</v>
      </c>
      <c r="M814" s="2" t="s">
        <v>82</v>
      </c>
      <c r="N814" s="2" t="s">
        <v>42</v>
      </c>
      <c r="O814" s="2">
        <v>12</v>
      </c>
      <c r="P814" s="2" t="str">
        <f>IF(global_freelancer_raw5[[#This Row],[No of projects ]]&lt;=5,"Entry level","Well Experienced")</f>
        <v>Well Experienced</v>
      </c>
      <c r="Q814" s="2">
        <v>2</v>
      </c>
    </row>
    <row r="815" spans="1:17" x14ac:dyDescent="0.3">
      <c r="A815" t="s">
        <v>1727</v>
      </c>
      <c r="B815" t="s">
        <v>1728</v>
      </c>
      <c r="C815" t="s">
        <v>97</v>
      </c>
      <c r="D815" s="2">
        <v>31</v>
      </c>
      <c r="E815" t="s">
        <v>29</v>
      </c>
      <c r="F815" t="s">
        <v>30</v>
      </c>
      <c r="G815" s="2" t="s">
        <v>31</v>
      </c>
      <c r="H815" s="2">
        <v>0</v>
      </c>
      <c r="I815" s="2" t="s">
        <v>52</v>
      </c>
      <c r="J815" s="2">
        <v>2.2999999999999998</v>
      </c>
      <c r="K815" s="2" t="s">
        <v>181</v>
      </c>
      <c r="L815" s="2">
        <v>0.79</v>
      </c>
      <c r="M815" s="2" t="s">
        <v>60</v>
      </c>
      <c r="N815" s="2" t="s">
        <v>25</v>
      </c>
      <c r="O815" s="2">
        <v>2</v>
      </c>
      <c r="P815" s="2" t="str">
        <f>IF(global_freelancer_raw5[[#This Row],[No of projects ]]&lt;=5,"Entry level","Well Experienced")</f>
        <v>Entry level</v>
      </c>
      <c r="Q815" s="2">
        <v>1</v>
      </c>
    </row>
    <row r="816" spans="1:17" x14ac:dyDescent="0.3">
      <c r="A816" t="s">
        <v>1729</v>
      </c>
      <c r="B816" t="s">
        <v>1730</v>
      </c>
      <c r="C816" t="s">
        <v>118</v>
      </c>
      <c r="D816" s="2">
        <v>22</v>
      </c>
      <c r="E816" t="s">
        <v>133</v>
      </c>
      <c r="F816" t="s">
        <v>134</v>
      </c>
      <c r="G816" s="2" t="s">
        <v>93</v>
      </c>
      <c r="H816" s="2">
        <v>4</v>
      </c>
      <c r="I816" s="2" t="s">
        <v>47</v>
      </c>
      <c r="J816" s="2">
        <v>3.8</v>
      </c>
      <c r="K816" s="2" t="s">
        <v>74</v>
      </c>
      <c r="L816" s="2">
        <v>1</v>
      </c>
      <c r="M816" s="2" t="s">
        <v>88</v>
      </c>
      <c r="N816" s="2" t="s">
        <v>75</v>
      </c>
      <c r="O816" s="2">
        <v>2</v>
      </c>
      <c r="P816" s="2" t="str">
        <f>IF(global_freelancer_raw5[[#This Row],[No of projects ]]&lt;=5,"Entry level","Well Experienced")</f>
        <v>Entry level</v>
      </c>
      <c r="Q816" s="2">
        <v>2</v>
      </c>
    </row>
    <row r="817" spans="1:17" x14ac:dyDescent="0.3">
      <c r="A817" t="s">
        <v>1731</v>
      </c>
      <c r="B817" t="s">
        <v>1732</v>
      </c>
      <c r="C817" t="s">
        <v>97</v>
      </c>
      <c r="D817" s="2">
        <v>38</v>
      </c>
      <c r="E817" t="s">
        <v>85</v>
      </c>
      <c r="F817" t="s">
        <v>30</v>
      </c>
      <c r="G817" s="2" t="s">
        <v>93</v>
      </c>
      <c r="H817" s="2">
        <v>10</v>
      </c>
      <c r="I817" s="2" t="s">
        <v>86</v>
      </c>
      <c r="J817" s="2" t="s">
        <v>2120</v>
      </c>
      <c r="K817" s="2" t="s">
        <v>41</v>
      </c>
      <c r="L817" s="2">
        <v>0.66</v>
      </c>
      <c r="M817" s="2" t="s">
        <v>82</v>
      </c>
      <c r="N817" s="2" t="s">
        <v>34</v>
      </c>
      <c r="O817" s="2">
        <v>11</v>
      </c>
      <c r="P817" s="2" t="str">
        <f>IF(global_freelancer_raw5[[#This Row],[No of projects ]]&lt;=5,"Entry level","Well Experienced")</f>
        <v>Well Experienced</v>
      </c>
      <c r="Q817" s="2">
        <v>13</v>
      </c>
    </row>
    <row r="818" spans="1:17" x14ac:dyDescent="0.3">
      <c r="A818" t="s">
        <v>1733</v>
      </c>
      <c r="B818" t="s">
        <v>1734</v>
      </c>
      <c r="C818" t="s">
        <v>118</v>
      </c>
      <c r="D818" s="2">
        <v>44</v>
      </c>
      <c r="E818" t="s">
        <v>91</v>
      </c>
      <c r="F818" t="s">
        <v>92</v>
      </c>
      <c r="G818" s="2" t="s">
        <v>39</v>
      </c>
      <c r="H818" s="2">
        <v>24</v>
      </c>
      <c r="I818" s="2" t="s">
        <v>67</v>
      </c>
      <c r="J818" s="2">
        <v>4.5999999999999996</v>
      </c>
      <c r="K818" s="2" t="s">
        <v>181</v>
      </c>
      <c r="L818" s="2">
        <v>0.97</v>
      </c>
      <c r="M818" s="2" t="s">
        <v>82</v>
      </c>
      <c r="N818" s="2" t="s">
        <v>75</v>
      </c>
      <c r="O818" s="2">
        <v>19</v>
      </c>
      <c r="P818" s="2" t="str">
        <f>IF(global_freelancer_raw5[[#This Row],[No of projects ]]&lt;=5,"Entry level","Well Experienced")</f>
        <v>Well Experienced</v>
      </c>
      <c r="Q818" s="2">
        <v>4</v>
      </c>
    </row>
    <row r="819" spans="1:17" x14ac:dyDescent="0.3">
      <c r="A819" t="s">
        <v>1735</v>
      </c>
      <c r="B819" t="s">
        <v>1736</v>
      </c>
      <c r="C819" t="s">
        <v>118</v>
      </c>
      <c r="D819" s="2">
        <v>53</v>
      </c>
      <c r="E819" t="s">
        <v>64</v>
      </c>
      <c r="F819" t="s">
        <v>65</v>
      </c>
      <c r="G819" s="2" t="s">
        <v>135</v>
      </c>
      <c r="H819" s="2">
        <v>21</v>
      </c>
      <c r="I819" s="2" t="s">
        <v>22</v>
      </c>
      <c r="J819" s="2">
        <v>3.4</v>
      </c>
      <c r="K819" s="2" t="s">
        <v>23</v>
      </c>
      <c r="L819" s="2">
        <v>0.62</v>
      </c>
      <c r="M819" s="2" t="s">
        <v>24</v>
      </c>
      <c r="N819" s="2" t="s">
        <v>42</v>
      </c>
      <c r="O819" s="2">
        <v>17</v>
      </c>
      <c r="P819" s="2" t="str">
        <f>IF(global_freelancer_raw5[[#This Row],[No of projects ]]&lt;=5,"Entry level","Well Experienced")</f>
        <v>Well Experienced</v>
      </c>
      <c r="Q819" s="2">
        <v>3</v>
      </c>
    </row>
    <row r="820" spans="1:17" x14ac:dyDescent="0.3">
      <c r="A820" t="s">
        <v>1737</v>
      </c>
      <c r="B820" t="s">
        <v>1738</v>
      </c>
      <c r="C820" t="s">
        <v>118</v>
      </c>
      <c r="D820" s="2">
        <v>22</v>
      </c>
      <c r="E820" t="s">
        <v>197</v>
      </c>
      <c r="F820" t="s">
        <v>198</v>
      </c>
      <c r="G820" s="2" t="s">
        <v>66</v>
      </c>
      <c r="H820" s="2">
        <v>2</v>
      </c>
      <c r="I820" s="2" t="s">
        <v>336</v>
      </c>
      <c r="J820" s="2" t="s">
        <v>2120</v>
      </c>
      <c r="K820" s="2" t="s">
        <v>181</v>
      </c>
      <c r="L820" s="2" t="s">
        <v>2120</v>
      </c>
      <c r="M820" s="2" t="s">
        <v>82</v>
      </c>
      <c r="N820" s="2" t="s">
        <v>34</v>
      </c>
      <c r="O820" s="2">
        <v>5</v>
      </c>
      <c r="P820" s="2" t="str">
        <f>IF(global_freelancer_raw5[[#This Row],[No of projects ]]&lt;=5,"Entry level","Well Experienced")</f>
        <v>Entry level</v>
      </c>
      <c r="Q820" s="2">
        <v>1</v>
      </c>
    </row>
    <row r="821" spans="1:17" x14ac:dyDescent="0.3">
      <c r="A821" t="s">
        <v>1739</v>
      </c>
      <c r="B821" t="s">
        <v>1740</v>
      </c>
      <c r="C821" t="s">
        <v>97</v>
      </c>
      <c r="D821" s="2">
        <v>40</v>
      </c>
      <c r="E821" t="s">
        <v>114</v>
      </c>
      <c r="F821" t="s">
        <v>115</v>
      </c>
      <c r="G821" s="2" t="s">
        <v>21</v>
      </c>
      <c r="H821" s="2">
        <v>14</v>
      </c>
      <c r="I821" s="2" t="s">
        <v>103</v>
      </c>
      <c r="J821" s="2">
        <v>0</v>
      </c>
      <c r="K821" s="2" t="s">
        <v>33</v>
      </c>
      <c r="L821" s="2">
        <v>0.79</v>
      </c>
      <c r="M821" s="2" t="s">
        <v>82</v>
      </c>
      <c r="N821" s="2" t="s">
        <v>25</v>
      </c>
      <c r="O821" s="2">
        <v>14</v>
      </c>
      <c r="P821" s="2" t="str">
        <f>IF(global_freelancer_raw5[[#This Row],[No of projects ]]&lt;=5,"Entry level","Well Experienced")</f>
        <v>Well Experienced</v>
      </c>
      <c r="Q821" s="2">
        <v>1</v>
      </c>
    </row>
    <row r="822" spans="1:17" x14ac:dyDescent="0.3">
      <c r="A822" t="s">
        <v>1741</v>
      </c>
      <c r="B822" t="s">
        <v>1742</v>
      </c>
      <c r="C822" t="s">
        <v>97</v>
      </c>
      <c r="D822" s="2">
        <v>49</v>
      </c>
      <c r="E822" t="s">
        <v>197</v>
      </c>
      <c r="F822" t="s">
        <v>198</v>
      </c>
      <c r="G822" s="2" t="s">
        <v>31</v>
      </c>
      <c r="H822" s="2">
        <v>15</v>
      </c>
      <c r="I822" s="2" t="s">
        <v>86</v>
      </c>
      <c r="J822" s="2">
        <v>3.9</v>
      </c>
      <c r="K822" s="2" t="s">
        <v>59</v>
      </c>
      <c r="L822" s="2">
        <v>0.86</v>
      </c>
      <c r="M822" s="2" t="s">
        <v>88</v>
      </c>
      <c r="N822" s="2" t="s">
        <v>75</v>
      </c>
      <c r="O822" s="2">
        <v>15</v>
      </c>
      <c r="P822" s="2" t="str">
        <f>IF(global_freelancer_raw5[[#This Row],[No of projects ]]&lt;=5,"Entry level","Well Experienced")</f>
        <v>Well Experienced</v>
      </c>
      <c r="Q822" s="2">
        <v>11</v>
      </c>
    </row>
    <row r="823" spans="1:17" x14ac:dyDescent="0.3">
      <c r="A823" t="s">
        <v>1743</v>
      </c>
      <c r="B823" t="s">
        <v>1744</v>
      </c>
      <c r="C823" t="s">
        <v>118</v>
      </c>
      <c r="D823" s="2">
        <v>30</v>
      </c>
      <c r="E823" t="s">
        <v>29</v>
      </c>
      <c r="F823" t="s">
        <v>30</v>
      </c>
      <c r="G823" s="2" t="s">
        <v>93</v>
      </c>
      <c r="H823" s="2">
        <v>11</v>
      </c>
      <c r="I823" s="2" t="s">
        <v>58</v>
      </c>
      <c r="J823" s="2">
        <v>4.2</v>
      </c>
      <c r="K823" s="2" t="s">
        <v>23</v>
      </c>
      <c r="L823" s="2">
        <v>0.65</v>
      </c>
      <c r="M823" s="2" t="s">
        <v>82</v>
      </c>
      <c r="N823" s="2" t="s">
        <v>34</v>
      </c>
      <c r="O823" s="2">
        <v>13</v>
      </c>
      <c r="P823" s="2" t="str">
        <f>IF(global_freelancer_raw5[[#This Row],[No of projects ]]&lt;=5,"Entry level","Well Experienced")</f>
        <v>Well Experienced</v>
      </c>
      <c r="Q823" s="2">
        <v>5</v>
      </c>
    </row>
    <row r="824" spans="1:17" x14ac:dyDescent="0.3">
      <c r="A824" t="s">
        <v>1745</v>
      </c>
      <c r="B824" t="s">
        <v>1746</v>
      </c>
      <c r="C824" t="s">
        <v>97</v>
      </c>
      <c r="D824" s="2">
        <v>37</v>
      </c>
      <c r="E824" t="s">
        <v>106</v>
      </c>
      <c r="F824" t="s">
        <v>107</v>
      </c>
      <c r="G824" s="2" t="s">
        <v>57</v>
      </c>
      <c r="H824" s="2">
        <v>6</v>
      </c>
      <c r="I824" s="2" t="s">
        <v>162</v>
      </c>
      <c r="J824" s="2" t="s">
        <v>2120</v>
      </c>
      <c r="K824" s="2" t="s">
        <v>2120</v>
      </c>
      <c r="L824" s="2">
        <v>0.99</v>
      </c>
      <c r="M824" s="2" t="s">
        <v>88</v>
      </c>
      <c r="N824" s="2" t="s">
        <v>42</v>
      </c>
      <c r="O824" s="2">
        <v>14</v>
      </c>
      <c r="P824" s="2" t="str">
        <f>IF(global_freelancer_raw5[[#This Row],[No of projects ]]&lt;=5,"Entry level","Well Experienced")</f>
        <v>Well Experienced</v>
      </c>
      <c r="Q824" s="2">
        <v>6</v>
      </c>
    </row>
    <row r="825" spans="1:17" x14ac:dyDescent="0.3">
      <c r="A825" t="s">
        <v>1747</v>
      </c>
      <c r="B825" t="s">
        <v>1748</v>
      </c>
      <c r="C825" t="s">
        <v>118</v>
      </c>
      <c r="D825" s="2">
        <v>21</v>
      </c>
      <c r="E825" t="s">
        <v>160</v>
      </c>
      <c r="F825" t="s">
        <v>161</v>
      </c>
      <c r="G825" s="2" t="s">
        <v>39</v>
      </c>
      <c r="H825" s="2">
        <v>2</v>
      </c>
      <c r="I825" s="2" t="s">
        <v>22</v>
      </c>
      <c r="J825" s="2">
        <v>3.6</v>
      </c>
      <c r="K825" s="2" t="s">
        <v>59</v>
      </c>
      <c r="L825" s="2">
        <v>85</v>
      </c>
      <c r="M825" s="2" t="s">
        <v>88</v>
      </c>
      <c r="N825" s="2" t="s">
        <v>25</v>
      </c>
      <c r="O825" s="2">
        <v>3</v>
      </c>
      <c r="P825" s="2" t="str">
        <f>IF(global_freelancer_raw5[[#This Row],[No of projects ]]&lt;=5,"Entry level","Well Experienced")</f>
        <v>Entry level</v>
      </c>
      <c r="Q825" s="2">
        <v>2</v>
      </c>
    </row>
    <row r="826" spans="1:17" x14ac:dyDescent="0.3">
      <c r="A826" t="s">
        <v>1749</v>
      </c>
      <c r="B826" t="s">
        <v>1750</v>
      </c>
      <c r="C826" t="s">
        <v>118</v>
      </c>
      <c r="D826" s="2">
        <v>20</v>
      </c>
      <c r="E826" t="s">
        <v>133</v>
      </c>
      <c r="F826" t="s">
        <v>134</v>
      </c>
      <c r="G826" s="2" t="s">
        <v>57</v>
      </c>
      <c r="H826" s="2">
        <v>1</v>
      </c>
      <c r="I826" s="2" t="s">
        <v>119</v>
      </c>
      <c r="J826" s="2" t="s">
        <v>2120</v>
      </c>
      <c r="K826" s="2" t="s">
        <v>87</v>
      </c>
      <c r="L826" s="2">
        <v>0.81</v>
      </c>
      <c r="M826" s="2" t="s">
        <v>88</v>
      </c>
      <c r="N826" s="2" t="s">
        <v>75</v>
      </c>
      <c r="O826" s="2">
        <v>5</v>
      </c>
      <c r="P826" s="2" t="str">
        <f>IF(global_freelancer_raw5[[#This Row],[No of projects ]]&lt;=5,"Entry level","Well Experienced")</f>
        <v>Entry level</v>
      </c>
      <c r="Q826" s="2">
        <v>1</v>
      </c>
    </row>
    <row r="827" spans="1:17" x14ac:dyDescent="0.3">
      <c r="A827" t="s">
        <v>1751</v>
      </c>
      <c r="B827" t="s">
        <v>1752</v>
      </c>
      <c r="C827" t="s">
        <v>118</v>
      </c>
      <c r="D827" s="2">
        <v>20</v>
      </c>
      <c r="E827" t="s">
        <v>197</v>
      </c>
      <c r="F827" t="s">
        <v>198</v>
      </c>
      <c r="G827" s="2" t="s">
        <v>66</v>
      </c>
      <c r="H827" s="2">
        <v>2</v>
      </c>
      <c r="I827" s="2" t="s">
        <v>47</v>
      </c>
      <c r="J827" s="2">
        <v>2.1</v>
      </c>
      <c r="K827" s="2" t="s">
        <v>41</v>
      </c>
      <c r="L827" s="2">
        <v>0.64</v>
      </c>
      <c r="M827" s="2" t="s">
        <v>88</v>
      </c>
      <c r="N827" s="2" t="s">
        <v>75</v>
      </c>
      <c r="O827" s="2">
        <v>1</v>
      </c>
      <c r="P827" s="2" t="str">
        <f>IF(global_freelancer_raw5[[#This Row],[No of projects ]]&lt;=5,"Entry level","Well Experienced")</f>
        <v>Entry level</v>
      </c>
      <c r="Q827" s="2">
        <v>1</v>
      </c>
    </row>
    <row r="828" spans="1:17" x14ac:dyDescent="0.3">
      <c r="A828" t="s">
        <v>1753</v>
      </c>
      <c r="B828" t="s">
        <v>1754</v>
      </c>
      <c r="C828" t="s">
        <v>118</v>
      </c>
      <c r="D828" s="2">
        <v>20</v>
      </c>
      <c r="E828" t="s">
        <v>91</v>
      </c>
      <c r="F828" t="s">
        <v>92</v>
      </c>
      <c r="G828" s="2" t="s">
        <v>135</v>
      </c>
      <c r="H828" s="2">
        <v>2</v>
      </c>
      <c r="I828" s="2" t="s">
        <v>162</v>
      </c>
      <c r="J828" s="2">
        <v>3.9</v>
      </c>
      <c r="K828" s="2" t="s">
        <v>59</v>
      </c>
      <c r="L828" s="2">
        <v>0.84</v>
      </c>
      <c r="M828" s="2" t="s">
        <v>60</v>
      </c>
      <c r="N828" s="2" t="s">
        <v>34</v>
      </c>
      <c r="O828" s="2">
        <v>5</v>
      </c>
      <c r="P828" s="2" t="str">
        <f>IF(global_freelancer_raw5[[#This Row],[No of projects ]]&lt;=5,"Entry level","Well Experienced")</f>
        <v>Entry level</v>
      </c>
      <c r="Q828" s="2">
        <v>1</v>
      </c>
    </row>
    <row r="829" spans="1:17" x14ac:dyDescent="0.3">
      <c r="A829" t="s">
        <v>1755</v>
      </c>
      <c r="B829" t="s">
        <v>1756</v>
      </c>
      <c r="C829" t="s">
        <v>97</v>
      </c>
      <c r="D829" s="2">
        <v>26</v>
      </c>
      <c r="E829" t="s">
        <v>145</v>
      </c>
      <c r="F829" t="s">
        <v>146</v>
      </c>
      <c r="G829" s="2" t="s">
        <v>135</v>
      </c>
      <c r="H829" s="2">
        <v>2</v>
      </c>
      <c r="I829" s="2" t="s">
        <v>86</v>
      </c>
      <c r="J829" s="2">
        <v>0</v>
      </c>
      <c r="K829" s="2" t="s">
        <v>2120</v>
      </c>
      <c r="L829" s="2">
        <v>0.66</v>
      </c>
      <c r="M829" s="2" t="s">
        <v>24</v>
      </c>
      <c r="N829" s="2" t="s">
        <v>25</v>
      </c>
      <c r="O829" s="2">
        <v>4</v>
      </c>
      <c r="P829" s="2" t="str">
        <f>IF(global_freelancer_raw5[[#This Row],[No of projects ]]&lt;=5,"Entry level","Well Experienced")</f>
        <v>Entry level</v>
      </c>
      <c r="Q829" s="2">
        <v>3</v>
      </c>
    </row>
    <row r="830" spans="1:17" x14ac:dyDescent="0.3">
      <c r="A830" t="s">
        <v>1757</v>
      </c>
      <c r="B830" t="s">
        <v>1758</v>
      </c>
      <c r="C830" t="s">
        <v>97</v>
      </c>
      <c r="D830" s="2">
        <v>50</v>
      </c>
      <c r="E830" t="s">
        <v>133</v>
      </c>
      <c r="F830" t="s">
        <v>134</v>
      </c>
      <c r="G830" s="2" t="s">
        <v>46</v>
      </c>
      <c r="H830" s="2">
        <v>12</v>
      </c>
      <c r="I830" s="2" t="s">
        <v>192</v>
      </c>
      <c r="J830" s="2">
        <v>0</v>
      </c>
      <c r="K830" s="2" t="s">
        <v>59</v>
      </c>
      <c r="L830" s="2">
        <v>75</v>
      </c>
      <c r="M830" s="2" t="s">
        <v>60</v>
      </c>
      <c r="N830" s="2" t="s">
        <v>25</v>
      </c>
      <c r="O830" s="2">
        <v>12</v>
      </c>
      <c r="P830" s="2" t="str">
        <f>IF(global_freelancer_raw5[[#This Row],[No of projects ]]&lt;=5,"Entry level","Well Experienced")</f>
        <v>Well Experienced</v>
      </c>
      <c r="Q830" s="2">
        <v>10</v>
      </c>
    </row>
    <row r="831" spans="1:17" x14ac:dyDescent="0.3">
      <c r="A831" t="s">
        <v>1759</v>
      </c>
      <c r="B831" t="s">
        <v>1760</v>
      </c>
      <c r="C831" t="s">
        <v>118</v>
      </c>
      <c r="D831" s="2">
        <v>50</v>
      </c>
      <c r="E831" t="s">
        <v>212</v>
      </c>
      <c r="F831" t="s">
        <v>92</v>
      </c>
      <c r="G831" s="2" t="s">
        <v>57</v>
      </c>
      <c r="H831" s="2">
        <v>28</v>
      </c>
      <c r="I831" s="2" t="s">
        <v>52</v>
      </c>
      <c r="J831" s="2">
        <v>1.8</v>
      </c>
      <c r="K831" s="2" t="s">
        <v>2120</v>
      </c>
      <c r="L831" s="2" t="s">
        <v>2120</v>
      </c>
      <c r="M831" s="2" t="s">
        <v>82</v>
      </c>
      <c r="N831" s="2" t="s">
        <v>25</v>
      </c>
      <c r="O831" s="2">
        <v>15</v>
      </c>
      <c r="P831" s="2" t="str">
        <f>IF(global_freelancer_raw5[[#This Row],[No of projects ]]&lt;=5,"Entry level","Well Experienced")</f>
        <v>Well Experienced</v>
      </c>
      <c r="Q831" s="2">
        <v>9</v>
      </c>
    </row>
    <row r="832" spans="1:17" x14ac:dyDescent="0.3">
      <c r="A832" t="s">
        <v>1761</v>
      </c>
      <c r="B832" t="s">
        <v>1762</v>
      </c>
      <c r="C832" t="s">
        <v>97</v>
      </c>
      <c r="D832" s="2">
        <v>54</v>
      </c>
      <c r="E832" t="s">
        <v>64</v>
      </c>
      <c r="F832" t="s">
        <v>65</v>
      </c>
      <c r="G832" s="2" t="s">
        <v>57</v>
      </c>
      <c r="H832" s="2">
        <v>4</v>
      </c>
      <c r="I832" s="2" t="s">
        <v>162</v>
      </c>
      <c r="J832" s="2">
        <v>1.1000000000000001</v>
      </c>
      <c r="K832" s="2" t="s">
        <v>33</v>
      </c>
      <c r="L832" s="2">
        <v>0.63</v>
      </c>
      <c r="M832" s="2" t="s">
        <v>60</v>
      </c>
      <c r="N832" s="2" t="s">
        <v>25</v>
      </c>
      <c r="O832" s="2">
        <v>3</v>
      </c>
      <c r="P832" s="2" t="str">
        <f>IF(global_freelancer_raw5[[#This Row],[No of projects ]]&lt;=5,"Entry level","Well Experienced")</f>
        <v>Entry level</v>
      </c>
      <c r="Q832" s="2">
        <v>2</v>
      </c>
    </row>
    <row r="833" spans="1:17" x14ac:dyDescent="0.3">
      <c r="A833" t="s">
        <v>1763</v>
      </c>
      <c r="B833" t="s">
        <v>1764</v>
      </c>
      <c r="C833" t="s">
        <v>118</v>
      </c>
      <c r="D833" s="2">
        <v>54</v>
      </c>
      <c r="E833" t="s">
        <v>212</v>
      </c>
      <c r="F833" t="s">
        <v>92</v>
      </c>
      <c r="G833" s="2" t="s">
        <v>21</v>
      </c>
      <c r="H833" s="2">
        <v>3</v>
      </c>
      <c r="I833" s="2" t="s">
        <v>162</v>
      </c>
      <c r="J833" s="2">
        <v>1.6</v>
      </c>
      <c r="K833" s="2" t="s">
        <v>94</v>
      </c>
      <c r="L833" s="2">
        <v>0.7</v>
      </c>
      <c r="M833" s="2" t="s">
        <v>60</v>
      </c>
      <c r="N833" s="2" t="s">
        <v>42</v>
      </c>
      <c r="O833" s="2">
        <v>1</v>
      </c>
      <c r="P833" s="2" t="str">
        <f>IF(global_freelancer_raw5[[#This Row],[No of projects ]]&lt;=5,"Entry level","Well Experienced")</f>
        <v>Entry level</v>
      </c>
      <c r="Q833" s="2">
        <v>2</v>
      </c>
    </row>
    <row r="834" spans="1:17" x14ac:dyDescent="0.3">
      <c r="A834" t="s">
        <v>1765</v>
      </c>
      <c r="B834" t="s">
        <v>1766</v>
      </c>
      <c r="C834" t="s">
        <v>97</v>
      </c>
      <c r="D834" s="2">
        <v>34</v>
      </c>
      <c r="E834" t="s">
        <v>160</v>
      </c>
      <c r="F834" t="s">
        <v>161</v>
      </c>
      <c r="G834" s="2" t="s">
        <v>135</v>
      </c>
      <c r="H834" s="2">
        <v>4</v>
      </c>
      <c r="I834" s="2" t="s">
        <v>58</v>
      </c>
      <c r="J834" s="2">
        <v>3.1</v>
      </c>
      <c r="K834" s="2" t="s">
        <v>2120</v>
      </c>
      <c r="L834" s="2">
        <v>0.9</v>
      </c>
      <c r="M834" s="2" t="s">
        <v>82</v>
      </c>
      <c r="N834" s="2" t="s">
        <v>25</v>
      </c>
      <c r="O834" s="2">
        <v>1</v>
      </c>
      <c r="P834" s="2" t="str">
        <f>IF(global_freelancer_raw5[[#This Row],[No of projects ]]&lt;=5,"Entry level","Well Experienced")</f>
        <v>Entry level</v>
      </c>
      <c r="Q834" s="2">
        <v>1</v>
      </c>
    </row>
    <row r="835" spans="1:17" x14ac:dyDescent="0.3">
      <c r="A835" t="s">
        <v>1767</v>
      </c>
      <c r="B835" t="s">
        <v>1768</v>
      </c>
      <c r="C835" t="s">
        <v>97</v>
      </c>
      <c r="D835" s="2">
        <v>20</v>
      </c>
      <c r="E835" t="s">
        <v>19</v>
      </c>
      <c r="F835" t="s">
        <v>20</v>
      </c>
      <c r="G835" s="2" t="s">
        <v>110</v>
      </c>
      <c r="H835" s="2">
        <v>1</v>
      </c>
      <c r="I835" s="2" t="s">
        <v>40</v>
      </c>
      <c r="J835" s="2">
        <v>3.4</v>
      </c>
      <c r="K835" s="2" t="s">
        <v>33</v>
      </c>
      <c r="L835" s="2">
        <v>79</v>
      </c>
      <c r="M835" s="2" t="s">
        <v>82</v>
      </c>
      <c r="N835" s="2" t="s">
        <v>75</v>
      </c>
      <c r="O835" s="2">
        <v>2</v>
      </c>
      <c r="P835" s="2" t="str">
        <f>IF(global_freelancer_raw5[[#This Row],[No of projects ]]&lt;=5,"Entry level","Well Experienced")</f>
        <v>Entry level</v>
      </c>
      <c r="Q835" s="2">
        <v>2</v>
      </c>
    </row>
    <row r="836" spans="1:17" x14ac:dyDescent="0.3">
      <c r="A836" t="s">
        <v>1769</v>
      </c>
      <c r="B836" t="s">
        <v>1770</v>
      </c>
      <c r="C836" t="s">
        <v>118</v>
      </c>
      <c r="D836" s="2">
        <v>29</v>
      </c>
      <c r="E836" t="s">
        <v>38</v>
      </c>
      <c r="F836" t="s">
        <v>38</v>
      </c>
      <c r="G836" s="2" t="s">
        <v>57</v>
      </c>
      <c r="H836" s="2">
        <v>8</v>
      </c>
      <c r="I836" s="2" t="s">
        <v>86</v>
      </c>
      <c r="J836" s="2">
        <v>3.1</v>
      </c>
      <c r="K836" s="2" t="s">
        <v>41</v>
      </c>
      <c r="L836" s="2">
        <v>0.6</v>
      </c>
      <c r="M836" s="2" t="s">
        <v>82</v>
      </c>
      <c r="N836" s="2" t="s">
        <v>75</v>
      </c>
      <c r="O836" s="2">
        <v>7</v>
      </c>
      <c r="P836" s="2" t="str">
        <f>IF(global_freelancer_raw5[[#This Row],[No of projects ]]&lt;=5,"Entry level","Well Experienced")</f>
        <v>Well Experienced</v>
      </c>
      <c r="Q836" s="2">
        <v>9</v>
      </c>
    </row>
    <row r="837" spans="1:17" x14ac:dyDescent="0.3">
      <c r="A837" t="s">
        <v>1771</v>
      </c>
      <c r="B837" t="s">
        <v>1772</v>
      </c>
      <c r="C837" t="s">
        <v>97</v>
      </c>
      <c r="D837" s="2">
        <v>57</v>
      </c>
      <c r="E837" t="s">
        <v>85</v>
      </c>
      <c r="F837" t="s">
        <v>30</v>
      </c>
      <c r="G837" s="2" t="s">
        <v>110</v>
      </c>
      <c r="H837" s="2">
        <v>11</v>
      </c>
      <c r="I837" s="2" t="s">
        <v>67</v>
      </c>
      <c r="J837" s="2">
        <v>2.2999999999999998</v>
      </c>
      <c r="K837" s="2" t="s">
        <v>23</v>
      </c>
      <c r="L837" s="2" t="s">
        <v>2120</v>
      </c>
      <c r="M837" s="2" t="s">
        <v>60</v>
      </c>
      <c r="N837" s="2" t="s">
        <v>42</v>
      </c>
      <c r="O837" s="2">
        <v>8</v>
      </c>
      <c r="P837" s="2" t="str">
        <f>IF(global_freelancer_raw5[[#This Row],[No of projects ]]&lt;=5,"Entry level","Well Experienced")</f>
        <v>Well Experienced</v>
      </c>
      <c r="Q837" s="2">
        <v>4</v>
      </c>
    </row>
    <row r="838" spans="1:17" x14ac:dyDescent="0.3">
      <c r="A838" t="s">
        <v>1773</v>
      </c>
      <c r="B838" t="s">
        <v>1774</v>
      </c>
      <c r="C838" t="s">
        <v>97</v>
      </c>
      <c r="D838" s="2">
        <v>36</v>
      </c>
      <c r="E838" t="s">
        <v>55</v>
      </c>
      <c r="F838" t="s">
        <v>56</v>
      </c>
      <c r="G838" s="2" t="s">
        <v>57</v>
      </c>
      <c r="H838" s="2">
        <v>8</v>
      </c>
      <c r="I838" s="2" t="s">
        <v>70</v>
      </c>
      <c r="J838" s="2" t="s">
        <v>2120</v>
      </c>
      <c r="K838" s="2" t="s">
        <v>41</v>
      </c>
      <c r="L838" s="2">
        <v>0.8</v>
      </c>
      <c r="M838" s="2" t="s">
        <v>60</v>
      </c>
      <c r="N838" s="2" t="s">
        <v>75</v>
      </c>
      <c r="O838" s="2">
        <v>7</v>
      </c>
      <c r="P838" s="2" t="str">
        <f>IF(global_freelancer_raw5[[#This Row],[No of projects ]]&lt;=5,"Entry level","Well Experienced")</f>
        <v>Well Experienced</v>
      </c>
      <c r="Q838" s="2">
        <v>8</v>
      </c>
    </row>
    <row r="839" spans="1:17" x14ac:dyDescent="0.3">
      <c r="A839" t="s">
        <v>1775</v>
      </c>
      <c r="B839" t="s">
        <v>1776</v>
      </c>
      <c r="C839" t="s">
        <v>118</v>
      </c>
      <c r="D839" s="2">
        <v>51</v>
      </c>
      <c r="E839" t="s">
        <v>133</v>
      </c>
      <c r="F839" t="s">
        <v>134</v>
      </c>
      <c r="G839" s="2" t="s">
        <v>46</v>
      </c>
      <c r="H839" s="2">
        <v>32</v>
      </c>
      <c r="I839" s="2" t="s">
        <v>81</v>
      </c>
      <c r="J839" s="2">
        <v>3.2</v>
      </c>
      <c r="K839" s="2" t="s">
        <v>23</v>
      </c>
      <c r="L839" s="2">
        <v>88</v>
      </c>
      <c r="M839" s="2" t="s">
        <v>82</v>
      </c>
      <c r="N839" s="2" t="s">
        <v>75</v>
      </c>
      <c r="O839" s="2">
        <v>19</v>
      </c>
      <c r="P839" s="2" t="str">
        <f>IF(global_freelancer_raw5[[#This Row],[No of projects ]]&lt;=5,"Entry level","Well Experienced")</f>
        <v>Well Experienced</v>
      </c>
      <c r="Q839" s="2">
        <v>8</v>
      </c>
    </row>
    <row r="840" spans="1:17" x14ac:dyDescent="0.3">
      <c r="A840" t="s">
        <v>1777</v>
      </c>
      <c r="B840" t="s">
        <v>1778</v>
      </c>
      <c r="C840" t="s">
        <v>118</v>
      </c>
      <c r="D840" s="2">
        <v>44</v>
      </c>
      <c r="E840" t="s">
        <v>114</v>
      </c>
      <c r="F840" t="s">
        <v>115</v>
      </c>
      <c r="G840" s="2" t="s">
        <v>93</v>
      </c>
      <c r="H840" s="2">
        <v>4</v>
      </c>
      <c r="I840" s="2" t="s">
        <v>130</v>
      </c>
      <c r="J840" s="2">
        <v>0</v>
      </c>
      <c r="K840" s="2" t="s">
        <v>41</v>
      </c>
      <c r="L840" s="2">
        <v>0.8</v>
      </c>
      <c r="M840" s="2" t="s">
        <v>24</v>
      </c>
      <c r="N840" s="2" t="s">
        <v>25</v>
      </c>
      <c r="O840" s="2">
        <v>4</v>
      </c>
      <c r="P840" s="2" t="str">
        <f>IF(global_freelancer_raw5[[#This Row],[No of projects ]]&lt;=5,"Entry level","Well Experienced")</f>
        <v>Entry level</v>
      </c>
      <c r="Q840" s="2">
        <v>1</v>
      </c>
    </row>
    <row r="841" spans="1:17" x14ac:dyDescent="0.3">
      <c r="A841" t="s">
        <v>1779</v>
      </c>
      <c r="B841" t="s">
        <v>1780</v>
      </c>
      <c r="C841" t="s">
        <v>118</v>
      </c>
      <c r="D841" s="2">
        <v>58</v>
      </c>
      <c r="E841" t="s">
        <v>212</v>
      </c>
      <c r="F841" t="s">
        <v>92</v>
      </c>
      <c r="G841" s="2" t="s">
        <v>98</v>
      </c>
      <c r="H841" s="2">
        <v>33</v>
      </c>
      <c r="I841" s="2" t="s">
        <v>52</v>
      </c>
      <c r="J841" s="2">
        <v>3.3</v>
      </c>
      <c r="K841" s="2" t="s">
        <v>94</v>
      </c>
      <c r="L841" s="2">
        <v>0.71</v>
      </c>
      <c r="M841" s="2" t="s">
        <v>24</v>
      </c>
      <c r="N841" s="2" t="s">
        <v>75</v>
      </c>
      <c r="O841" s="2">
        <v>10</v>
      </c>
      <c r="P841" s="2" t="str">
        <f>IF(global_freelancer_raw5[[#This Row],[No of projects ]]&lt;=5,"Entry level","Well Experienced")</f>
        <v>Well Experienced</v>
      </c>
      <c r="Q841" s="2">
        <v>10</v>
      </c>
    </row>
    <row r="842" spans="1:17" x14ac:dyDescent="0.3">
      <c r="A842" t="s">
        <v>1781</v>
      </c>
      <c r="B842" t="s">
        <v>1782</v>
      </c>
      <c r="C842" t="s">
        <v>97</v>
      </c>
      <c r="D842" s="2">
        <v>38</v>
      </c>
      <c r="E842" t="s">
        <v>175</v>
      </c>
      <c r="F842" t="s">
        <v>176</v>
      </c>
      <c r="G842" s="2" t="s">
        <v>31</v>
      </c>
      <c r="H842" s="2">
        <v>14</v>
      </c>
      <c r="I842" s="2" t="s">
        <v>2119</v>
      </c>
      <c r="J842" s="2">
        <v>1.1000000000000001</v>
      </c>
      <c r="K842" s="2" t="s">
        <v>33</v>
      </c>
      <c r="L842" s="2">
        <v>0.76</v>
      </c>
      <c r="M842" s="2" t="s">
        <v>88</v>
      </c>
      <c r="N842" s="2" t="s">
        <v>42</v>
      </c>
      <c r="O842" s="2">
        <v>9</v>
      </c>
      <c r="P842" s="2" t="str">
        <f>IF(global_freelancer_raw5[[#This Row],[No of projects ]]&lt;=5,"Entry level","Well Experienced")</f>
        <v>Well Experienced</v>
      </c>
      <c r="Q842" s="2">
        <v>4</v>
      </c>
    </row>
    <row r="843" spans="1:17" x14ac:dyDescent="0.3">
      <c r="A843" t="s">
        <v>1783</v>
      </c>
      <c r="B843" t="s">
        <v>1784</v>
      </c>
      <c r="C843" t="s">
        <v>118</v>
      </c>
      <c r="D843" s="2">
        <v>24</v>
      </c>
      <c r="E843" t="s">
        <v>73</v>
      </c>
      <c r="F843" t="s">
        <v>30</v>
      </c>
      <c r="G843" s="2" t="s">
        <v>93</v>
      </c>
      <c r="H843" s="2">
        <v>6</v>
      </c>
      <c r="I843" s="2" t="s">
        <v>130</v>
      </c>
      <c r="J843" s="2">
        <v>4.5999999999999996</v>
      </c>
      <c r="K843" s="2" t="s">
        <v>33</v>
      </c>
      <c r="L843" s="2">
        <v>0.93</v>
      </c>
      <c r="M843" s="2" t="s">
        <v>82</v>
      </c>
      <c r="N843" s="2" t="s">
        <v>25</v>
      </c>
      <c r="O843" s="2">
        <v>10</v>
      </c>
      <c r="P843" s="2" t="str">
        <f>IF(global_freelancer_raw5[[#This Row],[No of projects ]]&lt;=5,"Entry level","Well Experienced")</f>
        <v>Well Experienced</v>
      </c>
      <c r="Q843" s="2">
        <v>12</v>
      </c>
    </row>
    <row r="844" spans="1:17" x14ac:dyDescent="0.3">
      <c r="A844" t="s">
        <v>1785</v>
      </c>
      <c r="B844" t="s">
        <v>1786</v>
      </c>
      <c r="C844" t="s">
        <v>97</v>
      </c>
      <c r="D844" s="2">
        <v>30</v>
      </c>
      <c r="E844" t="s">
        <v>79</v>
      </c>
      <c r="F844" t="s">
        <v>80</v>
      </c>
      <c r="G844" s="2" t="s">
        <v>21</v>
      </c>
      <c r="H844" s="2">
        <v>5</v>
      </c>
      <c r="I844" s="2" t="s">
        <v>130</v>
      </c>
      <c r="J844" s="2" t="s">
        <v>2120</v>
      </c>
      <c r="K844" s="2" t="s">
        <v>23</v>
      </c>
      <c r="L844" s="2" t="s">
        <v>2120</v>
      </c>
      <c r="M844" s="2" t="s">
        <v>88</v>
      </c>
      <c r="N844" s="2" t="s">
        <v>34</v>
      </c>
      <c r="O844" s="2">
        <v>3</v>
      </c>
      <c r="P844" s="2" t="str">
        <f>IF(global_freelancer_raw5[[#This Row],[No of projects ]]&lt;=5,"Entry level","Well Experienced")</f>
        <v>Entry level</v>
      </c>
      <c r="Q844" s="2">
        <v>1</v>
      </c>
    </row>
    <row r="845" spans="1:17" x14ac:dyDescent="0.3">
      <c r="A845" t="s">
        <v>1787</v>
      </c>
      <c r="B845" t="s">
        <v>1788</v>
      </c>
      <c r="C845" t="s">
        <v>118</v>
      </c>
      <c r="D845" s="2">
        <v>25</v>
      </c>
      <c r="E845" t="s">
        <v>64</v>
      </c>
      <c r="F845" t="s">
        <v>65</v>
      </c>
      <c r="G845" s="2" t="s">
        <v>98</v>
      </c>
      <c r="H845" s="2">
        <v>3</v>
      </c>
      <c r="I845" s="2" t="s">
        <v>103</v>
      </c>
      <c r="J845" s="2" t="s">
        <v>2120</v>
      </c>
      <c r="K845" s="2" t="s">
        <v>23</v>
      </c>
      <c r="L845" s="2">
        <v>0.83</v>
      </c>
      <c r="M845" s="2" t="s">
        <v>24</v>
      </c>
      <c r="N845" s="2" t="s">
        <v>25</v>
      </c>
      <c r="O845" s="2">
        <v>5</v>
      </c>
      <c r="P845" s="2" t="str">
        <f>IF(global_freelancer_raw5[[#This Row],[No of projects ]]&lt;=5,"Entry level","Well Experienced")</f>
        <v>Entry level</v>
      </c>
      <c r="Q845" s="2">
        <v>1</v>
      </c>
    </row>
    <row r="846" spans="1:17" x14ac:dyDescent="0.3">
      <c r="A846" t="s">
        <v>1789</v>
      </c>
      <c r="B846" t="s">
        <v>1790</v>
      </c>
      <c r="C846" t="s">
        <v>118</v>
      </c>
      <c r="D846" s="2">
        <v>54</v>
      </c>
      <c r="E846" t="s">
        <v>64</v>
      </c>
      <c r="F846" t="s">
        <v>65</v>
      </c>
      <c r="G846" s="2" t="s">
        <v>31</v>
      </c>
      <c r="H846" s="2">
        <v>17</v>
      </c>
      <c r="I846" s="2" t="s">
        <v>251</v>
      </c>
      <c r="J846" s="2">
        <v>0</v>
      </c>
      <c r="K846" s="2" t="s">
        <v>23</v>
      </c>
      <c r="L846" s="2">
        <v>0.71</v>
      </c>
      <c r="M846" s="2" t="s">
        <v>88</v>
      </c>
      <c r="N846" s="2" t="s">
        <v>42</v>
      </c>
      <c r="O846" s="2">
        <v>17</v>
      </c>
      <c r="P846" s="2" t="str">
        <f>IF(global_freelancer_raw5[[#This Row],[No of projects ]]&lt;=5,"Entry level","Well Experienced")</f>
        <v>Well Experienced</v>
      </c>
      <c r="Q846" s="2">
        <v>12</v>
      </c>
    </row>
    <row r="847" spans="1:17" x14ac:dyDescent="0.3">
      <c r="A847" t="s">
        <v>1791</v>
      </c>
      <c r="B847" t="s">
        <v>1792</v>
      </c>
      <c r="C847" t="s">
        <v>118</v>
      </c>
      <c r="D847" s="2">
        <v>54</v>
      </c>
      <c r="E847" t="s">
        <v>19</v>
      </c>
      <c r="F847" t="s">
        <v>20</v>
      </c>
      <c r="G847" s="2" t="s">
        <v>98</v>
      </c>
      <c r="H847" s="2">
        <v>9</v>
      </c>
      <c r="I847" s="2" t="s">
        <v>336</v>
      </c>
      <c r="J847" s="2">
        <v>0</v>
      </c>
      <c r="K847" s="2" t="s">
        <v>87</v>
      </c>
      <c r="L847" s="2">
        <v>0.96</v>
      </c>
      <c r="M847" s="2" t="s">
        <v>82</v>
      </c>
      <c r="N847" s="2" t="s">
        <v>25</v>
      </c>
      <c r="O847" s="2">
        <v>7</v>
      </c>
      <c r="P847" s="2" t="str">
        <f>IF(global_freelancer_raw5[[#This Row],[No of projects ]]&lt;=5,"Entry level","Well Experienced")</f>
        <v>Well Experienced</v>
      </c>
      <c r="Q847" s="2">
        <v>8</v>
      </c>
    </row>
    <row r="848" spans="1:17" x14ac:dyDescent="0.3">
      <c r="A848" t="s">
        <v>1793</v>
      </c>
      <c r="B848" t="s">
        <v>1794</v>
      </c>
      <c r="C848" t="s">
        <v>97</v>
      </c>
      <c r="D848" s="2">
        <v>53</v>
      </c>
      <c r="E848" t="s">
        <v>156</v>
      </c>
      <c r="F848" t="s">
        <v>157</v>
      </c>
      <c r="G848" s="2" t="s">
        <v>39</v>
      </c>
      <c r="H848" s="2">
        <v>16</v>
      </c>
      <c r="I848" s="2" t="s">
        <v>86</v>
      </c>
      <c r="J848" s="2">
        <v>0</v>
      </c>
      <c r="K848" s="2" t="s">
        <v>181</v>
      </c>
      <c r="L848" s="2" t="s">
        <v>2120</v>
      </c>
      <c r="M848" s="2" t="s">
        <v>82</v>
      </c>
      <c r="N848" s="2" t="s">
        <v>25</v>
      </c>
      <c r="O848" s="2">
        <v>10</v>
      </c>
      <c r="P848" s="2" t="str">
        <f>IF(global_freelancer_raw5[[#This Row],[No of projects ]]&lt;=5,"Entry level","Well Experienced")</f>
        <v>Well Experienced</v>
      </c>
      <c r="Q848" s="2">
        <v>13</v>
      </c>
    </row>
    <row r="849" spans="1:17" x14ac:dyDescent="0.3">
      <c r="A849" t="s">
        <v>1795</v>
      </c>
      <c r="B849" t="s">
        <v>1796</v>
      </c>
      <c r="C849" t="s">
        <v>118</v>
      </c>
      <c r="D849" s="2">
        <v>22</v>
      </c>
      <c r="E849" t="s">
        <v>145</v>
      </c>
      <c r="F849" t="s">
        <v>146</v>
      </c>
      <c r="G849" s="2" t="s">
        <v>57</v>
      </c>
      <c r="H849" s="2">
        <v>3</v>
      </c>
      <c r="I849" s="2" t="s">
        <v>103</v>
      </c>
      <c r="J849" s="2">
        <v>3.4</v>
      </c>
      <c r="K849" s="2" t="s">
        <v>94</v>
      </c>
      <c r="L849" s="2">
        <v>0.65</v>
      </c>
      <c r="M849" s="2" t="s">
        <v>82</v>
      </c>
      <c r="N849" s="2" t="s">
        <v>42</v>
      </c>
      <c r="O849" s="2">
        <v>4</v>
      </c>
      <c r="P849" s="2" t="str">
        <f>IF(global_freelancer_raw5[[#This Row],[No of projects ]]&lt;=5,"Entry level","Well Experienced")</f>
        <v>Entry level</v>
      </c>
      <c r="Q849" s="2">
        <v>1</v>
      </c>
    </row>
    <row r="850" spans="1:17" x14ac:dyDescent="0.3">
      <c r="A850" t="s">
        <v>1797</v>
      </c>
      <c r="B850" t="s">
        <v>1798</v>
      </c>
      <c r="C850" t="s">
        <v>97</v>
      </c>
      <c r="D850" s="2">
        <v>23</v>
      </c>
      <c r="E850" t="s">
        <v>201</v>
      </c>
      <c r="F850" t="s">
        <v>92</v>
      </c>
      <c r="G850" s="2" t="s">
        <v>66</v>
      </c>
      <c r="H850" s="2">
        <v>2</v>
      </c>
      <c r="I850" s="2" t="s">
        <v>336</v>
      </c>
      <c r="J850" s="2">
        <v>1.3</v>
      </c>
      <c r="K850" s="2" t="s">
        <v>41</v>
      </c>
      <c r="L850" s="2" t="s">
        <v>2120</v>
      </c>
      <c r="M850" s="2" t="s">
        <v>60</v>
      </c>
      <c r="N850" s="2" t="s">
        <v>25</v>
      </c>
      <c r="O850" s="2">
        <v>1</v>
      </c>
      <c r="P850" s="2" t="str">
        <f>IF(global_freelancer_raw5[[#This Row],[No of projects ]]&lt;=5,"Entry level","Well Experienced")</f>
        <v>Entry level</v>
      </c>
      <c r="Q850" s="2">
        <v>4</v>
      </c>
    </row>
    <row r="851" spans="1:17" x14ac:dyDescent="0.3">
      <c r="A851" t="s">
        <v>1799</v>
      </c>
      <c r="B851" t="s">
        <v>1800</v>
      </c>
      <c r="C851" t="s">
        <v>97</v>
      </c>
      <c r="D851" s="2">
        <v>47</v>
      </c>
      <c r="E851" t="s">
        <v>156</v>
      </c>
      <c r="F851" t="s">
        <v>157</v>
      </c>
      <c r="G851" s="2" t="s">
        <v>98</v>
      </c>
      <c r="H851" s="2">
        <v>16</v>
      </c>
      <c r="I851" s="2" t="s">
        <v>40</v>
      </c>
      <c r="J851" s="2">
        <v>1.9</v>
      </c>
      <c r="K851" s="2" t="s">
        <v>23</v>
      </c>
      <c r="L851" s="2">
        <v>0.71</v>
      </c>
      <c r="M851" s="2" t="s">
        <v>88</v>
      </c>
      <c r="N851" s="2" t="s">
        <v>42</v>
      </c>
      <c r="O851" s="2">
        <v>18</v>
      </c>
      <c r="P851" s="2" t="str">
        <f>IF(global_freelancer_raw5[[#This Row],[No of projects ]]&lt;=5,"Entry level","Well Experienced")</f>
        <v>Well Experienced</v>
      </c>
      <c r="Q851" s="2">
        <v>4</v>
      </c>
    </row>
    <row r="852" spans="1:17" x14ac:dyDescent="0.3">
      <c r="A852" t="s">
        <v>1801</v>
      </c>
      <c r="B852" t="s">
        <v>1802</v>
      </c>
      <c r="C852" t="s">
        <v>118</v>
      </c>
      <c r="D852" s="2">
        <v>24</v>
      </c>
      <c r="E852" t="s">
        <v>156</v>
      </c>
      <c r="F852" t="s">
        <v>157</v>
      </c>
      <c r="G852" s="2" t="s">
        <v>46</v>
      </c>
      <c r="H852" s="2">
        <v>6</v>
      </c>
      <c r="I852" s="2" t="s">
        <v>40</v>
      </c>
      <c r="J852" s="2">
        <v>1.4</v>
      </c>
      <c r="K852" s="2" t="s">
        <v>94</v>
      </c>
      <c r="L852" s="2">
        <v>63</v>
      </c>
      <c r="M852" s="2" t="s">
        <v>24</v>
      </c>
      <c r="N852" s="2" t="s">
        <v>42</v>
      </c>
      <c r="O852" s="2">
        <v>15</v>
      </c>
      <c r="P852" s="2" t="str">
        <f>IF(global_freelancer_raw5[[#This Row],[No of projects ]]&lt;=5,"Entry level","Well Experienced")</f>
        <v>Well Experienced</v>
      </c>
      <c r="Q852" s="2">
        <v>9</v>
      </c>
    </row>
    <row r="853" spans="1:17" x14ac:dyDescent="0.3">
      <c r="A853" t="s">
        <v>1803</v>
      </c>
      <c r="B853" t="s">
        <v>1804</v>
      </c>
      <c r="C853" t="s">
        <v>97</v>
      </c>
      <c r="D853" s="2">
        <v>57</v>
      </c>
      <c r="E853" t="s">
        <v>114</v>
      </c>
      <c r="F853" t="s">
        <v>115</v>
      </c>
      <c r="G853" s="2" t="s">
        <v>93</v>
      </c>
      <c r="H853" s="2">
        <v>10</v>
      </c>
      <c r="I853" s="2" t="s">
        <v>251</v>
      </c>
      <c r="J853" s="2">
        <v>4.3</v>
      </c>
      <c r="K853" s="2" t="s">
        <v>59</v>
      </c>
      <c r="L853" s="2" t="s">
        <v>2120</v>
      </c>
      <c r="M853" s="2" t="s">
        <v>24</v>
      </c>
      <c r="N853" s="2" t="s">
        <v>34</v>
      </c>
      <c r="O853" s="2">
        <v>13</v>
      </c>
      <c r="P853" s="2" t="str">
        <f>IF(global_freelancer_raw5[[#This Row],[No of projects ]]&lt;=5,"Entry level","Well Experienced")</f>
        <v>Well Experienced</v>
      </c>
      <c r="Q853" s="2">
        <v>14</v>
      </c>
    </row>
    <row r="854" spans="1:17" x14ac:dyDescent="0.3">
      <c r="A854" t="s">
        <v>1805</v>
      </c>
      <c r="B854" t="s">
        <v>1806</v>
      </c>
      <c r="C854" t="s">
        <v>118</v>
      </c>
      <c r="D854" s="2">
        <v>48</v>
      </c>
      <c r="E854" t="s">
        <v>212</v>
      </c>
      <c r="F854" t="s">
        <v>92</v>
      </c>
      <c r="G854" s="2" t="s">
        <v>39</v>
      </c>
      <c r="H854" s="2">
        <v>16</v>
      </c>
      <c r="I854" s="2" t="s">
        <v>58</v>
      </c>
      <c r="J854" s="2" t="s">
        <v>2120</v>
      </c>
      <c r="K854" s="2" t="s">
        <v>181</v>
      </c>
      <c r="L854" s="2">
        <v>0.97</v>
      </c>
      <c r="M854" s="2" t="s">
        <v>24</v>
      </c>
      <c r="N854" s="2" t="s">
        <v>75</v>
      </c>
      <c r="O854" s="2">
        <v>11</v>
      </c>
      <c r="P854" s="2" t="str">
        <f>IF(global_freelancer_raw5[[#This Row],[No of projects ]]&lt;=5,"Entry level","Well Experienced")</f>
        <v>Well Experienced</v>
      </c>
      <c r="Q854" s="2">
        <v>6</v>
      </c>
    </row>
    <row r="855" spans="1:17" x14ac:dyDescent="0.3">
      <c r="A855" t="s">
        <v>1807</v>
      </c>
      <c r="B855" t="s">
        <v>1808</v>
      </c>
      <c r="C855" t="s">
        <v>97</v>
      </c>
      <c r="D855" s="2">
        <v>21</v>
      </c>
      <c r="E855" t="s">
        <v>79</v>
      </c>
      <c r="F855" t="s">
        <v>80</v>
      </c>
      <c r="G855" s="2" t="s">
        <v>93</v>
      </c>
      <c r="H855" s="2">
        <v>0</v>
      </c>
      <c r="I855" s="2" t="s">
        <v>251</v>
      </c>
      <c r="J855" s="2">
        <v>4.3</v>
      </c>
      <c r="K855" s="2" t="s">
        <v>23</v>
      </c>
      <c r="L855" s="2" t="s">
        <v>2120</v>
      </c>
      <c r="M855" s="2" t="s">
        <v>60</v>
      </c>
      <c r="N855" s="2" t="s">
        <v>75</v>
      </c>
      <c r="O855" s="2">
        <v>4</v>
      </c>
      <c r="P855" s="2" t="str">
        <f>IF(global_freelancer_raw5[[#This Row],[No of projects ]]&lt;=5,"Entry level","Well Experienced")</f>
        <v>Entry level</v>
      </c>
      <c r="Q855" s="2">
        <v>2</v>
      </c>
    </row>
    <row r="856" spans="1:17" x14ac:dyDescent="0.3">
      <c r="A856" t="s">
        <v>1809</v>
      </c>
      <c r="B856" t="s">
        <v>1810</v>
      </c>
      <c r="C856" t="s">
        <v>118</v>
      </c>
      <c r="D856" s="2">
        <v>33</v>
      </c>
      <c r="E856" t="s">
        <v>106</v>
      </c>
      <c r="F856" t="s">
        <v>107</v>
      </c>
      <c r="G856" s="2" t="s">
        <v>57</v>
      </c>
      <c r="H856" s="2">
        <v>13</v>
      </c>
      <c r="I856" s="2" t="s">
        <v>67</v>
      </c>
      <c r="J856" s="2">
        <v>0</v>
      </c>
      <c r="K856" s="2" t="s">
        <v>74</v>
      </c>
      <c r="L856" s="2" t="s">
        <v>2120</v>
      </c>
      <c r="M856" s="2" t="s">
        <v>60</v>
      </c>
      <c r="N856" s="2" t="s">
        <v>25</v>
      </c>
      <c r="O856" s="2">
        <v>10</v>
      </c>
      <c r="P856" s="2" t="str">
        <f>IF(global_freelancer_raw5[[#This Row],[No of projects ]]&lt;=5,"Entry level","Well Experienced")</f>
        <v>Well Experienced</v>
      </c>
      <c r="Q856" s="2">
        <v>5</v>
      </c>
    </row>
    <row r="857" spans="1:17" x14ac:dyDescent="0.3">
      <c r="A857" t="s">
        <v>1811</v>
      </c>
      <c r="B857" t="s">
        <v>1812</v>
      </c>
      <c r="C857" t="s">
        <v>118</v>
      </c>
      <c r="D857" s="2">
        <v>41</v>
      </c>
      <c r="E857" t="s">
        <v>79</v>
      </c>
      <c r="F857" t="s">
        <v>80</v>
      </c>
      <c r="G857" s="2" t="s">
        <v>110</v>
      </c>
      <c r="H857" s="2">
        <v>12</v>
      </c>
      <c r="I857" s="2" t="s">
        <v>2119</v>
      </c>
      <c r="J857" s="2">
        <v>1.3</v>
      </c>
      <c r="K857" s="2" t="s">
        <v>23</v>
      </c>
      <c r="L857" s="2">
        <v>0.85</v>
      </c>
      <c r="M857" s="2" t="s">
        <v>82</v>
      </c>
      <c r="N857" s="2" t="s">
        <v>25</v>
      </c>
      <c r="O857" s="2">
        <v>7</v>
      </c>
      <c r="P857" s="2" t="str">
        <f>IF(global_freelancer_raw5[[#This Row],[No of projects ]]&lt;=5,"Entry level","Well Experienced")</f>
        <v>Well Experienced</v>
      </c>
      <c r="Q857" s="2">
        <v>2</v>
      </c>
    </row>
    <row r="858" spans="1:17" x14ac:dyDescent="0.3">
      <c r="A858" t="s">
        <v>1813</v>
      </c>
      <c r="B858" t="s">
        <v>1814</v>
      </c>
      <c r="C858" t="s">
        <v>118</v>
      </c>
      <c r="D858" s="2">
        <v>40</v>
      </c>
      <c r="E858" t="s">
        <v>29</v>
      </c>
      <c r="F858" t="s">
        <v>30</v>
      </c>
      <c r="G858" s="2" t="s">
        <v>98</v>
      </c>
      <c r="H858" s="2">
        <v>13</v>
      </c>
      <c r="I858" s="2" t="s">
        <v>119</v>
      </c>
      <c r="J858" s="2">
        <v>2.9</v>
      </c>
      <c r="K858" s="2" t="s">
        <v>181</v>
      </c>
      <c r="L858" s="2">
        <v>0.82</v>
      </c>
      <c r="M858" s="2" t="s">
        <v>24</v>
      </c>
      <c r="N858" s="2" t="s">
        <v>34</v>
      </c>
      <c r="O858" s="2">
        <v>14</v>
      </c>
      <c r="P858" s="2" t="str">
        <f>IF(global_freelancer_raw5[[#This Row],[No of projects ]]&lt;=5,"Entry level","Well Experienced")</f>
        <v>Well Experienced</v>
      </c>
      <c r="Q858" s="2">
        <v>8</v>
      </c>
    </row>
    <row r="859" spans="1:17" x14ac:dyDescent="0.3">
      <c r="A859" t="s">
        <v>1815</v>
      </c>
      <c r="B859" t="s">
        <v>1816</v>
      </c>
      <c r="C859" t="s">
        <v>97</v>
      </c>
      <c r="D859" s="2">
        <v>40</v>
      </c>
      <c r="E859" t="s">
        <v>201</v>
      </c>
      <c r="F859" t="s">
        <v>92</v>
      </c>
      <c r="G859" s="2" t="s">
        <v>39</v>
      </c>
      <c r="H859" s="2">
        <v>22</v>
      </c>
      <c r="I859" s="2" t="s">
        <v>70</v>
      </c>
      <c r="J859" s="2">
        <v>4.3</v>
      </c>
      <c r="K859" s="2" t="s">
        <v>23</v>
      </c>
      <c r="L859" s="2">
        <v>0.95</v>
      </c>
      <c r="M859" s="2" t="s">
        <v>60</v>
      </c>
      <c r="N859" s="2" t="s">
        <v>34</v>
      </c>
      <c r="O859" s="2">
        <v>14</v>
      </c>
      <c r="P859" s="2" t="str">
        <f>IF(global_freelancer_raw5[[#This Row],[No of projects ]]&lt;=5,"Entry level","Well Experienced")</f>
        <v>Well Experienced</v>
      </c>
      <c r="Q859" s="2">
        <v>12</v>
      </c>
    </row>
    <row r="860" spans="1:17" x14ac:dyDescent="0.3">
      <c r="A860" t="s">
        <v>1817</v>
      </c>
      <c r="B860" t="s">
        <v>1818</v>
      </c>
      <c r="C860" t="s">
        <v>97</v>
      </c>
      <c r="D860" s="2">
        <v>20</v>
      </c>
      <c r="E860" t="s">
        <v>73</v>
      </c>
      <c r="F860" t="s">
        <v>30</v>
      </c>
      <c r="G860" s="2" t="s">
        <v>39</v>
      </c>
      <c r="H860" s="2">
        <v>1</v>
      </c>
      <c r="I860" s="2" t="s">
        <v>2119</v>
      </c>
      <c r="J860" s="2">
        <v>2.7</v>
      </c>
      <c r="K860" s="2" t="s">
        <v>23</v>
      </c>
      <c r="L860" s="2">
        <v>94</v>
      </c>
      <c r="M860" s="2" t="s">
        <v>82</v>
      </c>
      <c r="N860" s="2" t="s">
        <v>34</v>
      </c>
      <c r="O860" s="2">
        <v>3</v>
      </c>
      <c r="P860" s="2" t="str">
        <f>IF(global_freelancer_raw5[[#This Row],[No of projects ]]&lt;=5,"Entry level","Well Experienced")</f>
        <v>Entry level</v>
      </c>
      <c r="Q860" s="2">
        <v>1</v>
      </c>
    </row>
    <row r="861" spans="1:17" x14ac:dyDescent="0.3">
      <c r="A861" t="s">
        <v>1819</v>
      </c>
      <c r="B861" t="s">
        <v>1820</v>
      </c>
      <c r="C861" t="s">
        <v>97</v>
      </c>
      <c r="D861" s="2">
        <v>42</v>
      </c>
      <c r="E861" t="s">
        <v>201</v>
      </c>
      <c r="F861" t="s">
        <v>92</v>
      </c>
      <c r="G861" s="2" t="s">
        <v>46</v>
      </c>
      <c r="H861" s="2" t="s">
        <v>2120</v>
      </c>
      <c r="I861" s="2" t="s">
        <v>81</v>
      </c>
      <c r="J861" s="2">
        <v>4.2</v>
      </c>
      <c r="K861" s="2" t="s">
        <v>2120</v>
      </c>
      <c r="L861" s="2">
        <v>0.96</v>
      </c>
      <c r="M861" s="2" t="s">
        <v>24</v>
      </c>
      <c r="N861" s="2" t="s">
        <v>42</v>
      </c>
      <c r="O861" s="2">
        <v>1</v>
      </c>
      <c r="P861" s="2" t="str">
        <f>IF(global_freelancer_raw5[[#This Row],[No of projects ]]&lt;=5,"Entry level","Well Experienced")</f>
        <v>Entry level</v>
      </c>
      <c r="Q861" s="2">
        <v>1</v>
      </c>
    </row>
    <row r="862" spans="1:17" x14ac:dyDescent="0.3">
      <c r="A862" t="s">
        <v>1821</v>
      </c>
      <c r="B862" t="s">
        <v>1822</v>
      </c>
      <c r="C862" t="s">
        <v>118</v>
      </c>
      <c r="D862" s="2">
        <v>32</v>
      </c>
      <c r="E862" t="s">
        <v>149</v>
      </c>
      <c r="F862" t="s">
        <v>30</v>
      </c>
      <c r="G862" s="2" t="s">
        <v>21</v>
      </c>
      <c r="H862" s="2">
        <v>12</v>
      </c>
      <c r="I862" s="2" t="s">
        <v>86</v>
      </c>
      <c r="J862" s="2">
        <v>0</v>
      </c>
      <c r="K862" s="2" t="s">
        <v>87</v>
      </c>
      <c r="L862" s="2">
        <v>0.63</v>
      </c>
      <c r="M862" s="2" t="s">
        <v>88</v>
      </c>
      <c r="N862" s="2" t="s">
        <v>34</v>
      </c>
      <c r="O862" s="2">
        <v>15</v>
      </c>
      <c r="P862" s="2" t="str">
        <f>IF(global_freelancer_raw5[[#This Row],[No of projects ]]&lt;=5,"Entry level","Well Experienced")</f>
        <v>Well Experienced</v>
      </c>
      <c r="Q862" s="2">
        <v>9</v>
      </c>
    </row>
    <row r="863" spans="1:17" x14ac:dyDescent="0.3">
      <c r="A863" t="s">
        <v>1823</v>
      </c>
      <c r="B863" t="s">
        <v>1824</v>
      </c>
      <c r="C863" t="s">
        <v>118</v>
      </c>
      <c r="D863" s="2">
        <v>60</v>
      </c>
      <c r="E863" t="s">
        <v>106</v>
      </c>
      <c r="F863" t="s">
        <v>107</v>
      </c>
      <c r="G863" s="2" t="s">
        <v>57</v>
      </c>
      <c r="H863" s="2" t="s">
        <v>2120</v>
      </c>
      <c r="I863" s="2" t="s">
        <v>162</v>
      </c>
      <c r="J863" s="2">
        <v>2.2000000000000002</v>
      </c>
      <c r="K863" s="2" t="s">
        <v>59</v>
      </c>
      <c r="L863" s="2">
        <v>0.6</v>
      </c>
      <c r="M863" s="2" t="s">
        <v>82</v>
      </c>
      <c r="N863" s="2" t="s">
        <v>34</v>
      </c>
      <c r="O863" s="2">
        <v>4</v>
      </c>
      <c r="P863" s="2" t="str">
        <f>IF(global_freelancer_raw5[[#This Row],[No of projects ]]&lt;=5,"Entry level","Well Experienced")</f>
        <v>Entry level</v>
      </c>
      <c r="Q863" s="2">
        <v>1</v>
      </c>
    </row>
    <row r="864" spans="1:17" x14ac:dyDescent="0.3">
      <c r="A864" t="s">
        <v>1825</v>
      </c>
      <c r="B864" t="s">
        <v>1826</v>
      </c>
      <c r="C864" t="s">
        <v>118</v>
      </c>
      <c r="D864" s="2">
        <v>46</v>
      </c>
      <c r="E864" t="s">
        <v>160</v>
      </c>
      <c r="F864" t="s">
        <v>161</v>
      </c>
      <c r="G864" s="2" t="s">
        <v>135</v>
      </c>
      <c r="H864" s="2">
        <v>12</v>
      </c>
      <c r="I864" s="2" t="s">
        <v>40</v>
      </c>
      <c r="J864" s="2">
        <v>4.7</v>
      </c>
      <c r="K864" s="2" t="s">
        <v>87</v>
      </c>
      <c r="L864" s="2">
        <v>0.77</v>
      </c>
      <c r="M864" s="2" t="s">
        <v>60</v>
      </c>
      <c r="N864" s="2" t="s">
        <v>25</v>
      </c>
      <c r="O864" s="2">
        <v>9</v>
      </c>
      <c r="P864" s="2" t="str">
        <f>IF(global_freelancer_raw5[[#This Row],[No of projects ]]&lt;=5,"Entry level","Well Experienced")</f>
        <v>Well Experienced</v>
      </c>
      <c r="Q864" s="2">
        <v>7</v>
      </c>
    </row>
    <row r="865" spans="1:17" x14ac:dyDescent="0.3">
      <c r="A865" t="s">
        <v>1827</v>
      </c>
      <c r="B865" t="s">
        <v>1828</v>
      </c>
      <c r="C865" t="s">
        <v>118</v>
      </c>
      <c r="D865" s="2">
        <v>29</v>
      </c>
      <c r="E865" t="s">
        <v>197</v>
      </c>
      <c r="F865" t="s">
        <v>198</v>
      </c>
      <c r="G865" s="2" t="s">
        <v>110</v>
      </c>
      <c r="H865" s="2">
        <v>0</v>
      </c>
      <c r="I865" s="2" t="s">
        <v>52</v>
      </c>
      <c r="J865" s="2">
        <v>0</v>
      </c>
      <c r="K865" s="2" t="s">
        <v>23</v>
      </c>
      <c r="L865" s="2">
        <v>0.63</v>
      </c>
      <c r="M865" s="2" t="s">
        <v>60</v>
      </c>
      <c r="N865" s="2" t="s">
        <v>34</v>
      </c>
      <c r="O865" s="2">
        <v>2</v>
      </c>
      <c r="P865" s="2" t="str">
        <f>IF(global_freelancer_raw5[[#This Row],[No of projects ]]&lt;=5,"Entry level","Well Experienced")</f>
        <v>Entry level</v>
      </c>
      <c r="Q865" s="2">
        <v>1</v>
      </c>
    </row>
    <row r="866" spans="1:17" x14ac:dyDescent="0.3">
      <c r="A866" t="s">
        <v>1829</v>
      </c>
      <c r="B866" t="s">
        <v>1830</v>
      </c>
      <c r="C866" t="s">
        <v>97</v>
      </c>
      <c r="D866" s="2">
        <v>39</v>
      </c>
      <c r="E866" t="s">
        <v>128</v>
      </c>
      <c r="F866" t="s">
        <v>129</v>
      </c>
      <c r="G866" s="2" t="s">
        <v>31</v>
      </c>
      <c r="H866" s="2">
        <v>18</v>
      </c>
      <c r="I866" s="2" t="s">
        <v>162</v>
      </c>
      <c r="J866" s="2">
        <v>2.5</v>
      </c>
      <c r="K866" s="2" t="s">
        <v>87</v>
      </c>
      <c r="L866" s="2">
        <v>0.61</v>
      </c>
      <c r="M866" s="2" t="s">
        <v>82</v>
      </c>
      <c r="N866" s="2" t="s">
        <v>42</v>
      </c>
      <c r="O866" s="2">
        <v>16</v>
      </c>
      <c r="P866" s="2" t="str">
        <f>IF(global_freelancer_raw5[[#This Row],[No of projects ]]&lt;=5,"Entry level","Well Experienced")</f>
        <v>Well Experienced</v>
      </c>
      <c r="Q866" s="2">
        <v>10</v>
      </c>
    </row>
    <row r="867" spans="1:17" x14ac:dyDescent="0.3">
      <c r="A867" t="s">
        <v>1831</v>
      </c>
      <c r="B867" t="s">
        <v>1832</v>
      </c>
      <c r="C867" t="s">
        <v>118</v>
      </c>
      <c r="D867" s="2">
        <v>55</v>
      </c>
      <c r="E867" t="s">
        <v>145</v>
      </c>
      <c r="F867" t="s">
        <v>146</v>
      </c>
      <c r="G867" s="2" t="s">
        <v>31</v>
      </c>
      <c r="H867" s="2">
        <v>2</v>
      </c>
      <c r="I867" s="2" t="s">
        <v>81</v>
      </c>
      <c r="J867" s="2">
        <v>3.9</v>
      </c>
      <c r="K867" s="2" t="s">
        <v>87</v>
      </c>
      <c r="L867" s="2">
        <v>0.88</v>
      </c>
      <c r="M867" s="2" t="s">
        <v>82</v>
      </c>
      <c r="N867" s="2" t="s">
        <v>42</v>
      </c>
      <c r="O867" s="2">
        <v>1</v>
      </c>
      <c r="P867" s="2" t="str">
        <f>IF(global_freelancer_raw5[[#This Row],[No of projects ]]&lt;=5,"Entry level","Well Experienced")</f>
        <v>Entry level</v>
      </c>
      <c r="Q867" s="2">
        <v>4</v>
      </c>
    </row>
    <row r="868" spans="1:17" x14ac:dyDescent="0.3">
      <c r="A868" t="s">
        <v>1833</v>
      </c>
      <c r="B868" t="s">
        <v>1834</v>
      </c>
      <c r="C868" t="s">
        <v>118</v>
      </c>
      <c r="D868" s="2">
        <v>55</v>
      </c>
      <c r="E868" t="s">
        <v>79</v>
      </c>
      <c r="F868" t="s">
        <v>80</v>
      </c>
      <c r="G868" s="2" t="s">
        <v>98</v>
      </c>
      <c r="H868" s="2" t="s">
        <v>2120</v>
      </c>
      <c r="I868" s="2" t="s">
        <v>32</v>
      </c>
      <c r="J868" s="2">
        <v>1.2</v>
      </c>
      <c r="K868" s="2" t="s">
        <v>33</v>
      </c>
      <c r="L868" s="2">
        <v>0.69</v>
      </c>
      <c r="M868" s="2" t="s">
        <v>60</v>
      </c>
      <c r="N868" s="2" t="s">
        <v>25</v>
      </c>
      <c r="O868" s="2">
        <v>5</v>
      </c>
      <c r="P868" s="2" t="str">
        <f>IF(global_freelancer_raw5[[#This Row],[No of projects ]]&lt;=5,"Entry level","Well Experienced")</f>
        <v>Entry level</v>
      </c>
      <c r="Q868" s="2">
        <v>2</v>
      </c>
    </row>
    <row r="869" spans="1:17" x14ac:dyDescent="0.3">
      <c r="A869" t="s">
        <v>1835</v>
      </c>
      <c r="B869" t="s">
        <v>1836</v>
      </c>
      <c r="C869" t="s">
        <v>118</v>
      </c>
      <c r="D869" s="2">
        <v>40</v>
      </c>
      <c r="E869" t="s">
        <v>64</v>
      </c>
      <c r="F869" t="s">
        <v>65</v>
      </c>
      <c r="G869" s="2" t="s">
        <v>66</v>
      </c>
      <c r="H869" s="2">
        <v>2</v>
      </c>
      <c r="I869" s="2" t="s">
        <v>103</v>
      </c>
      <c r="J869" s="2">
        <v>4.5</v>
      </c>
      <c r="K869" s="2" t="s">
        <v>87</v>
      </c>
      <c r="L869" s="2" t="s">
        <v>2120</v>
      </c>
      <c r="M869" s="2" t="s">
        <v>88</v>
      </c>
      <c r="N869" s="2" t="s">
        <v>34</v>
      </c>
      <c r="O869" s="2">
        <v>2</v>
      </c>
      <c r="P869" s="2" t="str">
        <f>IF(global_freelancer_raw5[[#This Row],[No of projects ]]&lt;=5,"Entry level","Well Experienced")</f>
        <v>Entry level</v>
      </c>
      <c r="Q869" s="2">
        <v>2</v>
      </c>
    </row>
    <row r="870" spans="1:17" x14ac:dyDescent="0.3">
      <c r="A870" t="s">
        <v>1837</v>
      </c>
      <c r="B870" t="s">
        <v>1838</v>
      </c>
      <c r="C870" t="s">
        <v>97</v>
      </c>
      <c r="D870" s="2">
        <v>56</v>
      </c>
      <c r="E870" t="s">
        <v>197</v>
      </c>
      <c r="F870" t="s">
        <v>198</v>
      </c>
      <c r="G870" s="2" t="s">
        <v>93</v>
      </c>
      <c r="H870" s="2">
        <v>35</v>
      </c>
      <c r="I870" s="2" t="s">
        <v>47</v>
      </c>
      <c r="J870" s="2">
        <v>2.7</v>
      </c>
      <c r="K870" s="2" t="s">
        <v>74</v>
      </c>
      <c r="L870" s="2">
        <v>0.82</v>
      </c>
      <c r="M870" s="2" t="s">
        <v>24</v>
      </c>
      <c r="N870" s="2" t="s">
        <v>34</v>
      </c>
      <c r="O870" s="2">
        <v>15</v>
      </c>
      <c r="P870" s="2" t="str">
        <f>IF(global_freelancer_raw5[[#This Row],[No of projects ]]&lt;=5,"Entry level","Well Experienced")</f>
        <v>Well Experienced</v>
      </c>
      <c r="Q870" s="2">
        <v>6</v>
      </c>
    </row>
    <row r="871" spans="1:17" x14ac:dyDescent="0.3">
      <c r="A871" t="s">
        <v>1839</v>
      </c>
      <c r="B871" t="s">
        <v>1840</v>
      </c>
      <c r="C871" t="s">
        <v>118</v>
      </c>
      <c r="D871" s="2">
        <v>57</v>
      </c>
      <c r="E871" t="s">
        <v>201</v>
      </c>
      <c r="F871" t="s">
        <v>92</v>
      </c>
      <c r="G871" s="2" t="s">
        <v>31</v>
      </c>
      <c r="H871" s="2">
        <v>21</v>
      </c>
      <c r="I871" s="2" t="s">
        <v>103</v>
      </c>
      <c r="J871" s="2">
        <v>2</v>
      </c>
      <c r="K871" s="2" t="s">
        <v>41</v>
      </c>
      <c r="L871" s="2">
        <v>0.96</v>
      </c>
      <c r="M871" s="2" t="s">
        <v>88</v>
      </c>
      <c r="N871" s="2" t="s">
        <v>42</v>
      </c>
      <c r="O871" s="2">
        <v>15</v>
      </c>
      <c r="P871" s="2" t="str">
        <f>IF(global_freelancer_raw5[[#This Row],[No of projects ]]&lt;=5,"Entry level","Well Experienced")</f>
        <v>Well Experienced</v>
      </c>
      <c r="Q871" s="2">
        <v>12</v>
      </c>
    </row>
    <row r="872" spans="1:17" x14ac:dyDescent="0.3">
      <c r="A872" t="s">
        <v>1841</v>
      </c>
      <c r="B872" t="s">
        <v>1842</v>
      </c>
      <c r="C872" t="s">
        <v>97</v>
      </c>
      <c r="D872" s="2">
        <v>56</v>
      </c>
      <c r="E872" t="s">
        <v>145</v>
      </c>
      <c r="F872" t="s">
        <v>146</v>
      </c>
      <c r="G872" s="2" t="s">
        <v>110</v>
      </c>
      <c r="H872" s="2">
        <v>3</v>
      </c>
      <c r="I872" s="2" t="s">
        <v>47</v>
      </c>
      <c r="J872" s="2">
        <v>1.7</v>
      </c>
      <c r="K872" s="2" t="s">
        <v>41</v>
      </c>
      <c r="L872" s="2">
        <v>0.71</v>
      </c>
      <c r="M872" s="2" t="s">
        <v>82</v>
      </c>
      <c r="N872" s="2" t="s">
        <v>34</v>
      </c>
      <c r="O872" s="2">
        <v>4</v>
      </c>
      <c r="P872" s="2" t="str">
        <f>IF(global_freelancer_raw5[[#This Row],[No of projects ]]&lt;=5,"Entry level","Well Experienced")</f>
        <v>Entry level</v>
      </c>
      <c r="Q872" s="2">
        <v>4</v>
      </c>
    </row>
    <row r="873" spans="1:17" x14ac:dyDescent="0.3">
      <c r="A873" t="s">
        <v>1843</v>
      </c>
      <c r="B873" t="s">
        <v>1844</v>
      </c>
      <c r="C873" t="s">
        <v>97</v>
      </c>
      <c r="D873" s="2">
        <v>49</v>
      </c>
      <c r="E873" t="s">
        <v>38</v>
      </c>
      <c r="F873" t="s">
        <v>38</v>
      </c>
      <c r="G873" s="2" t="s">
        <v>31</v>
      </c>
      <c r="H873" s="2">
        <v>24</v>
      </c>
      <c r="I873" s="2" t="s">
        <v>192</v>
      </c>
      <c r="J873" s="2">
        <v>3</v>
      </c>
      <c r="K873" s="2" t="s">
        <v>33</v>
      </c>
      <c r="L873" s="2">
        <v>0.77</v>
      </c>
      <c r="M873" s="2" t="s">
        <v>88</v>
      </c>
      <c r="N873" s="2" t="s">
        <v>34</v>
      </c>
      <c r="O873" s="2">
        <v>18</v>
      </c>
      <c r="P873" s="2" t="str">
        <f>IF(global_freelancer_raw5[[#This Row],[No of projects ]]&lt;=5,"Entry level","Well Experienced")</f>
        <v>Well Experienced</v>
      </c>
      <c r="Q873" s="2">
        <v>10</v>
      </c>
    </row>
    <row r="874" spans="1:17" x14ac:dyDescent="0.3">
      <c r="A874" t="s">
        <v>1845</v>
      </c>
      <c r="B874" t="s">
        <v>1846</v>
      </c>
      <c r="C874" t="s">
        <v>118</v>
      </c>
      <c r="D874" s="2">
        <v>26</v>
      </c>
      <c r="E874" t="s">
        <v>212</v>
      </c>
      <c r="F874" t="s">
        <v>92</v>
      </c>
      <c r="G874" s="2" t="s">
        <v>21</v>
      </c>
      <c r="H874" s="2" t="s">
        <v>2120</v>
      </c>
      <c r="I874" s="2" t="s">
        <v>192</v>
      </c>
      <c r="J874" s="2">
        <v>2.1</v>
      </c>
      <c r="K874" s="2" t="s">
        <v>87</v>
      </c>
      <c r="L874" s="2" t="s">
        <v>2120</v>
      </c>
      <c r="M874" s="2" t="s">
        <v>60</v>
      </c>
      <c r="N874" s="2" t="s">
        <v>34</v>
      </c>
      <c r="O874" s="2">
        <v>1</v>
      </c>
      <c r="P874" s="2" t="str">
        <f>IF(global_freelancer_raw5[[#This Row],[No of projects ]]&lt;=5,"Entry level","Well Experienced")</f>
        <v>Entry level</v>
      </c>
      <c r="Q874" s="2">
        <v>1</v>
      </c>
    </row>
    <row r="875" spans="1:17" x14ac:dyDescent="0.3">
      <c r="A875" t="s">
        <v>1847</v>
      </c>
      <c r="B875" t="s">
        <v>1848</v>
      </c>
      <c r="C875" t="s">
        <v>97</v>
      </c>
      <c r="D875" s="2">
        <v>36</v>
      </c>
      <c r="E875" t="s">
        <v>133</v>
      </c>
      <c r="F875" t="s">
        <v>134</v>
      </c>
      <c r="G875" s="2" t="s">
        <v>93</v>
      </c>
      <c r="H875" s="2">
        <v>0</v>
      </c>
      <c r="I875" s="2" t="s">
        <v>103</v>
      </c>
      <c r="J875" s="2">
        <v>1.5</v>
      </c>
      <c r="K875" s="2" t="s">
        <v>2120</v>
      </c>
      <c r="L875" s="2">
        <v>0.73</v>
      </c>
      <c r="M875" s="2" t="s">
        <v>82</v>
      </c>
      <c r="N875" s="2" t="s">
        <v>75</v>
      </c>
      <c r="O875" s="2">
        <v>2</v>
      </c>
      <c r="P875" s="2" t="str">
        <f>IF(global_freelancer_raw5[[#This Row],[No of projects ]]&lt;=5,"Entry level","Well Experienced")</f>
        <v>Entry level</v>
      </c>
      <c r="Q875" s="2">
        <v>1</v>
      </c>
    </row>
    <row r="876" spans="1:17" x14ac:dyDescent="0.3">
      <c r="A876" t="s">
        <v>1849</v>
      </c>
      <c r="B876" t="s">
        <v>1850</v>
      </c>
      <c r="C876" t="s">
        <v>118</v>
      </c>
      <c r="D876" s="2">
        <v>20</v>
      </c>
      <c r="E876" t="s">
        <v>145</v>
      </c>
      <c r="F876" t="s">
        <v>146</v>
      </c>
      <c r="G876" s="2" t="s">
        <v>46</v>
      </c>
      <c r="H876" s="2">
        <v>2</v>
      </c>
      <c r="I876" s="2" t="s">
        <v>130</v>
      </c>
      <c r="J876" s="2">
        <v>1.7</v>
      </c>
      <c r="K876" s="2" t="s">
        <v>74</v>
      </c>
      <c r="L876" s="2">
        <v>0.6</v>
      </c>
      <c r="M876" s="2" t="s">
        <v>24</v>
      </c>
      <c r="N876" s="2" t="s">
        <v>25</v>
      </c>
      <c r="O876" s="2">
        <v>4</v>
      </c>
      <c r="P876" s="2" t="str">
        <f>IF(global_freelancer_raw5[[#This Row],[No of projects ]]&lt;=5,"Entry level","Well Experienced")</f>
        <v>Entry level</v>
      </c>
      <c r="Q876" s="2">
        <v>2</v>
      </c>
    </row>
    <row r="877" spans="1:17" x14ac:dyDescent="0.3">
      <c r="A877" t="s">
        <v>1851</v>
      </c>
      <c r="B877" t="s">
        <v>1852</v>
      </c>
      <c r="C877" t="s">
        <v>97</v>
      </c>
      <c r="D877" s="2">
        <v>40</v>
      </c>
      <c r="E877" t="s">
        <v>212</v>
      </c>
      <c r="F877" t="s">
        <v>92</v>
      </c>
      <c r="G877" s="2" t="s">
        <v>57</v>
      </c>
      <c r="H877" s="2" t="s">
        <v>2120</v>
      </c>
      <c r="I877" s="2" t="s">
        <v>2119</v>
      </c>
      <c r="J877" s="2">
        <v>1.2</v>
      </c>
      <c r="K877" s="2" t="s">
        <v>33</v>
      </c>
      <c r="L877" s="2">
        <v>0.67</v>
      </c>
      <c r="M877" s="2" t="s">
        <v>60</v>
      </c>
      <c r="N877" s="2" t="s">
        <v>75</v>
      </c>
      <c r="O877" s="2">
        <v>3</v>
      </c>
      <c r="P877" s="2" t="str">
        <f>IF(global_freelancer_raw5[[#This Row],[No of projects ]]&lt;=5,"Entry level","Well Experienced")</f>
        <v>Entry level</v>
      </c>
      <c r="Q877" s="2">
        <v>1</v>
      </c>
    </row>
    <row r="878" spans="1:17" x14ac:dyDescent="0.3">
      <c r="A878" t="s">
        <v>1853</v>
      </c>
      <c r="B878" t="s">
        <v>1854</v>
      </c>
      <c r="C878" t="s">
        <v>97</v>
      </c>
      <c r="D878" s="2">
        <v>30</v>
      </c>
      <c r="E878" t="s">
        <v>114</v>
      </c>
      <c r="F878" t="s">
        <v>115</v>
      </c>
      <c r="G878" s="2" t="s">
        <v>31</v>
      </c>
      <c r="H878" s="2">
        <v>6</v>
      </c>
      <c r="I878" s="2" t="s">
        <v>103</v>
      </c>
      <c r="J878" s="2">
        <v>0</v>
      </c>
      <c r="K878" s="2" t="s">
        <v>59</v>
      </c>
      <c r="L878" s="2">
        <v>0.8</v>
      </c>
      <c r="M878" s="2" t="s">
        <v>60</v>
      </c>
      <c r="N878" s="2" t="s">
        <v>25</v>
      </c>
      <c r="O878" s="2">
        <v>7</v>
      </c>
      <c r="P878" s="2" t="str">
        <f>IF(global_freelancer_raw5[[#This Row],[No of projects ]]&lt;=5,"Entry level","Well Experienced")</f>
        <v>Well Experienced</v>
      </c>
      <c r="Q878" s="2">
        <v>8</v>
      </c>
    </row>
    <row r="879" spans="1:17" x14ac:dyDescent="0.3">
      <c r="A879" t="s">
        <v>1855</v>
      </c>
      <c r="B879" t="s">
        <v>1856</v>
      </c>
      <c r="C879" t="s">
        <v>118</v>
      </c>
      <c r="D879" s="2">
        <v>51</v>
      </c>
      <c r="E879" t="s">
        <v>29</v>
      </c>
      <c r="F879" t="s">
        <v>30</v>
      </c>
      <c r="G879" s="2" t="s">
        <v>39</v>
      </c>
      <c r="H879" s="2">
        <v>21</v>
      </c>
      <c r="I879" s="2" t="s">
        <v>162</v>
      </c>
      <c r="J879" s="2" t="s">
        <v>2120</v>
      </c>
      <c r="K879" s="2" t="s">
        <v>94</v>
      </c>
      <c r="L879" s="2" t="s">
        <v>2120</v>
      </c>
      <c r="M879" s="2" t="s">
        <v>24</v>
      </c>
      <c r="N879" s="2" t="s">
        <v>42</v>
      </c>
      <c r="O879" s="2">
        <v>14</v>
      </c>
      <c r="P879" s="2" t="str">
        <f>IF(global_freelancer_raw5[[#This Row],[No of projects ]]&lt;=5,"Entry level","Well Experienced")</f>
        <v>Well Experienced</v>
      </c>
      <c r="Q879" s="2">
        <v>7</v>
      </c>
    </row>
    <row r="880" spans="1:17" x14ac:dyDescent="0.3">
      <c r="A880" t="s">
        <v>1857</v>
      </c>
      <c r="B880" t="s">
        <v>1858</v>
      </c>
      <c r="C880" t="s">
        <v>118</v>
      </c>
      <c r="D880" s="2">
        <v>46</v>
      </c>
      <c r="E880" t="s">
        <v>73</v>
      </c>
      <c r="F880" t="s">
        <v>30</v>
      </c>
      <c r="G880" s="2" t="s">
        <v>93</v>
      </c>
      <c r="H880" s="2">
        <v>24</v>
      </c>
      <c r="I880" s="2" t="s">
        <v>86</v>
      </c>
      <c r="J880" s="2">
        <v>3.3</v>
      </c>
      <c r="K880" s="2" t="s">
        <v>33</v>
      </c>
      <c r="L880" s="2">
        <v>0.87</v>
      </c>
      <c r="M880" s="2" t="s">
        <v>24</v>
      </c>
      <c r="N880" s="2" t="s">
        <v>34</v>
      </c>
      <c r="O880" s="2">
        <v>19</v>
      </c>
      <c r="P880" s="2" t="str">
        <f>IF(global_freelancer_raw5[[#This Row],[No of projects ]]&lt;=5,"Entry level","Well Experienced")</f>
        <v>Well Experienced</v>
      </c>
      <c r="Q880" s="2">
        <v>8</v>
      </c>
    </row>
    <row r="881" spans="1:17" x14ac:dyDescent="0.3">
      <c r="A881" t="s">
        <v>1859</v>
      </c>
      <c r="B881" t="s">
        <v>1860</v>
      </c>
      <c r="C881" t="s">
        <v>97</v>
      </c>
      <c r="D881" s="2">
        <v>25</v>
      </c>
      <c r="E881" t="s">
        <v>133</v>
      </c>
      <c r="F881" t="s">
        <v>134</v>
      </c>
      <c r="G881" s="2" t="s">
        <v>57</v>
      </c>
      <c r="H881" s="2">
        <v>6</v>
      </c>
      <c r="I881" s="2" t="s">
        <v>162</v>
      </c>
      <c r="J881" s="2">
        <v>2.1</v>
      </c>
      <c r="K881" s="2" t="s">
        <v>181</v>
      </c>
      <c r="L881" s="2" t="s">
        <v>2120</v>
      </c>
      <c r="M881" s="2" t="s">
        <v>88</v>
      </c>
      <c r="N881" s="2" t="s">
        <v>25</v>
      </c>
      <c r="O881" s="2">
        <v>9</v>
      </c>
      <c r="P881" s="2" t="str">
        <f>IF(global_freelancer_raw5[[#This Row],[No of projects ]]&lt;=5,"Entry level","Well Experienced")</f>
        <v>Well Experienced</v>
      </c>
      <c r="Q881" s="2">
        <v>8</v>
      </c>
    </row>
    <row r="882" spans="1:17" x14ac:dyDescent="0.3">
      <c r="A882" t="s">
        <v>1861</v>
      </c>
      <c r="B882" t="s">
        <v>1862</v>
      </c>
      <c r="C882" t="s">
        <v>118</v>
      </c>
      <c r="D882" s="2">
        <v>53</v>
      </c>
      <c r="E882" t="s">
        <v>55</v>
      </c>
      <c r="F882" t="s">
        <v>56</v>
      </c>
      <c r="G882" s="2" t="s">
        <v>46</v>
      </c>
      <c r="H882" s="2">
        <v>32</v>
      </c>
      <c r="I882" s="2" t="s">
        <v>40</v>
      </c>
      <c r="J882" s="2" t="s">
        <v>2120</v>
      </c>
      <c r="K882" s="2" t="s">
        <v>33</v>
      </c>
      <c r="L882" s="2" t="s">
        <v>2120</v>
      </c>
      <c r="M882" s="2" t="s">
        <v>82</v>
      </c>
      <c r="N882" s="2" t="s">
        <v>75</v>
      </c>
      <c r="O882" s="2">
        <v>14</v>
      </c>
      <c r="P882" s="2" t="str">
        <f>IF(global_freelancer_raw5[[#This Row],[No of projects ]]&lt;=5,"Entry level","Well Experienced")</f>
        <v>Well Experienced</v>
      </c>
      <c r="Q882" s="2">
        <v>4</v>
      </c>
    </row>
    <row r="883" spans="1:17" x14ac:dyDescent="0.3">
      <c r="A883" t="s">
        <v>1863</v>
      </c>
      <c r="B883" t="s">
        <v>1864</v>
      </c>
      <c r="C883" t="s">
        <v>97</v>
      </c>
      <c r="D883" s="2">
        <v>50</v>
      </c>
      <c r="E883" t="s">
        <v>160</v>
      </c>
      <c r="F883" t="s">
        <v>161</v>
      </c>
      <c r="G883" s="2" t="s">
        <v>31</v>
      </c>
      <c r="H883" s="2">
        <v>31</v>
      </c>
      <c r="I883" s="2" t="s">
        <v>32</v>
      </c>
      <c r="J883" s="2">
        <v>2.9</v>
      </c>
      <c r="K883" s="2" t="s">
        <v>94</v>
      </c>
      <c r="L883" s="2">
        <v>0.89</v>
      </c>
      <c r="M883" s="2" t="s">
        <v>24</v>
      </c>
      <c r="N883" s="2" t="s">
        <v>34</v>
      </c>
      <c r="O883" s="2">
        <v>17</v>
      </c>
      <c r="P883" s="2" t="str">
        <f>IF(global_freelancer_raw5[[#This Row],[No of projects ]]&lt;=5,"Entry level","Well Experienced")</f>
        <v>Well Experienced</v>
      </c>
      <c r="Q883" s="2">
        <v>6</v>
      </c>
    </row>
    <row r="884" spans="1:17" x14ac:dyDescent="0.3">
      <c r="A884" t="s">
        <v>1865</v>
      </c>
      <c r="B884" t="s">
        <v>1866</v>
      </c>
      <c r="C884" t="s">
        <v>118</v>
      </c>
      <c r="D884" s="2">
        <v>45</v>
      </c>
      <c r="E884" t="s">
        <v>133</v>
      </c>
      <c r="F884" t="s">
        <v>134</v>
      </c>
      <c r="G884" s="2" t="s">
        <v>57</v>
      </c>
      <c r="H884" s="2" t="s">
        <v>2120</v>
      </c>
      <c r="I884" s="2" t="s">
        <v>336</v>
      </c>
      <c r="J884" s="2">
        <v>3.3</v>
      </c>
      <c r="K884" s="2" t="s">
        <v>74</v>
      </c>
      <c r="L884" s="2">
        <v>0.93</v>
      </c>
      <c r="M884" s="2" t="s">
        <v>24</v>
      </c>
      <c r="N884" s="2" t="s">
        <v>42</v>
      </c>
      <c r="O884" s="2">
        <v>4</v>
      </c>
      <c r="P884" s="2" t="str">
        <f>IF(global_freelancer_raw5[[#This Row],[No of projects ]]&lt;=5,"Entry level","Well Experienced")</f>
        <v>Entry level</v>
      </c>
      <c r="Q884" s="2">
        <v>1</v>
      </c>
    </row>
    <row r="885" spans="1:17" x14ac:dyDescent="0.3">
      <c r="A885" t="s">
        <v>1867</v>
      </c>
      <c r="B885" t="s">
        <v>1868</v>
      </c>
      <c r="C885" t="s">
        <v>97</v>
      </c>
      <c r="D885" s="2">
        <v>48</v>
      </c>
      <c r="E885" t="s">
        <v>149</v>
      </c>
      <c r="F885" t="s">
        <v>30</v>
      </c>
      <c r="G885" s="2" t="s">
        <v>98</v>
      </c>
      <c r="H885" s="2">
        <v>24</v>
      </c>
      <c r="I885" s="2" t="s">
        <v>22</v>
      </c>
      <c r="J885" s="2">
        <v>4.8</v>
      </c>
      <c r="K885" s="2" t="s">
        <v>33</v>
      </c>
      <c r="L885" s="2">
        <v>0.84</v>
      </c>
      <c r="M885" s="2" t="s">
        <v>82</v>
      </c>
      <c r="N885" s="2" t="s">
        <v>25</v>
      </c>
      <c r="O885" s="2">
        <v>12</v>
      </c>
      <c r="P885" s="2" t="str">
        <f>IF(global_freelancer_raw5[[#This Row],[No of projects ]]&lt;=5,"Entry level","Well Experienced")</f>
        <v>Well Experienced</v>
      </c>
      <c r="Q885" s="2">
        <v>13</v>
      </c>
    </row>
    <row r="886" spans="1:17" x14ac:dyDescent="0.3">
      <c r="A886" t="s">
        <v>1869</v>
      </c>
      <c r="B886" t="s">
        <v>1870</v>
      </c>
      <c r="C886" t="s">
        <v>118</v>
      </c>
      <c r="D886" s="2">
        <v>30</v>
      </c>
      <c r="E886" t="s">
        <v>64</v>
      </c>
      <c r="F886" t="s">
        <v>65</v>
      </c>
      <c r="G886" s="2" t="s">
        <v>110</v>
      </c>
      <c r="H886" s="2" t="s">
        <v>2120</v>
      </c>
      <c r="I886" s="2" t="s">
        <v>251</v>
      </c>
      <c r="J886" s="2">
        <v>4.5</v>
      </c>
      <c r="K886" s="2" t="s">
        <v>2120</v>
      </c>
      <c r="L886" s="2">
        <v>0.78</v>
      </c>
      <c r="M886" s="2" t="s">
        <v>24</v>
      </c>
      <c r="N886" s="2" t="s">
        <v>25</v>
      </c>
      <c r="O886" s="2">
        <v>5</v>
      </c>
      <c r="P886" s="2" t="str">
        <f>IF(global_freelancer_raw5[[#This Row],[No of projects ]]&lt;=5,"Entry level","Well Experienced")</f>
        <v>Entry level</v>
      </c>
      <c r="Q886" s="2">
        <v>1</v>
      </c>
    </row>
    <row r="887" spans="1:17" x14ac:dyDescent="0.3">
      <c r="A887" t="s">
        <v>1871</v>
      </c>
      <c r="B887" t="s">
        <v>589</v>
      </c>
      <c r="C887" t="s">
        <v>97</v>
      </c>
      <c r="D887" s="2">
        <v>33</v>
      </c>
      <c r="E887" t="s">
        <v>55</v>
      </c>
      <c r="F887" t="s">
        <v>56</v>
      </c>
      <c r="G887" s="2" t="s">
        <v>93</v>
      </c>
      <c r="H887" s="2">
        <v>6</v>
      </c>
      <c r="I887" s="2" t="s">
        <v>81</v>
      </c>
      <c r="J887" s="2">
        <v>3.1</v>
      </c>
      <c r="K887" s="2" t="s">
        <v>181</v>
      </c>
      <c r="L887" s="2">
        <v>0.9</v>
      </c>
      <c r="M887" s="2" t="s">
        <v>24</v>
      </c>
      <c r="N887" s="2" t="s">
        <v>25</v>
      </c>
      <c r="O887" s="2">
        <v>8</v>
      </c>
      <c r="P887" s="2" t="str">
        <f>IF(global_freelancer_raw5[[#This Row],[No of projects ]]&lt;=5,"Entry level","Well Experienced")</f>
        <v>Well Experienced</v>
      </c>
      <c r="Q887" s="2">
        <v>8</v>
      </c>
    </row>
    <row r="888" spans="1:17" x14ac:dyDescent="0.3">
      <c r="A888" t="s">
        <v>1872</v>
      </c>
      <c r="B888" t="s">
        <v>1873</v>
      </c>
      <c r="C888" t="s">
        <v>97</v>
      </c>
      <c r="D888" s="2">
        <v>50</v>
      </c>
      <c r="E888" t="s">
        <v>85</v>
      </c>
      <c r="F888" t="s">
        <v>30</v>
      </c>
      <c r="G888" s="2" t="s">
        <v>110</v>
      </c>
      <c r="H888" s="2">
        <v>11</v>
      </c>
      <c r="I888" s="2" t="s">
        <v>2119</v>
      </c>
      <c r="J888" s="2">
        <v>4.9000000000000004</v>
      </c>
      <c r="K888" s="2" t="s">
        <v>33</v>
      </c>
      <c r="L888" s="2">
        <v>0.88</v>
      </c>
      <c r="M888" s="2" t="s">
        <v>88</v>
      </c>
      <c r="N888" s="2" t="s">
        <v>34</v>
      </c>
      <c r="O888" s="2">
        <v>6</v>
      </c>
      <c r="P888" s="2" t="str">
        <f>IF(global_freelancer_raw5[[#This Row],[No of projects ]]&lt;=5,"Entry level","Well Experienced")</f>
        <v>Well Experienced</v>
      </c>
      <c r="Q888" s="2">
        <v>13</v>
      </c>
    </row>
    <row r="889" spans="1:17" x14ac:dyDescent="0.3">
      <c r="A889" t="s">
        <v>1874</v>
      </c>
      <c r="B889" t="s">
        <v>1875</v>
      </c>
      <c r="C889" t="s">
        <v>97</v>
      </c>
      <c r="D889" s="2">
        <v>24</v>
      </c>
      <c r="E889" t="s">
        <v>64</v>
      </c>
      <c r="F889" t="s">
        <v>65</v>
      </c>
      <c r="G889" s="2" t="s">
        <v>66</v>
      </c>
      <c r="H889" s="2" t="s">
        <v>2120</v>
      </c>
      <c r="I889" s="2" t="s">
        <v>142</v>
      </c>
      <c r="J889" s="2">
        <v>0</v>
      </c>
      <c r="K889" s="2" t="s">
        <v>23</v>
      </c>
      <c r="L889" s="2">
        <v>0.76</v>
      </c>
      <c r="M889" s="2" t="s">
        <v>60</v>
      </c>
      <c r="N889" s="2" t="s">
        <v>75</v>
      </c>
      <c r="O889" s="2">
        <v>3</v>
      </c>
      <c r="P889" s="2" t="str">
        <f>IF(global_freelancer_raw5[[#This Row],[No of projects ]]&lt;=5,"Entry level","Well Experienced")</f>
        <v>Entry level</v>
      </c>
      <c r="Q889" s="2">
        <v>1</v>
      </c>
    </row>
    <row r="890" spans="1:17" x14ac:dyDescent="0.3">
      <c r="A890" t="s">
        <v>1876</v>
      </c>
      <c r="B890" t="s">
        <v>1877</v>
      </c>
      <c r="C890" t="s">
        <v>118</v>
      </c>
      <c r="D890" s="2">
        <v>38</v>
      </c>
      <c r="E890" t="s">
        <v>19</v>
      </c>
      <c r="F890" t="s">
        <v>20</v>
      </c>
      <c r="G890" s="2" t="s">
        <v>46</v>
      </c>
      <c r="H890" s="2">
        <v>14</v>
      </c>
      <c r="I890" s="2" t="s">
        <v>103</v>
      </c>
      <c r="J890" s="2">
        <v>1.5</v>
      </c>
      <c r="K890" s="2" t="s">
        <v>41</v>
      </c>
      <c r="L890" s="2">
        <v>0.62</v>
      </c>
      <c r="M890" s="2" t="s">
        <v>60</v>
      </c>
      <c r="N890" s="2" t="s">
        <v>75</v>
      </c>
      <c r="O890" s="2">
        <v>11</v>
      </c>
      <c r="P890" s="2" t="str">
        <f>IF(global_freelancer_raw5[[#This Row],[No of projects ]]&lt;=5,"Entry level","Well Experienced")</f>
        <v>Well Experienced</v>
      </c>
      <c r="Q890" s="2">
        <v>12</v>
      </c>
    </row>
    <row r="891" spans="1:17" x14ac:dyDescent="0.3">
      <c r="A891" t="s">
        <v>1878</v>
      </c>
      <c r="B891" t="s">
        <v>1879</v>
      </c>
      <c r="C891" t="s">
        <v>118</v>
      </c>
      <c r="D891" s="2">
        <v>56</v>
      </c>
      <c r="E891" t="s">
        <v>106</v>
      </c>
      <c r="F891" t="s">
        <v>107</v>
      </c>
      <c r="G891" s="2" t="s">
        <v>110</v>
      </c>
      <c r="H891" s="2">
        <v>2</v>
      </c>
      <c r="I891" s="2" t="s">
        <v>192</v>
      </c>
      <c r="J891" s="2">
        <v>2.4</v>
      </c>
      <c r="K891" s="2" t="s">
        <v>41</v>
      </c>
      <c r="L891" s="2" t="s">
        <v>2120</v>
      </c>
      <c r="M891" s="2" t="s">
        <v>60</v>
      </c>
      <c r="N891" s="2" t="s">
        <v>25</v>
      </c>
      <c r="O891" s="2">
        <v>3</v>
      </c>
      <c r="P891" s="2" t="str">
        <f>IF(global_freelancer_raw5[[#This Row],[No of projects ]]&lt;=5,"Entry level","Well Experienced")</f>
        <v>Entry level</v>
      </c>
      <c r="Q891" s="2">
        <v>1</v>
      </c>
    </row>
    <row r="892" spans="1:17" x14ac:dyDescent="0.3">
      <c r="A892" t="s">
        <v>1880</v>
      </c>
      <c r="B892" t="s">
        <v>1881</v>
      </c>
      <c r="C892" t="s">
        <v>97</v>
      </c>
      <c r="D892" s="2">
        <v>41</v>
      </c>
      <c r="E892" t="s">
        <v>145</v>
      </c>
      <c r="F892" t="s">
        <v>146</v>
      </c>
      <c r="G892" s="2" t="s">
        <v>110</v>
      </c>
      <c r="H892" s="2">
        <v>2</v>
      </c>
      <c r="I892" s="2" t="s">
        <v>32</v>
      </c>
      <c r="J892" s="2">
        <v>4.5</v>
      </c>
      <c r="K892" s="2" t="s">
        <v>41</v>
      </c>
      <c r="L892" s="2">
        <v>75</v>
      </c>
      <c r="M892" s="2" t="s">
        <v>60</v>
      </c>
      <c r="N892" s="2" t="s">
        <v>42</v>
      </c>
      <c r="O892" s="2">
        <v>2</v>
      </c>
      <c r="P892" s="2" t="str">
        <f>IF(global_freelancer_raw5[[#This Row],[No of projects ]]&lt;=5,"Entry level","Well Experienced")</f>
        <v>Entry level</v>
      </c>
      <c r="Q892" s="2">
        <v>1</v>
      </c>
    </row>
    <row r="893" spans="1:17" x14ac:dyDescent="0.3">
      <c r="A893" t="s">
        <v>1882</v>
      </c>
      <c r="B893" t="s">
        <v>1883</v>
      </c>
      <c r="C893" t="s">
        <v>118</v>
      </c>
      <c r="D893" s="2" t="s">
        <v>2119</v>
      </c>
      <c r="E893" t="s">
        <v>19</v>
      </c>
      <c r="F893" t="s">
        <v>20</v>
      </c>
      <c r="G893" s="2" t="s">
        <v>93</v>
      </c>
      <c r="H893" s="2">
        <v>11</v>
      </c>
      <c r="I893" s="2" t="s">
        <v>32</v>
      </c>
      <c r="J893" s="2">
        <v>2.5</v>
      </c>
      <c r="K893" s="2" t="s">
        <v>87</v>
      </c>
      <c r="L893" s="2">
        <v>80</v>
      </c>
      <c r="M893" s="2" t="s">
        <v>24</v>
      </c>
      <c r="N893" s="2" t="s">
        <v>42</v>
      </c>
      <c r="O893" s="2">
        <v>13</v>
      </c>
      <c r="P893" s="2" t="str">
        <f>IF(global_freelancer_raw5[[#This Row],[No of projects ]]&lt;=5,"Entry level","Well Experienced")</f>
        <v>Well Experienced</v>
      </c>
      <c r="Q893" s="2">
        <v>6</v>
      </c>
    </row>
    <row r="894" spans="1:17" x14ac:dyDescent="0.3">
      <c r="A894" t="s">
        <v>1884</v>
      </c>
      <c r="B894" t="s">
        <v>1885</v>
      </c>
      <c r="C894" t="s">
        <v>97</v>
      </c>
      <c r="D894" s="2">
        <v>42</v>
      </c>
      <c r="E894" t="s">
        <v>38</v>
      </c>
      <c r="F894" t="s">
        <v>38</v>
      </c>
      <c r="G894" s="2" t="s">
        <v>39</v>
      </c>
      <c r="H894" s="2">
        <v>13</v>
      </c>
      <c r="I894" s="2" t="s">
        <v>52</v>
      </c>
      <c r="J894" s="2">
        <v>3.3</v>
      </c>
      <c r="K894" s="2" t="s">
        <v>2120</v>
      </c>
      <c r="L894" s="2">
        <v>0.63</v>
      </c>
      <c r="M894" s="2" t="s">
        <v>82</v>
      </c>
      <c r="N894" s="2" t="s">
        <v>75</v>
      </c>
      <c r="O894" s="2">
        <v>10</v>
      </c>
      <c r="P894" s="2" t="str">
        <f>IF(global_freelancer_raw5[[#This Row],[No of projects ]]&lt;=5,"Entry level","Well Experienced")</f>
        <v>Well Experienced</v>
      </c>
      <c r="Q894" s="2">
        <v>12</v>
      </c>
    </row>
    <row r="895" spans="1:17" x14ac:dyDescent="0.3">
      <c r="A895" t="s">
        <v>1886</v>
      </c>
      <c r="B895" t="s">
        <v>1887</v>
      </c>
      <c r="C895" t="s">
        <v>118</v>
      </c>
      <c r="D895" s="2">
        <v>26</v>
      </c>
      <c r="E895" t="s">
        <v>114</v>
      </c>
      <c r="F895" t="s">
        <v>115</v>
      </c>
      <c r="G895" s="2" t="s">
        <v>21</v>
      </c>
      <c r="H895" s="2">
        <v>7</v>
      </c>
      <c r="I895" s="2" t="s">
        <v>103</v>
      </c>
      <c r="J895" s="2">
        <v>3</v>
      </c>
      <c r="K895" s="2" t="s">
        <v>2120</v>
      </c>
      <c r="L895" s="2">
        <v>0.84</v>
      </c>
      <c r="M895" s="2" t="s">
        <v>82</v>
      </c>
      <c r="N895" s="2" t="s">
        <v>42</v>
      </c>
      <c r="O895" s="2">
        <v>11</v>
      </c>
      <c r="P895" s="2" t="str">
        <f>IF(global_freelancer_raw5[[#This Row],[No of projects ]]&lt;=5,"Entry level","Well Experienced")</f>
        <v>Well Experienced</v>
      </c>
      <c r="Q895" s="2">
        <v>5</v>
      </c>
    </row>
    <row r="896" spans="1:17" x14ac:dyDescent="0.3">
      <c r="A896" t="s">
        <v>1888</v>
      </c>
      <c r="B896" t="s">
        <v>1889</v>
      </c>
      <c r="C896" t="s">
        <v>97</v>
      </c>
      <c r="D896" s="2">
        <v>44</v>
      </c>
      <c r="E896" t="s">
        <v>149</v>
      </c>
      <c r="F896" t="s">
        <v>30</v>
      </c>
      <c r="G896" s="2" t="s">
        <v>98</v>
      </c>
      <c r="H896" s="2">
        <v>25</v>
      </c>
      <c r="I896" s="2" t="s">
        <v>103</v>
      </c>
      <c r="J896" s="2">
        <v>2.7</v>
      </c>
      <c r="K896" s="2" t="s">
        <v>33</v>
      </c>
      <c r="L896" s="2">
        <v>78</v>
      </c>
      <c r="M896" s="2" t="s">
        <v>88</v>
      </c>
      <c r="N896" s="2" t="s">
        <v>75</v>
      </c>
      <c r="O896" s="2">
        <v>15</v>
      </c>
      <c r="P896" s="2" t="str">
        <f>IF(global_freelancer_raw5[[#This Row],[No of projects ]]&lt;=5,"Entry level","Well Experienced")</f>
        <v>Well Experienced</v>
      </c>
      <c r="Q896" s="2">
        <v>8</v>
      </c>
    </row>
    <row r="897" spans="1:17" x14ac:dyDescent="0.3">
      <c r="A897" t="s">
        <v>1890</v>
      </c>
      <c r="B897" t="s">
        <v>1891</v>
      </c>
      <c r="C897" t="s">
        <v>118</v>
      </c>
      <c r="D897" s="2">
        <v>46</v>
      </c>
      <c r="E897" t="s">
        <v>149</v>
      </c>
      <c r="F897" t="s">
        <v>30</v>
      </c>
      <c r="G897" s="2" t="s">
        <v>39</v>
      </c>
      <c r="H897" s="2">
        <v>20</v>
      </c>
      <c r="I897" s="2" t="s">
        <v>142</v>
      </c>
      <c r="J897" s="2">
        <v>1.2</v>
      </c>
      <c r="K897" s="2" t="s">
        <v>59</v>
      </c>
      <c r="L897" s="2">
        <v>0.74</v>
      </c>
      <c r="M897" s="2" t="s">
        <v>88</v>
      </c>
      <c r="N897" s="2" t="s">
        <v>25</v>
      </c>
      <c r="O897" s="2">
        <v>12</v>
      </c>
      <c r="P897" s="2" t="str">
        <f>IF(global_freelancer_raw5[[#This Row],[No of projects ]]&lt;=5,"Entry level","Well Experienced")</f>
        <v>Well Experienced</v>
      </c>
      <c r="Q897" s="2">
        <v>15</v>
      </c>
    </row>
    <row r="898" spans="1:17" x14ac:dyDescent="0.3">
      <c r="A898" t="s">
        <v>1892</v>
      </c>
      <c r="B898" t="s">
        <v>1893</v>
      </c>
      <c r="C898" t="s">
        <v>97</v>
      </c>
      <c r="D898" s="2">
        <v>36</v>
      </c>
      <c r="E898" t="s">
        <v>73</v>
      </c>
      <c r="F898" t="s">
        <v>30</v>
      </c>
      <c r="G898" s="2" t="s">
        <v>93</v>
      </c>
      <c r="H898" s="2">
        <v>8</v>
      </c>
      <c r="I898" s="2" t="s">
        <v>40</v>
      </c>
      <c r="J898" s="2">
        <v>4.3</v>
      </c>
      <c r="K898" s="2" t="s">
        <v>23</v>
      </c>
      <c r="L898" s="2">
        <v>0.9</v>
      </c>
      <c r="M898" s="2" t="s">
        <v>24</v>
      </c>
      <c r="N898" s="2" t="s">
        <v>75</v>
      </c>
      <c r="O898" s="2">
        <v>15</v>
      </c>
      <c r="P898" s="2" t="str">
        <f>IF(global_freelancer_raw5[[#This Row],[No of projects ]]&lt;=5,"Entry level","Well Experienced")</f>
        <v>Well Experienced</v>
      </c>
      <c r="Q898" s="2">
        <v>1</v>
      </c>
    </row>
    <row r="899" spans="1:17" x14ac:dyDescent="0.3">
      <c r="A899" t="s">
        <v>1894</v>
      </c>
      <c r="B899" t="s">
        <v>1895</v>
      </c>
      <c r="C899" t="s">
        <v>118</v>
      </c>
      <c r="D899" s="2">
        <v>26</v>
      </c>
      <c r="E899" t="s">
        <v>55</v>
      </c>
      <c r="F899" t="s">
        <v>56</v>
      </c>
      <c r="G899" s="2" t="s">
        <v>57</v>
      </c>
      <c r="H899" s="2">
        <v>6</v>
      </c>
      <c r="I899" s="2" t="s">
        <v>47</v>
      </c>
      <c r="J899" s="2">
        <v>1.3</v>
      </c>
      <c r="K899" s="2" t="s">
        <v>23</v>
      </c>
      <c r="L899" s="2" t="s">
        <v>2120</v>
      </c>
      <c r="M899" s="2" t="s">
        <v>82</v>
      </c>
      <c r="N899" s="2" t="s">
        <v>75</v>
      </c>
      <c r="O899" s="2">
        <v>8</v>
      </c>
      <c r="P899" s="2" t="str">
        <f>IF(global_freelancer_raw5[[#This Row],[No of projects ]]&lt;=5,"Entry level","Well Experienced")</f>
        <v>Well Experienced</v>
      </c>
      <c r="Q899" s="2">
        <v>5</v>
      </c>
    </row>
    <row r="900" spans="1:17" x14ac:dyDescent="0.3">
      <c r="A900" t="s">
        <v>1896</v>
      </c>
      <c r="B900" t="s">
        <v>1897</v>
      </c>
      <c r="C900" t="s">
        <v>118</v>
      </c>
      <c r="D900" s="2">
        <v>21</v>
      </c>
      <c r="E900" t="s">
        <v>38</v>
      </c>
      <c r="F900" t="s">
        <v>38</v>
      </c>
      <c r="G900" s="2" t="s">
        <v>93</v>
      </c>
      <c r="H900" s="2">
        <v>3</v>
      </c>
      <c r="I900" s="2" t="s">
        <v>40</v>
      </c>
      <c r="J900" s="2">
        <v>4.5999999999999996</v>
      </c>
      <c r="K900" s="2" t="s">
        <v>94</v>
      </c>
      <c r="L900" s="2" t="s">
        <v>2120</v>
      </c>
      <c r="M900" s="2" t="s">
        <v>82</v>
      </c>
      <c r="N900" s="2" t="s">
        <v>25</v>
      </c>
      <c r="O900" s="2">
        <v>5</v>
      </c>
      <c r="P900" s="2" t="str">
        <f>IF(global_freelancer_raw5[[#This Row],[No of projects ]]&lt;=5,"Entry level","Well Experienced")</f>
        <v>Entry level</v>
      </c>
      <c r="Q900" s="2">
        <v>3</v>
      </c>
    </row>
    <row r="901" spans="1:17" x14ac:dyDescent="0.3">
      <c r="A901" t="s">
        <v>1898</v>
      </c>
      <c r="B901" t="s">
        <v>1899</v>
      </c>
      <c r="C901" t="s">
        <v>97</v>
      </c>
      <c r="D901" s="2">
        <v>39</v>
      </c>
      <c r="E901" t="s">
        <v>64</v>
      </c>
      <c r="F901" t="s">
        <v>65</v>
      </c>
      <c r="G901" s="2" t="s">
        <v>93</v>
      </c>
      <c r="H901" s="2">
        <v>18</v>
      </c>
      <c r="I901" s="2" t="s">
        <v>40</v>
      </c>
      <c r="J901" s="2">
        <v>2.1</v>
      </c>
      <c r="K901" s="2" t="s">
        <v>23</v>
      </c>
      <c r="L901" s="2">
        <v>75</v>
      </c>
      <c r="M901" s="2" t="s">
        <v>60</v>
      </c>
      <c r="N901" s="2" t="s">
        <v>42</v>
      </c>
      <c r="O901" s="2">
        <v>10</v>
      </c>
      <c r="P901" s="2" t="str">
        <f>IF(global_freelancer_raw5[[#This Row],[No of projects ]]&lt;=5,"Entry level","Well Experienced")</f>
        <v>Well Experienced</v>
      </c>
      <c r="Q901" s="2">
        <v>7</v>
      </c>
    </row>
    <row r="902" spans="1:17" x14ac:dyDescent="0.3">
      <c r="A902" t="s">
        <v>1900</v>
      </c>
      <c r="B902" t="s">
        <v>1901</v>
      </c>
      <c r="C902" t="s">
        <v>97</v>
      </c>
      <c r="D902" s="2">
        <v>37</v>
      </c>
      <c r="E902" t="s">
        <v>73</v>
      </c>
      <c r="F902" t="s">
        <v>30</v>
      </c>
      <c r="G902" s="2" t="s">
        <v>21</v>
      </c>
      <c r="H902" s="2">
        <v>18</v>
      </c>
      <c r="I902" s="2" t="s">
        <v>86</v>
      </c>
      <c r="J902" s="2">
        <v>4.5</v>
      </c>
      <c r="K902" s="2" t="s">
        <v>181</v>
      </c>
      <c r="L902" s="2">
        <v>0.72</v>
      </c>
      <c r="M902" s="2" t="s">
        <v>24</v>
      </c>
      <c r="N902" s="2" t="s">
        <v>75</v>
      </c>
      <c r="O902" s="2">
        <v>14</v>
      </c>
      <c r="P902" s="2" t="str">
        <f>IF(global_freelancer_raw5[[#This Row],[No of projects ]]&lt;=5,"Entry level","Well Experienced")</f>
        <v>Well Experienced</v>
      </c>
      <c r="Q902" s="2">
        <v>8</v>
      </c>
    </row>
    <row r="903" spans="1:17" x14ac:dyDescent="0.3">
      <c r="A903" t="s">
        <v>1902</v>
      </c>
      <c r="B903" t="s">
        <v>1903</v>
      </c>
      <c r="C903" t="s">
        <v>97</v>
      </c>
      <c r="D903" s="2">
        <v>47</v>
      </c>
      <c r="E903" t="s">
        <v>145</v>
      </c>
      <c r="F903" t="s">
        <v>146</v>
      </c>
      <c r="G903" s="2" t="s">
        <v>93</v>
      </c>
      <c r="H903" s="2">
        <v>3</v>
      </c>
      <c r="I903" s="2" t="s">
        <v>86</v>
      </c>
      <c r="J903" s="2">
        <v>4.4000000000000004</v>
      </c>
      <c r="K903" s="2" t="s">
        <v>87</v>
      </c>
      <c r="L903" s="2">
        <v>0.92</v>
      </c>
      <c r="M903" s="2" t="s">
        <v>24</v>
      </c>
      <c r="N903" s="2" t="s">
        <v>75</v>
      </c>
      <c r="O903" s="2">
        <v>5</v>
      </c>
      <c r="P903" s="2" t="str">
        <f>IF(global_freelancer_raw5[[#This Row],[No of projects ]]&lt;=5,"Entry level","Well Experienced")</f>
        <v>Entry level</v>
      </c>
      <c r="Q903" s="2">
        <v>2</v>
      </c>
    </row>
    <row r="904" spans="1:17" x14ac:dyDescent="0.3">
      <c r="A904" t="s">
        <v>1904</v>
      </c>
      <c r="B904" t="s">
        <v>1905</v>
      </c>
      <c r="C904" t="s">
        <v>97</v>
      </c>
      <c r="D904" s="2">
        <v>53</v>
      </c>
      <c r="E904" t="s">
        <v>145</v>
      </c>
      <c r="F904" t="s">
        <v>146</v>
      </c>
      <c r="G904" s="2" t="s">
        <v>39</v>
      </c>
      <c r="H904" s="2">
        <v>32</v>
      </c>
      <c r="I904" s="2" t="s">
        <v>336</v>
      </c>
      <c r="J904" s="2">
        <v>0</v>
      </c>
      <c r="K904" s="2" t="s">
        <v>41</v>
      </c>
      <c r="L904" s="2" t="s">
        <v>2120</v>
      </c>
      <c r="M904" s="2" t="s">
        <v>60</v>
      </c>
      <c r="N904" s="2" t="s">
        <v>25</v>
      </c>
      <c r="O904" s="2">
        <v>17</v>
      </c>
      <c r="P904" s="2" t="str">
        <f>IF(global_freelancer_raw5[[#This Row],[No of projects ]]&lt;=5,"Entry level","Well Experienced")</f>
        <v>Well Experienced</v>
      </c>
      <c r="Q904" s="2">
        <v>8</v>
      </c>
    </row>
    <row r="905" spans="1:17" x14ac:dyDescent="0.3">
      <c r="A905" t="s">
        <v>1906</v>
      </c>
      <c r="B905" t="s">
        <v>1907</v>
      </c>
      <c r="C905" t="s">
        <v>97</v>
      </c>
      <c r="D905" s="2">
        <v>53</v>
      </c>
      <c r="E905" t="s">
        <v>91</v>
      </c>
      <c r="F905" t="s">
        <v>92</v>
      </c>
      <c r="G905" s="2" t="s">
        <v>31</v>
      </c>
      <c r="H905" s="2">
        <v>19</v>
      </c>
      <c r="I905" s="2" t="s">
        <v>336</v>
      </c>
      <c r="J905" s="2">
        <v>1.3</v>
      </c>
      <c r="K905" s="2" t="s">
        <v>23</v>
      </c>
      <c r="L905" s="2" t="s">
        <v>2120</v>
      </c>
      <c r="M905" s="2" t="s">
        <v>24</v>
      </c>
      <c r="N905" s="2" t="s">
        <v>42</v>
      </c>
      <c r="O905" s="2">
        <v>11</v>
      </c>
      <c r="P905" s="2" t="str">
        <f>IF(global_freelancer_raw5[[#This Row],[No of projects ]]&lt;=5,"Entry level","Well Experienced")</f>
        <v>Well Experienced</v>
      </c>
      <c r="Q905" s="2">
        <v>5</v>
      </c>
    </row>
    <row r="906" spans="1:17" x14ac:dyDescent="0.3">
      <c r="A906" t="s">
        <v>1908</v>
      </c>
      <c r="B906" t="s">
        <v>1909</v>
      </c>
      <c r="C906" t="s">
        <v>118</v>
      </c>
      <c r="D906" s="2">
        <v>21</v>
      </c>
      <c r="E906" t="s">
        <v>114</v>
      </c>
      <c r="F906" t="s">
        <v>115</v>
      </c>
      <c r="G906" s="2" t="s">
        <v>66</v>
      </c>
      <c r="H906" s="2">
        <v>2</v>
      </c>
      <c r="I906" s="2" t="s">
        <v>40</v>
      </c>
      <c r="J906" s="2">
        <v>2.6</v>
      </c>
      <c r="K906" s="2" t="s">
        <v>59</v>
      </c>
      <c r="L906" s="2">
        <v>0.86</v>
      </c>
      <c r="M906" s="2" t="s">
        <v>24</v>
      </c>
      <c r="N906" s="2" t="s">
        <v>75</v>
      </c>
      <c r="O906" s="2">
        <v>5</v>
      </c>
      <c r="P906" s="2" t="str">
        <f>IF(global_freelancer_raw5[[#This Row],[No of projects ]]&lt;=5,"Entry level","Well Experienced")</f>
        <v>Entry level</v>
      </c>
      <c r="Q906" s="2">
        <v>1</v>
      </c>
    </row>
    <row r="907" spans="1:17" x14ac:dyDescent="0.3">
      <c r="A907" t="s">
        <v>1910</v>
      </c>
      <c r="B907" t="s">
        <v>1911</v>
      </c>
      <c r="C907" t="s">
        <v>97</v>
      </c>
      <c r="D907" s="2">
        <v>35</v>
      </c>
      <c r="E907" t="s">
        <v>85</v>
      </c>
      <c r="F907" t="s">
        <v>30</v>
      </c>
      <c r="G907" s="2" t="s">
        <v>21</v>
      </c>
      <c r="H907" s="2">
        <v>0</v>
      </c>
      <c r="I907" s="2" t="s">
        <v>2119</v>
      </c>
      <c r="J907" s="2" t="s">
        <v>2120</v>
      </c>
      <c r="K907" s="2" t="s">
        <v>94</v>
      </c>
      <c r="L907" s="2">
        <v>85</v>
      </c>
      <c r="M907" s="2" t="s">
        <v>88</v>
      </c>
      <c r="N907" s="2" t="s">
        <v>25</v>
      </c>
      <c r="O907" s="2">
        <v>3</v>
      </c>
      <c r="P907" s="2" t="str">
        <f>IF(global_freelancer_raw5[[#This Row],[No of projects ]]&lt;=5,"Entry level","Well Experienced")</f>
        <v>Entry level</v>
      </c>
      <c r="Q907" s="2">
        <v>3</v>
      </c>
    </row>
    <row r="908" spans="1:17" x14ac:dyDescent="0.3">
      <c r="A908" t="s">
        <v>1912</v>
      </c>
      <c r="B908" t="s">
        <v>1913</v>
      </c>
      <c r="C908" t="s">
        <v>118</v>
      </c>
      <c r="D908" s="2">
        <v>31</v>
      </c>
      <c r="E908" t="s">
        <v>91</v>
      </c>
      <c r="F908" t="s">
        <v>92</v>
      </c>
      <c r="G908" s="2" t="s">
        <v>135</v>
      </c>
      <c r="H908" s="2">
        <v>13</v>
      </c>
      <c r="I908" s="2" t="s">
        <v>47</v>
      </c>
      <c r="J908" s="2">
        <v>1.2</v>
      </c>
      <c r="K908" s="2" t="s">
        <v>59</v>
      </c>
      <c r="L908" s="2">
        <v>62</v>
      </c>
      <c r="M908" s="2" t="s">
        <v>82</v>
      </c>
      <c r="N908" s="2" t="s">
        <v>75</v>
      </c>
      <c r="O908" s="2">
        <v>7</v>
      </c>
      <c r="P908" s="2" t="str">
        <f>IF(global_freelancer_raw5[[#This Row],[No of projects ]]&lt;=5,"Entry level","Well Experienced")</f>
        <v>Well Experienced</v>
      </c>
      <c r="Q908" s="2">
        <v>7</v>
      </c>
    </row>
    <row r="909" spans="1:17" x14ac:dyDescent="0.3">
      <c r="A909" t="s">
        <v>1914</v>
      </c>
      <c r="B909" t="s">
        <v>1915</v>
      </c>
      <c r="C909" t="s">
        <v>97</v>
      </c>
      <c r="D909" s="2">
        <v>55</v>
      </c>
      <c r="E909" t="s">
        <v>133</v>
      </c>
      <c r="F909" t="s">
        <v>134</v>
      </c>
      <c r="G909" s="2" t="s">
        <v>57</v>
      </c>
      <c r="H909" s="2">
        <v>2</v>
      </c>
      <c r="I909" s="2" t="s">
        <v>130</v>
      </c>
      <c r="J909" s="2">
        <v>3.1</v>
      </c>
      <c r="K909" s="2" t="s">
        <v>94</v>
      </c>
      <c r="L909" s="2">
        <v>0.91</v>
      </c>
      <c r="M909" s="2" t="s">
        <v>24</v>
      </c>
      <c r="N909" s="2" t="s">
        <v>34</v>
      </c>
      <c r="O909" s="2">
        <v>4</v>
      </c>
      <c r="P909" s="2" t="str">
        <f>IF(global_freelancer_raw5[[#This Row],[No of projects ]]&lt;=5,"Entry level","Well Experienced")</f>
        <v>Entry level</v>
      </c>
      <c r="Q909" s="2">
        <v>1</v>
      </c>
    </row>
    <row r="910" spans="1:17" x14ac:dyDescent="0.3">
      <c r="A910" t="s">
        <v>1916</v>
      </c>
      <c r="B910" t="s">
        <v>1917</v>
      </c>
      <c r="C910" t="s">
        <v>97</v>
      </c>
      <c r="D910" s="2">
        <v>59</v>
      </c>
      <c r="E910" t="s">
        <v>79</v>
      </c>
      <c r="F910" t="s">
        <v>80</v>
      </c>
      <c r="G910" s="2" t="s">
        <v>46</v>
      </c>
      <c r="H910" s="2">
        <v>11</v>
      </c>
      <c r="I910" s="2" t="s">
        <v>192</v>
      </c>
      <c r="J910" s="2">
        <v>2.2999999999999998</v>
      </c>
      <c r="K910" s="2" t="s">
        <v>94</v>
      </c>
      <c r="L910" s="2">
        <v>0.8</v>
      </c>
      <c r="M910" s="2" t="s">
        <v>88</v>
      </c>
      <c r="N910" s="2" t="s">
        <v>25</v>
      </c>
      <c r="O910" s="2">
        <v>12</v>
      </c>
      <c r="P910" s="2" t="str">
        <f>IF(global_freelancer_raw5[[#This Row],[No of projects ]]&lt;=5,"Entry level","Well Experienced")</f>
        <v>Well Experienced</v>
      </c>
      <c r="Q910" s="2">
        <v>9</v>
      </c>
    </row>
    <row r="911" spans="1:17" x14ac:dyDescent="0.3">
      <c r="A911" t="s">
        <v>1918</v>
      </c>
      <c r="B911" t="s">
        <v>1919</v>
      </c>
      <c r="C911" t="s">
        <v>118</v>
      </c>
      <c r="D911" s="2">
        <v>59</v>
      </c>
      <c r="E911" t="s">
        <v>156</v>
      </c>
      <c r="F911" t="s">
        <v>157</v>
      </c>
      <c r="G911" s="2" t="s">
        <v>98</v>
      </c>
      <c r="H911" s="2">
        <v>17</v>
      </c>
      <c r="I911" s="2" t="s">
        <v>22</v>
      </c>
      <c r="J911" s="2">
        <v>4</v>
      </c>
      <c r="K911" s="2" t="s">
        <v>181</v>
      </c>
      <c r="L911" s="2">
        <v>0.72</v>
      </c>
      <c r="M911" s="2" t="s">
        <v>82</v>
      </c>
      <c r="N911" s="2" t="s">
        <v>42</v>
      </c>
      <c r="O911" s="2">
        <v>13</v>
      </c>
      <c r="P911" s="2" t="str">
        <f>IF(global_freelancer_raw5[[#This Row],[No of projects ]]&lt;=5,"Entry level","Well Experienced")</f>
        <v>Well Experienced</v>
      </c>
      <c r="Q911" s="2">
        <v>9</v>
      </c>
    </row>
    <row r="912" spans="1:17" x14ac:dyDescent="0.3">
      <c r="A912" t="s">
        <v>1920</v>
      </c>
      <c r="B912" t="s">
        <v>1921</v>
      </c>
      <c r="C912" t="s">
        <v>118</v>
      </c>
      <c r="D912" s="2">
        <v>47</v>
      </c>
      <c r="E912" t="s">
        <v>114</v>
      </c>
      <c r="F912" t="s">
        <v>115</v>
      </c>
      <c r="G912" s="2" t="s">
        <v>21</v>
      </c>
      <c r="H912" s="2">
        <v>10</v>
      </c>
      <c r="I912" s="2" t="s">
        <v>192</v>
      </c>
      <c r="J912" s="2">
        <v>1.9</v>
      </c>
      <c r="K912" s="2" t="s">
        <v>2120</v>
      </c>
      <c r="L912" s="2" t="s">
        <v>2120</v>
      </c>
      <c r="M912" s="2" t="s">
        <v>60</v>
      </c>
      <c r="N912" s="2" t="s">
        <v>42</v>
      </c>
      <c r="O912" s="2">
        <v>8</v>
      </c>
      <c r="P912" s="2" t="str">
        <f>IF(global_freelancer_raw5[[#This Row],[No of projects ]]&lt;=5,"Entry level","Well Experienced")</f>
        <v>Well Experienced</v>
      </c>
      <c r="Q912" s="2">
        <v>4</v>
      </c>
    </row>
    <row r="913" spans="1:17" x14ac:dyDescent="0.3">
      <c r="A913" t="s">
        <v>1922</v>
      </c>
      <c r="B913" t="s">
        <v>1923</v>
      </c>
      <c r="C913" t="s">
        <v>97</v>
      </c>
      <c r="D913" s="2">
        <v>53</v>
      </c>
      <c r="E913" t="s">
        <v>175</v>
      </c>
      <c r="F913" t="s">
        <v>176</v>
      </c>
      <c r="G913" s="2" t="s">
        <v>135</v>
      </c>
      <c r="H913" s="2">
        <v>26</v>
      </c>
      <c r="I913" s="2" t="s">
        <v>103</v>
      </c>
      <c r="J913" s="2">
        <v>2.4</v>
      </c>
      <c r="K913" s="2" t="s">
        <v>87</v>
      </c>
      <c r="L913" s="2" t="s">
        <v>2120</v>
      </c>
      <c r="M913" s="2" t="s">
        <v>88</v>
      </c>
      <c r="N913" s="2" t="s">
        <v>42</v>
      </c>
      <c r="O913" s="2">
        <v>14</v>
      </c>
      <c r="P913" s="2" t="str">
        <f>IF(global_freelancer_raw5[[#This Row],[No of projects ]]&lt;=5,"Entry level","Well Experienced")</f>
        <v>Well Experienced</v>
      </c>
      <c r="Q913" s="2">
        <v>12</v>
      </c>
    </row>
    <row r="914" spans="1:17" x14ac:dyDescent="0.3">
      <c r="A914" t="s">
        <v>1924</v>
      </c>
      <c r="B914" t="s">
        <v>541</v>
      </c>
      <c r="C914" t="s">
        <v>118</v>
      </c>
      <c r="D914" s="2">
        <v>49</v>
      </c>
      <c r="E914" t="s">
        <v>175</v>
      </c>
      <c r="F914" t="s">
        <v>176</v>
      </c>
      <c r="G914" s="2" t="s">
        <v>66</v>
      </c>
      <c r="H914" s="2" t="s">
        <v>2120</v>
      </c>
      <c r="I914" s="2" t="s">
        <v>58</v>
      </c>
      <c r="J914" s="2" t="s">
        <v>2120</v>
      </c>
      <c r="K914" s="2" t="s">
        <v>87</v>
      </c>
      <c r="L914" s="2">
        <v>0.74</v>
      </c>
      <c r="M914" s="2" t="s">
        <v>88</v>
      </c>
      <c r="N914" s="2" t="s">
        <v>42</v>
      </c>
      <c r="O914" s="2">
        <v>4</v>
      </c>
      <c r="P914" s="2" t="str">
        <f>IF(global_freelancer_raw5[[#This Row],[No of projects ]]&lt;=5,"Entry level","Well Experienced")</f>
        <v>Entry level</v>
      </c>
      <c r="Q914" s="2">
        <v>1</v>
      </c>
    </row>
    <row r="915" spans="1:17" x14ac:dyDescent="0.3">
      <c r="A915" t="s">
        <v>1925</v>
      </c>
      <c r="B915" t="s">
        <v>1926</v>
      </c>
      <c r="C915" t="s">
        <v>97</v>
      </c>
      <c r="D915" s="2">
        <v>50</v>
      </c>
      <c r="E915" t="s">
        <v>175</v>
      </c>
      <c r="F915" t="s">
        <v>176</v>
      </c>
      <c r="G915" s="2" t="s">
        <v>31</v>
      </c>
      <c r="H915" s="2">
        <v>8</v>
      </c>
      <c r="I915" s="2" t="s">
        <v>119</v>
      </c>
      <c r="J915" s="2">
        <v>3.7</v>
      </c>
      <c r="K915" s="2" t="s">
        <v>94</v>
      </c>
      <c r="L915" s="2">
        <v>0.82</v>
      </c>
      <c r="M915" s="2" t="s">
        <v>82</v>
      </c>
      <c r="N915" s="2" t="s">
        <v>75</v>
      </c>
      <c r="O915" s="2">
        <v>15</v>
      </c>
      <c r="P915" s="2" t="str">
        <f>IF(global_freelancer_raw5[[#This Row],[No of projects ]]&lt;=5,"Entry level","Well Experienced")</f>
        <v>Well Experienced</v>
      </c>
      <c r="Q915" s="2">
        <v>6</v>
      </c>
    </row>
    <row r="916" spans="1:17" x14ac:dyDescent="0.3">
      <c r="A916" t="s">
        <v>1927</v>
      </c>
      <c r="B916" t="s">
        <v>1928</v>
      </c>
      <c r="C916" t="s">
        <v>97</v>
      </c>
      <c r="D916" s="2">
        <v>59</v>
      </c>
      <c r="E916" t="s">
        <v>133</v>
      </c>
      <c r="F916" t="s">
        <v>134</v>
      </c>
      <c r="G916" s="2" t="s">
        <v>135</v>
      </c>
      <c r="H916" s="2">
        <v>22</v>
      </c>
      <c r="I916" s="2" t="s">
        <v>32</v>
      </c>
      <c r="J916" s="2">
        <v>1.1000000000000001</v>
      </c>
      <c r="K916" s="2" t="s">
        <v>181</v>
      </c>
      <c r="L916" s="2">
        <v>0.85</v>
      </c>
      <c r="M916" s="2" t="s">
        <v>60</v>
      </c>
      <c r="N916" s="2" t="s">
        <v>75</v>
      </c>
      <c r="O916" s="2">
        <v>12</v>
      </c>
      <c r="P916" s="2" t="str">
        <f>IF(global_freelancer_raw5[[#This Row],[No of projects ]]&lt;=5,"Entry level","Well Experienced")</f>
        <v>Well Experienced</v>
      </c>
      <c r="Q916" s="2">
        <v>14</v>
      </c>
    </row>
    <row r="917" spans="1:17" x14ac:dyDescent="0.3">
      <c r="A917" t="s">
        <v>1929</v>
      </c>
      <c r="B917" t="s">
        <v>1930</v>
      </c>
      <c r="C917" t="s">
        <v>118</v>
      </c>
      <c r="D917" s="2">
        <v>33</v>
      </c>
      <c r="E917" t="s">
        <v>79</v>
      </c>
      <c r="F917" t="s">
        <v>80</v>
      </c>
      <c r="G917" s="2" t="s">
        <v>66</v>
      </c>
      <c r="H917" s="2">
        <v>8</v>
      </c>
      <c r="I917" s="2" t="s">
        <v>67</v>
      </c>
      <c r="J917" s="2">
        <v>2.2999999999999998</v>
      </c>
      <c r="K917" s="2" t="s">
        <v>74</v>
      </c>
      <c r="L917" s="2">
        <v>0.68</v>
      </c>
      <c r="M917" s="2" t="s">
        <v>88</v>
      </c>
      <c r="N917" s="2" t="s">
        <v>42</v>
      </c>
      <c r="O917" s="2">
        <v>8</v>
      </c>
      <c r="P917" s="2" t="str">
        <f>IF(global_freelancer_raw5[[#This Row],[No of projects ]]&lt;=5,"Entry level","Well Experienced")</f>
        <v>Well Experienced</v>
      </c>
      <c r="Q917" s="2">
        <v>7</v>
      </c>
    </row>
    <row r="918" spans="1:17" x14ac:dyDescent="0.3">
      <c r="A918" t="s">
        <v>1931</v>
      </c>
      <c r="B918" t="s">
        <v>1932</v>
      </c>
      <c r="C918" t="s">
        <v>97</v>
      </c>
      <c r="D918" s="2">
        <v>45</v>
      </c>
      <c r="E918" t="s">
        <v>149</v>
      </c>
      <c r="F918" t="s">
        <v>30</v>
      </c>
      <c r="G918" s="2" t="s">
        <v>46</v>
      </c>
      <c r="H918" s="2">
        <v>22</v>
      </c>
      <c r="I918" s="2" t="s">
        <v>86</v>
      </c>
      <c r="J918" s="2">
        <v>3.7</v>
      </c>
      <c r="K918" s="2" t="s">
        <v>94</v>
      </c>
      <c r="L918" s="2">
        <v>0.99</v>
      </c>
      <c r="M918" s="2" t="s">
        <v>24</v>
      </c>
      <c r="N918" s="2" t="s">
        <v>42</v>
      </c>
      <c r="O918" s="2">
        <v>20</v>
      </c>
      <c r="P918" s="2" t="str">
        <f>IF(global_freelancer_raw5[[#This Row],[No of projects ]]&lt;=5,"Entry level","Well Experienced")</f>
        <v>Well Experienced</v>
      </c>
      <c r="Q918" s="2">
        <v>16</v>
      </c>
    </row>
    <row r="919" spans="1:17" x14ac:dyDescent="0.3">
      <c r="A919" t="s">
        <v>1933</v>
      </c>
      <c r="B919" t="s">
        <v>1934</v>
      </c>
      <c r="C919" t="s">
        <v>97</v>
      </c>
      <c r="D919" s="2">
        <v>36</v>
      </c>
      <c r="E919" t="s">
        <v>19</v>
      </c>
      <c r="F919" t="s">
        <v>20</v>
      </c>
      <c r="G919" s="2" t="s">
        <v>39</v>
      </c>
      <c r="H919" s="2">
        <v>14</v>
      </c>
      <c r="I919" s="2" t="s">
        <v>52</v>
      </c>
      <c r="J919" s="2">
        <v>1.9</v>
      </c>
      <c r="K919" s="2" t="s">
        <v>23</v>
      </c>
      <c r="L919" s="2">
        <v>0.62</v>
      </c>
      <c r="M919" s="2" t="s">
        <v>24</v>
      </c>
      <c r="N919" s="2" t="s">
        <v>42</v>
      </c>
      <c r="O919" s="2">
        <v>14</v>
      </c>
      <c r="P919" s="2" t="str">
        <f>IF(global_freelancer_raw5[[#This Row],[No of projects ]]&lt;=5,"Entry level","Well Experienced")</f>
        <v>Well Experienced</v>
      </c>
      <c r="Q919" s="2">
        <v>5</v>
      </c>
    </row>
    <row r="920" spans="1:17" x14ac:dyDescent="0.3">
      <c r="A920" t="s">
        <v>1935</v>
      </c>
      <c r="B920" t="s">
        <v>1936</v>
      </c>
      <c r="C920" t="s">
        <v>118</v>
      </c>
      <c r="D920" s="2">
        <v>46</v>
      </c>
      <c r="E920" t="s">
        <v>175</v>
      </c>
      <c r="F920" t="s">
        <v>176</v>
      </c>
      <c r="G920" s="2" t="s">
        <v>93</v>
      </c>
      <c r="H920" s="2">
        <v>6</v>
      </c>
      <c r="I920" s="2" t="s">
        <v>52</v>
      </c>
      <c r="J920" s="2">
        <v>1.5</v>
      </c>
      <c r="K920" s="2" t="s">
        <v>41</v>
      </c>
      <c r="L920" s="2" t="s">
        <v>2120</v>
      </c>
      <c r="M920" s="2" t="s">
        <v>24</v>
      </c>
      <c r="N920" s="2" t="s">
        <v>75</v>
      </c>
      <c r="O920" s="2">
        <v>12</v>
      </c>
      <c r="P920" s="2" t="str">
        <f>IF(global_freelancer_raw5[[#This Row],[No of projects ]]&lt;=5,"Entry level","Well Experienced")</f>
        <v>Well Experienced</v>
      </c>
      <c r="Q920" s="2">
        <v>5</v>
      </c>
    </row>
    <row r="921" spans="1:17" x14ac:dyDescent="0.3">
      <c r="A921" t="s">
        <v>1937</v>
      </c>
      <c r="B921" t="s">
        <v>1938</v>
      </c>
      <c r="C921" t="s">
        <v>97</v>
      </c>
      <c r="D921" s="2">
        <v>53</v>
      </c>
      <c r="E921" t="s">
        <v>79</v>
      </c>
      <c r="F921" t="s">
        <v>80</v>
      </c>
      <c r="G921" s="2" t="s">
        <v>39</v>
      </c>
      <c r="H921" s="2">
        <v>14</v>
      </c>
      <c r="I921" s="2" t="s">
        <v>52</v>
      </c>
      <c r="J921" s="2">
        <v>0</v>
      </c>
      <c r="K921" s="2" t="s">
        <v>59</v>
      </c>
      <c r="L921" s="2">
        <v>0.83</v>
      </c>
      <c r="M921" s="2" t="s">
        <v>60</v>
      </c>
      <c r="N921" s="2" t="s">
        <v>42</v>
      </c>
      <c r="O921" s="2">
        <v>15</v>
      </c>
      <c r="P921" s="2" t="str">
        <f>IF(global_freelancer_raw5[[#This Row],[No of projects ]]&lt;=5,"Entry level","Well Experienced")</f>
        <v>Well Experienced</v>
      </c>
      <c r="Q921" s="2">
        <v>5</v>
      </c>
    </row>
    <row r="922" spans="1:17" x14ac:dyDescent="0.3">
      <c r="A922" t="s">
        <v>1939</v>
      </c>
      <c r="B922" t="s">
        <v>1940</v>
      </c>
      <c r="C922" t="s">
        <v>97</v>
      </c>
      <c r="D922" s="2">
        <v>24</v>
      </c>
      <c r="E922" t="s">
        <v>73</v>
      </c>
      <c r="F922" t="s">
        <v>30</v>
      </c>
      <c r="G922" s="2" t="s">
        <v>46</v>
      </c>
      <c r="H922" s="2">
        <v>2</v>
      </c>
      <c r="I922" s="2" t="s">
        <v>52</v>
      </c>
      <c r="J922" s="2">
        <v>3.6</v>
      </c>
      <c r="K922" s="2" t="s">
        <v>2120</v>
      </c>
      <c r="L922" s="2">
        <v>0.92</v>
      </c>
      <c r="M922" s="2" t="s">
        <v>88</v>
      </c>
      <c r="N922" s="2" t="s">
        <v>42</v>
      </c>
      <c r="O922" s="2">
        <v>3</v>
      </c>
      <c r="P922" s="2" t="str">
        <f>IF(global_freelancer_raw5[[#This Row],[No of projects ]]&lt;=5,"Entry level","Well Experienced")</f>
        <v>Entry level</v>
      </c>
      <c r="Q922" s="2">
        <v>1</v>
      </c>
    </row>
    <row r="923" spans="1:17" x14ac:dyDescent="0.3">
      <c r="A923" t="s">
        <v>1941</v>
      </c>
      <c r="B923" t="s">
        <v>1942</v>
      </c>
      <c r="C923" t="s">
        <v>97</v>
      </c>
      <c r="D923" s="2">
        <v>49</v>
      </c>
      <c r="E923" t="s">
        <v>212</v>
      </c>
      <c r="F923" t="s">
        <v>92</v>
      </c>
      <c r="G923" s="2" t="s">
        <v>110</v>
      </c>
      <c r="H923" s="2">
        <v>4</v>
      </c>
      <c r="I923" s="2" t="s">
        <v>192</v>
      </c>
      <c r="J923" s="2">
        <v>2.1</v>
      </c>
      <c r="K923" s="2" t="s">
        <v>2120</v>
      </c>
      <c r="L923" s="2">
        <v>0.85</v>
      </c>
      <c r="M923" s="2" t="s">
        <v>24</v>
      </c>
      <c r="N923" s="2" t="s">
        <v>34</v>
      </c>
      <c r="O923" s="2">
        <v>5</v>
      </c>
      <c r="P923" s="2" t="str">
        <f>IF(global_freelancer_raw5[[#This Row],[No of projects ]]&lt;=5,"Entry level","Well Experienced")</f>
        <v>Entry level</v>
      </c>
      <c r="Q923" s="2">
        <v>2</v>
      </c>
    </row>
    <row r="924" spans="1:17" x14ac:dyDescent="0.3">
      <c r="A924" t="s">
        <v>1943</v>
      </c>
      <c r="B924" t="s">
        <v>1944</v>
      </c>
      <c r="C924" t="s">
        <v>97</v>
      </c>
      <c r="D924" s="2">
        <v>49</v>
      </c>
      <c r="E924" t="s">
        <v>133</v>
      </c>
      <c r="F924" t="s">
        <v>134</v>
      </c>
      <c r="G924" s="2" t="s">
        <v>57</v>
      </c>
      <c r="H924" s="2">
        <v>4</v>
      </c>
      <c r="I924" s="2" t="s">
        <v>103</v>
      </c>
      <c r="J924" s="2">
        <v>2.9</v>
      </c>
      <c r="K924" s="2" t="s">
        <v>41</v>
      </c>
      <c r="L924" s="2" t="s">
        <v>2120</v>
      </c>
      <c r="M924" s="2" t="s">
        <v>60</v>
      </c>
      <c r="N924" s="2" t="s">
        <v>34</v>
      </c>
      <c r="O924" s="2">
        <v>1</v>
      </c>
      <c r="P924" s="2" t="str">
        <f>IF(global_freelancer_raw5[[#This Row],[No of projects ]]&lt;=5,"Entry level","Well Experienced")</f>
        <v>Entry level</v>
      </c>
      <c r="Q924" s="2">
        <v>1</v>
      </c>
    </row>
    <row r="925" spans="1:17" x14ac:dyDescent="0.3">
      <c r="A925" t="s">
        <v>1945</v>
      </c>
      <c r="B925" t="s">
        <v>1946</v>
      </c>
      <c r="C925" t="s">
        <v>97</v>
      </c>
      <c r="D925" s="2">
        <v>49</v>
      </c>
      <c r="E925" t="s">
        <v>133</v>
      </c>
      <c r="F925" t="s">
        <v>134</v>
      </c>
      <c r="G925" s="2" t="s">
        <v>31</v>
      </c>
      <c r="H925" s="2">
        <v>24</v>
      </c>
      <c r="I925" s="2" t="s">
        <v>22</v>
      </c>
      <c r="J925" s="2">
        <v>3.6</v>
      </c>
      <c r="K925" s="2" t="s">
        <v>74</v>
      </c>
      <c r="L925" s="2" t="s">
        <v>2120</v>
      </c>
      <c r="M925" s="2" t="s">
        <v>24</v>
      </c>
      <c r="N925" s="2" t="s">
        <v>42</v>
      </c>
      <c r="O925" s="2">
        <v>11</v>
      </c>
      <c r="P925" s="2" t="str">
        <f>IF(global_freelancer_raw5[[#This Row],[No of projects ]]&lt;=5,"Entry level","Well Experienced")</f>
        <v>Well Experienced</v>
      </c>
      <c r="Q925" s="2">
        <v>1</v>
      </c>
    </row>
    <row r="926" spans="1:17" x14ac:dyDescent="0.3">
      <c r="A926" t="s">
        <v>1947</v>
      </c>
      <c r="B926" t="s">
        <v>1948</v>
      </c>
      <c r="C926" t="s">
        <v>97</v>
      </c>
      <c r="D926" s="2">
        <v>58</v>
      </c>
      <c r="E926" t="s">
        <v>128</v>
      </c>
      <c r="F926" t="s">
        <v>129</v>
      </c>
      <c r="G926" s="2" t="s">
        <v>21</v>
      </c>
      <c r="H926" s="2">
        <v>29</v>
      </c>
      <c r="I926" s="2" t="s">
        <v>52</v>
      </c>
      <c r="J926" s="2">
        <v>3.3</v>
      </c>
      <c r="K926" s="2" t="s">
        <v>87</v>
      </c>
      <c r="L926" s="2">
        <v>0.89</v>
      </c>
      <c r="M926" s="2" t="s">
        <v>82</v>
      </c>
      <c r="N926" s="2" t="s">
        <v>25</v>
      </c>
      <c r="O926" s="2">
        <v>12</v>
      </c>
      <c r="P926" s="2" t="str">
        <f>IF(global_freelancer_raw5[[#This Row],[No of projects ]]&lt;=5,"Entry level","Well Experienced")</f>
        <v>Well Experienced</v>
      </c>
      <c r="Q926" s="2">
        <v>10</v>
      </c>
    </row>
    <row r="927" spans="1:17" x14ac:dyDescent="0.3">
      <c r="A927" t="s">
        <v>1949</v>
      </c>
      <c r="B927" t="s">
        <v>1950</v>
      </c>
      <c r="C927" t="s">
        <v>118</v>
      </c>
      <c r="D927" s="2">
        <v>50</v>
      </c>
      <c r="E927" t="s">
        <v>175</v>
      </c>
      <c r="F927" t="s">
        <v>176</v>
      </c>
      <c r="G927" s="2" t="s">
        <v>93</v>
      </c>
      <c r="H927" s="2">
        <v>13</v>
      </c>
      <c r="I927" s="2" t="s">
        <v>2119</v>
      </c>
      <c r="J927" s="2">
        <v>2.5</v>
      </c>
      <c r="K927" s="2" t="s">
        <v>94</v>
      </c>
      <c r="L927" s="2">
        <v>0.81</v>
      </c>
      <c r="M927" s="2" t="s">
        <v>88</v>
      </c>
      <c r="N927" s="2" t="s">
        <v>42</v>
      </c>
      <c r="O927" s="2">
        <v>6</v>
      </c>
      <c r="P927" s="2" t="str">
        <f>IF(global_freelancer_raw5[[#This Row],[No of projects ]]&lt;=5,"Entry level","Well Experienced")</f>
        <v>Well Experienced</v>
      </c>
      <c r="Q927" s="2">
        <v>3</v>
      </c>
    </row>
    <row r="928" spans="1:17" x14ac:dyDescent="0.3">
      <c r="A928" t="s">
        <v>1951</v>
      </c>
      <c r="B928" t="s">
        <v>1952</v>
      </c>
      <c r="C928" t="s">
        <v>118</v>
      </c>
      <c r="D928" s="2">
        <v>27</v>
      </c>
      <c r="E928" t="s">
        <v>175</v>
      </c>
      <c r="F928" t="s">
        <v>176</v>
      </c>
      <c r="G928" s="2" t="s">
        <v>110</v>
      </c>
      <c r="H928" s="2">
        <v>1</v>
      </c>
      <c r="I928" s="2" t="s">
        <v>32</v>
      </c>
      <c r="J928" s="2">
        <v>3.7</v>
      </c>
      <c r="K928" s="2" t="s">
        <v>94</v>
      </c>
      <c r="L928" s="2">
        <v>61</v>
      </c>
      <c r="M928" s="2" t="s">
        <v>88</v>
      </c>
      <c r="N928" s="2" t="s">
        <v>34</v>
      </c>
      <c r="O928" s="2">
        <v>5</v>
      </c>
      <c r="P928" s="2" t="str">
        <f>IF(global_freelancer_raw5[[#This Row],[No of projects ]]&lt;=5,"Entry level","Well Experienced")</f>
        <v>Entry level</v>
      </c>
      <c r="Q928" s="2">
        <v>1</v>
      </c>
    </row>
    <row r="929" spans="1:17" x14ac:dyDescent="0.3">
      <c r="A929" t="s">
        <v>1953</v>
      </c>
      <c r="B929" t="s">
        <v>1954</v>
      </c>
      <c r="C929" t="s">
        <v>97</v>
      </c>
      <c r="D929" s="2">
        <v>20</v>
      </c>
      <c r="E929" t="s">
        <v>133</v>
      </c>
      <c r="F929" t="s">
        <v>134</v>
      </c>
      <c r="G929" s="2" t="s">
        <v>135</v>
      </c>
      <c r="H929" s="2" t="s">
        <v>2120</v>
      </c>
      <c r="I929" s="2" t="s">
        <v>58</v>
      </c>
      <c r="J929" s="2">
        <v>4.5999999999999996</v>
      </c>
      <c r="K929" s="2" t="s">
        <v>33</v>
      </c>
      <c r="L929" s="2" t="s">
        <v>2120</v>
      </c>
      <c r="M929" s="2" t="s">
        <v>60</v>
      </c>
      <c r="N929" s="2" t="s">
        <v>25</v>
      </c>
      <c r="O929" s="2">
        <v>1</v>
      </c>
      <c r="P929" s="2" t="str">
        <f>IF(global_freelancer_raw5[[#This Row],[No of projects ]]&lt;=5,"Entry level","Well Experienced")</f>
        <v>Entry level</v>
      </c>
      <c r="Q929" s="2">
        <v>1</v>
      </c>
    </row>
    <row r="930" spans="1:17" x14ac:dyDescent="0.3">
      <c r="A930" t="s">
        <v>1955</v>
      </c>
      <c r="B930" t="s">
        <v>1956</v>
      </c>
      <c r="C930" t="s">
        <v>118</v>
      </c>
      <c r="D930" s="2">
        <v>52</v>
      </c>
      <c r="E930" t="s">
        <v>145</v>
      </c>
      <c r="F930" t="s">
        <v>146</v>
      </c>
      <c r="G930" s="2" t="s">
        <v>21</v>
      </c>
      <c r="H930" s="2">
        <v>15</v>
      </c>
      <c r="I930" s="2" t="s">
        <v>47</v>
      </c>
      <c r="J930" s="2">
        <v>0</v>
      </c>
      <c r="K930" s="2" t="s">
        <v>33</v>
      </c>
      <c r="L930" s="2">
        <v>0.92</v>
      </c>
      <c r="M930" s="2" t="s">
        <v>60</v>
      </c>
      <c r="N930" s="2" t="s">
        <v>25</v>
      </c>
      <c r="O930" s="2">
        <v>9</v>
      </c>
      <c r="P930" s="2" t="str">
        <f>IF(global_freelancer_raw5[[#This Row],[No of projects ]]&lt;=5,"Entry level","Well Experienced")</f>
        <v>Well Experienced</v>
      </c>
      <c r="Q930" s="2">
        <v>9</v>
      </c>
    </row>
    <row r="931" spans="1:17" x14ac:dyDescent="0.3">
      <c r="A931" t="s">
        <v>1957</v>
      </c>
      <c r="B931" t="s">
        <v>1958</v>
      </c>
      <c r="C931" t="s">
        <v>97</v>
      </c>
      <c r="D931" s="2">
        <v>22</v>
      </c>
      <c r="E931" t="s">
        <v>156</v>
      </c>
      <c r="F931" t="s">
        <v>157</v>
      </c>
      <c r="G931" s="2" t="s">
        <v>135</v>
      </c>
      <c r="H931" s="2">
        <v>2</v>
      </c>
      <c r="I931" s="2" t="s">
        <v>52</v>
      </c>
      <c r="J931" s="2">
        <v>2</v>
      </c>
      <c r="K931" s="2" t="s">
        <v>181</v>
      </c>
      <c r="L931" s="2">
        <v>0.96</v>
      </c>
      <c r="M931" s="2" t="s">
        <v>88</v>
      </c>
      <c r="N931" s="2" t="s">
        <v>42</v>
      </c>
      <c r="O931" s="2">
        <v>2</v>
      </c>
      <c r="P931" s="2" t="str">
        <f>IF(global_freelancer_raw5[[#This Row],[No of projects ]]&lt;=5,"Entry level","Well Experienced")</f>
        <v>Entry level</v>
      </c>
      <c r="Q931" s="2">
        <v>3</v>
      </c>
    </row>
    <row r="932" spans="1:17" x14ac:dyDescent="0.3">
      <c r="A932" t="s">
        <v>1959</v>
      </c>
      <c r="B932" t="s">
        <v>1960</v>
      </c>
      <c r="C932" t="s">
        <v>97</v>
      </c>
      <c r="D932" s="2">
        <v>38</v>
      </c>
      <c r="E932" t="s">
        <v>79</v>
      </c>
      <c r="F932" t="s">
        <v>80</v>
      </c>
      <c r="G932" s="2" t="s">
        <v>46</v>
      </c>
      <c r="H932" s="2">
        <v>14</v>
      </c>
      <c r="I932" s="2" t="s">
        <v>22</v>
      </c>
      <c r="J932" s="2">
        <v>1.7</v>
      </c>
      <c r="K932" s="2" t="s">
        <v>59</v>
      </c>
      <c r="L932" s="2">
        <v>0.66</v>
      </c>
      <c r="M932" s="2" t="s">
        <v>24</v>
      </c>
      <c r="N932" s="2" t="s">
        <v>34</v>
      </c>
      <c r="O932" s="2">
        <v>7</v>
      </c>
      <c r="P932" s="2" t="str">
        <f>IF(global_freelancer_raw5[[#This Row],[No of projects ]]&lt;=5,"Entry level","Well Experienced")</f>
        <v>Well Experienced</v>
      </c>
      <c r="Q932" s="2">
        <v>1</v>
      </c>
    </row>
    <row r="933" spans="1:17" x14ac:dyDescent="0.3">
      <c r="A933" t="s">
        <v>1961</v>
      </c>
      <c r="B933" t="s">
        <v>1962</v>
      </c>
      <c r="C933" t="s">
        <v>118</v>
      </c>
      <c r="D933" s="2">
        <v>21</v>
      </c>
      <c r="E933" t="s">
        <v>149</v>
      </c>
      <c r="F933" t="s">
        <v>30</v>
      </c>
      <c r="G933" s="2" t="s">
        <v>39</v>
      </c>
      <c r="H933" s="2">
        <v>0</v>
      </c>
      <c r="I933" s="2" t="s">
        <v>32</v>
      </c>
      <c r="J933" s="2">
        <v>3</v>
      </c>
      <c r="K933" s="2" t="s">
        <v>41</v>
      </c>
      <c r="L933" s="2">
        <v>0.64</v>
      </c>
      <c r="M933" s="2" t="s">
        <v>24</v>
      </c>
      <c r="N933" s="2" t="s">
        <v>34</v>
      </c>
      <c r="O933" s="2">
        <v>1</v>
      </c>
      <c r="P933" s="2" t="str">
        <f>IF(global_freelancer_raw5[[#This Row],[No of projects ]]&lt;=5,"Entry level","Well Experienced")</f>
        <v>Entry level</v>
      </c>
      <c r="Q933" s="2">
        <v>3</v>
      </c>
    </row>
    <row r="934" spans="1:17" x14ac:dyDescent="0.3">
      <c r="A934" t="s">
        <v>1963</v>
      </c>
      <c r="B934" t="s">
        <v>1964</v>
      </c>
      <c r="C934" t="s">
        <v>118</v>
      </c>
      <c r="D934" s="2">
        <v>41</v>
      </c>
      <c r="E934" t="s">
        <v>29</v>
      </c>
      <c r="F934" t="s">
        <v>30</v>
      </c>
      <c r="G934" s="2" t="s">
        <v>57</v>
      </c>
      <c r="H934" s="2">
        <v>15</v>
      </c>
      <c r="I934" s="2" t="s">
        <v>86</v>
      </c>
      <c r="J934" s="2">
        <v>3.4</v>
      </c>
      <c r="K934" s="2" t="s">
        <v>59</v>
      </c>
      <c r="L934" s="2">
        <v>1</v>
      </c>
      <c r="M934" s="2" t="s">
        <v>82</v>
      </c>
      <c r="N934" s="2" t="s">
        <v>25</v>
      </c>
      <c r="O934" s="2">
        <v>8</v>
      </c>
      <c r="P934" s="2" t="str">
        <f>IF(global_freelancer_raw5[[#This Row],[No of projects ]]&lt;=5,"Entry level","Well Experienced")</f>
        <v>Well Experienced</v>
      </c>
      <c r="Q934" s="2">
        <v>6</v>
      </c>
    </row>
    <row r="935" spans="1:17" x14ac:dyDescent="0.3">
      <c r="A935" t="s">
        <v>1965</v>
      </c>
      <c r="B935" t="s">
        <v>1966</v>
      </c>
      <c r="C935" t="s">
        <v>97</v>
      </c>
      <c r="D935" s="2">
        <v>33</v>
      </c>
      <c r="E935" t="s">
        <v>64</v>
      </c>
      <c r="F935" t="s">
        <v>65</v>
      </c>
      <c r="G935" s="2" t="s">
        <v>21</v>
      </c>
      <c r="H935" s="2">
        <v>6</v>
      </c>
      <c r="I935" s="2" t="s">
        <v>86</v>
      </c>
      <c r="J935" s="2">
        <v>3.2</v>
      </c>
      <c r="K935" s="2" t="s">
        <v>33</v>
      </c>
      <c r="L935" s="2">
        <v>0.95</v>
      </c>
      <c r="M935" s="2" t="s">
        <v>24</v>
      </c>
      <c r="N935" s="2" t="s">
        <v>42</v>
      </c>
      <c r="O935" s="2">
        <v>15</v>
      </c>
      <c r="P935" s="2" t="str">
        <f>IF(global_freelancer_raw5[[#This Row],[No of projects ]]&lt;=5,"Entry level","Well Experienced")</f>
        <v>Well Experienced</v>
      </c>
      <c r="Q935" s="2">
        <v>6</v>
      </c>
    </row>
    <row r="936" spans="1:17" x14ac:dyDescent="0.3">
      <c r="A936" t="s">
        <v>1967</v>
      </c>
      <c r="B936" t="s">
        <v>1968</v>
      </c>
      <c r="C936" t="s">
        <v>97</v>
      </c>
      <c r="D936" s="2">
        <v>38</v>
      </c>
      <c r="E936" t="s">
        <v>201</v>
      </c>
      <c r="F936" t="s">
        <v>92</v>
      </c>
      <c r="G936" s="2" t="s">
        <v>31</v>
      </c>
      <c r="H936" s="2">
        <v>11</v>
      </c>
      <c r="I936" s="2" t="s">
        <v>2119</v>
      </c>
      <c r="J936" s="2">
        <v>2.8</v>
      </c>
      <c r="K936" s="2" t="s">
        <v>2120</v>
      </c>
      <c r="L936" s="2">
        <v>91</v>
      </c>
      <c r="M936" s="2" t="s">
        <v>60</v>
      </c>
      <c r="N936" s="2" t="s">
        <v>75</v>
      </c>
      <c r="O936" s="2">
        <v>9</v>
      </c>
      <c r="P936" s="2" t="str">
        <f>IF(global_freelancer_raw5[[#This Row],[No of projects ]]&lt;=5,"Entry level","Well Experienced")</f>
        <v>Well Experienced</v>
      </c>
      <c r="Q936" s="2">
        <v>5</v>
      </c>
    </row>
    <row r="937" spans="1:17" x14ac:dyDescent="0.3">
      <c r="A937" t="s">
        <v>1969</v>
      </c>
      <c r="B937" t="s">
        <v>1970</v>
      </c>
      <c r="C937" t="s">
        <v>97</v>
      </c>
      <c r="D937" s="2">
        <v>26</v>
      </c>
      <c r="E937" t="s">
        <v>145</v>
      </c>
      <c r="F937" t="s">
        <v>146</v>
      </c>
      <c r="G937" s="2" t="s">
        <v>110</v>
      </c>
      <c r="H937" s="2">
        <v>8</v>
      </c>
      <c r="I937" s="2" t="s">
        <v>336</v>
      </c>
      <c r="J937" s="2">
        <v>4.0999999999999996</v>
      </c>
      <c r="K937" s="2" t="s">
        <v>87</v>
      </c>
      <c r="L937" s="2">
        <v>0.82</v>
      </c>
      <c r="M937" s="2" t="s">
        <v>60</v>
      </c>
      <c r="N937" s="2" t="s">
        <v>75</v>
      </c>
      <c r="O937" s="2">
        <v>12</v>
      </c>
      <c r="P937" s="2" t="str">
        <f>IF(global_freelancer_raw5[[#This Row],[No of projects ]]&lt;=5,"Entry level","Well Experienced")</f>
        <v>Well Experienced</v>
      </c>
      <c r="Q937" s="2">
        <v>1</v>
      </c>
    </row>
    <row r="938" spans="1:17" x14ac:dyDescent="0.3">
      <c r="A938" t="s">
        <v>1971</v>
      </c>
      <c r="B938" t="s">
        <v>1972</v>
      </c>
      <c r="C938" t="s">
        <v>97</v>
      </c>
      <c r="D938" s="2">
        <v>43</v>
      </c>
      <c r="E938" t="s">
        <v>55</v>
      </c>
      <c r="F938" t="s">
        <v>56</v>
      </c>
      <c r="G938" s="2" t="s">
        <v>57</v>
      </c>
      <c r="H938" s="2">
        <v>3</v>
      </c>
      <c r="I938" s="2" t="s">
        <v>162</v>
      </c>
      <c r="J938" s="2">
        <v>0</v>
      </c>
      <c r="K938" s="2" t="s">
        <v>94</v>
      </c>
      <c r="L938" s="2">
        <v>0.95</v>
      </c>
      <c r="M938" s="2" t="s">
        <v>24</v>
      </c>
      <c r="N938" s="2" t="s">
        <v>34</v>
      </c>
      <c r="O938" s="2">
        <v>3</v>
      </c>
      <c r="P938" s="2" t="str">
        <f>IF(global_freelancer_raw5[[#This Row],[No of projects ]]&lt;=5,"Entry level","Well Experienced")</f>
        <v>Entry level</v>
      </c>
      <c r="Q938" s="2">
        <v>1</v>
      </c>
    </row>
    <row r="939" spans="1:17" x14ac:dyDescent="0.3">
      <c r="A939" t="s">
        <v>1973</v>
      </c>
      <c r="B939" t="s">
        <v>1974</v>
      </c>
      <c r="C939" t="s">
        <v>97</v>
      </c>
      <c r="D939" s="2">
        <v>21</v>
      </c>
      <c r="E939" t="s">
        <v>19</v>
      </c>
      <c r="F939" t="s">
        <v>20</v>
      </c>
      <c r="G939" s="2" t="s">
        <v>98</v>
      </c>
      <c r="H939" s="2">
        <v>0</v>
      </c>
      <c r="I939" s="2" t="s">
        <v>2119</v>
      </c>
      <c r="J939" s="2">
        <v>0</v>
      </c>
      <c r="K939" s="2" t="s">
        <v>33</v>
      </c>
      <c r="L939" s="2">
        <v>0.95</v>
      </c>
      <c r="M939" s="2" t="s">
        <v>60</v>
      </c>
      <c r="N939" s="2" t="s">
        <v>75</v>
      </c>
      <c r="O939" s="2">
        <v>5</v>
      </c>
      <c r="P939" s="2" t="str">
        <f>IF(global_freelancer_raw5[[#This Row],[No of projects ]]&lt;=5,"Entry level","Well Experienced")</f>
        <v>Entry level</v>
      </c>
      <c r="Q939" s="2">
        <v>3</v>
      </c>
    </row>
    <row r="940" spans="1:17" x14ac:dyDescent="0.3">
      <c r="A940" t="s">
        <v>1975</v>
      </c>
      <c r="B940" t="s">
        <v>1976</v>
      </c>
      <c r="C940" t="s">
        <v>118</v>
      </c>
      <c r="D940" s="2">
        <v>47</v>
      </c>
      <c r="E940" t="s">
        <v>133</v>
      </c>
      <c r="F940" t="s">
        <v>134</v>
      </c>
      <c r="G940" s="2" t="s">
        <v>31</v>
      </c>
      <c r="H940" s="2">
        <v>7</v>
      </c>
      <c r="I940" s="2" t="s">
        <v>130</v>
      </c>
      <c r="J940" s="2" t="s">
        <v>2120</v>
      </c>
      <c r="K940" s="2" t="s">
        <v>2120</v>
      </c>
      <c r="L940" s="2">
        <v>69</v>
      </c>
      <c r="M940" s="2" t="s">
        <v>88</v>
      </c>
      <c r="N940" s="2" t="s">
        <v>34</v>
      </c>
      <c r="O940" s="2">
        <v>7</v>
      </c>
      <c r="P940" s="2" t="str">
        <f>IF(global_freelancer_raw5[[#This Row],[No of projects ]]&lt;=5,"Entry level","Well Experienced")</f>
        <v>Well Experienced</v>
      </c>
      <c r="Q940" s="2">
        <v>3</v>
      </c>
    </row>
    <row r="941" spans="1:17" x14ac:dyDescent="0.3">
      <c r="A941" t="s">
        <v>1977</v>
      </c>
      <c r="B941" t="s">
        <v>1978</v>
      </c>
      <c r="C941" t="s">
        <v>118</v>
      </c>
      <c r="D941" s="2">
        <v>35</v>
      </c>
      <c r="E941" t="s">
        <v>212</v>
      </c>
      <c r="F941" t="s">
        <v>92</v>
      </c>
      <c r="G941" s="2" t="s">
        <v>39</v>
      </c>
      <c r="H941" s="2">
        <v>6</v>
      </c>
      <c r="I941" s="2" t="s">
        <v>86</v>
      </c>
      <c r="J941" s="2" t="s">
        <v>2120</v>
      </c>
      <c r="K941" s="2" t="s">
        <v>87</v>
      </c>
      <c r="L941" s="2">
        <v>0.91</v>
      </c>
      <c r="M941" s="2" t="s">
        <v>88</v>
      </c>
      <c r="N941" s="2" t="s">
        <v>34</v>
      </c>
      <c r="O941" s="2">
        <v>10</v>
      </c>
      <c r="P941" s="2" t="str">
        <f>IF(global_freelancer_raw5[[#This Row],[No of projects ]]&lt;=5,"Entry level","Well Experienced")</f>
        <v>Well Experienced</v>
      </c>
      <c r="Q941" s="2">
        <v>10</v>
      </c>
    </row>
    <row r="942" spans="1:17" x14ac:dyDescent="0.3">
      <c r="A942" t="s">
        <v>1979</v>
      </c>
      <c r="B942" t="s">
        <v>1980</v>
      </c>
      <c r="C942" t="s">
        <v>97</v>
      </c>
      <c r="D942" s="2">
        <v>37</v>
      </c>
      <c r="E942" t="s">
        <v>64</v>
      </c>
      <c r="F942" t="s">
        <v>65</v>
      </c>
      <c r="G942" s="2" t="s">
        <v>31</v>
      </c>
      <c r="H942" s="2">
        <v>9</v>
      </c>
      <c r="I942" s="2" t="s">
        <v>58</v>
      </c>
      <c r="J942" s="2">
        <v>2.7</v>
      </c>
      <c r="K942" s="2" t="s">
        <v>33</v>
      </c>
      <c r="L942" s="2" t="s">
        <v>2120</v>
      </c>
      <c r="M942" s="2" t="s">
        <v>24</v>
      </c>
      <c r="N942" s="2" t="s">
        <v>34</v>
      </c>
      <c r="O942" s="2">
        <v>8</v>
      </c>
      <c r="P942" s="2" t="str">
        <f>IF(global_freelancer_raw5[[#This Row],[No of projects ]]&lt;=5,"Entry level","Well Experienced")</f>
        <v>Well Experienced</v>
      </c>
      <c r="Q942" s="2">
        <v>10</v>
      </c>
    </row>
    <row r="943" spans="1:17" x14ac:dyDescent="0.3">
      <c r="A943" t="s">
        <v>1981</v>
      </c>
      <c r="B943" t="s">
        <v>1982</v>
      </c>
      <c r="C943" t="s">
        <v>97</v>
      </c>
      <c r="D943" s="2">
        <v>38</v>
      </c>
      <c r="E943" t="s">
        <v>128</v>
      </c>
      <c r="F943" t="s">
        <v>129</v>
      </c>
      <c r="G943" s="2" t="s">
        <v>57</v>
      </c>
      <c r="H943" s="2">
        <v>15</v>
      </c>
      <c r="I943" s="2" t="s">
        <v>86</v>
      </c>
      <c r="J943" s="2">
        <v>4</v>
      </c>
      <c r="K943" s="2" t="s">
        <v>2120</v>
      </c>
      <c r="L943" s="2">
        <v>0.62</v>
      </c>
      <c r="M943" s="2" t="s">
        <v>88</v>
      </c>
      <c r="N943" s="2" t="s">
        <v>75</v>
      </c>
      <c r="O943" s="2">
        <v>7</v>
      </c>
      <c r="P943" s="2" t="str">
        <f>IF(global_freelancer_raw5[[#This Row],[No of projects ]]&lt;=5,"Entry level","Well Experienced")</f>
        <v>Well Experienced</v>
      </c>
      <c r="Q943" s="2">
        <v>7</v>
      </c>
    </row>
    <row r="944" spans="1:17" x14ac:dyDescent="0.3">
      <c r="A944" t="s">
        <v>1983</v>
      </c>
      <c r="B944" t="s">
        <v>1984</v>
      </c>
      <c r="C944" t="s">
        <v>118</v>
      </c>
      <c r="D944" s="2">
        <v>40</v>
      </c>
      <c r="E944" t="s">
        <v>149</v>
      </c>
      <c r="F944" t="s">
        <v>30</v>
      </c>
      <c r="G944" s="2" t="s">
        <v>66</v>
      </c>
      <c r="H944" s="2">
        <v>20</v>
      </c>
      <c r="I944" s="2" t="s">
        <v>162</v>
      </c>
      <c r="J944" s="2">
        <v>2.5</v>
      </c>
      <c r="K944" s="2" t="s">
        <v>23</v>
      </c>
      <c r="L944" s="2">
        <v>0.81</v>
      </c>
      <c r="M944" s="2" t="s">
        <v>88</v>
      </c>
      <c r="N944" s="2" t="s">
        <v>34</v>
      </c>
      <c r="O944" s="2">
        <v>10</v>
      </c>
      <c r="P944" s="2" t="str">
        <f>IF(global_freelancer_raw5[[#This Row],[No of projects ]]&lt;=5,"Entry level","Well Experienced")</f>
        <v>Well Experienced</v>
      </c>
      <c r="Q944" s="2">
        <v>9</v>
      </c>
    </row>
    <row r="945" spans="1:17" x14ac:dyDescent="0.3">
      <c r="A945" t="s">
        <v>1985</v>
      </c>
      <c r="B945" t="s">
        <v>1986</v>
      </c>
      <c r="C945" t="s">
        <v>97</v>
      </c>
      <c r="D945" s="2">
        <v>46</v>
      </c>
      <c r="E945" t="s">
        <v>128</v>
      </c>
      <c r="F945" t="s">
        <v>129</v>
      </c>
      <c r="G945" s="2" t="s">
        <v>66</v>
      </c>
      <c r="H945" s="2">
        <v>16</v>
      </c>
      <c r="I945" s="2" t="s">
        <v>103</v>
      </c>
      <c r="J945" s="2">
        <v>0</v>
      </c>
      <c r="K945" s="2" t="s">
        <v>181</v>
      </c>
      <c r="L945" s="2">
        <v>0.94</v>
      </c>
      <c r="M945" s="2" t="s">
        <v>82</v>
      </c>
      <c r="N945" s="2" t="s">
        <v>25</v>
      </c>
      <c r="O945" s="2">
        <v>13</v>
      </c>
      <c r="P945" s="2" t="str">
        <f>IF(global_freelancer_raw5[[#This Row],[No of projects ]]&lt;=5,"Entry level","Well Experienced")</f>
        <v>Well Experienced</v>
      </c>
      <c r="Q945" s="2">
        <v>6</v>
      </c>
    </row>
    <row r="946" spans="1:17" x14ac:dyDescent="0.3">
      <c r="A946" t="s">
        <v>1987</v>
      </c>
      <c r="B946" t="s">
        <v>1988</v>
      </c>
      <c r="C946" t="s">
        <v>118</v>
      </c>
      <c r="D946" s="2">
        <v>56</v>
      </c>
      <c r="E946" t="s">
        <v>160</v>
      </c>
      <c r="F946" t="s">
        <v>161</v>
      </c>
      <c r="G946" s="2" t="s">
        <v>110</v>
      </c>
      <c r="H946" s="2">
        <v>22</v>
      </c>
      <c r="I946" s="2" t="s">
        <v>130</v>
      </c>
      <c r="J946" s="2" t="s">
        <v>2120</v>
      </c>
      <c r="K946" s="2" t="s">
        <v>181</v>
      </c>
      <c r="L946" s="2">
        <v>0.95</v>
      </c>
      <c r="M946" s="2" t="s">
        <v>82</v>
      </c>
      <c r="N946" s="2" t="s">
        <v>42</v>
      </c>
      <c r="O946" s="2">
        <v>13</v>
      </c>
      <c r="P946" s="2" t="str">
        <f>IF(global_freelancer_raw5[[#This Row],[No of projects ]]&lt;=5,"Entry level","Well Experienced")</f>
        <v>Well Experienced</v>
      </c>
      <c r="Q946" s="2">
        <v>2</v>
      </c>
    </row>
    <row r="947" spans="1:17" x14ac:dyDescent="0.3">
      <c r="A947" t="s">
        <v>1989</v>
      </c>
      <c r="B947" t="s">
        <v>1990</v>
      </c>
      <c r="C947" t="s">
        <v>118</v>
      </c>
      <c r="D947" s="2">
        <v>24</v>
      </c>
      <c r="E947" t="s">
        <v>79</v>
      </c>
      <c r="F947" t="s">
        <v>80</v>
      </c>
      <c r="G947" s="2" t="s">
        <v>39</v>
      </c>
      <c r="H947" s="2">
        <v>2</v>
      </c>
      <c r="I947" s="2" t="s">
        <v>2119</v>
      </c>
      <c r="J947" s="2">
        <v>1.6</v>
      </c>
      <c r="K947" s="2" t="s">
        <v>181</v>
      </c>
      <c r="L947" s="2">
        <v>1</v>
      </c>
      <c r="M947" s="2" t="s">
        <v>88</v>
      </c>
      <c r="N947" s="2" t="s">
        <v>42</v>
      </c>
      <c r="O947" s="2">
        <v>2</v>
      </c>
      <c r="P947" s="2" t="str">
        <f>IF(global_freelancer_raw5[[#This Row],[No of projects ]]&lt;=5,"Entry level","Well Experienced")</f>
        <v>Entry level</v>
      </c>
      <c r="Q947" s="2">
        <v>1</v>
      </c>
    </row>
    <row r="948" spans="1:17" x14ac:dyDescent="0.3">
      <c r="A948" t="s">
        <v>1991</v>
      </c>
      <c r="B948" t="s">
        <v>1992</v>
      </c>
      <c r="C948" t="s">
        <v>118</v>
      </c>
      <c r="D948" s="2" t="s">
        <v>2119</v>
      </c>
      <c r="E948" t="s">
        <v>201</v>
      </c>
      <c r="F948" t="s">
        <v>92</v>
      </c>
      <c r="G948" s="2" t="s">
        <v>57</v>
      </c>
      <c r="H948" s="2">
        <v>1</v>
      </c>
      <c r="I948" s="2" t="s">
        <v>103</v>
      </c>
      <c r="J948" s="2">
        <v>0</v>
      </c>
      <c r="K948" s="2" t="s">
        <v>74</v>
      </c>
      <c r="L948" s="2">
        <v>0.94</v>
      </c>
      <c r="M948" s="2" t="s">
        <v>24</v>
      </c>
      <c r="N948" s="2" t="s">
        <v>34</v>
      </c>
      <c r="O948" s="2">
        <v>5</v>
      </c>
      <c r="P948" s="2" t="str">
        <f>IF(global_freelancer_raw5[[#This Row],[No of projects ]]&lt;=5,"Entry level","Well Experienced")</f>
        <v>Entry level</v>
      </c>
      <c r="Q948" s="2">
        <v>3</v>
      </c>
    </row>
    <row r="949" spans="1:17" x14ac:dyDescent="0.3">
      <c r="A949" t="s">
        <v>1993</v>
      </c>
      <c r="B949" t="s">
        <v>1994</v>
      </c>
      <c r="C949" t="s">
        <v>97</v>
      </c>
      <c r="D949" s="2">
        <v>38</v>
      </c>
      <c r="E949" t="s">
        <v>79</v>
      </c>
      <c r="F949" t="s">
        <v>80</v>
      </c>
      <c r="G949" s="2" t="s">
        <v>31</v>
      </c>
      <c r="H949" s="2">
        <v>8</v>
      </c>
      <c r="I949" s="2" t="s">
        <v>52</v>
      </c>
      <c r="J949" s="2">
        <v>4</v>
      </c>
      <c r="K949" s="2" t="s">
        <v>33</v>
      </c>
      <c r="L949" s="2">
        <v>0.92</v>
      </c>
      <c r="M949" s="2" t="s">
        <v>82</v>
      </c>
      <c r="N949" s="2" t="s">
        <v>42</v>
      </c>
      <c r="O949" s="2">
        <v>8</v>
      </c>
      <c r="P949" s="2" t="str">
        <f>IF(global_freelancer_raw5[[#This Row],[No of projects ]]&lt;=5,"Entry level","Well Experienced")</f>
        <v>Well Experienced</v>
      </c>
      <c r="Q949" s="2">
        <v>10</v>
      </c>
    </row>
    <row r="950" spans="1:17" x14ac:dyDescent="0.3">
      <c r="A950" t="s">
        <v>1995</v>
      </c>
      <c r="B950" t="s">
        <v>1996</v>
      </c>
      <c r="C950" t="s">
        <v>97</v>
      </c>
      <c r="D950" s="2">
        <v>28</v>
      </c>
      <c r="E950" t="s">
        <v>156</v>
      </c>
      <c r="F950" t="s">
        <v>157</v>
      </c>
      <c r="G950" s="2" t="s">
        <v>110</v>
      </c>
      <c r="H950" s="2">
        <v>8</v>
      </c>
      <c r="I950" s="2" t="s">
        <v>119</v>
      </c>
      <c r="J950" s="2">
        <v>2.5</v>
      </c>
      <c r="K950" s="2" t="s">
        <v>74</v>
      </c>
      <c r="L950" s="2">
        <v>0.95</v>
      </c>
      <c r="M950" s="2" t="s">
        <v>60</v>
      </c>
      <c r="N950" s="2" t="s">
        <v>75</v>
      </c>
      <c r="O950" s="2">
        <v>9</v>
      </c>
      <c r="P950" s="2" t="str">
        <f>IF(global_freelancer_raw5[[#This Row],[No of projects ]]&lt;=5,"Entry level","Well Experienced")</f>
        <v>Well Experienced</v>
      </c>
      <c r="Q950" s="2">
        <v>6</v>
      </c>
    </row>
    <row r="951" spans="1:17" x14ac:dyDescent="0.3">
      <c r="A951" t="s">
        <v>1997</v>
      </c>
      <c r="B951" t="s">
        <v>1998</v>
      </c>
      <c r="C951" t="s">
        <v>118</v>
      </c>
      <c r="D951" s="2">
        <v>25</v>
      </c>
      <c r="E951" t="s">
        <v>128</v>
      </c>
      <c r="F951" t="s">
        <v>129</v>
      </c>
      <c r="G951" s="2" t="s">
        <v>110</v>
      </c>
      <c r="H951" s="2">
        <v>7</v>
      </c>
      <c r="I951" s="2" t="s">
        <v>142</v>
      </c>
      <c r="J951" s="2">
        <v>3.8</v>
      </c>
      <c r="K951" s="2" t="s">
        <v>2120</v>
      </c>
      <c r="L951" s="2">
        <v>0.97</v>
      </c>
      <c r="M951" s="2" t="s">
        <v>60</v>
      </c>
      <c r="N951" s="2" t="s">
        <v>75</v>
      </c>
      <c r="O951" s="2">
        <v>8</v>
      </c>
      <c r="P951" s="2" t="str">
        <f>IF(global_freelancer_raw5[[#This Row],[No of projects ]]&lt;=5,"Entry level","Well Experienced")</f>
        <v>Well Experienced</v>
      </c>
      <c r="Q951" s="2">
        <v>2</v>
      </c>
    </row>
    <row r="952" spans="1:17" x14ac:dyDescent="0.3">
      <c r="A952" t="s">
        <v>1999</v>
      </c>
      <c r="B952" t="s">
        <v>2000</v>
      </c>
      <c r="C952" t="s">
        <v>118</v>
      </c>
      <c r="D952" s="2">
        <v>41</v>
      </c>
      <c r="E952" t="s">
        <v>85</v>
      </c>
      <c r="F952" t="s">
        <v>30</v>
      </c>
      <c r="G952" s="2" t="s">
        <v>110</v>
      </c>
      <c r="H952" s="2">
        <v>8</v>
      </c>
      <c r="I952" s="2" t="s">
        <v>40</v>
      </c>
      <c r="J952" s="2">
        <v>4.8</v>
      </c>
      <c r="K952" s="2" t="s">
        <v>41</v>
      </c>
      <c r="L952" s="2">
        <v>0.75</v>
      </c>
      <c r="M952" s="2" t="s">
        <v>60</v>
      </c>
      <c r="N952" s="2" t="s">
        <v>42</v>
      </c>
      <c r="O952" s="2">
        <v>14</v>
      </c>
      <c r="P952" s="2" t="str">
        <f>IF(global_freelancer_raw5[[#This Row],[No of projects ]]&lt;=5,"Entry level","Well Experienced")</f>
        <v>Well Experienced</v>
      </c>
      <c r="Q952" s="2">
        <v>6</v>
      </c>
    </row>
    <row r="953" spans="1:17" x14ac:dyDescent="0.3">
      <c r="A953" t="s">
        <v>2001</v>
      </c>
      <c r="B953" t="s">
        <v>2002</v>
      </c>
      <c r="C953" t="s">
        <v>97</v>
      </c>
      <c r="D953" s="2">
        <v>45</v>
      </c>
      <c r="E953" t="s">
        <v>201</v>
      </c>
      <c r="F953" t="s">
        <v>92</v>
      </c>
      <c r="G953" s="2" t="s">
        <v>66</v>
      </c>
      <c r="H953" s="2">
        <v>6</v>
      </c>
      <c r="I953" s="2" t="s">
        <v>86</v>
      </c>
      <c r="J953" s="2">
        <v>2</v>
      </c>
      <c r="K953" s="2" t="s">
        <v>33</v>
      </c>
      <c r="L953" s="2">
        <v>0.78</v>
      </c>
      <c r="M953" s="2" t="s">
        <v>24</v>
      </c>
      <c r="N953" s="2" t="s">
        <v>75</v>
      </c>
      <c r="O953" s="2">
        <v>13</v>
      </c>
      <c r="P953" s="2" t="str">
        <f>IF(global_freelancer_raw5[[#This Row],[No of projects ]]&lt;=5,"Entry level","Well Experienced")</f>
        <v>Well Experienced</v>
      </c>
      <c r="Q953" s="2">
        <v>14</v>
      </c>
    </row>
    <row r="954" spans="1:17" x14ac:dyDescent="0.3">
      <c r="A954" t="s">
        <v>2003</v>
      </c>
      <c r="B954" t="s">
        <v>2004</v>
      </c>
      <c r="C954" t="s">
        <v>118</v>
      </c>
      <c r="D954" s="2">
        <v>47</v>
      </c>
      <c r="E954" t="s">
        <v>79</v>
      </c>
      <c r="F954" t="s">
        <v>80</v>
      </c>
      <c r="G954" s="2" t="s">
        <v>110</v>
      </c>
      <c r="H954" s="2">
        <v>16</v>
      </c>
      <c r="I954" s="2" t="s">
        <v>251</v>
      </c>
      <c r="J954" s="2">
        <v>3.3</v>
      </c>
      <c r="K954" s="2" t="s">
        <v>23</v>
      </c>
      <c r="L954" s="2">
        <v>0.65</v>
      </c>
      <c r="M954" s="2" t="s">
        <v>88</v>
      </c>
      <c r="N954" s="2" t="s">
        <v>42</v>
      </c>
      <c r="O954" s="2">
        <v>10</v>
      </c>
      <c r="P954" s="2" t="str">
        <f>IF(global_freelancer_raw5[[#This Row],[No of projects ]]&lt;=5,"Entry level","Well Experienced")</f>
        <v>Well Experienced</v>
      </c>
      <c r="Q954" s="2">
        <v>17</v>
      </c>
    </row>
    <row r="955" spans="1:17" x14ac:dyDescent="0.3">
      <c r="A955" t="s">
        <v>2005</v>
      </c>
      <c r="B955" t="s">
        <v>2006</v>
      </c>
      <c r="C955" t="s">
        <v>97</v>
      </c>
      <c r="D955" s="2">
        <v>59</v>
      </c>
      <c r="E955" t="s">
        <v>85</v>
      </c>
      <c r="F955" t="s">
        <v>30</v>
      </c>
      <c r="G955" s="2" t="s">
        <v>66</v>
      </c>
      <c r="H955" s="2">
        <v>40</v>
      </c>
      <c r="I955" s="2" t="s">
        <v>86</v>
      </c>
      <c r="J955" s="2">
        <v>2.5</v>
      </c>
      <c r="K955" s="2" t="s">
        <v>74</v>
      </c>
      <c r="L955" s="2">
        <v>70</v>
      </c>
      <c r="M955" s="2" t="s">
        <v>60</v>
      </c>
      <c r="N955" s="2" t="s">
        <v>42</v>
      </c>
      <c r="O955" s="2">
        <v>19</v>
      </c>
      <c r="P955" s="2" t="str">
        <f>IF(global_freelancer_raw5[[#This Row],[No of projects ]]&lt;=5,"Entry level","Well Experienced")</f>
        <v>Well Experienced</v>
      </c>
      <c r="Q955" s="2">
        <v>12</v>
      </c>
    </row>
    <row r="956" spans="1:17" x14ac:dyDescent="0.3">
      <c r="A956" t="s">
        <v>2007</v>
      </c>
      <c r="B956" t="s">
        <v>2008</v>
      </c>
      <c r="C956" t="s">
        <v>97</v>
      </c>
      <c r="D956" s="2">
        <v>25</v>
      </c>
      <c r="E956" t="s">
        <v>149</v>
      </c>
      <c r="F956" t="s">
        <v>30</v>
      </c>
      <c r="G956" s="2" t="s">
        <v>21</v>
      </c>
      <c r="H956" s="2">
        <v>6</v>
      </c>
      <c r="I956" s="2" t="s">
        <v>251</v>
      </c>
      <c r="J956" s="2" t="s">
        <v>2120</v>
      </c>
      <c r="K956" s="2" t="s">
        <v>94</v>
      </c>
      <c r="L956" s="2">
        <v>78</v>
      </c>
      <c r="M956" s="2" t="s">
        <v>24</v>
      </c>
      <c r="N956" s="2" t="s">
        <v>42</v>
      </c>
      <c r="O956" s="2">
        <v>10</v>
      </c>
      <c r="P956" s="2" t="str">
        <f>IF(global_freelancer_raw5[[#This Row],[No of projects ]]&lt;=5,"Entry level","Well Experienced")</f>
        <v>Well Experienced</v>
      </c>
      <c r="Q956" s="2">
        <v>2</v>
      </c>
    </row>
    <row r="957" spans="1:17" x14ac:dyDescent="0.3">
      <c r="A957" t="s">
        <v>2009</v>
      </c>
      <c r="B957" t="s">
        <v>2010</v>
      </c>
      <c r="C957" t="s">
        <v>118</v>
      </c>
      <c r="D957" s="2">
        <v>27</v>
      </c>
      <c r="E957" t="s">
        <v>29</v>
      </c>
      <c r="F957" t="s">
        <v>30</v>
      </c>
      <c r="G957" s="2" t="s">
        <v>46</v>
      </c>
      <c r="H957" s="2">
        <v>3</v>
      </c>
      <c r="I957" s="2" t="s">
        <v>119</v>
      </c>
      <c r="J957" s="2" t="s">
        <v>2120</v>
      </c>
      <c r="K957" s="2" t="s">
        <v>33</v>
      </c>
      <c r="L957" s="2">
        <v>0.96</v>
      </c>
      <c r="M957" s="2" t="s">
        <v>82</v>
      </c>
      <c r="N957" s="2" t="s">
        <v>34</v>
      </c>
      <c r="O957" s="2">
        <v>1</v>
      </c>
      <c r="P957" s="2" t="str">
        <f>IF(global_freelancer_raw5[[#This Row],[No of projects ]]&lt;=5,"Entry level","Well Experienced")</f>
        <v>Entry level</v>
      </c>
      <c r="Q957" s="2">
        <v>3</v>
      </c>
    </row>
    <row r="958" spans="1:17" x14ac:dyDescent="0.3">
      <c r="A958" t="s">
        <v>2011</v>
      </c>
      <c r="B958" t="s">
        <v>2012</v>
      </c>
      <c r="C958" t="s">
        <v>97</v>
      </c>
      <c r="D958" s="2">
        <v>57</v>
      </c>
      <c r="E958" t="s">
        <v>29</v>
      </c>
      <c r="F958" t="s">
        <v>30</v>
      </c>
      <c r="G958" s="2" t="s">
        <v>57</v>
      </c>
      <c r="H958" s="2">
        <v>5</v>
      </c>
      <c r="I958" s="2" t="s">
        <v>32</v>
      </c>
      <c r="J958" s="2">
        <v>0</v>
      </c>
      <c r="K958" s="2" t="s">
        <v>33</v>
      </c>
      <c r="L958" s="2">
        <v>0.8</v>
      </c>
      <c r="M958" s="2" t="s">
        <v>88</v>
      </c>
      <c r="N958" s="2" t="s">
        <v>42</v>
      </c>
      <c r="O958" s="2">
        <v>4</v>
      </c>
      <c r="P958" s="2" t="str">
        <f>IF(global_freelancer_raw5[[#This Row],[No of projects ]]&lt;=5,"Entry level","Well Experienced")</f>
        <v>Entry level</v>
      </c>
      <c r="Q958" s="2">
        <v>2</v>
      </c>
    </row>
    <row r="959" spans="1:17" x14ac:dyDescent="0.3">
      <c r="A959" t="s">
        <v>2013</v>
      </c>
      <c r="B959" t="s">
        <v>2014</v>
      </c>
      <c r="C959" t="s">
        <v>97</v>
      </c>
      <c r="D959" s="2">
        <v>34</v>
      </c>
      <c r="E959" t="s">
        <v>79</v>
      </c>
      <c r="F959" t="s">
        <v>80</v>
      </c>
      <c r="G959" s="2" t="s">
        <v>93</v>
      </c>
      <c r="H959" s="2">
        <v>12</v>
      </c>
      <c r="I959" s="2" t="s">
        <v>142</v>
      </c>
      <c r="J959" s="2">
        <v>1.6</v>
      </c>
      <c r="K959" s="2" t="s">
        <v>87</v>
      </c>
      <c r="L959" s="2">
        <v>0.64</v>
      </c>
      <c r="M959" s="2" t="s">
        <v>82</v>
      </c>
      <c r="N959" s="2" t="s">
        <v>34</v>
      </c>
      <c r="O959" s="2">
        <v>12</v>
      </c>
      <c r="P959" s="2" t="str">
        <f>IF(global_freelancer_raw5[[#This Row],[No of projects ]]&lt;=5,"Entry level","Well Experienced")</f>
        <v>Well Experienced</v>
      </c>
      <c r="Q959" s="2">
        <v>2</v>
      </c>
    </row>
    <row r="960" spans="1:17" x14ac:dyDescent="0.3">
      <c r="A960" t="s">
        <v>2015</v>
      </c>
      <c r="B960" t="s">
        <v>2016</v>
      </c>
      <c r="C960" t="s">
        <v>118</v>
      </c>
      <c r="D960" s="2">
        <v>55</v>
      </c>
      <c r="E960" t="s">
        <v>156</v>
      </c>
      <c r="F960" t="s">
        <v>157</v>
      </c>
      <c r="G960" s="2" t="s">
        <v>93</v>
      </c>
      <c r="H960" s="2">
        <v>33</v>
      </c>
      <c r="I960" s="2" t="s">
        <v>40</v>
      </c>
      <c r="J960" s="2">
        <v>0</v>
      </c>
      <c r="K960" s="2" t="s">
        <v>59</v>
      </c>
      <c r="L960" s="2">
        <v>0.92</v>
      </c>
      <c r="M960" s="2" t="s">
        <v>24</v>
      </c>
      <c r="N960" s="2" t="s">
        <v>42</v>
      </c>
      <c r="O960" s="2">
        <v>19</v>
      </c>
      <c r="P960" s="2" t="str">
        <f>IF(global_freelancer_raw5[[#This Row],[No of projects ]]&lt;=5,"Entry level","Well Experienced")</f>
        <v>Well Experienced</v>
      </c>
      <c r="Q960" s="2">
        <v>5</v>
      </c>
    </row>
    <row r="961" spans="1:17" x14ac:dyDescent="0.3">
      <c r="A961" t="s">
        <v>2017</v>
      </c>
      <c r="B961" t="s">
        <v>2018</v>
      </c>
      <c r="C961" t="s">
        <v>118</v>
      </c>
      <c r="D961" s="2">
        <v>21</v>
      </c>
      <c r="E961" t="s">
        <v>160</v>
      </c>
      <c r="F961" t="s">
        <v>161</v>
      </c>
      <c r="G961" s="2" t="s">
        <v>21</v>
      </c>
      <c r="H961" s="2">
        <v>1</v>
      </c>
      <c r="I961" s="2" t="s">
        <v>22</v>
      </c>
      <c r="J961" s="2">
        <v>0</v>
      </c>
      <c r="K961" s="2" t="s">
        <v>33</v>
      </c>
      <c r="L961" s="2" t="s">
        <v>2120</v>
      </c>
      <c r="M961" s="2" t="s">
        <v>60</v>
      </c>
      <c r="N961" s="2" t="s">
        <v>42</v>
      </c>
      <c r="O961" s="2">
        <v>3</v>
      </c>
      <c r="P961" s="2" t="str">
        <f>IF(global_freelancer_raw5[[#This Row],[No of projects ]]&lt;=5,"Entry level","Well Experienced")</f>
        <v>Entry level</v>
      </c>
      <c r="Q961" s="2">
        <v>2</v>
      </c>
    </row>
    <row r="962" spans="1:17" x14ac:dyDescent="0.3">
      <c r="A962" t="s">
        <v>2019</v>
      </c>
      <c r="B962" t="s">
        <v>2020</v>
      </c>
      <c r="C962" t="s">
        <v>118</v>
      </c>
      <c r="D962" s="2">
        <v>53</v>
      </c>
      <c r="E962" t="s">
        <v>55</v>
      </c>
      <c r="F962" t="s">
        <v>56</v>
      </c>
      <c r="G962" s="2" t="s">
        <v>110</v>
      </c>
      <c r="H962" s="2">
        <v>27</v>
      </c>
      <c r="I962" s="2" t="s">
        <v>336</v>
      </c>
      <c r="J962" s="2">
        <v>4.7</v>
      </c>
      <c r="K962" s="2" t="s">
        <v>87</v>
      </c>
      <c r="L962" s="2">
        <v>71</v>
      </c>
      <c r="M962" s="2" t="s">
        <v>60</v>
      </c>
      <c r="N962" s="2" t="s">
        <v>42</v>
      </c>
      <c r="O962" s="2">
        <v>11</v>
      </c>
      <c r="P962" s="2" t="str">
        <f>IF(global_freelancer_raw5[[#This Row],[No of projects ]]&lt;=5,"Entry level","Well Experienced")</f>
        <v>Well Experienced</v>
      </c>
      <c r="Q962" s="2">
        <v>10</v>
      </c>
    </row>
    <row r="963" spans="1:17" x14ac:dyDescent="0.3">
      <c r="A963" t="s">
        <v>2021</v>
      </c>
      <c r="B963" t="s">
        <v>2022</v>
      </c>
      <c r="C963" t="s">
        <v>97</v>
      </c>
      <c r="D963" s="2">
        <v>21</v>
      </c>
      <c r="E963" t="s">
        <v>38</v>
      </c>
      <c r="F963" t="s">
        <v>38</v>
      </c>
      <c r="G963" s="2" t="s">
        <v>93</v>
      </c>
      <c r="H963" s="2">
        <v>1</v>
      </c>
      <c r="I963" s="2" t="s">
        <v>251</v>
      </c>
      <c r="J963" s="2">
        <v>0</v>
      </c>
      <c r="K963" s="2" t="s">
        <v>87</v>
      </c>
      <c r="L963" s="2">
        <v>0.95</v>
      </c>
      <c r="M963" s="2" t="s">
        <v>24</v>
      </c>
      <c r="N963" s="2" t="s">
        <v>75</v>
      </c>
      <c r="O963" s="2">
        <v>5</v>
      </c>
      <c r="P963" s="2" t="str">
        <f>IF(global_freelancer_raw5[[#This Row],[No of projects ]]&lt;=5,"Entry level","Well Experienced")</f>
        <v>Entry level</v>
      </c>
      <c r="Q963" s="2">
        <v>5</v>
      </c>
    </row>
    <row r="964" spans="1:17" x14ac:dyDescent="0.3">
      <c r="A964" t="s">
        <v>2023</v>
      </c>
      <c r="B964" t="s">
        <v>2024</v>
      </c>
      <c r="C964" t="s">
        <v>97</v>
      </c>
      <c r="D964" s="2">
        <v>36</v>
      </c>
      <c r="E964" t="s">
        <v>128</v>
      </c>
      <c r="F964" t="s">
        <v>129</v>
      </c>
      <c r="G964" s="2" t="s">
        <v>46</v>
      </c>
      <c r="H964" s="2" t="s">
        <v>2120</v>
      </c>
      <c r="I964" s="2" t="s">
        <v>162</v>
      </c>
      <c r="J964" s="2">
        <v>4.0999999999999996</v>
      </c>
      <c r="K964" s="2" t="s">
        <v>41</v>
      </c>
      <c r="L964" s="2">
        <v>0.86</v>
      </c>
      <c r="M964" s="2" t="s">
        <v>60</v>
      </c>
      <c r="N964" s="2" t="s">
        <v>34</v>
      </c>
      <c r="O964" s="2">
        <v>4</v>
      </c>
      <c r="P964" s="2" t="str">
        <f>IF(global_freelancer_raw5[[#This Row],[No of projects ]]&lt;=5,"Entry level","Well Experienced")</f>
        <v>Entry level</v>
      </c>
      <c r="Q964" s="2">
        <v>1</v>
      </c>
    </row>
    <row r="965" spans="1:17" x14ac:dyDescent="0.3">
      <c r="A965" t="s">
        <v>2025</v>
      </c>
      <c r="B965" t="s">
        <v>2026</v>
      </c>
      <c r="C965" t="s">
        <v>118</v>
      </c>
      <c r="D965" s="2">
        <v>40</v>
      </c>
      <c r="E965" t="s">
        <v>38</v>
      </c>
      <c r="F965" t="s">
        <v>38</v>
      </c>
      <c r="G965" s="2" t="s">
        <v>57</v>
      </c>
      <c r="H965" s="2">
        <v>2</v>
      </c>
      <c r="I965" s="2" t="s">
        <v>58</v>
      </c>
      <c r="J965" s="2">
        <v>1.3</v>
      </c>
      <c r="K965" s="2" t="s">
        <v>33</v>
      </c>
      <c r="L965" s="2">
        <v>0.77</v>
      </c>
      <c r="M965" s="2" t="s">
        <v>88</v>
      </c>
      <c r="N965" s="2" t="s">
        <v>34</v>
      </c>
      <c r="O965" s="2">
        <v>4</v>
      </c>
      <c r="P965" s="2" t="str">
        <f>IF(global_freelancer_raw5[[#This Row],[No of projects ]]&lt;=5,"Entry level","Well Experienced")</f>
        <v>Entry level</v>
      </c>
      <c r="Q965" s="2">
        <v>3</v>
      </c>
    </row>
    <row r="966" spans="1:17" x14ac:dyDescent="0.3">
      <c r="A966" t="s">
        <v>2027</v>
      </c>
      <c r="B966" t="s">
        <v>2028</v>
      </c>
      <c r="C966" t="s">
        <v>97</v>
      </c>
      <c r="D966" s="2">
        <v>59</v>
      </c>
      <c r="E966" t="s">
        <v>85</v>
      </c>
      <c r="F966" t="s">
        <v>30</v>
      </c>
      <c r="G966" s="2" t="s">
        <v>93</v>
      </c>
      <c r="H966" s="2">
        <v>40</v>
      </c>
      <c r="I966" s="2" t="s">
        <v>22</v>
      </c>
      <c r="J966" s="2">
        <v>2.6</v>
      </c>
      <c r="K966" s="2" t="s">
        <v>2120</v>
      </c>
      <c r="L966" s="2" t="s">
        <v>2120</v>
      </c>
      <c r="M966" s="2" t="s">
        <v>24</v>
      </c>
      <c r="N966" s="2" t="s">
        <v>42</v>
      </c>
      <c r="O966" s="2">
        <v>16</v>
      </c>
      <c r="P966" s="2" t="str">
        <f>IF(global_freelancer_raw5[[#This Row],[No of projects ]]&lt;=5,"Entry level","Well Experienced")</f>
        <v>Well Experienced</v>
      </c>
      <c r="Q966" s="2">
        <v>5</v>
      </c>
    </row>
    <row r="967" spans="1:17" x14ac:dyDescent="0.3">
      <c r="A967" t="s">
        <v>2029</v>
      </c>
      <c r="B967" t="s">
        <v>2030</v>
      </c>
      <c r="C967" t="s">
        <v>118</v>
      </c>
      <c r="D967" s="2">
        <v>45</v>
      </c>
      <c r="E967" t="s">
        <v>55</v>
      </c>
      <c r="F967" t="s">
        <v>56</v>
      </c>
      <c r="G967" s="2" t="s">
        <v>98</v>
      </c>
      <c r="H967" s="2">
        <v>4</v>
      </c>
      <c r="I967" s="2" t="s">
        <v>142</v>
      </c>
      <c r="J967" s="2">
        <v>2.7</v>
      </c>
      <c r="K967" s="2" t="s">
        <v>2120</v>
      </c>
      <c r="L967" s="2">
        <v>0.72</v>
      </c>
      <c r="M967" s="2" t="s">
        <v>82</v>
      </c>
      <c r="N967" s="2" t="s">
        <v>42</v>
      </c>
      <c r="O967" s="2">
        <v>5</v>
      </c>
      <c r="P967" s="2" t="str">
        <f>IF(global_freelancer_raw5[[#This Row],[No of projects ]]&lt;=5,"Entry level","Well Experienced")</f>
        <v>Entry level</v>
      </c>
      <c r="Q967" s="2">
        <v>1</v>
      </c>
    </row>
    <row r="968" spans="1:17" x14ac:dyDescent="0.3">
      <c r="A968" t="s">
        <v>2031</v>
      </c>
      <c r="B968" t="s">
        <v>2032</v>
      </c>
      <c r="C968" t="s">
        <v>118</v>
      </c>
      <c r="D968" s="2">
        <v>44</v>
      </c>
      <c r="E968" t="s">
        <v>133</v>
      </c>
      <c r="F968" t="s">
        <v>134</v>
      </c>
      <c r="G968" s="2" t="s">
        <v>135</v>
      </c>
      <c r="H968" s="2">
        <v>9</v>
      </c>
      <c r="I968" s="2" t="s">
        <v>86</v>
      </c>
      <c r="J968" s="2" t="s">
        <v>2120</v>
      </c>
      <c r="K968" s="2" t="s">
        <v>23</v>
      </c>
      <c r="L968" s="2">
        <v>0.7</v>
      </c>
      <c r="M968" s="2" t="s">
        <v>24</v>
      </c>
      <c r="N968" s="2" t="s">
        <v>75</v>
      </c>
      <c r="O968" s="2">
        <v>9</v>
      </c>
      <c r="P968" s="2" t="str">
        <f>IF(global_freelancer_raw5[[#This Row],[No of projects ]]&lt;=5,"Entry level","Well Experienced")</f>
        <v>Well Experienced</v>
      </c>
      <c r="Q968" s="2">
        <v>2</v>
      </c>
    </row>
    <row r="969" spans="1:17" x14ac:dyDescent="0.3">
      <c r="A969" t="s">
        <v>2033</v>
      </c>
      <c r="B969" t="s">
        <v>2034</v>
      </c>
      <c r="C969" t="s">
        <v>97</v>
      </c>
      <c r="D969" s="2">
        <v>36</v>
      </c>
      <c r="E969" t="s">
        <v>85</v>
      </c>
      <c r="F969" t="s">
        <v>30</v>
      </c>
      <c r="G969" s="2" t="s">
        <v>98</v>
      </c>
      <c r="H969" s="2">
        <v>13</v>
      </c>
      <c r="I969" s="2" t="s">
        <v>52</v>
      </c>
      <c r="J969" s="2">
        <v>3.6</v>
      </c>
      <c r="K969" s="2" t="s">
        <v>23</v>
      </c>
      <c r="L969" s="2">
        <v>0.86</v>
      </c>
      <c r="M969" s="2" t="s">
        <v>88</v>
      </c>
      <c r="N969" s="2" t="s">
        <v>75</v>
      </c>
      <c r="O969" s="2">
        <v>8</v>
      </c>
      <c r="P969" s="2" t="str">
        <f>IF(global_freelancer_raw5[[#This Row],[No of projects ]]&lt;=5,"Entry level","Well Experienced")</f>
        <v>Well Experienced</v>
      </c>
      <c r="Q969" s="2">
        <v>3</v>
      </c>
    </row>
    <row r="970" spans="1:17" x14ac:dyDescent="0.3">
      <c r="A970" t="s">
        <v>2035</v>
      </c>
      <c r="B970" t="s">
        <v>2036</v>
      </c>
      <c r="C970" t="s">
        <v>97</v>
      </c>
      <c r="D970" s="2">
        <v>26</v>
      </c>
      <c r="E970" t="s">
        <v>114</v>
      </c>
      <c r="F970" t="s">
        <v>115</v>
      </c>
      <c r="G970" s="2" t="s">
        <v>39</v>
      </c>
      <c r="H970" s="2">
        <v>1</v>
      </c>
      <c r="I970" s="2" t="s">
        <v>103</v>
      </c>
      <c r="J970" s="2">
        <v>3</v>
      </c>
      <c r="K970" s="2" t="s">
        <v>33</v>
      </c>
      <c r="L970" s="2" t="s">
        <v>2120</v>
      </c>
      <c r="M970" s="2" t="s">
        <v>88</v>
      </c>
      <c r="N970" s="2" t="s">
        <v>75</v>
      </c>
      <c r="O970" s="2">
        <v>4</v>
      </c>
      <c r="P970" s="2" t="str">
        <f>IF(global_freelancer_raw5[[#This Row],[No of projects ]]&lt;=5,"Entry level","Well Experienced")</f>
        <v>Entry level</v>
      </c>
      <c r="Q970" s="2">
        <v>3</v>
      </c>
    </row>
    <row r="971" spans="1:17" x14ac:dyDescent="0.3">
      <c r="A971" t="s">
        <v>2037</v>
      </c>
      <c r="B971" t="s">
        <v>2038</v>
      </c>
      <c r="C971" t="s">
        <v>118</v>
      </c>
      <c r="D971" s="2">
        <v>49</v>
      </c>
      <c r="E971" t="s">
        <v>114</v>
      </c>
      <c r="F971" t="s">
        <v>115</v>
      </c>
      <c r="G971" s="2" t="s">
        <v>46</v>
      </c>
      <c r="H971" s="2">
        <v>1</v>
      </c>
      <c r="I971" s="2" t="s">
        <v>2119</v>
      </c>
      <c r="J971" s="2">
        <v>0</v>
      </c>
      <c r="K971" s="2" t="s">
        <v>23</v>
      </c>
      <c r="L971" s="2">
        <v>0.82</v>
      </c>
      <c r="M971" s="2" t="s">
        <v>24</v>
      </c>
      <c r="N971" s="2" t="s">
        <v>34</v>
      </c>
      <c r="O971" s="2">
        <v>1</v>
      </c>
      <c r="P971" s="2" t="str">
        <f>IF(global_freelancer_raw5[[#This Row],[No of projects ]]&lt;=5,"Entry level","Well Experienced")</f>
        <v>Entry level</v>
      </c>
      <c r="Q971" s="2">
        <v>1</v>
      </c>
    </row>
    <row r="972" spans="1:17" x14ac:dyDescent="0.3">
      <c r="A972" t="s">
        <v>2039</v>
      </c>
      <c r="B972" t="s">
        <v>2040</v>
      </c>
      <c r="C972" t="s">
        <v>118</v>
      </c>
      <c r="D972" s="2">
        <v>29</v>
      </c>
      <c r="E972" t="s">
        <v>156</v>
      </c>
      <c r="F972" t="s">
        <v>157</v>
      </c>
      <c r="G972" s="2" t="s">
        <v>31</v>
      </c>
      <c r="H972" s="2">
        <v>3</v>
      </c>
      <c r="I972" s="2" t="s">
        <v>70</v>
      </c>
      <c r="J972" s="2">
        <v>0</v>
      </c>
      <c r="K972" s="2" t="s">
        <v>74</v>
      </c>
      <c r="L972" s="2">
        <v>0.81</v>
      </c>
      <c r="M972" s="2" t="s">
        <v>24</v>
      </c>
      <c r="N972" s="2" t="s">
        <v>34</v>
      </c>
      <c r="O972" s="2">
        <v>5</v>
      </c>
      <c r="P972" s="2" t="str">
        <f>IF(global_freelancer_raw5[[#This Row],[No of projects ]]&lt;=5,"Entry level","Well Experienced")</f>
        <v>Entry level</v>
      </c>
      <c r="Q972" s="2">
        <v>1</v>
      </c>
    </row>
    <row r="973" spans="1:17" x14ac:dyDescent="0.3">
      <c r="A973" t="s">
        <v>2041</v>
      </c>
      <c r="B973" t="s">
        <v>2042</v>
      </c>
      <c r="C973" t="s">
        <v>118</v>
      </c>
      <c r="D973" s="2">
        <v>32</v>
      </c>
      <c r="E973" t="s">
        <v>156</v>
      </c>
      <c r="F973" t="s">
        <v>157</v>
      </c>
      <c r="G973" s="2" t="s">
        <v>39</v>
      </c>
      <c r="H973" s="2">
        <v>1</v>
      </c>
      <c r="I973" s="2" t="s">
        <v>47</v>
      </c>
      <c r="J973" s="2">
        <v>3.1</v>
      </c>
      <c r="K973" s="2" t="s">
        <v>33</v>
      </c>
      <c r="L973" s="2">
        <v>0.76</v>
      </c>
      <c r="M973" s="2" t="s">
        <v>60</v>
      </c>
      <c r="N973" s="2" t="s">
        <v>34</v>
      </c>
      <c r="O973" s="2">
        <v>1</v>
      </c>
      <c r="P973" s="2" t="str">
        <f>IF(global_freelancer_raw5[[#This Row],[No of projects ]]&lt;=5,"Entry level","Well Experienced")</f>
        <v>Entry level</v>
      </c>
      <c r="Q973" s="2">
        <v>2</v>
      </c>
    </row>
    <row r="974" spans="1:17" x14ac:dyDescent="0.3">
      <c r="A974" t="s">
        <v>2043</v>
      </c>
      <c r="B974" t="s">
        <v>2044</v>
      </c>
      <c r="C974" t="s">
        <v>118</v>
      </c>
      <c r="D974" s="2">
        <v>24</v>
      </c>
      <c r="E974" t="s">
        <v>64</v>
      </c>
      <c r="F974" t="s">
        <v>65</v>
      </c>
      <c r="G974" s="2" t="s">
        <v>21</v>
      </c>
      <c r="H974" s="2">
        <v>3</v>
      </c>
      <c r="I974" s="2" t="s">
        <v>130</v>
      </c>
      <c r="J974" s="2">
        <v>3.9</v>
      </c>
      <c r="K974" s="2" t="s">
        <v>41</v>
      </c>
      <c r="L974" s="2">
        <v>0.9</v>
      </c>
      <c r="M974" s="2" t="s">
        <v>88</v>
      </c>
      <c r="N974" s="2" t="s">
        <v>42</v>
      </c>
      <c r="O974" s="2">
        <v>5</v>
      </c>
      <c r="P974" s="2" t="str">
        <f>IF(global_freelancer_raw5[[#This Row],[No of projects ]]&lt;=5,"Entry level","Well Experienced")</f>
        <v>Entry level</v>
      </c>
      <c r="Q974" s="2">
        <v>1</v>
      </c>
    </row>
    <row r="975" spans="1:17" x14ac:dyDescent="0.3">
      <c r="A975" t="s">
        <v>2045</v>
      </c>
      <c r="B975" t="s">
        <v>2046</v>
      </c>
      <c r="C975" t="s">
        <v>118</v>
      </c>
      <c r="D975" s="2">
        <v>35</v>
      </c>
      <c r="E975" t="s">
        <v>133</v>
      </c>
      <c r="F975" t="s">
        <v>134</v>
      </c>
      <c r="G975" s="2" t="s">
        <v>110</v>
      </c>
      <c r="H975" s="2">
        <v>14</v>
      </c>
      <c r="I975" s="2" t="s">
        <v>52</v>
      </c>
      <c r="J975" s="2">
        <v>1.6</v>
      </c>
      <c r="K975" s="2" t="s">
        <v>94</v>
      </c>
      <c r="L975" s="2">
        <v>0.67</v>
      </c>
      <c r="M975" s="2" t="s">
        <v>24</v>
      </c>
      <c r="N975" s="2" t="s">
        <v>34</v>
      </c>
      <c r="O975" s="2">
        <v>8</v>
      </c>
      <c r="P975" s="2" t="str">
        <f>IF(global_freelancer_raw5[[#This Row],[No of projects ]]&lt;=5,"Entry level","Well Experienced")</f>
        <v>Well Experienced</v>
      </c>
      <c r="Q975" s="2">
        <v>9</v>
      </c>
    </row>
    <row r="976" spans="1:17" x14ac:dyDescent="0.3">
      <c r="A976" t="s">
        <v>2047</v>
      </c>
      <c r="B976" t="s">
        <v>2048</v>
      </c>
      <c r="C976" t="s">
        <v>97</v>
      </c>
      <c r="D976" s="2">
        <v>43</v>
      </c>
      <c r="E976" t="s">
        <v>212</v>
      </c>
      <c r="F976" t="s">
        <v>92</v>
      </c>
      <c r="G976" s="2" t="s">
        <v>21</v>
      </c>
      <c r="H976" s="2">
        <v>2</v>
      </c>
      <c r="I976" s="2" t="s">
        <v>2119</v>
      </c>
      <c r="J976" s="2">
        <v>1.8</v>
      </c>
      <c r="K976" s="2" t="s">
        <v>181</v>
      </c>
      <c r="L976" s="2">
        <v>0.61</v>
      </c>
      <c r="M976" s="2" t="s">
        <v>24</v>
      </c>
      <c r="N976" s="2" t="s">
        <v>25</v>
      </c>
      <c r="O976" s="2">
        <v>5</v>
      </c>
      <c r="P976" s="2" t="str">
        <f>IF(global_freelancer_raw5[[#This Row],[No of projects ]]&lt;=5,"Entry level","Well Experienced")</f>
        <v>Entry level</v>
      </c>
      <c r="Q976" s="2">
        <v>3</v>
      </c>
    </row>
    <row r="977" spans="1:17" x14ac:dyDescent="0.3">
      <c r="A977" t="s">
        <v>2049</v>
      </c>
      <c r="B977" t="s">
        <v>2050</v>
      </c>
      <c r="C977" t="s">
        <v>118</v>
      </c>
      <c r="D977" s="2">
        <v>53</v>
      </c>
      <c r="E977" t="s">
        <v>133</v>
      </c>
      <c r="F977" t="s">
        <v>134</v>
      </c>
      <c r="G977" s="2" t="s">
        <v>135</v>
      </c>
      <c r="H977" s="2">
        <v>27</v>
      </c>
      <c r="I977" s="2" t="s">
        <v>22</v>
      </c>
      <c r="J977" s="2">
        <v>3.7</v>
      </c>
      <c r="K977" s="2" t="s">
        <v>181</v>
      </c>
      <c r="L977" s="2">
        <v>0.73</v>
      </c>
      <c r="M977" s="2" t="s">
        <v>88</v>
      </c>
      <c r="N977" s="2" t="s">
        <v>25</v>
      </c>
      <c r="O977" s="2">
        <v>13</v>
      </c>
      <c r="P977" s="2" t="str">
        <f>IF(global_freelancer_raw5[[#This Row],[No of projects ]]&lt;=5,"Entry level","Well Experienced")</f>
        <v>Well Experienced</v>
      </c>
      <c r="Q977" s="2">
        <v>5</v>
      </c>
    </row>
    <row r="978" spans="1:17" x14ac:dyDescent="0.3">
      <c r="A978" t="s">
        <v>2051</v>
      </c>
      <c r="B978" t="s">
        <v>2052</v>
      </c>
      <c r="C978" t="s">
        <v>97</v>
      </c>
      <c r="D978" s="2">
        <v>38</v>
      </c>
      <c r="E978" t="s">
        <v>145</v>
      </c>
      <c r="F978" t="s">
        <v>146</v>
      </c>
      <c r="G978" s="2" t="s">
        <v>110</v>
      </c>
      <c r="H978" s="2">
        <v>7</v>
      </c>
      <c r="I978" s="2" t="s">
        <v>103</v>
      </c>
      <c r="J978" s="2" t="s">
        <v>2120</v>
      </c>
      <c r="K978" s="2" t="s">
        <v>23</v>
      </c>
      <c r="L978" s="2" t="s">
        <v>2120</v>
      </c>
      <c r="M978" s="2" t="s">
        <v>24</v>
      </c>
      <c r="N978" s="2" t="s">
        <v>75</v>
      </c>
      <c r="O978" s="2">
        <v>6</v>
      </c>
      <c r="P978" s="2" t="str">
        <f>IF(global_freelancer_raw5[[#This Row],[No of projects ]]&lt;=5,"Entry level","Well Experienced")</f>
        <v>Well Experienced</v>
      </c>
      <c r="Q978" s="2">
        <v>4</v>
      </c>
    </row>
    <row r="979" spans="1:17" x14ac:dyDescent="0.3">
      <c r="A979" t="s">
        <v>2053</v>
      </c>
      <c r="B979" t="s">
        <v>2054</v>
      </c>
      <c r="C979" t="s">
        <v>118</v>
      </c>
      <c r="D979" s="2">
        <v>57</v>
      </c>
      <c r="E979" t="s">
        <v>85</v>
      </c>
      <c r="F979" t="s">
        <v>30</v>
      </c>
      <c r="G979" s="2" t="s">
        <v>98</v>
      </c>
      <c r="H979" s="2">
        <v>29</v>
      </c>
      <c r="I979" s="2" t="s">
        <v>103</v>
      </c>
      <c r="J979" s="2">
        <v>4.0999999999999996</v>
      </c>
      <c r="K979" s="2" t="s">
        <v>41</v>
      </c>
      <c r="L979" s="2">
        <v>0.9</v>
      </c>
      <c r="M979" s="2" t="s">
        <v>60</v>
      </c>
      <c r="N979" s="2" t="s">
        <v>34</v>
      </c>
      <c r="O979" s="2">
        <v>10</v>
      </c>
      <c r="P979" s="2" t="str">
        <f>IF(global_freelancer_raw5[[#This Row],[No of projects ]]&lt;=5,"Entry level","Well Experienced")</f>
        <v>Well Experienced</v>
      </c>
      <c r="Q979" s="2">
        <v>14</v>
      </c>
    </row>
    <row r="980" spans="1:17" x14ac:dyDescent="0.3">
      <c r="A980" t="s">
        <v>2055</v>
      </c>
      <c r="B980" t="s">
        <v>2056</v>
      </c>
      <c r="C980" t="s">
        <v>118</v>
      </c>
      <c r="D980" s="2">
        <v>27</v>
      </c>
      <c r="E980" t="s">
        <v>197</v>
      </c>
      <c r="F980" t="s">
        <v>198</v>
      </c>
      <c r="G980" s="2" t="s">
        <v>21</v>
      </c>
      <c r="H980" s="2">
        <v>5</v>
      </c>
      <c r="I980" s="2" t="s">
        <v>192</v>
      </c>
      <c r="J980" s="2">
        <v>1.4</v>
      </c>
      <c r="K980" s="2" t="s">
        <v>74</v>
      </c>
      <c r="L980" s="2">
        <v>0.64</v>
      </c>
      <c r="M980" s="2" t="s">
        <v>88</v>
      </c>
      <c r="N980" s="2" t="s">
        <v>25</v>
      </c>
      <c r="O980" s="2">
        <v>4</v>
      </c>
      <c r="P980" s="2" t="str">
        <f>IF(global_freelancer_raw5[[#This Row],[No of projects ]]&lt;=5,"Entry level","Well Experienced")</f>
        <v>Entry level</v>
      </c>
      <c r="Q980" s="2">
        <v>1</v>
      </c>
    </row>
    <row r="981" spans="1:17" x14ac:dyDescent="0.3">
      <c r="A981" t="s">
        <v>2057</v>
      </c>
      <c r="B981" t="s">
        <v>2058</v>
      </c>
      <c r="C981" t="s">
        <v>118</v>
      </c>
      <c r="D981" s="2">
        <v>43</v>
      </c>
      <c r="E981" t="s">
        <v>91</v>
      </c>
      <c r="F981" t="s">
        <v>92</v>
      </c>
      <c r="G981" s="2" t="s">
        <v>46</v>
      </c>
      <c r="H981" s="2">
        <v>2</v>
      </c>
      <c r="I981" s="2" t="s">
        <v>22</v>
      </c>
      <c r="J981" s="2">
        <v>1.1000000000000001</v>
      </c>
      <c r="K981" s="2" t="s">
        <v>33</v>
      </c>
      <c r="L981" s="2">
        <v>0.63</v>
      </c>
      <c r="M981" s="2" t="s">
        <v>60</v>
      </c>
      <c r="N981" s="2" t="s">
        <v>75</v>
      </c>
      <c r="O981" s="2">
        <v>4</v>
      </c>
      <c r="P981" s="2" t="str">
        <f>IF(global_freelancer_raw5[[#This Row],[No of projects ]]&lt;=5,"Entry level","Well Experienced")</f>
        <v>Entry level</v>
      </c>
      <c r="Q981" s="2">
        <v>1</v>
      </c>
    </row>
    <row r="982" spans="1:17" x14ac:dyDescent="0.3">
      <c r="A982" t="s">
        <v>2059</v>
      </c>
      <c r="B982" t="s">
        <v>2060</v>
      </c>
      <c r="C982" t="s">
        <v>118</v>
      </c>
      <c r="D982" s="2">
        <v>48</v>
      </c>
      <c r="E982" t="s">
        <v>149</v>
      </c>
      <c r="F982" t="s">
        <v>30</v>
      </c>
      <c r="G982" s="2" t="s">
        <v>66</v>
      </c>
      <c r="H982" s="2">
        <v>18</v>
      </c>
      <c r="I982" s="2" t="s">
        <v>47</v>
      </c>
      <c r="J982" s="2">
        <v>3.9</v>
      </c>
      <c r="K982" s="2" t="s">
        <v>2120</v>
      </c>
      <c r="L982" s="2" t="s">
        <v>2120</v>
      </c>
      <c r="M982" s="2" t="s">
        <v>60</v>
      </c>
      <c r="N982" s="2" t="s">
        <v>34</v>
      </c>
      <c r="O982" s="2">
        <v>12</v>
      </c>
      <c r="P982" s="2" t="str">
        <f>IF(global_freelancer_raw5[[#This Row],[No of projects ]]&lt;=5,"Entry level","Well Experienced")</f>
        <v>Well Experienced</v>
      </c>
      <c r="Q982" s="2">
        <v>2</v>
      </c>
    </row>
    <row r="983" spans="1:17" x14ac:dyDescent="0.3">
      <c r="A983" t="s">
        <v>2061</v>
      </c>
      <c r="B983" t="s">
        <v>2062</v>
      </c>
      <c r="C983" t="s">
        <v>118</v>
      </c>
      <c r="D983" s="2">
        <v>26</v>
      </c>
      <c r="E983" t="s">
        <v>128</v>
      </c>
      <c r="F983" t="s">
        <v>129</v>
      </c>
      <c r="G983" s="2" t="s">
        <v>98</v>
      </c>
      <c r="H983" s="2">
        <v>8</v>
      </c>
      <c r="I983" s="2" t="s">
        <v>162</v>
      </c>
      <c r="J983" s="2">
        <v>3.6</v>
      </c>
      <c r="K983" s="2" t="s">
        <v>23</v>
      </c>
      <c r="L983" s="2">
        <v>0.67</v>
      </c>
      <c r="M983" s="2" t="s">
        <v>60</v>
      </c>
      <c r="N983" s="2" t="s">
        <v>42</v>
      </c>
      <c r="O983" s="2">
        <v>14</v>
      </c>
      <c r="P983" s="2" t="str">
        <f>IF(global_freelancer_raw5[[#This Row],[No of projects ]]&lt;=5,"Entry level","Well Experienced")</f>
        <v>Well Experienced</v>
      </c>
      <c r="Q983" s="2">
        <v>7</v>
      </c>
    </row>
    <row r="984" spans="1:17" x14ac:dyDescent="0.3">
      <c r="A984" t="s">
        <v>2063</v>
      </c>
      <c r="B984" t="s">
        <v>2064</v>
      </c>
      <c r="C984" t="s">
        <v>97</v>
      </c>
      <c r="D984" s="2" t="s">
        <v>2119</v>
      </c>
      <c r="E984" t="s">
        <v>175</v>
      </c>
      <c r="F984" t="s">
        <v>176</v>
      </c>
      <c r="G984" s="2" t="s">
        <v>39</v>
      </c>
      <c r="H984" s="2">
        <v>0</v>
      </c>
      <c r="I984" s="2" t="s">
        <v>47</v>
      </c>
      <c r="J984" s="2">
        <v>0</v>
      </c>
      <c r="K984" s="2" t="s">
        <v>181</v>
      </c>
      <c r="L984" s="2">
        <v>0.97</v>
      </c>
      <c r="M984" s="2" t="s">
        <v>60</v>
      </c>
      <c r="N984" s="2" t="s">
        <v>25</v>
      </c>
      <c r="O984" s="2">
        <v>4</v>
      </c>
      <c r="P984" s="2" t="str">
        <f>IF(global_freelancer_raw5[[#This Row],[No of projects ]]&lt;=5,"Entry level","Well Experienced")</f>
        <v>Entry level</v>
      </c>
      <c r="Q984" s="2">
        <v>3</v>
      </c>
    </row>
    <row r="985" spans="1:17" x14ac:dyDescent="0.3">
      <c r="A985" t="s">
        <v>2065</v>
      </c>
      <c r="B985" t="s">
        <v>2066</v>
      </c>
      <c r="C985" t="s">
        <v>97</v>
      </c>
      <c r="D985" s="2">
        <v>50</v>
      </c>
      <c r="E985" t="s">
        <v>19</v>
      </c>
      <c r="F985" t="s">
        <v>20</v>
      </c>
      <c r="G985" s="2" t="s">
        <v>66</v>
      </c>
      <c r="H985" s="2">
        <v>16</v>
      </c>
      <c r="I985" s="2" t="s">
        <v>192</v>
      </c>
      <c r="J985" s="2">
        <v>4.5</v>
      </c>
      <c r="K985" s="2" t="s">
        <v>23</v>
      </c>
      <c r="L985" s="2">
        <v>69</v>
      </c>
      <c r="M985" s="2" t="s">
        <v>88</v>
      </c>
      <c r="N985" s="2" t="s">
        <v>42</v>
      </c>
      <c r="O985" s="2">
        <v>15</v>
      </c>
      <c r="P985" s="2" t="str">
        <f>IF(global_freelancer_raw5[[#This Row],[No of projects ]]&lt;=5,"Entry level","Well Experienced")</f>
        <v>Well Experienced</v>
      </c>
      <c r="Q985" s="2">
        <v>11</v>
      </c>
    </row>
    <row r="986" spans="1:17" x14ac:dyDescent="0.3">
      <c r="A986" t="s">
        <v>2067</v>
      </c>
      <c r="B986" t="s">
        <v>2068</v>
      </c>
      <c r="C986" t="s">
        <v>118</v>
      </c>
      <c r="D986" s="2">
        <v>48</v>
      </c>
      <c r="E986" t="s">
        <v>175</v>
      </c>
      <c r="F986" t="s">
        <v>176</v>
      </c>
      <c r="G986" s="2" t="s">
        <v>46</v>
      </c>
      <c r="H986" s="2">
        <v>8</v>
      </c>
      <c r="I986" s="2" t="s">
        <v>40</v>
      </c>
      <c r="J986" s="2" t="s">
        <v>2120</v>
      </c>
      <c r="K986" s="2" t="s">
        <v>33</v>
      </c>
      <c r="L986" s="2">
        <v>0.73</v>
      </c>
      <c r="M986" s="2" t="s">
        <v>60</v>
      </c>
      <c r="N986" s="2" t="s">
        <v>34</v>
      </c>
      <c r="O986" s="2">
        <v>6</v>
      </c>
      <c r="P986" s="2" t="str">
        <f>IF(global_freelancer_raw5[[#This Row],[No of projects ]]&lt;=5,"Entry level","Well Experienced")</f>
        <v>Well Experienced</v>
      </c>
      <c r="Q986" s="2">
        <v>7</v>
      </c>
    </row>
    <row r="987" spans="1:17" x14ac:dyDescent="0.3">
      <c r="A987" t="s">
        <v>2069</v>
      </c>
      <c r="B987" t="s">
        <v>2070</v>
      </c>
      <c r="C987" t="s">
        <v>118</v>
      </c>
      <c r="D987" s="2">
        <v>60</v>
      </c>
      <c r="E987" t="s">
        <v>212</v>
      </c>
      <c r="F987" t="s">
        <v>92</v>
      </c>
      <c r="G987" s="2" t="s">
        <v>21</v>
      </c>
      <c r="H987" s="2">
        <v>39</v>
      </c>
      <c r="I987" s="2" t="s">
        <v>162</v>
      </c>
      <c r="J987" s="2">
        <v>1.4</v>
      </c>
      <c r="K987" s="2" t="s">
        <v>74</v>
      </c>
      <c r="L987" s="2">
        <v>0.86</v>
      </c>
      <c r="M987" s="2" t="s">
        <v>60</v>
      </c>
      <c r="N987" s="2" t="s">
        <v>25</v>
      </c>
      <c r="O987" s="2">
        <v>20</v>
      </c>
      <c r="P987" s="2" t="str">
        <f>IF(global_freelancer_raw5[[#This Row],[No of projects ]]&lt;=5,"Entry level","Well Experienced")</f>
        <v>Well Experienced</v>
      </c>
      <c r="Q987" s="2">
        <v>12</v>
      </c>
    </row>
    <row r="988" spans="1:17" x14ac:dyDescent="0.3">
      <c r="A988" t="s">
        <v>2071</v>
      </c>
      <c r="B988" t="s">
        <v>2072</v>
      </c>
      <c r="C988" t="s">
        <v>118</v>
      </c>
      <c r="D988" s="2">
        <v>26</v>
      </c>
      <c r="E988" t="s">
        <v>160</v>
      </c>
      <c r="F988" t="s">
        <v>161</v>
      </c>
      <c r="G988" s="2" t="s">
        <v>135</v>
      </c>
      <c r="H988" s="2" t="s">
        <v>2120</v>
      </c>
      <c r="I988" s="2" t="s">
        <v>40</v>
      </c>
      <c r="J988" s="2">
        <v>0</v>
      </c>
      <c r="K988" s="2" t="s">
        <v>87</v>
      </c>
      <c r="L988" s="2">
        <v>81</v>
      </c>
      <c r="M988" s="2" t="s">
        <v>24</v>
      </c>
      <c r="N988" s="2" t="s">
        <v>34</v>
      </c>
      <c r="O988" s="2">
        <v>4</v>
      </c>
      <c r="P988" s="2" t="str">
        <f>IF(global_freelancer_raw5[[#This Row],[No of projects ]]&lt;=5,"Entry level","Well Experienced")</f>
        <v>Entry level</v>
      </c>
      <c r="Q988" s="2">
        <v>1</v>
      </c>
    </row>
    <row r="989" spans="1:17" x14ac:dyDescent="0.3">
      <c r="A989" t="s">
        <v>2073</v>
      </c>
      <c r="B989" t="s">
        <v>2074</v>
      </c>
      <c r="C989" t="s">
        <v>97</v>
      </c>
      <c r="D989" s="2">
        <v>35</v>
      </c>
      <c r="E989" t="s">
        <v>133</v>
      </c>
      <c r="F989" t="s">
        <v>134</v>
      </c>
      <c r="G989" s="2" t="s">
        <v>39</v>
      </c>
      <c r="H989" s="2">
        <v>16</v>
      </c>
      <c r="I989" s="2" t="s">
        <v>32</v>
      </c>
      <c r="J989" s="2">
        <v>4.3</v>
      </c>
      <c r="K989" s="2" t="s">
        <v>33</v>
      </c>
      <c r="L989" s="2">
        <v>0.74</v>
      </c>
      <c r="M989" s="2" t="s">
        <v>88</v>
      </c>
      <c r="N989" s="2" t="s">
        <v>42</v>
      </c>
      <c r="O989" s="2">
        <v>13</v>
      </c>
      <c r="P989" s="2" t="str">
        <f>IF(global_freelancer_raw5[[#This Row],[No of projects ]]&lt;=5,"Entry level","Well Experienced")</f>
        <v>Well Experienced</v>
      </c>
      <c r="Q989" s="2">
        <v>3</v>
      </c>
    </row>
    <row r="990" spans="1:17" x14ac:dyDescent="0.3">
      <c r="A990" t="s">
        <v>2075</v>
      </c>
      <c r="B990" t="s">
        <v>2076</v>
      </c>
      <c r="C990" t="s">
        <v>118</v>
      </c>
      <c r="D990" s="2">
        <v>23</v>
      </c>
      <c r="E990" t="s">
        <v>73</v>
      </c>
      <c r="F990" t="s">
        <v>30</v>
      </c>
      <c r="G990" s="2" t="s">
        <v>21</v>
      </c>
      <c r="H990" s="2">
        <v>4</v>
      </c>
      <c r="I990" s="2" t="s">
        <v>251</v>
      </c>
      <c r="J990" s="2">
        <v>2.2000000000000002</v>
      </c>
      <c r="K990" s="2" t="s">
        <v>33</v>
      </c>
      <c r="L990" s="2">
        <v>64</v>
      </c>
      <c r="M990" s="2" t="s">
        <v>88</v>
      </c>
      <c r="N990" s="2" t="s">
        <v>25</v>
      </c>
      <c r="O990" s="2">
        <v>2</v>
      </c>
      <c r="P990" s="2" t="str">
        <f>IF(global_freelancer_raw5[[#This Row],[No of projects ]]&lt;=5,"Entry level","Well Experienced")</f>
        <v>Entry level</v>
      </c>
      <c r="Q990" s="2">
        <v>3</v>
      </c>
    </row>
    <row r="991" spans="1:17" x14ac:dyDescent="0.3">
      <c r="A991" t="s">
        <v>2077</v>
      </c>
      <c r="B991" t="s">
        <v>2078</v>
      </c>
      <c r="C991" t="s">
        <v>118</v>
      </c>
      <c r="D991" s="2">
        <v>37</v>
      </c>
      <c r="E991" t="s">
        <v>29</v>
      </c>
      <c r="F991" t="s">
        <v>30</v>
      </c>
      <c r="G991" s="2" t="s">
        <v>39</v>
      </c>
      <c r="H991" s="2">
        <v>4</v>
      </c>
      <c r="I991" s="2" t="s">
        <v>103</v>
      </c>
      <c r="J991" s="2">
        <v>3.2</v>
      </c>
      <c r="K991" s="2" t="s">
        <v>59</v>
      </c>
      <c r="L991" s="2">
        <v>0.76</v>
      </c>
      <c r="M991" s="2" t="s">
        <v>82</v>
      </c>
      <c r="N991" s="2" t="s">
        <v>42</v>
      </c>
      <c r="O991" s="2">
        <v>5</v>
      </c>
      <c r="P991" s="2" t="str">
        <f>IF(global_freelancer_raw5[[#This Row],[No of projects ]]&lt;=5,"Entry level","Well Experienced")</f>
        <v>Entry level</v>
      </c>
      <c r="Q991" s="2">
        <v>1</v>
      </c>
    </row>
    <row r="992" spans="1:17" x14ac:dyDescent="0.3">
      <c r="A992" t="s">
        <v>2079</v>
      </c>
      <c r="B992" t="s">
        <v>2080</v>
      </c>
      <c r="C992" t="s">
        <v>97</v>
      </c>
      <c r="D992" s="2">
        <v>21</v>
      </c>
      <c r="E992" t="s">
        <v>91</v>
      </c>
      <c r="F992" t="s">
        <v>92</v>
      </c>
      <c r="G992" s="2" t="s">
        <v>57</v>
      </c>
      <c r="H992" s="2">
        <v>2</v>
      </c>
      <c r="I992" s="2" t="s">
        <v>22</v>
      </c>
      <c r="J992" s="2">
        <v>3.7</v>
      </c>
      <c r="K992" s="2" t="s">
        <v>87</v>
      </c>
      <c r="L992" s="2">
        <v>73</v>
      </c>
      <c r="M992" s="2" t="s">
        <v>88</v>
      </c>
      <c r="N992" s="2" t="s">
        <v>34</v>
      </c>
      <c r="O992" s="2">
        <v>2</v>
      </c>
      <c r="P992" s="2" t="str">
        <f>IF(global_freelancer_raw5[[#This Row],[No of projects ]]&lt;=5,"Entry level","Well Experienced")</f>
        <v>Entry level</v>
      </c>
      <c r="Q992" s="2">
        <v>3</v>
      </c>
    </row>
    <row r="993" spans="1:17" x14ac:dyDescent="0.3">
      <c r="A993" t="s">
        <v>2081</v>
      </c>
      <c r="B993" t="s">
        <v>2082</v>
      </c>
      <c r="C993" t="s">
        <v>97</v>
      </c>
      <c r="D993" s="2">
        <v>58</v>
      </c>
      <c r="E993" t="s">
        <v>38</v>
      </c>
      <c r="F993" t="s">
        <v>38</v>
      </c>
      <c r="G993" s="2" t="s">
        <v>93</v>
      </c>
      <c r="H993" s="2">
        <v>37</v>
      </c>
      <c r="I993" s="2" t="s">
        <v>119</v>
      </c>
      <c r="J993" s="2">
        <v>4.9000000000000004</v>
      </c>
      <c r="K993" s="2" t="s">
        <v>59</v>
      </c>
      <c r="L993" s="2">
        <v>0.69</v>
      </c>
      <c r="M993" s="2" t="s">
        <v>88</v>
      </c>
      <c r="N993" s="2" t="s">
        <v>34</v>
      </c>
      <c r="O993" s="2">
        <v>16</v>
      </c>
      <c r="P993" s="2" t="str">
        <f>IF(global_freelancer_raw5[[#This Row],[No of projects ]]&lt;=5,"Entry level","Well Experienced")</f>
        <v>Well Experienced</v>
      </c>
      <c r="Q993" s="2">
        <v>2</v>
      </c>
    </row>
    <row r="994" spans="1:17" x14ac:dyDescent="0.3">
      <c r="A994" t="s">
        <v>2083</v>
      </c>
      <c r="B994" t="s">
        <v>2084</v>
      </c>
      <c r="C994" t="s">
        <v>97</v>
      </c>
      <c r="D994" s="2">
        <v>52</v>
      </c>
      <c r="E994" t="s">
        <v>64</v>
      </c>
      <c r="F994" t="s">
        <v>65</v>
      </c>
      <c r="G994" s="2" t="s">
        <v>31</v>
      </c>
      <c r="H994" s="2">
        <v>32</v>
      </c>
      <c r="I994" s="2" t="s">
        <v>192</v>
      </c>
      <c r="J994" s="2">
        <v>3.2</v>
      </c>
      <c r="K994" s="2" t="s">
        <v>23</v>
      </c>
      <c r="L994" s="2">
        <v>0.79</v>
      </c>
      <c r="M994" s="2" t="s">
        <v>82</v>
      </c>
      <c r="N994" s="2" t="s">
        <v>42</v>
      </c>
      <c r="O994" s="2">
        <v>20</v>
      </c>
      <c r="P994" s="2" t="str">
        <f>IF(global_freelancer_raw5[[#This Row],[No of projects ]]&lt;=5,"Entry level","Well Experienced")</f>
        <v>Well Experienced</v>
      </c>
      <c r="Q994" s="2">
        <v>7</v>
      </c>
    </row>
    <row r="995" spans="1:17" x14ac:dyDescent="0.3">
      <c r="A995" t="s">
        <v>2085</v>
      </c>
      <c r="B995" t="s">
        <v>2086</v>
      </c>
      <c r="C995" t="s">
        <v>118</v>
      </c>
      <c r="D995" s="2">
        <v>46</v>
      </c>
      <c r="E995" t="s">
        <v>145</v>
      </c>
      <c r="F995" t="s">
        <v>146</v>
      </c>
      <c r="G995" s="2" t="s">
        <v>31</v>
      </c>
      <c r="H995" s="2">
        <v>8</v>
      </c>
      <c r="I995" s="2" t="s">
        <v>162</v>
      </c>
      <c r="J995" s="2">
        <v>2.2000000000000002</v>
      </c>
      <c r="K995" s="2" t="s">
        <v>2120</v>
      </c>
      <c r="L995" s="2">
        <v>89</v>
      </c>
      <c r="M995" s="2" t="s">
        <v>88</v>
      </c>
      <c r="N995" s="2" t="s">
        <v>25</v>
      </c>
      <c r="O995" s="2">
        <v>7</v>
      </c>
      <c r="P995" s="2" t="str">
        <f>IF(global_freelancer_raw5[[#This Row],[No of projects ]]&lt;=5,"Entry level","Well Experienced")</f>
        <v>Well Experienced</v>
      </c>
      <c r="Q995" s="2">
        <v>13</v>
      </c>
    </row>
    <row r="996" spans="1:17" x14ac:dyDescent="0.3">
      <c r="A996" t="s">
        <v>2087</v>
      </c>
      <c r="B996" t="s">
        <v>2088</v>
      </c>
      <c r="C996" t="s">
        <v>97</v>
      </c>
      <c r="D996" s="2">
        <v>34</v>
      </c>
      <c r="E996" t="s">
        <v>175</v>
      </c>
      <c r="F996" t="s">
        <v>176</v>
      </c>
      <c r="G996" s="2" t="s">
        <v>110</v>
      </c>
      <c r="H996" s="2">
        <v>8</v>
      </c>
      <c r="I996" s="2" t="s">
        <v>52</v>
      </c>
      <c r="J996" s="2">
        <v>3.9</v>
      </c>
      <c r="K996" s="2" t="s">
        <v>94</v>
      </c>
      <c r="L996" s="2">
        <v>0.95</v>
      </c>
      <c r="M996" s="2" t="s">
        <v>88</v>
      </c>
      <c r="N996" s="2" t="s">
        <v>42</v>
      </c>
      <c r="O996" s="2">
        <v>10</v>
      </c>
      <c r="P996" s="2" t="str">
        <f>IF(global_freelancer_raw5[[#This Row],[No of projects ]]&lt;=5,"Entry level","Well Experienced")</f>
        <v>Well Experienced</v>
      </c>
      <c r="Q996" s="2">
        <v>3</v>
      </c>
    </row>
    <row r="997" spans="1:17" x14ac:dyDescent="0.3">
      <c r="A997" t="s">
        <v>2089</v>
      </c>
      <c r="B997" t="s">
        <v>2090</v>
      </c>
      <c r="C997" t="s">
        <v>118</v>
      </c>
      <c r="D997" s="2">
        <v>56</v>
      </c>
      <c r="E997" t="s">
        <v>79</v>
      </c>
      <c r="F997" t="s">
        <v>80</v>
      </c>
      <c r="G997" s="2" t="s">
        <v>110</v>
      </c>
      <c r="H997" s="2">
        <v>13</v>
      </c>
      <c r="I997" s="2" t="s">
        <v>22</v>
      </c>
      <c r="J997" s="2">
        <v>0</v>
      </c>
      <c r="K997" s="2" t="s">
        <v>181</v>
      </c>
      <c r="L997" s="2">
        <v>0.68</v>
      </c>
      <c r="M997" s="2" t="s">
        <v>88</v>
      </c>
      <c r="N997" s="2" t="s">
        <v>34</v>
      </c>
      <c r="O997" s="2">
        <v>8</v>
      </c>
      <c r="P997" s="2" t="str">
        <f>IF(global_freelancer_raw5[[#This Row],[No of projects ]]&lt;=5,"Entry level","Well Experienced")</f>
        <v>Well Experienced</v>
      </c>
      <c r="Q997" s="2">
        <v>3</v>
      </c>
    </row>
    <row r="998" spans="1:17" x14ac:dyDescent="0.3">
      <c r="A998" t="s">
        <v>2091</v>
      </c>
      <c r="B998" t="s">
        <v>2092</v>
      </c>
      <c r="C998" t="s">
        <v>97</v>
      </c>
      <c r="D998" s="2">
        <v>26</v>
      </c>
      <c r="E998" t="s">
        <v>38</v>
      </c>
      <c r="F998" t="s">
        <v>38</v>
      </c>
      <c r="G998" s="2" t="s">
        <v>21</v>
      </c>
      <c r="H998" s="2">
        <v>6</v>
      </c>
      <c r="I998" s="2" t="s">
        <v>70</v>
      </c>
      <c r="J998" s="2">
        <v>2.8</v>
      </c>
      <c r="K998" s="2" t="s">
        <v>41</v>
      </c>
      <c r="L998" s="2">
        <v>82</v>
      </c>
      <c r="M998" s="2" t="s">
        <v>88</v>
      </c>
      <c r="N998" s="2" t="s">
        <v>42</v>
      </c>
      <c r="O998" s="2">
        <v>6</v>
      </c>
      <c r="P998" s="2" t="str">
        <f>IF(global_freelancer_raw5[[#This Row],[No of projects ]]&lt;=5,"Entry level","Well Experienced")</f>
        <v>Well Experienced</v>
      </c>
      <c r="Q998" s="2">
        <v>11</v>
      </c>
    </row>
    <row r="999" spans="1:17" x14ac:dyDescent="0.3">
      <c r="A999" t="s">
        <v>2093</v>
      </c>
      <c r="B999" t="s">
        <v>2094</v>
      </c>
      <c r="C999" t="s">
        <v>97</v>
      </c>
      <c r="D999" s="2">
        <v>37</v>
      </c>
      <c r="E999" t="s">
        <v>106</v>
      </c>
      <c r="F999" t="s">
        <v>107</v>
      </c>
      <c r="G999" s="2" t="s">
        <v>66</v>
      </c>
      <c r="H999" s="2">
        <v>15</v>
      </c>
      <c r="I999" s="2" t="s">
        <v>103</v>
      </c>
      <c r="J999" s="2" t="s">
        <v>2120</v>
      </c>
      <c r="K999" s="2" t="s">
        <v>59</v>
      </c>
      <c r="L999" s="2">
        <v>0.94</v>
      </c>
      <c r="M999" s="2" t="s">
        <v>82</v>
      </c>
      <c r="N999" s="2" t="s">
        <v>34</v>
      </c>
      <c r="O999" s="2">
        <v>14</v>
      </c>
      <c r="P999" s="2" t="str">
        <f>IF(global_freelancer_raw5[[#This Row],[No of projects ]]&lt;=5,"Entry level","Well Experienced")</f>
        <v>Well Experienced</v>
      </c>
      <c r="Q999" s="2">
        <v>12</v>
      </c>
    </row>
    <row r="1000" spans="1:17" x14ac:dyDescent="0.3">
      <c r="A1000" t="s">
        <v>2095</v>
      </c>
      <c r="B1000" t="s">
        <v>2096</v>
      </c>
      <c r="C1000" t="s">
        <v>118</v>
      </c>
      <c r="D1000" s="2">
        <v>46</v>
      </c>
      <c r="E1000" t="s">
        <v>145</v>
      </c>
      <c r="F1000" t="s">
        <v>146</v>
      </c>
      <c r="G1000" s="2" t="s">
        <v>135</v>
      </c>
      <c r="H1000" s="2">
        <v>22</v>
      </c>
      <c r="I1000" s="2" t="s">
        <v>22</v>
      </c>
      <c r="J1000" s="2">
        <v>2.8</v>
      </c>
      <c r="K1000" s="2" t="s">
        <v>87</v>
      </c>
      <c r="L1000" s="2">
        <v>97</v>
      </c>
      <c r="M1000" s="2" t="s">
        <v>88</v>
      </c>
      <c r="N1000" s="2" t="s">
        <v>42</v>
      </c>
      <c r="O1000" s="2">
        <v>12</v>
      </c>
      <c r="P1000" s="2" t="str">
        <f>IF(global_freelancer_raw5[[#This Row],[No of projects ]]&lt;=5,"Entry level","Well Experienced")</f>
        <v>Well Experienced</v>
      </c>
      <c r="Q1000" s="2">
        <v>6</v>
      </c>
    </row>
    <row r="1001" spans="1:17" x14ac:dyDescent="0.3">
      <c r="A1001" t="s">
        <v>2097</v>
      </c>
      <c r="B1001" t="s">
        <v>2098</v>
      </c>
      <c r="C1001" t="s">
        <v>97</v>
      </c>
      <c r="D1001" s="2">
        <v>36</v>
      </c>
      <c r="E1001" t="s">
        <v>201</v>
      </c>
      <c r="F1001" t="s">
        <v>92</v>
      </c>
      <c r="G1001" s="2" t="s">
        <v>93</v>
      </c>
      <c r="H1001" s="2">
        <v>18</v>
      </c>
      <c r="I1001" s="2" t="s">
        <v>142</v>
      </c>
      <c r="J1001" s="2">
        <v>1.7</v>
      </c>
      <c r="K1001" s="2" t="s">
        <v>33</v>
      </c>
      <c r="L1001" s="2">
        <v>72</v>
      </c>
      <c r="M1001" s="2" t="s">
        <v>88</v>
      </c>
      <c r="N1001" s="2" t="s">
        <v>25</v>
      </c>
      <c r="O1001" s="2">
        <v>15</v>
      </c>
      <c r="P1001" s="2" t="str">
        <f>IF(global_freelancer_raw5[[#This Row],[No of projects ]]&lt;=5,"Entry level","Well Experienced")</f>
        <v>Well Experienced</v>
      </c>
      <c r="Q1001" s="2">
        <v>14</v>
      </c>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8B8D5-C30A-43DD-B9A9-1D2DB80C0860}">
  <dimension ref="A1:G1002"/>
  <sheetViews>
    <sheetView showGridLines="0" workbookViewId="0">
      <selection activeCell="C3" sqref="C3"/>
    </sheetView>
  </sheetViews>
  <sheetFormatPr defaultRowHeight="14.4" x14ac:dyDescent="0.3"/>
  <cols>
    <col min="1" max="1" width="13.109375" bestFit="1" customWidth="1"/>
    <col min="2" max="2" width="9.6640625" style="36" bestFit="1" customWidth="1"/>
    <col min="3" max="3" width="8.88671875" style="35"/>
    <col min="4" max="4" width="11.44140625" bestFit="1" customWidth="1"/>
  </cols>
  <sheetData>
    <row r="1" spans="1:7" x14ac:dyDescent="0.3">
      <c r="A1" s="13"/>
      <c r="B1" s="63" t="s">
        <v>2155</v>
      </c>
      <c r="C1" s="63"/>
      <c r="D1" s="38" t="s">
        <v>2156</v>
      </c>
      <c r="E1" s="64" t="s">
        <v>2158</v>
      </c>
      <c r="F1" s="64"/>
      <c r="G1" s="64"/>
    </row>
    <row r="2" spans="1:7" x14ac:dyDescent="0.3">
      <c r="A2" s="39" t="s">
        <v>2116</v>
      </c>
      <c r="B2" s="40" t="s">
        <v>2153</v>
      </c>
      <c r="C2" s="41" t="s">
        <v>2154</v>
      </c>
      <c r="D2" s="42" t="s">
        <v>2157</v>
      </c>
      <c r="E2" s="42" t="s">
        <v>2159</v>
      </c>
      <c r="F2" s="42" t="s">
        <v>2160</v>
      </c>
      <c r="G2" s="42" t="s">
        <v>2161</v>
      </c>
    </row>
    <row r="3" spans="1:7" x14ac:dyDescent="0.3">
      <c r="A3" s="43" t="s">
        <v>16</v>
      </c>
      <c r="B3" s="44" t="s">
        <v>2152</v>
      </c>
      <c r="C3" s="4">
        <v>250001</v>
      </c>
      <c r="D3" s="13" t="s">
        <v>16</v>
      </c>
      <c r="E3" s="13" t="str">
        <f>LEFT(D3,3)</f>
        <v>FL2</v>
      </c>
      <c r="F3" s="13" t="str">
        <f>MID(D3,4,2)</f>
        <v>50</v>
      </c>
      <c r="G3" s="13" t="str">
        <f>RIGHT(D3,3)</f>
        <v>001</v>
      </c>
    </row>
    <row r="4" spans="1:7" x14ac:dyDescent="0.3">
      <c r="A4" s="13" t="s">
        <v>26</v>
      </c>
      <c r="B4" s="44" t="s">
        <v>2152</v>
      </c>
      <c r="C4" s="4">
        <v>250002</v>
      </c>
      <c r="D4" s="13" t="s">
        <v>26</v>
      </c>
      <c r="E4" s="13" t="str">
        <f t="shared" ref="E4:E67" si="0">LEFT(D4,3)</f>
        <v>FL2</v>
      </c>
      <c r="F4" s="13" t="str">
        <f t="shared" ref="F4:F67" si="1">MID(D4,4,2)</f>
        <v>50</v>
      </c>
      <c r="G4" s="13" t="str">
        <f t="shared" ref="G4:G67" si="2">RIGHT(D4,3)</f>
        <v>002</v>
      </c>
    </row>
    <row r="5" spans="1:7" x14ac:dyDescent="0.3">
      <c r="A5" s="43" t="s">
        <v>35</v>
      </c>
      <c r="B5" s="44" t="s">
        <v>2152</v>
      </c>
      <c r="C5" s="4">
        <v>250003</v>
      </c>
      <c r="D5" s="13" t="s">
        <v>35</v>
      </c>
      <c r="E5" s="13" t="str">
        <f t="shared" si="0"/>
        <v>FL2</v>
      </c>
      <c r="F5" s="13" t="str">
        <f t="shared" si="1"/>
        <v>50</v>
      </c>
      <c r="G5" s="13" t="str">
        <f t="shared" si="2"/>
        <v>003</v>
      </c>
    </row>
    <row r="6" spans="1:7" x14ac:dyDescent="0.3">
      <c r="A6" s="13" t="s">
        <v>43</v>
      </c>
      <c r="B6" s="44" t="s">
        <v>2152</v>
      </c>
      <c r="C6" s="4">
        <v>250004</v>
      </c>
      <c r="D6" s="13" t="s">
        <v>43</v>
      </c>
      <c r="E6" s="13" t="str">
        <f t="shared" si="0"/>
        <v>FL2</v>
      </c>
      <c r="F6" s="13" t="str">
        <f t="shared" si="1"/>
        <v>50</v>
      </c>
      <c r="G6" s="13" t="str">
        <f t="shared" si="2"/>
        <v>004</v>
      </c>
    </row>
    <row r="7" spans="1:7" x14ac:dyDescent="0.3">
      <c r="A7" s="43" t="s">
        <v>48</v>
      </c>
      <c r="B7" s="44" t="s">
        <v>2152</v>
      </c>
      <c r="C7" s="4">
        <v>250005</v>
      </c>
      <c r="D7" s="13" t="s">
        <v>48</v>
      </c>
      <c r="E7" s="13" t="str">
        <f t="shared" si="0"/>
        <v>FL2</v>
      </c>
      <c r="F7" s="13" t="str">
        <f t="shared" si="1"/>
        <v>50</v>
      </c>
      <c r="G7" s="13" t="str">
        <f t="shared" si="2"/>
        <v>005</v>
      </c>
    </row>
    <row r="8" spans="1:7" x14ac:dyDescent="0.3">
      <c r="A8" s="13" t="s">
        <v>53</v>
      </c>
      <c r="B8" s="44" t="s">
        <v>2152</v>
      </c>
      <c r="C8" s="4">
        <v>250006</v>
      </c>
      <c r="D8" s="13" t="s">
        <v>53</v>
      </c>
      <c r="E8" s="13" t="str">
        <f t="shared" si="0"/>
        <v>FL2</v>
      </c>
      <c r="F8" s="13" t="str">
        <f t="shared" si="1"/>
        <v>50</v>
      </c>
      <c r="G8" s="13" t="str">
        <f t="shared" si="2"/>
        <v>006</v>
      </c>
    </row>
    <row r="9" spans="1:7" x14ac:dyDescent="0.3">
      <c r="A9" s="43" t="s">
        <v>61</v>
      </c>
      <c r="B9" s="44" t="s">
        <v>2152</v>
      </c>
      <c r="C9" s="4">
        <v>250007</v>
      </c>
      <c r="D9" s="13" t="s">
        <v>61</v>
      </c>
      <c r="E9" s="13" t="str">
        <f t="shared" si="0"/>
        <v>FL2</v>
      </c>
      <c r="F9" s="13" t="str">
        <f t="shared" si="1"/>
        <v>50</v>
      </c>
      <c r="G9" s="13" t="str">
        <f t="shared" si="2"/>
        <v>007</v>
      </c>
    </row>
    <row r="10" spans="1:7" x14ac:dyDescent="0.3">
      <c r="A10" s="13" t="s">
        <v>68</v>
      </c>
      <c r="B10" s="44" t="s">
        <v>2152</v>
      </c>
      <c r="C10" s="4">
        <v>250008</v>
      </c>
      <c r="D10" s="13" t="s">
        <v>68</v>
      </c>
      <c r="E10" s="13" t="str">
        <f t="shared" si="0"/>
        <v>FL2</v>
      </c>
      <c r="F10" s="13" t="str">
        <f t="shared" si="1"/>
        <v>50</v>
      </c>
      <c r="G10" s="13" t="str">
        <f t="shared" si="2"/>
        <v>008</v>
      </c>
    </row>
    <row r="11" spans="1:7" x14ac:dyDescent="0.3">
      <c r="A11" s="43" t="s">
        <v>71</v>
      </c>
      <c r="B11" s="44" t="s">
        <v>2152</v>
      </c>
      <c r="C11" s="4">
        <v>250009</v>
      </c>
      <c r="D11" s="13" t="s">
        <v>71</v>
      </c>
      <c r="E11" s="13" t="str">
        <f t="shared" si="0"/>
        <v>FL2</v>
      </c>
      <c r="F11" s="13" t="str">
        <f t="shared" si="1"/>
        <v>50</v>
      </c>
      <c r="G11" s="13" t="str">
        <f t="shared" si="2"/>
        <v>009</v>
      </c>
    </row>
    <row r="12" spans="1:7" x14ac:dyDescent="0.3">
      <c r="A12" s="13" t="s">
        <v>76</v>
      </c>
      <c r="B12" s="44" t="s">
        <v>2152</v>
      </c>
      <c r="C12" s="4">
        <v>250010</v>
      </c>
      <c r="D12" s="13" t="s">
        <v>76</v>
      </c>
      <c r="E12" s="13" t="str">
        <f t="shared" si="0"/>
        <v>FL2</v>
      </c>
      <c r="F12" s="13" t="str">
        <f t="shared" si="1"/>
        <v>50</v>
      </c>
      <c r="G12" s="13" t="str">
        <f t="shared" si="2"/>
        <v>010</v>
      </c>
    </row>
    <row r="13" spans="1:7" x14ac:dyDescent="0.3">
      <c r="A13" s="43" t="s">
        <v>83</v>
      </c>
      <c r="B13" s="44" t="s">
        <v>2152</v>
      </c>
      <c r="C13" s="4">
        <v>250011</v>
      </c>
      <c r="D13" s="13" t="s">
        <v>83</v>
      </c>
      <c r="E13" s="13" t="str">
        <f t="shared" si="0"/>
        <v>FL2</v>
      </c>
      <c r="F13" s="13" t="str">
        <f t="shared" si="1"/>
        <v>50</v>
      </c>
      <c r="G13" s="13" t="str">
        <f t="shared" si="2"/>
        <v>011</v>
      </c>
    </row>
    <row r="14" spans="1:7" x14ac:dyDescent="0.3">
      <c r="A14" s="13" t="s">
        <v>89</v>
      </c>
      <c r="B14" s="44" t="s">
        <v>2152</v>
      </c>
      <c r="C14" s="4">
        <v>250012</v>
      </c>
      <c r="D14" s="13" t="s">
        <v>89</v>
      </c>
      <c r="E14" s="13" t="str">
        <f t="shared" si="0"/>
        <v>FL2</v>
      </c>
      <c r="F14" s="13" t="str">
        <f t="shared" si="1"/>
        <v>50</v>
      </c>
      <c r="G14" s="13" t="str">
        <f t="shared" si="2"/>
        <v>012</v>
      </c>
    </row>
    <row r="15" spans="1:7" x14ac:dyDescent="0.3">
      <c r="A15" s="43" t="s">
        <v>95</v>
      </c>
      <c r="B15" s="44" t="s">
        <v>2152</v>
      </c>
      <c r="C15" s="4">
        <v>250013</v>
      </c>
      <c r="D15" s="13" t="s">
        <v>95</v>
      </c>
      <c r="E15" s="13" t="str">
        <f t="shared" si="0"/>
        <v>FL2</v>
      </c>
      <c r="F15" s="13" t="str">
        <f t="shared" si="1"/>
        <v>50</v>
      </c>
      <c r="G15" s="13" t="str">
        <f t="shared" si="2"/>
        <v>013</v>
      </c>
    </row>
    <row r="16" spans="1:7" x14ac:dyDescent="0.3">
      <c r="A16" s="13" t="s">
        <v>99</v>
      </c>
      <c r="B16" s="44" t="s">
        <v>2152</v>
      </c>
      <c r="C16" s="4">
        <v>250014</v>
      </c>
      <c r="D16" s="13" t="s">
        <v>99</v>
      </c>
      <c r="E16" s="13" t="str">
        <f t="shared" si="0"/>
        <v>FL2</v>
      </c>
      <c r="F16" s="13" t="str">
        <f t="shared" si="1"/>
        <v>50</v>
      </c>
      <c r="G16" s="13" t="str">
        <f t="shared" si="2"/>
        <v>014</v>
      </c>
    </row>
    <row r="17" spans="1:7" x14ac:dyDescent="0.3">
      <c r="A17" s="43" t="s">
        <v>101</v>
      </c>
      <c r="B17" s="44" t="s">
        <v>2152</v>
      </c>
      <c r="C17" s="4">
        <v>250015</v>
      </c>
      <c r="D17" s="13" t="s">
        <v>101</v>
      </c>
      <c r="E17" s="13" t="str">
        <f t="shared" si="0"/>
        <v>FL2</v>
      </c>
      <c r="F17" s="13" t="str">
        <f t="shared" si="1"/>
        <v>50</v>
      </c>
      <c r="G17" s="13" t="str">
        <f t="shared" si="2"/>
        <v>015</v>
      </c>
    </row>
    <row r="18" spans="1:7" x14ac:dyDescent="0.3">
      <c r="A18" s="13" t="s">
        <v>104</v>
      </c>
      <c r="B18" s="44" t="s">
        <v>2152</v>
      </c>
      <c r="C18" s="4">
        <v>250016</v>
      </c>
      <c r="D18" s="13" t="s">
        <v>104</v>
      </c>
      <c r="E18" s="13" t="str">
        <f t="shared" si="0"/>
        <v>FL2</v>
      </c>
      <c r="F18" s="13" t="str">
        <f t="shared" si="1"/>
        <v>50</v>
      </c>
      <c r="G18" s="13" t="str">
        <f t="shared" si="2"/>
        <v>016</v>
      </c>
    </row>
    <row r="19" spans="1:7" x14ac:dyDescent="0.3">
      <c r="A19" s="43" t="s">
        <v>108</v>
      </c>
      <c r="B19" s="44" t="s">
        <v>2152</v>
      </c>
      <c r="C19" s="4">
        <v>250017</v>
      </c>
      <c r="D19" s="13" t="s">
        <v>108</v>
      </c>
      <c r="E19" s="13" t="str">
        <f t="shared" si="0"/>
        <v>FL2</v>
      </c>
      <c r="F19" s="13" t="str">
        <f t="shared" si="1"/>
        <v>50</v>
      </c>
      <c r="G19" s="13" t="str">
        <f t="shared" si="2"/>
        <v>017</v>
      </c>
    </row>
    <row r="20" spans="1:7" x14ac:dyDescent="0.3">
      <c r="A20" s="13" t="s">
        <v>111</v>
      </c>
      <c r="B20" s="44" t="s">
        <v>2152</v>
      </c>
      <c r="C20" s="4">
        <v>250018</v>
      </c>
      <c r="D20" s="13" t="s">
        <v>111</v>
      </c>
      <c r="E20" s="13" t="str">
        <f t="shared" si="0"/>
        <v>FL2</v>
      </c>
      <c r="F20" s="13" t="str">
        <f t="shared" si="1"/>
        <v>50</v>
      </c>
      <c r="G20" s="13" t="str">
        <f t="shared" si="2"/>
        <v>018</v>
      </c>
    </row>
    <row r="21" spans="1:7" x14ac:dyDescent="0.3">
      <c r="A21" s="43" t="s">
        <v>116</v>
      </c>
      <c r="B21" s="44" t="s">
        <v>2152</v>
      </c>
      <c r="C21" s="4">
        <v>250019</v>
      </c>
      <c r="D21" s="13" t="s">
        <v>116</v>
      </c>
      <c r="E21" s="13" t="str">
        <f t="shared" si="0"/>
        <v>FL2</v>
      </c>
      <c r="F21" s="13" t="str">
        <f t="shared" si="1"/>
        <v>50</v>
      </c>
      <c r="G21" s="13" t="str">
        <f t="shared" si="2"/>
        <v>019</v>
      </c>
    </row>
    <row r="22" spans="1:7" x14ac:dyDescent="0.3">
      <c r="A22" s="13" t="s">
        <v>120</v>
      </c>
      <c r="B22" s="44" t="s">
        <v>2152</v>
      </c>
      <c r="C22" s="4">
        <v>250020</v>
      </c>
      <c r="D22" s="13" t="s">
        <v>120</v>
      </c>
      <c r="E22" s="13" t="str">
        <f t="shared" si="0"/>
        <v>FL2</v>
      </c>
      <c r="F22" s="13" t="str">
        <f t="shared" si="1"/>
        <v>50</v>
      </c>
      <c r="G22" s="13" t="str">
        <f t="shared" si="2"/>
        <v>020</v>
      </c>
    </row>
    <row r="23" spans="1:7" x14ac:dyDescent="0.3">
      <c r="A23" s="43" t="s">
        <v>122</v>
      </c>
      <c r="B23" s="44" t="s">
        <v>2152</v>
      </c>
      <c r="C23" s="4">
        <v>250021</v>
      </c>
      <c r="D23" s="13" t="s">
        <v>122</v>
      </c>
      <c r="E23" s="13" t="str">
        <f t="shared" si="0"/>
        <v>FL2</v>
      </c>
      <c r="F23" s="13" t="str">
        <f t="shared" si="1"/>
        <v>50</v>
      </c>
      <c r="G23" s="13" t="str">
        <f t="shared" si="2"/>
        <v>021</v>
      </c>
    </row>
    <row r="24" spans="1:7" x14ac:dyDescent="0.3">
      <c r="A24" s="13" t="s">
        <v>124</v>
      </c>
      <c r="B24" s="44" t="s">
        <v>2152</v>
      </c>
      <c r="C24" s="4">
        <v>250022</v>
      </c>
      <c r="D24" s="13" t="s">
        <v>124</v>
      </c>
      <c r="E24" s="13" t="str">
        <f t="shared" si="0"/>
        <v>FL2</v>
      </c>
      <c r="F24" s="13" t="str">
        <f t="shared" si="1"/>
        <v>50</v>
      </c>
      <c r="G24" s="13" t="str">
        <f t="shared" si="2"/>
        <v>022</v>
      </c>
    </row>
    <row r="25" spans="1:7" x14ac:dyDescent="0.3">
      <c r="A25" s="43" t="s">
        <v>126</v>
      </c>
      <c r="B25" s="44" t="s">
        <v>2152</v>
      </c>
      <c r="C25" s="4">
        <v>250023</v>
      </c>
      <c r="D25" s="13" t="s">
        <v>126</v>
      </c>
      <c r="E25" s="13" t="str">
        <f t="shared" si="0"/>
        <v>FL2</v>
      </c>
      <c r="F25" s="13" t="str">
        <f t="shared" si="1"/>
        <v>50</v>
      </c>
      <c r="G25" s="13" t="str">
        <f t="shared" si="2"/>
        <v>023</v>
      </c>
    </row>
    <row r="26" spans="1:7" x14ac:dyDescent="0.3">
      <c r="A26" s="13" t="s">
        <v>131</v>
      </c>
      <c r="B26" s="44" t="s">
        <v>2152</v>
      </c>
      <c r="C26" s="4">
        <v>250024</v>
      </c>
      <c r="D26" s="13" t="s">
        <v>131</v>
      </c>
      <c r="E26" s="13" t="str">
        <f t="shared" si="0"/>
        <v>FL2</v>
      </c>
      <c r="F26" s="13" t="str">
        <f t="shared" si="1"/>
        <v>50</v>
      </c>
      <c r="G26" s="13" t="str">
        <f t="shared" si="2"/>
        <v>024</v>
      </c>
    </row>
    <row r="27" spans="1:7" x14ac:dyDescent="0.3">
      <c r="A27" s="43" t="s">
        <v>136</v>
      </c>
      <c r="B27" s="44" t="s">
        <v>2152</v>
      </c>
      <c r="C27" s="4">
        <v>250025</v>
      </c>
      <c r="D27" s="13" t="s">
        <v>136</v>
      </c>
      <c r="E27" s="13" t="str">
        <f t="shared" si="0"/>
        <v>FL2</v>
      </c>
      <c r="F27" s="13" t="str">
        <f t="shared" si="1"/>
        <v>50</v>
      </c>
      <c r="G27" s="13" t="str">
        <f t="shared" si="2"/>
        <v>025</v>
      </c>
    </row>
    <row r="28" spans="1:7" x14ac:dyDescent="0.3">
      <c r="A28" s="13" t="s">
        <v>138</v>
      </c>
      <c r="B28" s="44" t="s">
        <v>2152</v>
      </c>
      <c r="C28" s="4">
        <v>250026</v>
      </c>
      <c r="D28" s="13" t="s">
        <v>138</v>
      </c>
      <c r="E28" s="13" t="str">
        <f t="shared" si="0"/>
        <v>FL2</v>
      </c>
      <c r="F28" s="13" t="str">
        <f t="shared" si="1"/>
        <v>50</v>
      </c>
      <c r="G28" s="13" t="str">
        <f t="shared" si="2"/>
        <v>026</v>
      </c>
    </row>
    <row r="29" spans="1:7" x14ac:dyDescent="0.3">
      <c r="A29" s="43" t="s">
        <v>140</v>
      </c>
      <c r="B29" s="44" t="s">
        <v>2152</v>
      </c>
      <c r="C29" s="4">
        <v>250027</v>
      </c>
      <c r="D29" s="13" t="s">
        <v>140</v>
      </c>
      <c r="E29" s="13" t="str">
        <f t="shared" si="0"/>
        <v>FL2</v>
      </c>
      <c r="F29" s="13" t="str">
        <f t="shared" si="1"/>
        <v>50</v>
      </c>
      <c r="G29" s="13" t="str">
        <f t="shared" si="2"/>
        <v>027</v>
      </c>
    </row>
    <row r="30" spans="1:7" x14ac:dyDescent="0.3">
      <c r="A30" s="13" t="s">
        <v>143</v>
      </c>
      <c r="B30" s="44" t="s">
        <v>2152</v>
      </c>
      <c r="C30" s="4">
        <v>250028</v>
      </c>
      <c r="D30" s="13" t="s">
        <v>143</v>
      </c>
      <c r="E30" s="13" t="str">
        <f t="shared" si="0"/>
        <v>FL2</v>
      </c>
      <c r="F30" s="13" t="str">
        <f t="shared" si="1"/>
        <v>50</v>
      </c>
      <c r="G30" s="13" t="str">
        <f t="shared" si="2"/>
        <v>028</v>
      </c>
    </row>
    <row r="31" spans="1:7" x14ac:dyDescent="0.3">
      <c r="A31" s="43" t="s">
        <v>147</v>
      </c>
      <c r="B31" s="44" t="s">
        <v>2152</v>
      </c>
      <c r="C31" s="4">
        <v>250029</v>
      </c>
      <c r="D31" s="13" t="s">
        <v>147</v>
      </c>
      <c r="E31" s="13" t="str">
        <f t="shared" si="0"/>
        <v>FL2</v>
      </c>
      <c r="F31" s="13" t="str">
        <f t="shared" si="1"/>
        <v>50</v>
      </c>
      <c r="G31" s="13" t="str">
        <f t="shared" si="2"/>
        <v>029</v>
      </c>
    </row>
    <row r="32" spans="1:7" x14ac:dyDescent="0.3">
      <c r="A32" s="13" t="s">
        <v>150</v>
      </c>
      <c r="B32" s="44" t="s">
        <v>2152</v>
      </c>
      <c r="C32" s="4">
        <v>250030</v>
      </c>
      <c r="D32" s="13" t="s">
        <v>150</v>
      </c>
      <c r="E32" s="13" t="str">
        <f t="shared" si="0"/>
        <v>FL2</v>
      </c>
      <c r="F32" s="13" t="str">
        <f t="shared" si="1"/>
        <v>50</v>
      </c>
      <c r="G32" s="13" t="str">
        <f t="shared" si="2"/>
        <v>030</v>
      </c>
    </row>
    <row r="33" spans="1:7" x14ac:dyDescent="0.3">
      <c r="A33" s="43" t="s">
        <v>152</v>
      </c>
      <c r="B33" s="44" t="s">
        <v>2152</v>
      </c>
      <c r="C33" s="4">
        <v>250031</v>
      </c>
      <c r="D33" s="13" t="s">
        <v>152</v>
      </c>
      <c r="E33" s="13" t="str">
        <f t="shared" si="0"/>
        <v>FL2</v>
      </c>
      <c r="F33" s="13" t="str">
        <f t="shared" si="1"/>
        <v>50</v>
      </c>
      <c r="G33" s="13" t="str">
        <f t="shared" si="2"/>
        <v>031</v>
      </c>
    </row>
    <row r="34" spans="1:7" x14ac:dyDescent="0.3">
      <c r="A34" s="13" t="s">
        <v>154</v>
      </c>
      <c r="B34" s="44" t="s">
        <v>2152</v>
      </c>
      <c r="C34" s="4">
        <v>250032</v>
      </c>
      <c r="D34" s="13" t="s">
        <v>154</v>
      </c>
      <c r="E34" s="13" t="str">
        <f t="shared" si="0"/>
        <v>FL2</v>
      </c>
      <c r="F34" s="13" t="str">
        <f t="shared" si="1"/>
        <v>50</v>
      </c>
      <c r="G34" s="13" t="str">
        <f t="shared" si="2"/>
        <v>032</v>
      </c>
    </row>
    <row r="35" spans="1:7" x14ac:dyDescent="0.3">
      <c r="A35" s="43" t="s">
        <v>158</v>
      </c>
      <c r="B35" s="44" t="s">
        <v>2152</v>
      </c>
      <c r="C35" s="4">
        <v>250033</v>
      </c>
      <c r="D35" s="13" t="s">
        <v>158</v>
      </c>
      <c r="E35" s="13" t="str">
        <f t="shared" si="0"/>
        <v>FL2</v>
      </c>
      <c r="F35" s="13" t="str">
        <f t="shared" si="1"/>
        <v>50</v>
      </c>
      <c r="G35" s="13" t="str">
        <f t="shared" si="2"/>
        <v>033</v>
      </c>
    </row>
    <row r="36" spans="1:7" x14ac:dyDescent="0.3">
      <c r="A36" s="13" t="s">
        <v>163</v>
      </c>
      <c r="B36" s="44" t="s">
        <v>2152</v>
      </c>
      <c r="C36" s="4">
        <v>250034</v>
      </c>
      <c r="D36" s="13" t="s">
        <v>163</v>
      </c>
      <c r="E36" s="13" t="str">
        <f t="shared" si="0"/>
        <v>FL2</v>
      </c>
      <c r="F36" s="13" t="str">
        <f t="shared" si="1"/>
        <v>50</v>
      </c>
      <c r="G36" s="13" t="str">
        <f t="shared" si="2"/>
        <v>034</v>
      </c>
    </row>
    <row r="37" spans="1:7" x14ac:dyDescent="0.3">
      <c r="A37" s="43" t="s">
        <v>165</v>
      </c>
      <c r="B37" s="44" t="s">
        <v>2152</v>
      </c>
      <c r="C37" s="4">
        <v>250035</v>
      </c>
      <c r="D37" s="13" t="s">
        <v>165</v>
      </c>
      <c r="E37" s="13" t="str">
        <f t="shared" si="0"/>
        <v>FL2</v>
      </c>
      <c r="F37" s="13" t="str">
        <f t="shared" si="1"/>
        <v>50</v>
      </c>
      <c r="G37" s="13" t="str">
        <f t="shared" si="2"/>
        <v>035</v>
      </c>
    </row>
    <row r="38" spans="1:7" x14ac:dyDescent="0.3">
      <c r="A38" s="13" t="s">
        <v>167</v>
      </c>
      <c r="B38" s="44" t="s">
        <v>2152</v>
      </c>
      <c r="C38" s="4">
        <v>250036</v>
      </c>
      <c r="D38" s="13" t="s">
        <v>167</v>
      </c>
      <c r="E38" s="13" t="str">
        <f t="shared" si="0"/>
        <v>FL2</v>
      </c>
      <c r="F38" s="13" t="str">
        <f t="shared" si="1"/>
        <v>50</v>
      </c>
      <c r="G38" s="13" t="str">
        <f t="shared" si="2"/>
        <v>036</v>
      </c>
    </row>
    <row r="39" spans="1:7" x14ac:dyDescent="0.3">
      <c r="A39" s="43" t="s">
        <v>169</v>
      </c>
      <c r="B39" s="44" t="s">
        <v>2152</v>
      </c>
      <c r="C39" s="4">
        <v>250037</v>
      </c>
      <c r="D39" s="13" t="s">
        <v>169</v>
      </c>
      <c r="E39" s="13" t="str">
        <f t="shared" si="0"/>
        <v>FL2</v>
      </c>
      <c r="F39" s="13" t="str">
        <f t="shared" si="1"/>
        <v>50</v>
      </c>
      <c r="G39" s="13" t="str">
        <f t="shared" si="2"/>
        <v>037</v>
      </c>
    </row>
    <row r="40" spans="1:7" x14ac:dyDescent="0.3">
      <c r="A40" s="13" t="s">
        <v>171</v>
      </c>
      <c r="B40" s="44" t="s">
        <v>2152</v>
      </c>
      <c r="C40" s="4">
        <v>250038</v>
      </c>
      <c r="D40" s="13" t="s">
        <v>171</v>
      </c>
      <c r="E40" s="13" t="str">
        <f t="shared" si="0"/>
        <v>FL2</v>
      </c>
      <c r="F40" s="13" t="str">
        <f t="shared" si="1"/>
        <v>50</v>
      </c>
      <c r="G40" s="13" t="str">
        <f t="shared" si="2"/>
        <v>038</v>
      </c>
    </row>
    <row r="41" spans="1:7" x14ac:dyDescent="0.3">
      <c r="A41" s="43" t="s">
        <v>173</v>
      </c>
      <c r="B41" s="44" t="s">
        <v>2152</v>
      </c>
      <c r="C41" s="4">
        <v>250039</v>
      </c>
      <c r="D41" s="13" t="s">
        <v>173</v>
      </c>
      <c r="E41" s="13" t="str">
        <f t="shared" si="0"/>
        <v>FL2</v>
      </c>
      <c r="F41" s="13" t="str">
        <f t="shared" si="1"/>
        <v>50</v>
      </c>
      <c r="G41" s="13" t="str">
        <f t="shared" si="2"/>
        <v>039</v>
      </c>
    </row>
    <row r="42" spans="1:7" x14ac:dyDescent="0.3">
      <c r="A42" s="13" t="s">
        <v>177</v>
      </c>
      <c r="B42" s="44" t="s">
        <v>2152</v>
      </c>
      <c r="C42" s="4">
        <v>250040</v>
      </c>
      <c r="D42" s="13" t="s">
        <v>177</v>
      </c>
      <c r="E42" s="13" t="str">
        <f t="shared" si="0"/>
        <v>FL2</v>
      </c>
      <c r="F42" s="13" t="str">
        <f t="shared" si="1"/>
        <v>50</v>
      </c>
      <c r="G42" s="13" t="str">
        <f t="shared" si="2"/>
        <v>040</v>
      </c>
    </row>
    <row r="43" spans="1:7" x14ac:dyDescent="0.3">
      <c r="A43" s="43" t="s">
        <v>179</v>
      </c>
      <c r="B43" s="44" t="s">
        <v>2152</v>
      </c>
      <c r="C43" s="4">
        <v>250041</v>
      </c>
      <c r="D43" s="13" t="s">
        <v>179</v>
      </c>
      <c r="E43" s="13" t="str">
        <f t="shared" si="0"/>
        <v>FL2</v>
      </c>
      <c r="F43" s="13" t="str">
        <f t="shared" si="1"/>
        <v>50</v>
      </c>
      <c r="G43" s="13" t="str">
        <f t="shared" si="2"/>
        <v>041</v>
      </c>
    </row>
    <row r="44" spans="1:7" x14ac:dyDescent="0.3">
      <c r="A44" s="13" t="s">
        <v>182</v>
      </c>
      <c r="B44" s="44" t="s">
        <v>2152</v>
      </c>
      <c r="C44" s="4">
        <v>250042</v>
      </c>
      <c r="D44" s="13" t="s">
        <v>182</v>
      </c>
      <c r="E44" s="13" t="str">
        <f t="shared" si="0"/>
        <v>FL2</v>
      </c>
      <c r="F44" s="13" t="str">
        <f t="shared" si="1"/>
        <v>50</v>
      </c>
      <c r="G44" s="13" t="str">
        <f t="shared" si="2"/>
        <v>042</v>
      </c>
    </row>
    <row r="45" spans="1:7" x14ac:dyDescent="0.3">
      <c r="A45" s="43" t="s">
        <v>184</v>
      </c>
      <c r="B45" s="44" t="s">
        <v>2152</v>
      </c>
      <c r="C45" s="4">
        <v>250043</v>
      </c>
      <c r="D45" s="13" t="s">
        <v>184</v>
      </c>
      <c r="E45" s="13" t="str">
        <f t="shared" si="0"/>
        <v>FL2</v>
      </c>
      <c r="F45" s="13" t="str">
        <f t="shared" si="1"/>
        <v>50</v>
      </c>
      <c r="G45" s="13" t="str">
        <f t="shared" si="2"/>
        <v>043</v>
      </c>
    </row>
    <row r="46" spans="1:7" x14ac:dyDescent="0.3">
      <c r="A46" s="13" t="s">
        <v>186</v>
      </c>
      <c r="B46" s="44" t="s">
        <v>2152</v>
      </c>
      <c r="C46" s="4">
        <v>250044</v>
      </c>
      <c r="D46" s="13" t="s">
        <v>186</v>
      </c>
      <c r="E46" s="13" t="str">
        <f t="shared" si="0"/>
        <v>FL2</v>
      </c>
      <c r="F46" s="13" t="str">
        <f t="shared" si="1"/>
        <v>50</v>
      </c>
      <c r="G46" s="13" t="str">
        <f t="shared" si="2"/>
        <v>044</v>
      </c>
    </row>
    <row r="47" spans="1:7" x14ac:dyDescent="0.3">
      <c r="A47" s="43" t="s">
        <v>188</v>
      </c>
      <c r="B47" s="44" t="s">
        <v>2152</v>
      </c>
      <c r="C47" s="4">
        <v>250045</v>
      </c>
      <c r="D47" s="13" t="s">
        <v>188</v>
      </c>
      <c r="E47" s="13" t="str">
        <f t="shared" si="0"/>
        <v>FL2</v>
      </c>
      <c r="F47" s="13" t="str">
        <f t="shared" si="1"/>
        <v>50</v>
      </c>
      <c r="G47" s="13" t="str">
        <f t="shared" si="2"/>
        <v>045</v>
      </c>
    </row>
    <row r="48" spans="1:7" x14ac:dyDescent="0.3">
      <c r="A48" s="13" t="s">
        <v>190</v>
      </c>
      <c r="B48" s="44" t="s">
        <v>2152</v>
      </c>
      <c r="C48" s="4">
        <v>250046</v>
      </c>
      <c r="D48" s="13" t="s">
        <v>190</v>
      </c>
      <c r="E48" s="13" t="str">
        <f t="shared" si="0"/>
        <v>FL2</v>
      </c>
      <c r="F48" s="13" t="str">
        <f t="shared" si="1"/>
        <v>50</v>
      </c>
      <c r="G48" s="13" t="str">
        <f t="shared" si="2"/>
        <v>046</v>
      </c>
    </row>
    <row r="49" spans="1:7" x14ac:dyDescent="0.3">
      <c r="A49" s="43" t="s">
        <v>193</v>
      </c>
      <c r="B49" s="44" t="s">
        <v>2152</v>
      </c>
      <c r="C49" s="4">
        <v>250047</v>
      </c>
      <c r="D49" s="13" t="s">
        <v>193</v>
      </c>
      <c r="E49" s="13" t="str">
        <f t="shared" si="0"/>
        <v>FL2</v>
      </c>
      <c r="F49" s="13" t="str">
        <f t="shared" si="1"/>
        <v>50</v>
      </c>
      <c r="G49" s="13" t="str">
        <f t="shared" si="2"/>
        <v>047</v>
      </c>
    </row>
    <row r="50" spans="1:7" x14ac:dyDescent="0.3">
      <c r="A50" s="13" t="s">
        <v>195</v>
      </c>
      <c r="B50" s="44" t="s">
        <v>2152</v>
      </c>
      <c r="C50" s="4">
        <v>250048</v>
      </c>
      <c r="D50" s="13" t="s">
        <v>195</v>
      </c>
      <c r="E50" s="13" t="str">
        <f t="shared" si="0"/>
        <v>FL2</v>
      </c>
      <c r="F50" s="13" t="str">
        <f t="shared" si="1"/>
        <v>50</v>
      </c>
      <c r="G50" s="13" t="str">
        <f t="shared" si="2"/>
        <v>048</v>
      </c>
    </row>
    <row r="51" spans="1:7" x14ac:dyDescent="0.3">
      <c r="A51" s="43" t="s">
        <v>199</v>
      </c>
      <c r="B51" s="44" t="s">
        <v>2152</v>
      </c>
      <c r="C51" s="4">
        <v>250049</v>
      </c>
      <c r="D51" s="13" t="s">
        <v>199</v>
      </c>
      <c r="E51" s="13" t="str">
        <f t="shared" si="0"/>
        <v>FL2</v>
      </c>
      <c r="F51" s="13" t="str">
        <f t="shared" si="1"/>
        <v>50</v>
      </c>
      <c r="G51" s="13" t="str">
        <f t="shared" si="2"/>
        <v>049</v>
      </c>
    </row>
    <row r="52" spans="1:7" x14ac:dyDescent="0.3">
      <c r="A52" s="13" t="s">
        <v>202</v>
      </c>
      <c r="B52" s="44" t="s">
        <v>2152</v>
      </c>
      <c r="C52" s="4">
        <v>250050</v>
      </c>
      <c r="D52" s="13" t="s">
        <v>202</v>
      </c>
      <c r="E52" s="13" t="str">
        <f t="shared" si="0"/>
        <v>FL2</v>
      </c>
      <c r="F52" s="13" t="str">
        <f t="shared" si="1"/>
        <v>50</v>
      </c>
      <c r="G52" s="13" t="str">
        <f t="shared" si="2"/>
        <v>050</v>
      </c>
    </row>
    <row r="53" spans="1:7" x14ac:dyDescent="0.3">
      <c r="A53" s="43" t="s">
        <v>204</v>
      </c>
      <c r="B53" s="44" t="s">
        <v>2152</v>
      </c>
      <c r="C53" s="4">
        <v>250051</v>
      </c>
      <c r="D53" s="13" t="s">
        <v>204</v>
      </c>
      <c r="E53" s="13" t="str">
        <f t="shared" si="0"/>
        <v>FL2</v>
      </c>
      <c r="F53" s="13" t="str">
        <f t="shared" si="1"/>
        <v>50</v>
      </c>
      <c r="G53" s="13" t="str">
        <f t="shared" si="2"/>
        <v>051</v>
      </c>
    </row>
    <row r="54" spans="1:7" x14ac:dyDescent="0.3">
      <c r="A54" s="13" t="s">
        <v>206</v>
      </c>
      <c r="B54" s="44" t="s">
        <v>2152</v>
      </c>
      <c r="C54" s="4">
        <v>250052</v>
      </c>
      <c r="D54" s="13" t="s">
        <v>206</v>
      </c>
      <c r="E54" s="13" t="str">
        <f t="shared" si="0"/>
        <v>FL2</v>
      </c>
      <c r="F54" s="13" t="str">
        <f t="shared" si="1"/>
        <v>50</v>
      </c>
      <c r="G54" s="13" t="str">
        <f t="shared" si="2"/>
        <v>052</v>
      </c>
    </row>
    <row r="55" spans="1:7" x14ac:dyDescent="0.3">
      <c r="A55" s="43" t="s">
        <v>208</v>
      </c>
      <c r="B55" s="44" t="s">
        <v>2152</v>
      </c>
      <c r="C55" s="4">
        <v>250053</v>
      </c>
      <c r="D55" s="13" t="s">
        <v>208</v>
      </c>
      <c r="E55" s="13" t="str">
        <f t="shared" si="0"/>
        <v>FL2</v>
      </c>
      <c r="F55" s="13" t="str">
        <f t="shared" si="1"/>
        <v>50</v>
      </c>
      <c r="G55" s="13" t="str">
        <f t="shared" si="2"/>
        <v>053</v>
      </c>
    </row>
    <row r="56" spans="1:7" x14ac:dyDescent="0.3">
      <c r="A56" s="13" t="s">
        <v>210</v>
      </c>
      <c r="B56" s="44" t="s">
        <v>2152</v>
      </c>
      <c r="C56" s="4">
        <v>250054</v>
      </c>
      <c r="D56" s="13" t="s">
        <v>210</v>
      </c>
      <c r="E56" s="13" t="str">
        <f t="shared" si="0"/>
        <v>FL2</v>
      </c>
      <c r="F56" s="13" t="str">
        <f t="shared" si="1"/>
        <v>50</v>
      </c>
      <c r="G56" s="13" t="str">
        <f t="shared" si="2"/>
        <v>054</v>
      </c>
    </row>
    <row r="57" spans="1:7" x14ac:dyDescent="0.3">
      <c r="A57" s="43" t="s">
        <v>213</v>
      </c>
      <c r="B57" s="44" t="s">
        <v>2152</v>
      </c>
      <c r="C57" s="4">
        <v>250055</v>
      </c>
      <c r="D57" s="13" t="s">
        <v>213</v>
      </c>
      <c r="E57" s="13" t="str">
        <f t="shared" si="0"/>
        <v>FL2</v>
      </c>
      <c r="F57" s="13" t="str">
        <f t="shared" si="1"/>
        <v>50</v>
      </c>
      <c r="G57" s="13" t="str">
        <f t="shared" si="2"/>
        <v>055</v>
      </c>
    </row>
    <row r="58" spans="1:7" x14ac:dyDescent="0.3">
      <c r="A58" s="13" t="s">
        <v>215</v>
      </c>
      <c r="B58" s="44" t="s">
        <v>2152</v>
      </c>
      <c r="C58" s="4">
        <v>250056</v>
      </c>
      <c r="D58" s="13" t="s">
        <v>215</v>
      </c>
      <c r="E58" s="13" t="str">
        <f t="shared" si="0"/>
        <v>FL2</v>
      </c>
      <c r="F58" s="13" t="str">
        <f t="shared" si="1"/>
        <v>50</v>
      </c>
      <c r="G58" s="13" t="str">
        <f t="shared" si="2"/>
        <v>056</v>
      </c>
    </row>
    <row r="59" spans="1:7" x14ac:dyDescent="0.3">
      <c r="A59" s="43" t="s">
        <v>217</v>
      </c>
      <c r="B59" s="44" t="s">
        <v>2152</v>
      </c>
      <c r="C59" s="4">
        <v>250057</v>
      </c>
      <c r="D59" s="13" t="s">
        <v>217</v>
      </c>
      <c r="E59" s="13" t="str">
        <f t="shared" si="0"/>
        <v>FL2</v>
      </c>
      <c r="F59" s="13" t="str">
        <f t="shared" si="1"/>
        <v>50</v>
      </c>
      <c r="G59" s="13" t="str">
        <f t="shared" si="2"/>
        <v>057</v>
      </c>
    </row>
    <row r="60" spans="1:7" x14ac:dyDescent="0.3">
      <c r="A60" s="13" t="s">
        <v>219</v>
      </c>
      <c r="B60" s="44" t="s">
        <v>2152</v>
      </c>
      <c r="C60" s="4">
        <v>250058</v>
      </c>
      <c r="D60" s="13" t="s">
        <v>219</v>
      </c>
      <c r="E60" s="13" t="str">
        <f t="shared" si="0"/>
        <v>FL2</v>
      </c>
      <c r="F60" s="13" t="str">
        <f t="shared" si="1"/>
        <v>50</v>
      </c>
      <c r="G60" s="13" t="str">
        <f t="shared" si="2"/>
        <v>058</v>
      </c>
    </row>
    <row r="61" spans="1:7" x14ac:dyDescent="0.3">
      <c r="A61" s="43" t="s">
        <v>221</v>
      </c>
      <c r="B61" s="44" t="s">
        <v>2152</v>
      </c>
      <c r="C61" s="4">
        <v>250059</v>
      </c>
      <c r="D61" s="13" t="s">
        <v>221</v>
      </c>
      <c r="E61" s="13" t="str">
        <f t="shared" si="0"/>
        <v>FL2</v>
      </c>
      <c r="F61" s="13" t="str">
        <f t="shared" si="1"/>
        <v>50</v>
      </c>
      <c r="G61" s="13" t="str">
        <f t="shared" si="2"/>
        <v>059</v>
      </c>
    </row>
    <row r="62" spans="1:7" x14ac:dyDescent="0.3">
      <c r="A62" s="13" t="s">
        <v>223</v>
      </c>
      <c r="B62" s="44" t="s">
        <v>2152</v>
      </c>
      <c r="C62" s="4">
        <v>250060</v>
      </c>
      <c r="D62" s="13" t="s">
        <v>223</v>
      </c>
      <c r="E62" s="13" t="str">
        <f t="shared" si="0"/>
        <v>FL2</v>
      </c>
      <c r="F62" s="13" t="str">
        <f t="shared" si="1"/>
        <v>50</v>
      </c>
      <c r="G62" s="13" t="str">
        <f t="shared" si="2"/>
        <v>060</v>
      </c>
    </row>
    <row r="63" spans="1:7" x14ac:dyDescent="0.3">
      <c r="A63" s="43" t="s">
        <v>225</v>
      </c>
      <c r="B63" s="44" t="s">
        <v>2152</v>
      </c>
      <c r="C63" s="4">
        <v>250061</v>
      </c>
      <c r="D63" s="13" t="s">
        <v>225</v>
      </c>
      <c r="E63" s="13" t="str">
        <f t="shared" si="0"/>
        <v>FL2</v>
      </c>
      <c r="F63" s="13" t="str">
        <f t="shared" si="1"/>
        <v>50</v>
      </c>
      <c r="G63" s="13" t="str">
        <f t="shared" si="2"/>
        <v>061</v>
      </c>
    </row>
    <row r="64" spans="1:7" x14ac:dyDescent="0.3">
      <c r="A64" s="13" t="s">
        <v>227</v>
      </c>
      <c r="B64" s="44" t="s">
        <v>2152</v>
      </c>
      <c r="C64" s="4">
        <v>250062</v>
      </c>
      <c r="D64" s="13" t="s">
        <v>227</v>
      </c>
      <c r="E64" s="13" t="str">
        <f t="shared" si="0"/>
        <v>FL2</v>
      </c>
      <c r="F64" s="13" t="str">
        <f t="shared" si="1"/>
        <v>50</v>
      </c>
      <c r="G64" s="13" t="str">
        <f t="shared" si="2"/>
        <v>062</v>
      </c>
    </row>
    <row r="65" spans="1:7" x14ac:dyDescent="0.3">
      <c r="A65" s="43" t="s">
        <v>229</v>
      </c>
      <c r="B65" s="44" t="s">
        <v>2152</v>
      </c>
      <c r="C65" s="4">
        <v>250063</v>
      </c>
      <c r="D65" s="13" t="s">
        <v>229</v>
      </c>
      <c r="E65" s="13" t="str">
        <f t="shared" si="0"/>
        <v>FL2</v>
      </c>
      <c r="F65" s="13" t="str">
        <f t="shared" si="1"/>
        <v>50</v>
      </c>
      <c r="G65" s="13" t="str">
        <f t="shared" si="2"/>
        <v>063</v>
      </c>
    </row>
    <row r="66" spans="1:7" x14ac:dyDescent="0.3">
      <c r="A66" s="13" t="s">
        <v>231</v>
      </c>
      <c r="B66" s="44" t="s">
        <v>2152</v>
      </c>
      <c r="C66" s="4">
        <v>250064</v>
      </c>
      <c r="D66" s="13" t="s">
        <v>231</v>
      </c>
      <c r="E66" s="13" t="str">
        <f t="shared" si="0"/>
        <v>FL2</v>
      </c>
      <c r="F66" s="13" t="str">
        <f t="shared" si="1"/>
        <v>50</v>
      </c>
      <c r="G66" s="13" t="str">
        <f t="shared" si="2"/>
        <v>064</v>
      </c>
    </row>
    <row r="67" spans="1:7" x14ac:dyDescent="0.3">
      <c r="A67" s="43" t="s">
        <v>233</v>
      </c>
      <c r="B67" s="44" t="s">
        <v>2152</v>
      </c>
      <c r="C67" s="4">
        <v>250065</v>
      </c>
      <c r="D67" s="13" t="s">
        <v>233</v>
      </c>
      <c r="E67" s="13" t="str">
        <f t="shared" si="0"/>
        <v>FL2</v>
      </c>
      <c r="F67" s="13" t="str">
        <f t="shared" si="1"/>
        <v>50</v>
      </c>
      <c r="G67" s="13" t="str">
        <f t="shared" si="2"/>
        <v>065</v>
      </c>
    </row>
    <row r="68" spans="1:7" x14ac:dyDescent="0.3">
      <c r="A68" s="13" t="s">
        <v>235</v>
      </c>
      <c r="B68" s="44" t="s">
        <v>2152</v>
      </c>
      <c r="C68" s="4">
        <v>250066</v>
      </c>
      <c r="D68" s="13" t="s">
        <v>235</v>
      </c>
      <c r="E68" s="13" t="str">
        <f t="shared" ref="E68:E131" si="3">LEFT(D68,3)</f>
        <v>FL2</v>
      </c>
      <c r="F68" s="13" t="str">
        <f t="shared" ref="F68:F131" si="4">MID(D68,4,2)</f>
        <v>50</v>
      </c>
      <c r="G68" s="13" t="str">
        <f t="shared" ref="G68:G131" si="5">RIGHT(D68,3)</f>
        <v>066</v>
      </c>
    </row>
    <row r="69" spans="1:7" x14ac:dyDescent="0.3">
      <c r="A69" s="43" t="s">
        <v>237</v>
      </c>
      <c r="B69" s="44" t="s">
        <v>2152</v>
      </c>
      <c r="C69" s="4">
        <v>250067</v>
      </c>
      <c r="D69" s="13" t="s">
        <v>237</v>
      </c>
      <c r="E69" s="13" t="str">
        <f t="shared" si="3"/>
        <v>FL2</v>
      </c>
      <c r="F69" s="13" t="str">
        <f t="shared" si="4"/>
        <v>50</v>
      </c>
      <c r="G69" s="13" t="str">
        <f t="shared" si="5"/>
        <v>067</v>
      </c>
    </row>
    <row r="70" spans="1:7" x14ac:dyDescent="0.3">
      <c r="A70" s="13" t="s">
        <v>239</v>
      </c>
      <c r="B70" s="44" t="s">
        <v>2152</v>
      </c>
      <c r="C70" s="4">
        <v>250068</v>
      </c>
      <c r="D70" s="13" t="s">
        <v>239</v>
      </c>
      <c r="E70" s="13" t="str">
        <f t="shared" si="3"/>
        <v>FL2</v>
      </c>
      <c r="F70" s="13" t="str">
        <f t="shared" si="4"/>
        <v>50</v>
      </c>
      <c r="G70" s="13" t="str">
        <f t="shared" si="5"/>
        <v>068</v>
      </c>
    </row>
    <row r="71" spans="1:7" x14ac:dyDescent="0.3">
      <c r="A71" s="43" t="s">
        <v>241</v>
      </c>
      <c r="B71" s="44" t="s">
        <v>2152</v>
      </c>
      <c r="C71" s="4">
        <v>250069</v>
      </c>
      <c r="D71" s="13" t="s">
        <v>241</v>
      </c>
      <c r="E71" s="13" t="str">
        <f t="shared" si="3"/>
        <v>FL2</v>
      </c>
      <c r="F71" s="13" t="str">
        <f t="shared" si="4"/>
        <v>50</v>
      </c>
      <c r="G71" s="13" t="str">
        <f t="shared" si="5"/>
        <v>069</v>
      </c>
    </row>
    <row r="72" spans="1:7" x14ac:dyDescent="0.3">
      <c r="A72" s="13" t="s">
        <v>243</v>
      </c>
      <c r="B72" s="44" t="s">
        <v>2152</v>
      </c>
      <c r="C72" s="4">
        <v>250070</v>
      </c>
      <c r="D72" s="13" t="s">
        <v>243</v>
      </c>
      <c r="E72" s="13" t="str">
        <f t="shared" si="3"/>
        <v>FL2</v>
      </c>
      <c r="F72" s="13" t="str">
        <f t="shared" si="4"/>
        <v>50</v>
      </c>
      <c r="G72" s="13" t="str">
        <f t="shared" si="5"/>
        <v>070</v>
      </c>
    </row>
    <row r="73" spans="1:7" x14ac:dyDescent="0.3">
      <c r="A73" s="43" t="s">
        <v>245</v>
      </c>
      <c r="B73" s="44" t="s">
        <v>2152</v>
      </c>
      <c r="C73" s="4">
        <v>250071</v>
      </c>
      <c r="D73" s="13" t="s">
        <v>245</v>
      </c>
      <c r="E73" s="13" t="str">
        <f t="shared" si="3"/>
        <v>FL2</v>
      </c>
      <c r="F73" s="13" t="str">
        <f t="shared" si="4"/>
        <v>50</v>
      </c>
      <c r="G73" s="13" t="str">
        <f t="shared" si="5"/>
        <v>071</v>
      </c>
    </row>
    <row r="74" spans="1:7" x14ac:dyDescent="0.3">
      <c r="A74" s="13" t="s">
        <v>247</v>
      </c>
      <c r="B74" s="44" t="s">
        <v>2152</v>
      </c>
      <c r="C74" s="4">
        <v>250072</v>
      </c>
      <c r="D74" s="13" t="s">
        <v>247</v>
      </c>
      <c r="E74" s="13" t="str">
        <f t="shared" si="3"/>
        <v>FL2</v>
      </c>
      <c r="F74" s="13" t="str">
        <f t="shared" si="4"/>
        <v>50</v>
      </c>
      <c r="G74" s="13" t="str">
        <f t="shared" si="5"/>
        <v>072</v>
      </c>
    </row>
    <row r="75" spans="1:7" x14ac:dyDescent="0.3">
      <c r="A75" s="43" t="s">
        <v>249</v>
      </c>
      <c r="B75" s="44" t="s">
        <v>2152</v>
      </c>
      <c r="C75" s="4">
        <v>250073</v>
      </c>
      <c r="D75" s="13" t="s">
        <v>249</v>
      </c>
      <c r="E75" s="13" t="str">
        <f t="shared" si="3"/>
        <v>FL2</v>
      </c>
      <c r="F75" s="13" t="str">
        <f t="shared" si="4"/>
        <v>50</v>
      </c>
      <c r="G75" s="13" t="str">
        <f t="shared" si="5"/>
        <v>073</v>
      </c>
    </row>
    <row r="76" spans="1:7" x14ac:dyDescent="0.3">
      <c r="A76" s="13" t="s">
        <v>252</v>
      </c>
      <c r="B76" s="44" t="s">
        <v>2152</v>
      </c>
      <c r="C76" s="4">
        <v>250074</v>
      </c>
      <c r="D76" s="13" t="s">
        <v>252</v>
      </c>
      <c r="E76" s="13" t="str">
        <f t="shared" si="3"/>
        <v>FL2</v>
      </c>
      <c r="F76" s="13" t="str">
        <f t="shared" si="4"/>
        <v>50</v>
      </c>
      <c r="G76" s="13" t="str">
        <f t="shared" si="5"/>
        <v>074</v>
      </c>
    </row>
    <row r="77" spans="1:7" x14ac:dyDescent="0.3">
      <c r="A77" s="43" t="s">
        <v>254</v>
      </c>
      <c r="B77" s="44" t="s">
        <v>2152</v>
      </c>
      <c r="C77" s="4">
        <v>250075</v>
      </c>
      <c r="D77" s="13" t="s">
        <v>254</v>
      </c>
      <c r="E77" s="13" t="str">
        <f t="shared" si="3"/>
        <v>FL2</v>
      </c>
      <c r="F77" s="13" t="str">
        <f t="shared" si="4"/>
        <v>50</v>
      </c>
      <c r="G77" s="13" t="str">
        <f t="shared" si="5"/>
        <v>075</v>
      </c>
    </row>
    <row r="78" spans="1:7" x14ac:dyDescent="0.3">
      <c r="A78" s="13" t="s">
        <v>256</v>
      </c>
      <c r="B78" s="44" t="s">
        <v>2152</v>
      </c>
      <c r="C78" s="4">
        <v>250076</v>
      </c>
      <c r="D78" s="13" t="s">
        <v>256</v>
      </c>
      <c r="E78" s="13" t="str">
        <f t="shared" si="3"/>
        <v>FL2</v>
      </c>
      <c r="F78" s="13" t="str">
        <f t="shared" si="4"/>
        <v>50</v>
      </c>
      <c r="G78" s="13" t="str">
        <f t="shared" si="5"/>
        <v>076</v>
      </c>
    </row>
    <row r="79" spans="1:7" x14ac:dyDescent="0.3">
      <c r="A79" s="43" t="s">
        <v>258</v>
      </c>
      <c r="B79" s="44" t="s">
        <v>2152</v>
      </c>
      <c r="C79" s="4">
        <v>250077</v>
      </c>
      <c r="D79" s="13" t="s">
        <v>258</v>
      </c>
      <c r="E79" s="13" t="str">
        <f t="shared" si="3"/>
        <v>FL2</v>
      </c>
      <c r="F79" s="13" t="str">
        <f t="shared" si="4"/>
        <v>50</v>
      </c>
      <c r="G79" s="13" t="str">
        <f t="shared" si="5"/>
        <v>077</v>
      </c>
    </row>
    <row r="80" spans="1:7" x14ac:dyDescent="0.3">
      <c r="A80" s="13" t="s">
        <v>260</v>
      </c>
      <c r="B80" s="44" t="s">
        <v>2152</v>
      </c>
      <c r="C80" s="4">
        <v>250078</v>
      </c>
      <c r="D80" s="13" t="s">
        <v>260</v>
      </c>
      <c r="E80" s="13" t="str">
        <f t="shared" si="3"/>
        <v>FL2</v>
      </c>
      <c r="F80" s="13" t="str">
        <f t="shared" si="4"/>
        <v>50</v>
      </c>
      <c r="G80" s="13" t="str">
        <f t="shared" si="5"/>
        <v>078</v>
      </c>
    </row>
    <row r="81" spans="1:7" x14ac:dyDescent="0.3">
      <c r="A81" s="43" t="s">
        <v>262</v>
      </c>
      <c r="B81" s="44" t="s">
        <v>2152</v>
      </c>
      <c r="C81" s="4">
        <v>250079</v>
      </c>
      <c r="D81" s="13" t="s">
        <v>262</v>
      </c>
      <c r="E81" s="13" t="str">
        <f t="shared" si="3"/>
        <v>FL2</v>
      </c>
      <c r="F81" s="13" t="str">
        <f t="shared" si="4"/>
        <v>50</v>
      </c>
      <c r="G81" s="13" t="str">
        <f t="shared" si="5"/>
        <v>079</v>
      </c>
    </row>
    <row r="82" spans="1:7" x14ac:dyDescent="0.3">
      <c r="A82" s="13" t="s">
        <v>264</v>
      </c>
      <c r="B82" s="44" t="s">
        <v>2152</v>
      </c>
      <c r="C82" s="4">
        <v>250080</v>
      </c>
      <c r="D82" s="13" t="s">
        <v>264</v>
      </c>
      <c r="E82" s="13" t="str">
        <f t="shared" si="3"/>
        <v>FL2</v>
      </c>
      <c r="F82" s="13" t="str">
        <f t="shared" si="4"/>
        <v>50</v>
      </c>
      <c r="G82" s="13" t="str">
        <f t="shared" si="5"/>
        <v>080</v>
      </c>
    </row>
    <row r="83" spans="1:7" x14ac:dyDescent="0.3">
      <c r="A83" s="43" t="s">
        <v>266</v>
      </c>
      <c r="B83" s="44" t="s">
        <v>2152</v>
      </c>
      <c r="C83" s="4">
        <v>250081</v>
      </c>
      <c r="D83" s="13" t="s">
        <v>266</v>
      </c>
      <c r="E83" s="13" t="str">
        <f t="shared" si="3"/>
        <v>FL2</v>
      </c>
      <c r="F83" s="13" t="str">
        <f t="shared" si="4"/>
        <v>50</v>
      </c>
      <c r="G83" s="13" t="str">
        <f t="shared" si="5"/>
        <v>081</v>
      </c>
    </row>
    <row r="84" spans="1:7" x14ac:dyDescent="0.3">
      <c r="A84" s="13" t="s">
        <v>268</v>
      </c>
      <c r="B84" s="44" t="s">
        <v>2152</v>
      </c>
      <c r="C84" s="4">
        <v>250082</v>
      </c>
      <c r="D84" s="13" t="s">
        <v>268</v>
      </c>
      <c r="E84" s="13" t="str">
        <f t="shared" si="3"/>
        <v>FL2</v>
      </c>
      <c r="F84" s="13" t="str">
        <f t="shared" si="4"/>
        <v>50</v>
      </c>
      <c r="G84" s="13" t="str">
        <f t="shared" si="5"/>
        <v>082</v>
      </c>
    </row>
    <row r="85" spans="1:7" x14ac:dyDescent="0.3">
      <c r="A85" s="43" t="s">
        <v>270</v>
      </c>
      <c r="B85" s="44" t="s">
        <v>2152</v>
      </c>
      <c r="C85" s="4">
        <v>250083</v>
      </c>
      <c r="D85" s="13" t="s">
        <v>270</v>
      </c>
      <c r="E85" s="13" t="str">
        <f t="shared" si="3"/>
        <v>FL2</v>
      </c>
      <c r="F85" s="13" t="str">
        <f t="shared" si="4"/>
        <v>50</v>
      </c>
      <c r="G85" s="13" t="str">
        <f t="shared" si="5"/>
        <v>083</v>
      </c>
    </row>
    <row r="86" spans="1:7" x14ac:dyDescent="0.3">
      <c r="A86" s="13" t="s">
        <v>272</v>
      </c>
      <c r="B86" s="44" t="s">
        <v>2152</v>
      </c>
      <c r="C86" s="4">
        <v>250084</v>
      </c>
      <c r="D86" s="13" t="s">
        <v>272</v>
      </c>
      <c r="E86" s="13" t="str">
        <f t="shared" si="3"/>
        <v>FL2</v>
      </c>
      <c r="F86" s="13" t="str">
        <f t="shared" si="4"/>
        <v>50</v>
      </c>
      <c r="G86" s="13" t="str">
        <f t="shared" si="5"/>
        <v>084</v>
      </c>
    </row>
    <row r="87" spans="1:7" x14ac:dyDescent="0.3">
      <c r="A87" s="43" t="s">
        <v>274</v>
      </c>
      <c r="B87" s="44" t="s">
        <v>2152</v>
      </c>
      <c r="C87" s="4">
        <v>250085</v>
      </c>
      <c r="D87" s="13" t="s">
        <v>274</v>
      </c>
      <c r="E87" s="13" t="str">
        <f t="shared" si="3"/>
        <v>FL2</v>
      </c>
      <c r="F87" s="13" t="str">
        <f t="shared" si="4"/>
        <v>50</v>
      </c>
      <c r="G87" s="13" t="str">
        <f t="shared" si="5"/>
        <v>085</v>
      </c>
    </row>
    <row r="88" spans="1:7" x14ac:dyDescent="0.3">
      <c r="A88" s="13" t="s">
        <v>276</v>
      </c>
      <c r="B88" s="44" t="s">
        <v>2152</v>
      </c>
      <c r="C88" s="4">
        <v>250086</v>
      </c>
      <c r="D88" s="13" t="s">
        <v>276</v>
      </c>
      <c r="E88" s="13" t="str">
        <f t="shared" si="3"/>
        <v>FL2</v>
      </c>
      <c r="F88" s="13" t="str">
        <f t="shared" si="4"/>
        <v>50</v>
      </c>
      <c r="G88" s="13" t="str">
        <f t="shared" si="5"/>
        <v>086</v>
      </c>
    </row>
    <row r="89" spans="1:7" x14ac:dyDescent="0.3">
      <c r="A89" s="43" t="s">
        <v>278</v>
      </c>
      <c r="B89" s="44" t="s">
        <v>2152</v>
      </c>
      <c r="C89" s="4">
        <v>250087</v>
      </c>
      <c r="D89" s="13" t="s">
        <v>278</v>
      </c>
      <c r="E89" s="13" t="str">
        <f t="shared" si="3"/>
        <v>FL2</v>
      </c>
      <c r="F89" s="13" t="str">
        <f t="shared" si="4"/>
        <v>50</v>
      </c>
      <c r="G89" s="13" t="str">
        <f t="shared" si="5"/>
        <v>087</v>
      </c>
    </row>
    <row r="90" spans="1:7" x14ac:dyDescent="0.3">
      <c r="A90" s="13" t="s">
        <v>280</v>
      </c>
      <c r="B90" s="44" t="s">
        <v>2152</v>
      </c>
      <c r="C90" s="4">
        <v>250088</v>
      </c>
      <c r="D90" s="13" t="s">
        <v>280</v>
      </c>
      <c r="E90" s="13" t="str">
        <f t="shared" si="3"/>
        <v>FL2</v>
      </c>
      <c r="F90" s="13" t="str">
        <f t="shared" si="4"/>
        <v>50</v>
      </c>
      <c r="G90" s="13" t="str">
        <f t="shared" si="5"/>
        <v>088</v>
      </c>
    </row>
    <row r="91" spans="1:7" x14ac:dyDescent="0.3">
      <c r="A91" s="43" t="s">
        <v>282</v>
      </c>
      <c r="B91" s="44" t="s">
        <v>2152</v>
      </c>
      <c r="C91" s="4">
        <v>250089</v>
      </c>
      <c r="D91" s="13" t="s">
        <v>282</v>
      </c>
      <c r="E91" s="13" t="str">
        <f t="shared" si="3"/>
        <v>FL2</v>
      </c>
      <c r="F91" s="13" t="str">
        <f t="shared" si="4"/>
        <v>50</v>
      </c>
      <c r="G91" s="13" t="str">
        <f t="shared" si="5"/>
        <v>089</v>
      </c>
    </row>
    <row r="92" spans="1:7" x14ac:dyDescent="0.3">
      <c r="A92" s="13" t="s">
        <v>284</v>
      </c>
      <c r="B92" s="44" t="s">
        <v>2152</v>
      </c>
      <c r="C92" s="4">
        <v>250090</v>
      </c>
      <c r="D92" s="13" t="s">
        <v>284</v>
      </c>
      <c r="E92" s="13" t="str">
        <f t="shared" si="3"/>
        <v>FL2</v>
      </c>
      <c r="F92" s="13" t="str">
        <f t="shared" si="4"/>
        <v>50</v>
      </c>
      <c r="G92" s="13" t="str">
        <f t="shared" si="5"/>
        <v>090</v>
      </c>
    </row>
    <row r="93" spans="1:7" x14ac:dyDescent="0.3">
      <c r="A93" s="43" t="s">
        <v>286</v>
      </c>
      <c r="B93" s="44" t="s">
        <v>2152</v>
      </c>
      <c r="C93" s="4">
        <v>250091</v>
      </c>
      <c r="D93" s="13" t="s">
        <v>286</v>
      </c>
      <c r="E93" s="13" t="str">
        <f t="shared" si="3"/>
        <v>FL2</v>
      </c>
      <c r="F93" s="13" t="str">
        <f t="shared" si="4"/>
        <v>50</v>
      </c>
      <c r="G93" s="13" t="str">
        <f t="shared" si="5"/>
        <v>091</v>
      </c>
    </row>
    <row r="94" spans="1:7" x14ac:dyDescent="0.3">
      <c r="A94" s="13" t="s">
        <v>288</v>
      </c>
      <c r="B94" s="44" t="s">
        <v>2152</v>
      </c>
      <c r="C94" s="4">
        <v>250092</v>
      </c>
      <c r="D94" s="13" t="s">
        <v>288</v>
      </c>
      <c r="E94" s="13" t="str">
        <f t="shared" si="3"/>
        <v>FL2</v>
      </c>
      <c r="F94" s="13" t="str">
        <f t="shared" si="4"/>
        <v>50</v>
      </c>
      <c r="G94" s="13" t="str">
        <f t="shared" si="5"/>
        <v>092</v>
      </c>
    </row>
    <row r="95" spans="1:7" x14ac:dyDescent="0.3">
      <c r="A95" s="43" t="s">
        <v>290</v>
      </c>
      <c r="B95" s="44" t="s">
        <v>2152</v>
      </c>
      <c r="C95" s="4">
        <v>250093</v>
      </c>
      <c r="D95" s="13" t="s">
        <v>290</v>
      </c>
      <c r="E95" s="13" t="str">
        <f t="shared" si="3"/>
        <v>FL2</v>
      </c>
      <c r="F95" s="13" t="str">
        <f t="shared" si="4"/>
        <v>50</v>
      </c>
      <c r="G95" s="13" t="str">
        <f t="shared" si="5"/>
        <v>093</v>
      </c>
    </row>
    <row r="96" spans="1:7" x14ac:dyDescent="0.3">
      <c r="A96" s="13" t="s">
        <v>292</v>
      </c>
      <c r="B96" s="44" t="s">
        <v>2152</v>
      </c>
      <c r="C96" s="4">
        <v>250094</v>
      </c>
      <c r="D96" s="13" t="s">
        <v>292</v>
      </c>
      <c r="E96" s="13" t="str">
        <f t="shared" si="3"/>
        <v>FL2</v>
      </c>
      <c r="F96" s="13" t="str">
        <f t="shared" si="4"/>
        <v>50</v>
      </c>
      <c r="G96" s="13" t="str">
        <f t="shared" si="5"/>
        <v>094</v>
      </c>
    </row>
    <row r="97" spans="1:7" x14ac:dyDescent="0.3">
      <c r="A97" s="43" t="s">
        <v>294</v>
      </c>
      <c r="B97" s="44" t="s">
        <v>2152</v>
      </c>
      <c r="C97" s="4">
        <v>250095</v>
      </c>
      <c r="D97" s="13" t="s">
        <v>294</v>
      </c>
      <c r="E97" s="13" t="str">
        <f t="shared" si="3"/>
        <v>FL2</v>
      </c>
      <c r="F97" s="13" t="str">
        <f t="shared" si="4"/>
        <v>50</v>
      </c>
      <c r="G97" s="13" t="str">
        <f t="shared" si="5"/>
        <v>095</v>
      </c>
    </row>
    <row r="98" spans="1:7" x14ac:dyDescent="0.3">
      <c r="A98" s="13" t="s">
        <v>296</v>
      </c>
      <c r="B98" s="44" t="s">
        <v>2152</v>
      </c>
      <c r="C98" s="4">
        <v>250096</v>
      </c>
      <c r="D98" s="13" t="s">
        <v>296</v>
      </c>
      <c r="E98" s="13" t="str">
        <f t="shared" si="3"/>
        <v>FL2</v>
      </c>
      <c r="F98" s="13" t="str">
        <f t="shared" si="4"/>
        <v>50</v>
      </c>
      <c r="G98" s="13" t="str">
        <f t="shared" si="5"/>
        <v>096</v>
      </c>
    </row>
    <row r="99" spans="1:7" x14ac:dyDescent="0.3">
      <c r="A99" s="43" t="s">
        <v>298</v>
      </c>
      <c r="B99" s="44" t="s">
        <v>2152</v>
      </c>
      <c r="C99" s="4">
        <v>250097</v>
      </c>
      <c r="D99" s="13" t="s">
        <v>298</v>
      </c>
      <c r="E99" s="13" t="str">
        <f t="shared" si="3"/>
        <v>FL2</v>
      </c>
      <c r="F99" s="13" t="str">
        <f t="shared" si="4"/>
        <v>50</v>
      </c>
      <c r="G99" s="13" t="str">
        <f t="shared" si="5"/>
        <v>097</v>
      </c>
    </row>
    <row r="100" spans="1:7" x14ac:dyDescent="0.3">
      <c r="A100" s="13" t="s">
        <v>300</v>
      </c>
      <c r="B100" s="44" t="s">
        <v>2152</v>
      </c>
      <c r="C100" s="4">
        <v>250098</v>
      </c>
      <c r="D100" s="13" t="s">
        <v>300</v>
      </c>
      <c r="E100" s="13" t="str">
        <f t="shared" si="3"/>
        <v>FL2</v>
      </c>
      <c r="F100" s="13" t="str">
        <f t="shared" si="4"/>
        <v>50</v>
      </c>
      <c r="G100" s="13" t="str">
        <f t="shared" si="5"/>
        <v>098</v>
      </c>
    </row>
    <row r="101" spans="1:7" x14ac:dyDescent="0.3">
      <c r="A101" s="43" t="s">
        <v>302</v>
      </c>
      <c r="B101" s="44" t="s">
        <v>2152</v>
      </c>
      <c r="C101" s="4">
        <v>250099</v>
      </c>
      <c r="D101" s="13" t="s">
        <v>302</v>
      </c>
      <c r="E101" s="13" t="str">
        <f t="shared" si="3"/>
        <v>FL2</v>
      </c>
      <c r="F101" s="13" t="str">
        <f t="shared" si="4"/>
        <v>50</v>
      </c>
      <c r="G101" s="13" t="str">
        <f t="shared" si="5"/>
        <v>099</v>
      </c>
    </row>
    <row r="102" spans="1:7" x14ac:dyDescent="0.3">
      <c r="A102" s="13" t="s">
        <v>304</v>
      </c>
      <c r="B102" s="44" t="s">
        <v>2152</v>
      </c>
      <c r="C102" s="4">
        <v>250100</v>
      </c>
      <c r="D102" s="13" t="s">
        <v>304</v>
      </c>
      <c r="E102" s="13" t="str">
        <f t="shared" si="3"/>
        <v>FL2</v>
      </c>
      <c r="F102" s="13" t="str">
        <f t="shared" si="4"/>
        <v>50</v>
      </c>
      <c r="G102" s="13" t="str">
        <f t="shared" si="5"/>
        <v>100</v>
      </c>
    </row>
    <row r="103" spans="1:7" x14ac:dyDescent="0.3">
      <c r="A103" s="43" t="s">
        <v>306</v>
      </c>
      <c r="B103" s="44" t="s">
        <v>2152</v>
      </c>
      <c r="C103" s="4">
        <v>250101</v>
      </c>
      <c r="D103" s="13" t="s">
        <v>306</v>
      </c>
      <c r="E103" s="13" t="str">
        <f t="shared" si="3"/>
        <v>FL2</v>
      </c>
      <c r="F103" s="13" t="str">
        <f t="shared" si="4"/>
        <v>50</v>
      </c>
      <c r="G103" s="13" t="str">
        <f t="shared" si="5"/>
        <v>101</v>
      </c>
    </row>
    <row r="104" spans="1:7" x14ac:dyDescent="0.3">
      <c r="A104" s="13" t="s">
        <v>308</v>
      </c>
      <c r="B104" s="44" t="s">
        <v>2152</v>
      </c>
      <c r="C104" s="4">
        <v>250102</v>
      </c>
      <c r="D104" s="13" t="s">
        <v>308</v>
      </c>
      <c r="E104" s="13" t="str">
        <f t="shared" si="3"/>
        <v>FL2</v>
      </c>
      <c r="F104" s="13" t="str">
        <f t="shared" si="4"/>
        <v>50</v>
      </c>
      <c r="G104" s="13" t="str">
        <f t="shared" si="5"/>
        <v>102</v>
      </c>
    </row>
    <row r="105" spans="1:7" x14ac:dyDescent="0.3">
      <c r="A105" s="43" t="s">
        <v>310</v>
      </c>
      <c r="B105" s="44" t="s">
        <v>2152</v>
      </c>
      <c r="C105" s="4">
        <v>250103</v>
      </c>
      <c r="D105" s="13" t="s">
        <v>310</v>
      </c>
      <c r="E105" s="13" t="str">
        <f t="shared" si="3"/>
        <v>FL2</v>
      </c>
      <c r="F105" s="13" t="str">
        <f t="shared" si="4"/>
        <v>50</v>
      </c>
      <c r="G105" s="13" t="str">
        <f t="shared" si="5"/>
        <v>103</v>
      </c>
    </row>
    <row r="106" spans="1:7" x14ac:dyDescent="0.3">
      <c r="A106" s="13" t="s">
        <v>312</v>
      </c>
      <c r="B106" s="44" t="s">
        <v>2152</v>
      </c>
      <c r="C106" s="4">
        <v>250104</v>
      </c>
      <c r="D106" s="13" t="s">
        <v>312</v>
      </c>
      <c r="E106" s="13" t="str">
        <f t="shared" si="3"/>
        <v>FL2</v>
      </c>
      <c r="F106" s="13" t="str">
        <f t="shared" si="4"/>
        <v>50</v>
      </c>
      <c r="G106" s="13" t="str">
        <f t="shared" si="5"/>
        <v>104</v>
      </c>
    </row>
    <row r="107" spans="1:7" x14ac:dyDescent="0.3">
      <c r="A107" s="43" t="s">
        <v>314</v>
      </c>
      <c r="B107" s="44" t="s">
        <v>2152</v>
      </c>
      <c r="C107" s="4">
        <v>250105</v>
      </c>
      <c r="D107" s="13" t="s">
        <v>314</v>
      </c>
      <c r="E107" s="13" t="str">
        <f t="shared" si="3"/>
        <v>FL2</v>
      </c>
      <c r="F107" s="13" t="str">
        <f t="shared" si="4"/>
        <v>50</v>
      </c>
      <c r="G107" s="13" t="str">
        <f t="shared" si="5"/>
        <v>105</v>
      </c>
    </row>
    <row r="108" spans="1:7" x14ac:dyDescent="0.3">
      <c r="A108" s="13" t="s">
        <v>316</v>
      </c>
      <c r="B108" s="44" t="s">
        <v>2152</v>
      </c>
      <c r="C108" s="4">
        <v>250106</v>
      </c>
      <c r="D108" s="13" t="s">
        <v>316</v>
      </c>
      <c r="E108" s="13" t="str">
        <f t="shared" si="3"/>
        <v>FL2</v>
      </c>
      <c r="F108" s="13" t="str">
        <f t="shared" si="4"/>
        <v>50</v>
      </c>
      <c r="G108" s="13" t="str">
        <f t="shared" si="5"/>
        <v>106</v>
      </c>
    </row>
    <row r="109" spans="1:7" x14ac:dyDescent="0.3">
      <c r="A109" s="43" t="s">
        <v>318</v>
      </c>
      <c r="B109" s="44" t="s">
        <v>2152</v>
      </c>
      <c r="C109" s="4">
        <v>250107</v>
      </c>
      <c r="D109" s="13" t="s">
        <v>318</v>
      </c>
      <c r="E109" s="13" t="str">
        <f t="shared" si="3"/>
        <v>FL2</v>
      </c>
      <c r="F109" s="13" t="str">
        <f t="shared" si="4"/>
        <v>50</v>
      </c>
      <c r="G109" s="13" t="str">
        <f t="shared" si="5"/>
        <v>107</v>
      </c>
    </row>
    <row r="110" spans="1:7" x14ac:dyDescent="0.3">
      <c r="A110" s="13" t="s">
        <v>320</v>
      </c>
      <c r="B110" s="44" t="s">
        <v>2152</v>
      </c>
      <c r="C110" s="4">
        <v>250108</v>
      </c>
      <c r="D110" s="13" t="s">
        <v>320</v>
      </c>
      <c r="E110" s="13" t="str">
        <f t="shared" si="3"/>
        <v>FL2</v>
      </c>
      <c r="F110" s="13" t="str">
        <f t="shared" si="4"/>
        <v>50</v>
      </c>
      <c r="G110" s="13" t="str">
        <f t="shared" si="5"/>
        <v>108</v>
      </c>
    </row>
    <row r="111" spans="1:7" x14ac:dyDescent="0.3">
      <c r="A111" s="43" t="s">
        <v>322</v>
      </c>
      <c r="B111" s="44" t="s">
        <v>2152</v>
      </c>
      <c r="C111" s="4">
        <v>250109</v>
      </c>
      <c r="D111" s="13" t="s">
        <v>322</v>
      </c>
      <c r="E111" s="13" t="str">
        <f t="shared" si="3"/>
        <v>FL2</v>
      </c>
      <c r="F111" s="13" t="str">
        <f t="shared" si="4"/>
        <v>50</v>
      </c>
      <c r="G111" s="13" t="str">
        <f t="shared" si="5"/>
        <v>109</v>
      </c>
    </row>
    <row r="112" spans="1:7" x14ac:dyDescent="0.3">
      <c r="A112" s="13" t="s">
        <v>324</v>
      </c>
      <c r="B112" s="44" t="s">
        <v>2152</v>
      </c>
      <c r="C112" s="4">
        <v>250110</v>
      </c>
      <c r="D112" s="13" t="s">
        <v>324</v>
      </c>
      <c r="E112" s="13" t="str">
        <f t="shared" si="3"/>
        <v>FL2</v>
      </c>
      <c r="F112" s="13" t="str">
        <f t="shared" si="4"/>
        <v>50</v>
      </c>
      <c r="G112" s="13" t="str">
        <f t="shared" si="5"/>
        <v>110</v>
      </c>
    </row>
    <row r="113" spans="1:7" x14ac:dyDescent="0.3">
      <c r="A113" s="43" t="s">
        <v>326</v>
      </c>
      <c r="B113" s="44" t="s">
        <v>2152</v>
      </c>
      <c r="C113" s="4">
        <v>250111</v>
      </c>
      <c r="D113" s="13" t="s">
        <v>326</v>
      </c>
      <c r="E113" s="13" t="str">
        <f t="shared" si="3"/>
        <v>FL2</v>
      </c>
      <c r="F113" s="13" t="str">
        <f t="shared" si="4"/>
        <v>50</v>
      </c>
      <c r="G113" s="13" t="str">
        <f t="shared" si="5"/>
        <v>111</v>
      </c>
    </row>
    <row r="114" spans="1:7" x14ac:dyDescent="0.3">
      <c r="A114" s="13" t="s">
        <v>328</v>
      </c>
      <c r="B114" s="44" t="s">
        <v>2152</v>
      </c>
      <c r="C114" s="4">
        <v>250112</v>
      </c>
      <c r="D114" s="13" t="s">
        <v>328</v>
      </c>
      <c r="E114" s="13" t="str">
        <f t="shared" si="3"/>
        <v>FL2</v>
      </c>
      <c r="F114" s="13" t="str">
        <f t="shared" si="4"/>
        <v>50</v>
      </c>
      <c r="G114" s="13" t="str">
        <f t="shared" si="5"/>
        <v>112</v>
      </c>
    </row>
    <row r="115" spans="1:7" x14ac:dyDescent="0.3">
      <c r="A115" s="43" t="s">
        <v>330</v>
      </c>
      <c r="B115" s="44" t="s">
        <v>2152</v>
      </c>
      <c r="C115" s="4">
        <v>250113</v>
      </c>
      <c r="D115" s="13" t="s">
        <v>330</v>
      </c>
      <c r="E115" s="13" t="str">
        <f t="shared" si="3"/>
        <v>FL2</v>
      </c>
      <c r="F115" s="13" t="str">
        <f t="shared" si="4"/>
        <v>50</v>
      </c>
      <c r="G115" s="13" t="str">
        <f t="shared" si="5"/>
        <v>113</v>
      </c>
    </row>
    <row r="116" spans="1:7" x14ac:dyDescent="0.3">
      <c r="A116" s="13" t="s">
        <v>332</v>
      </c>
      <c r="B116" s="44" t="s">
        <v>2152</v>
      </c>
      <c r="C116" s="4">
        <v>250114</v>
      </c>
      <c r="D116" s="13" t="s">
        <v>332</v>
      </c>
      <c r="E116" s="13" t="str">
        <f t="shared" si="3"/>
        <v>FL2</v>
      </c>
      <c r="F116" s="13" t="str">
        <f t="shared" si="4"/>
        <v>50</v>
      </c>
      <c r="G116" s="13" t="str">
        <f t="shared" si="5"/>
        <v>114</v>
      </c>
    </row>
    <row r="117" spans="1:7" x14ac:dyDescent="0.3">
      <c r="A117" s="43" t="s">
        <v>334</v>
      </c>
      <c r="B117" s="44" t="s">
        <v>2152</v>
      </c>
      <c r="C117" s="4">
        <v>250115</v>
      </c>
      <c r="D117" s="13" t="s">
        <v>334</v>
      </c>
      <c r="E117" s="13" t="str">
        <f t="shared" si="3"/>
        <v>FL2</v>
      </c>
      <c r="F117" s="13" t="str">
        <f t="shared" si="4"/>
        <v>50</v>
      </c>
      <c r="G117" s="13" t="str">
        <f t="shared" si="5"/>
        <v>115</v>
      </c>
    </row>
    <row r="118" spans="1:7" x14ac:dyDescent="0.3">
      <c r="A118" s="13" t="s">
        <v>337</v>
      </c>
      <c r="B118" s="44" t="s">
        <v>2152</v>
      </c>
      <c r="C118" s="4">
        <v>250116</v>
      </c>
      <c r="D118" s="13" t="s">
        <v>337</v>
      </c>
      <c r="E118" s="13" t="str">
        <f t="shared" si="3"/>
        <v>FL2</v>
      </c>
      <c r="F118" s="13" t="str">
        <f t="shared" si="4"/>
        <v>50</v>
      </c>
      <c r="G118" s="13" t="str">
        <f t="shared" si="5"/>
        <v>116</v>
      </c>
    </row>
    <row r="119" spans="1:7" x14ac:dyDescent="0.3">
      <c r="A119" s="43" t="s">
        <v>339</v>
      </c>
      <c r="B119" s="44" t="s">
        <v>2152</v>
      </c>
      <c r="C119" s="4">
        <v>250117</v>
      </c>
      <c r="D119" s="13" t="s">
        <v>339</v>
      </c>
      <c r="E119" s="13" t="str">
        <f t="shared" si="3"/>
        <v>FL2</v>
      </c>
      <c r="F119" s="13" t="str">
        <f t="shared" si="4"/>
        <v>50</v>
      </c>
      <c r="G119" s="13" t="str">
        <f t="shared" si="5"/>
        <v>117</v>
      </c>
    </row>
    <row r="120" spans="1:7" x14ac:dyDescent="0.3">
      <c r="A120" s="13" t="s">
        <v>341</v>
      </c>
      <c r="B120" s="44" t="s">
        <v>2152</v>
      </c>
      <c r="C120" s="4">
        <v>250118</v>
      </c>
      <c r="D120" s="13" t="s">
        <v>341</v>
      </c>
      <c r="E120" s="13" t="str">
        <f t="shared" si="3"/>
        <v>FL2</v>
      </c>
      <c r="F120" s="13" t="str">
        <f t="shared" si="4"/>
        <v>50</v>
      </c>
      <c r="G120" s="13" t="str">
        <f t="shared" si="5"/>
        <v>118</v>
      </c>
    </row>
    <row r="121" spans="1:7" x14ac:dyDescent="0.3">
      <c r="A121" s="43" t="s">
        <v>343</v>
      </c>
      <c r="B121" s="44" t="s">
        <v>2152</v>
      </c>
      <c r="C121" s="4">
        <v>250119</v>
      </c>
      <c r="D121" s="13" t="s">
        <v>343</v>
      </c>
      <c r="E121" s="13" t="str">
        <f t="shared" si="3"/>
        <v>FL2</v>
      </c>
      <c r="F121" s="13" t="str">
        <f t="shared" si="4"/>
        <v>50</v>
      </c>
      <c r="G121" s="13" t="str">
        <f t="shared" si="5"/>
        <v>119</v>
      </c>
    </row>
    <row r="122" spans="1:7" x14ac:dyDescent="0.3">
      <c r="A122" s="13" t="s">
        <v>345</v>
      </c>
      <c r="B122" s="44" t="s">
        <v>2152</v>
      </c>
      <c r="C122" s="4">
        <v>250120</v>
      </c>
      <c r="D122" s="13" t="s">
        <v>345</v>
      </c>
      <c r="E122" s="13" t="str">
        <f t="shared" si="3"/>
        <v>FL2</v>
      </c>
      <c r="F122" s="13" t="str">
        <f t="shared" si="4"/>
        <v>50</v>
      </c>
      <c r="G122" s="13" t="str">
        <f t="shared" si="5"/>
        <v>120</v>
      </c>
    </row>
    <row r="123" spans="1:7" x14ac:dyDescent="0.3">
      <c r="A123" s="43" t="s">
        <v>347</v>
      </c>
      <c r="B123" s="44" t="s">
        <v>2152</v>
      </c>
      <c r="C123" s="4">
        <v>250121</v>
      </c>
      <c r="D123" s="13" t="s">
        <v>347</v>
      </c>
      <c r="E123" s="13" t="str">
        <f t="shared" si="3"/>
        <v>FL2</v>
      </c>
      <c r="F123" s="13" t="str">
        <f t="shared" si="4"/>
        <v>50</v>
      </c>
      <c r="G123" s="13" t="str">
        <f t="shared" si="5"/>
        <v>121</v>
      </c>
    </row>
    <row r="124" spans="1:7" x14ac:dyDescent="0.3">
      <c r="A124" s="13" t="s">
        <v>349</v>
      </c>
      <c r="B124" s="44" t="s">
        <v>2152</v>
      </c>
      <c r="C124" s="4">
        <v>250122</v>
      </c>
      <c r="D124" s="13" t="s">
        <v>349</v>
      </c>
      <c r="E124" s="13" t="str">
        <f t="shared" si="3"/>
        <v>FL2</v>
      </c>
      <c r="F124" s="13" t="str">
        <f t="shared" si="4"/>
        <v>50</v>
      </c>
      <c r="G124" s="13" t="str">
        <f t="shared" si="5"/>
        <v>122</v>
      </c>
    </row>
    <row r="125" spans="1:7" x14ac:dyDescent="0.3">
      <c r="A125" s="43" t="s">
        <v>351</v>
      </c>
      <c r="B125" s="44" t="s">
        <v>2152</v>
      </c>
      <c r="C125" s="4">
        <v>250123</v>
      </c>
      <c r="D125" s="13" t="s">
        <v>351</v>
      </c>
      <c r="E125" s="13" t="str">
        <f t="shared" si="3"/>
        <v>FL2</v>
      </c>
      <c r="F125" s="13" t="str">
        <f t="shared" si="4"/>
        <v>50</v>
      </c>
      <c r="G125" s="13" t="str">
        <f t="shared" si="5"/>
        <v>123</v>
      </c>
    </row>
    <row r="126" spans="1:7" x14ac:dyDescent="0.3">
      <c r="A126" s="13" t="s">
        <v>353</v>
      </c>
      <c r="B126" s="44" t="s">
        <v>2152</v>
      </c>
      <c r="C126" s="4">
        <v>250124</v>
      </c>
      <c r="D126" s="13" t="s">
        <v>353</v>
      </c>
      <c r="E126" s="13" t="str">
        <f t="shared" si="3"/>
        <v>FL2</v>
      </c>
      <c r="F126" s="13" t="str">
        <f t="shared" si="4"/>
        <v>50</v>
      </c>
      <c r="G126" s="13" t="str">
        <f t="shared" si="5"/>
        <v>124</v>
      </c>
    </row>
    <row r="127" spans="1:7" x14ac:dyDescent="0.3">
      <c r="A127" s="43" t="s">
        <v>355</v>
      </c>
      <c r="B127" s="44" t="s">
        <v>2152</v>
      </c>
      <c r="C127" s="4">
        <v>250125</v>
      </c>
      <c r="D127" s="13" t="s">
        <v>355</v>
      </c>
      <c r="E127" s="13" t="str">
        <f t="shared" si="3"/>
        <v>FL2</v>
      </c>
      <c r="F127" s="13" t="str">
        <f t="shared" si="4"/>
        <v>50</v>
      </c>
      <c r="G127" s="13" t="str">
        <f t="shared" si="5"/>
        <v>125</v>
      </c>
    </row>
    <row r="128" spans="1:7" x14ac:dyDescent="0.3">
      <c r="A128" s="13" t="s">
        <v>357</v>
      </c>
      <c r="B128" s="44" t="s">
        <v>2152</v>
      </c>
      <c r="C128" s="4">
        <v>250126</v>
      </c>
      <c r="D128" s="13" t="s">
        <v>357</v>
      </c>
      <c r="E128" s="13" t="str">
        <f t="shared" si="3"/>
        <v>FL2</v>
      </c>
      <c r="F128" s="13" t="str">
        <f t="shared" si="4"/>
        <v>50</v>
      </c>
      <c r="G128" s="13" t="str">
        <f t="shared" si="5"/>
        <v>126</v>
      </c>
    </row>
    <row r="129" spans="1:7" x14ac:dyDescent="0.3">
      <c r="A129" s="43" t="s">
        <v>359</v>
      </c>
      <c r="B129" s="44" t="s">
        <v>2152</v>
      </c>
      <c r="C129" s="4">
        <v>250127</v>
      </c>
      <c r="D129" s="13" t="s">
        <v>359</v>
      </c>
      <c r="E129" s="13" t="str">
        <f t="shared" si="3"/>
        <v>FL2</v>
      </c>
      <c r="F129" s="13" t="str">
        <f t="shared" si="4"/>
        <v>50</v>
      </c>
      <c r="G129" s="13" t="str">
        <f t="shared" si="5"/>
        <v>127</v>
      </c>
    </row>
    <row r="130" spans="1:7" x14ac:dyDescent="0.3">
      <c r="A130" s="13" t="s">
        <v>361</v>
      </c>
      <c r="B130" s="44" t="s">
        <v>2152</v>
      </c>
      <c r="C130" s="4">
        <v>250128</v>
      </c>
      <c r="D130" s="13" t="s">
        <v>361</v>
      </c>
      <c r="E130" s="13" t="str">
        <f t="shared" si="3"/>
        <v>FL2</v>
      </c>
      <c r="F130" s="13" t="str">
        <f t="shared" si="4"/>
        <v>50</v>
      </c>
      <c r="G130" s="13" t="str">
        <f t="shared" si="5"/>
        <v>128</v>
      </c>
    </row>
    <row r="131" spans="1:7" x14ac:dyDescent="0.3">
      <c r="A131" s="43" t="s">
        <v>363</v>
      </c>
      <c r="B131" s="44" t="s">
        <v>2152</v>
      </c>
      <c r="C131" s="4">
        <v>250129</v>
      </c>
      <c r="D131" s="13" t="s">
        <v>363</v>
      </c>
      <c r="E131" s="13" t="str">
        <f t="shared" si="3"/>
        <v>FL2</v>
      </c>
      <c r="F131" s="13" t="str">
        <f t="shared" si="4"/>
        <v>50</v>
      </c>
      <c r="G131" s="13" t="str">
        <f t="shared" si="5"/>
        <v>129</v>
      </c>
    </row>
    <row r="132" spans="1:7" x14ac:dyDescent="0.3">
      <c r="A132" s="13" t="s">
        <v>365</v>
      </c>
      <c r="B132" s="44" t="s">
        <v>2152</v>
      </c>
      <c r="C132" s="4">
        <v>250130</v>
      </c>
      <c r="D132" s="13" t="s">
        <v>365</v>
      </c>
      <c r="E132" s="13" t="str">
        <f t="shared" ref="E132:E195" si="6">LEFT(D132,3)</f>
        <v>FL2</v>
      </c>
      <c r="F132" s="13" t="str">
        <f t="shared" ref="F132:F195" si="7">MID(D132,4,2)</f>
        <v>50</v>
      </c>
      <c r="G132" s="13" t="str">
        <f t="shared" ref="G132:G195" si="8">RIGHT(D132,3)</f>
        <v>130</v>
      </c>
    </row>
    <row r="133" spans="1:7" x14ac:dyDescent="0.3">
      <c r="A133" s="43" t="s">
        <v>367</v>
      </c>
      <c r="B133" s="44" t="s">
        <v>2152</v>
      </c>
      <c r="C133" s="4">
        <v>250131</v>
      </c>
      <c r="D133" s="13" t="s">
        <v>367</v>
      </c>
      <c r="E133" s="13" t="str">
        <f t="shared" si="6"/>
        <v>FL2</v>
      </c>
      <c r="F133" s="13" t="str">
        <f t="shared" si="7"/>
        <v>50</v>
      </c>
      <c r="G133" s="13" t="str">
        <f t="shared" si="8"/>
        <v>131</v>
      </c>
    </row>
    <row r="134" spans="1:7" x14ac:dyDescent="0.3">
      <c r="A134" s="13" t="s">
        <v>369</v>
      </c>
      <c r="B134" s="44" t="s">
        <v>2152</v>
      </c>
      <c r="C134" s="4">
        <v>250132</v>
      </c>
      <c r="D134" s="13" t="s">
        <v>369</v>
      </c>
      <c r="E134" s="13" t="str">
        <f t="shared" si="6"/>
        <v>FL2</v>
      </c>
      <c r="F134" s="13" t="str">
        <f t="shared" si="7"/>
        <v>50</v>
      </c>
      <c r="G134" s="13" t="str">
        <f t="shared" si="8"/>
        <v>132</v>
      </c>
    </row>
    <row r="135" spans="1:7" x14ac:dyDescent="0.3">
      <c r="A135" s="43" t="s">
        <v>371</v>
      </c>
      <c r="B135" s="44" t="s">
        <v>2152</v>
      </c>
      <c r="C135" s="4">
        <v>250133</v>
      </c>
      <c r="D135" s="13" t="s">
        <v>371</v>
      </c>
      <c r="E135" s="13" t="str">
        <f t="shared" si="6"/>
        <v>FL2</v>
      </c>
      <c r="F135" s="13" t="str">
        <f t="shared" si="7"/>
        <v>50</v>
      </c>
      <c r="G135" s="13" t="str">
        <f t="shared" si="8"/>
        <v>133</v>
      </c>
    </row>
    <row r="136" spans="1:7" x14ac:dyDescent="0.3">
      <c r="A136" s="13" t="s">
        <v>373</v>
      </c>
      <c r="B136" s="44" t="s">
        <v>2152</v>
      </c>
      <c r="C136" s="4">
        <v>250134</v>
      </c>
      <c r="D136" s="13" t="s">
        <v>373</v>
      </c>
      <c r="E136" s="13" t="str">
        <f t="shared" si="6"/>
        <v>FL2</v>
      </c>
      <c r="F136" s="13" t="str">
        <f t="shared" si="7"/>
        <v>50</v>
      </c>
      <c r="G136" s="13" t="str">
        <f t="shared" si="8"/>
        <v>134</v>
      </c>
    </row>
    <row r="137" spans="1:7" x14ac:dyDescent="0.3">
      <c r="A137" s="43" t="s">
        <v>375</v>
      </c>
      <c r="B137" s="44" t="s">
        <v>2152</v>
      </c>
      <c r="C137" s="4">
        <v>250135</v>
      </c>
      <c r="D137" s="13" t="s">
        <v>375</v>
      </c>
      <c r="E137" s="13" t="str">
        <f t="shared" si="6"/>
        <v>FL2</v>
      </c>
      <c r="F137" s="13" t="str">
        <f t="shared" si="7"/>
        <v>50</v>
      </c>
      <c r="G137" s="13" t="str">
        <f t="shared" si="8"/>
        <v>135</v>
      </c>
    </row>
    <row r="138" spans="1:7" x14ac:dyDescent="0.3">
      <c r="A138" s="13" t="s">
        <v>377</v>
      </c>
      <c r="B138" s="44" t="s">
        <v>2152</v>
      </c>
      <c r="C138" s="4">
        <v>250136</v>
      </c>
      <c r="D138" s="13" t="s">
        <v>377</v>
      </c>
      <c r="E138" s="13" t="str">
        <f t="shared" si="6"/>
        <v>FL2</v>
      </c>
      <c r="F138" s="13" t="str">
        <f t="shared" si="7"/>
        <v>50</v>
      </c>
      <c r="G138" s="13" t="str">
        <f t="shared" si="8"/>
        <v>136</v>
      </c>
    </row>
    <row r="139" spans="1:7" x14ac:dyDescent="0.3">
      <c r="A139" s="43" t="s">
        <v>379</v>
      </c>
      <c r="B139" s="44" t="s">
        <v>2152</v>
      </c>
      <c r="C139" s="4">
        <v>250137</v>
      </c>
      <c r="D139" s="13" t="s">
        <v>379</v>
      </c>
      <c r="E139" s="13" t="str">
        <f t="shared" si="6"/>
        <v>FL2</v>
      </c>
      <c r="F139" s="13" t="str">
        <f t="shared" si="7"/>
        <v>50</v>
      </c>
      <c r="G139" s="13" t="str">
        <f t="shared" si="8"/>
        <v>137</v>
      </c>
    </row>
    <row r="140" spans="1:7" x14ac:dyDescent="0.3">
      <c r="A140" s="13" t="s">
        <v>381</v>
      </c>
      <c r="B140" s="44" t="s">
        <v>2152</v>
      </c>
      <c r="C140" s="4">
        <v>250138</v>
      </c>
      <c r="D140" s="13" t="s">
        <v>381</v>
      </c>
      <c r="E140" s="13" t="str">
        <f t="shared" si="6"/>
        <v>FL2</v>
      </c>
      <c r="F140" s="13" t="str">
        <f t="shared" si="7"/>
        <v>50</v>
      </c>
      <c r="G140" s="13" t="str">
        <f t="shared" si="8"/>
        <v>138</v>
      </c>
    </row>
    <row r="141" spans="1:7" x14ac:dyDescent="0.3">
      <c r="A141" s="43" t="s">
        <v>383</v>
      </c>
      <c r="B141" s="44" t="s">
        <v>2152</v>
      </c>
      <c r="C141" s="4">
        <v>250139</v>
      </c>
      <c r="D141" s="13" t="s">
        <v>383</v>
      </c>
      <c r="E141" s="13" t="str">
        <f t="shared" si="6"/>
        <v>FL2</v>
      </c>
      <c r="F141" s="13" t="str">
        <f t="shared" si="7"/>
        <v>50</v>
      </c>
      <c r="G141" s="13" t="str">
        <f t="shared" si="8"/>
        <v>139</v>
      </c>
    </row>
    <row r="142" spans="1:7" x14ac:dyDescent="0.3">
      <c r="A142" s="13" t="s">
        <v>385</v>
      </c>
      <c r="B142" s="44" t="s">
        <v>2152</v>
      </c>
      <c r="C142" s="4">
        <v>250140</v>
      </c>
      <c r="D142" s="13" t="s">
        <v>385</v>
      </c>
      <c r="E142" s="13" t="str">
        <f t="shared" si="6"/>
        <v>FL2</v>
      </c>
      <c r="F142" s="13" t="str">
        <f t="shared" si="7"/>
        <v>50</v>
      </c>
      <c r="G142" s="13" t="str">
        <f t="shared" si="8"/>
        <v>140</v>
      </c>
    </row>
    <row r="143" spans="1:7" x14ac:dyDescent="0.3">
      <c r="A143" s="43" t="s">
        <v>387</v>
      </c>
      <c r="B143" s="44" t="s">
        <v>2152</v>
      </c>
      <c r="C143" s="4">
        <v>250141</v>
      </c>
      <c r="D143" s="13" t="s">
        <v>387</v>
      </c>
      <c r="E143" s="13" t="str">
        <f t="shared" si="6"/>
        <v>FL2</v>
      </c>
      <c r="F143" s="13" t="str">
        <f t="shared" si="7"/>
        <v>50</v>
      </c>
      <c r="G143" s="13" t="str">
        <f t="shared" si="8"/>
        <v>141</v>
      </c>
    </row>
    <row r="144" spans="1:7" x14ac:dyDescent="0.3">
      <c r="A144" s="13" t="s">
        <v>389</v>
      </c>
      <c r="B144" s="44" t="s">
        <v>2152</v>
      </c>
      <c r="C144" s="4">
        <v>250142</v>
      </c>
      <c r="D144" s="13" t="s">
        <v>389</v>
      </c>
      <c r="E144" s="13" t="str">
        <f t="shared" si="6"/>
        <v>FL2</v>
      </c>
      <c r="F144" s="13" t="str">
        <f t="shared" si="7"/>
        <v>50</v>
      </c>
      <c r="G144" s="13" t="str">
        <f t="shared" si="8"/>
        <v>142</v>
      </c>
    </row>
    <row r="145" spans="1:7" x14ac:dyDescent="0.3">
      <c r="A145" s="43" t="s">
        <v>391</v>
      </c>
      <c r="B145" s="44" t="s">
        <v>2152</v>
      </c>
      <c r="C145" s="4">
        <v>250143</v>
      </c>
      <c r="D145" s="13" t="s">
        <v>391</v>
      </c>
      <c r="E145" s="13" t="str">
        <f t="shared" si="6"/>
        <v>FL2</v>
      </c>
      <c r="F145" s="13" t="str">
        <f t="shared" si="7"/>
        <v>50</v>
      </c>
      <c r="G145" s="13" t="str">
        <f t="shared" si="8"/>
        <v>143</v>
      </c>
    </row>
    <row r="146" spans="1:7" x14ac:dyDescent="0.3">
      <c r="A146" s="13" t="s">
        <v>393</v>
      </c>
      <c r="B146" s="44" t="s">
        <v>2152</v>
      </c>
      <c r="C146" s="4">
        <v>250144</v>
      </c>
      <c r="D146" s="13" t="s">
        <v>393</v>
      </c>
      <c r="E146" s="13" t="str">
        <f t="shared" si="6"/>
        <v>FL2</v>
      </c>
      <c r="F146" s="13" t="str">
        <f t="shared" si="7"/>
        <v>50</v>
      </c>
      <c r="G146" s="13" t="str">
        <f t="shared" si="8"/>
        <v>144</v>
      </c>
    </row>
    <row r="147" spans="1:7" x14ac:dyDescent="0.3">
      <c r="A147" s="43" t="s">
        <v>395</v>
      </c>
      <c r="B147" s="44" t="s">
        <v>2152</v>
      </c>
      <c r="C147" s="4">
        <v>250145</v>
      </c>
      <c r="D147" s="13" t="s">
        <v>395</v>
      </c>
      <c r="E147" s="13" t="str">
        <f t="shared" si="6"/>
        <v>FL2</v>
      </c>
      <c r="F147" s="13" t="str">
        <f t="shared" si="7"/>
        <v>50</v>
      </c>
      <c r="G147" s="13" t="str">
        <f t="shared" si="8"/>
        <v>145</v>
      </c>
    </row>
    <row r="148" spans="1:7" x14ac:dyDescent="0.3">
      <c r="A148" s="13" t="s">
        <v>397</v>
      </c>
      <c r="B148" s="44" t="s">
        <v>2152</v>
      </c>
      <c r="C148" s="4">
        <v>250146</v>
      </c>
      <c r="D148" s="13" t="s">
        <v>397</v>
      </c>
      <c r="E148" s="13" t="str">
        <f t="shared" si="6"/>
        <v>FL2</v>
      </c>
      <c r="F148" s="13" t="str">
        <f t="shared" si="7"/>
        <v>50</v>
      </c>
      <c r="G148" s="13" t="str">
        <f t="shared" si="8"/>
        <v>146</v>
      </c>
    </row>
    <row r="149" spans="1:7" x14ac:dyDescent="0.3">
      <c r="A149" s="43" t="s">
        <v>399</v>
      </c>
      <c r="B149" s="44" t="s">
        <v>2152</v>
      </c>
      <c r="C149" s="4">
        <v>250147</v>
      </c>
      <c r="D149" s="13" t="s">
        <v>399</v>
      </c>
      <c r="E149" s="13" t="str">
        <f t="shared" si="6"/>
        <v>FL2</v>
      </c>
      <c r="F149" s="13" t="str">
        <f t="shared" si="7"/>
        <v>50</v>
      </c>
      <c r="G149" s="13" t="str">
        <f t="shared" si="8"/>
        <v>147</v>
      </c>
    </row>
    <row r="150" spans="1:7" x14ac:dyDescent="0.3">
      <c r="A150" s="13" t="s">
        <v>401</v>
      </c>
      <c r="B150" s="44" t="s">
        <v>2152</v>
      </c>
      <c r="C150" s="4">
        <v>250148</v>
      </c>
      <c r="D150" s="13" t="s">
        <v>401</v>
      </c>
      <c r="E150" s="13" t="str">
        <f t="shared" si="6"/>
        <v>FL2</v>
      </c>
      <c r="F150" s="13" t="str">
        <f t="shared" si="7"/>
        <v>50</v>
      </c>
      <c r="G150" s="13" t="str">
        <f t="shared" si="8"/>
        <v>148</v>
      </c>
    </row>
    <row r="151" spans="1:7" x14ac:dyDescent="0.3">
      <c r="A151" s="43" t="s">
        <v>403</v>
      </c>
      <c r="B151" s="44" t="s">
        <v>2152</v>
      </c>
      <c r="C151" s="4">
        <v>250149</v>
      </c>
      <c r="D151" s="13" t="s">
        <v>403</v>
      </c>
      <c r="E151" s="13" t="str">
        <f t="shared" si="6"/>
        <v>FL2</v>
      </c>
      <c r="F151" s="13" t="str">
        <f t="shared" si="7"/>
        <v>50</v>
      </c>
      <c r="G151" s="13" t="str">
        <f t="shared" si="8"/>
        <v>149</v>
      </c>
    </row>
    <row r="152" spans="1:7" x14ac:dyDescent="0.3">
      <c r="A152" s="13" t="s">
        <v>405</v>
      </c>
      <c r="B152" s="44" t="s">
        <v>2152</v>
      </c>
      <c r="C152" s="4">
        <v>250150</v>
      </c>
      <c r="D152" s="13" t="s">
        <v>405</v>
      </c>
      <c r="E152" s="13" t="str">
        <f t="shared" si="6"/>
        <v>FL2</v>
      </c>
      <c r="F152" s="13" t="str">
        <f t="shared" si="7"/>
        <v>50</v>
      </c>
      <c r="G152" s="13" t="str">
        <f t="shared" si="8"/>
        <v>150</v>
      </c>
    </row>
    <row r="153" spans="1:7" x14ac:dyDescent="0.3">
      <c r="A153" s="43" t="s">
        <v>407</v>
      </c>
      <c r="B153" s="44" t="s">
        <v>2152</v>
      </c>
      <c r="C153" s="4">
        <v>250151</v>
      </c>
      <c r="D153" s="13" t="s">
        <v>407</v>
      </c>
      <c r="E153" s="13" t="str">
        <f t="shared" si="6"/>
        <v>FL2</v>
      </c>
      <c r="F153" s="13" t="str">
        <f t="shared" si="7"/>
        <v>50</v>
      </c>
      <c r="G153" s="13" t="str">
        <f t="shared" si="8"/>
        <v>151</v>
      </c>
    </row>
    <row r="154" spans="1:7" x14ac:dyDescent="0.3">
      <c r="A154" s="13" t="s">
        <v>409</v>
      </c>
      <c r="B154" s="44" t="s">
        <v>2152</v>
      </c>
      <c r="C154" s="4">
        <v>250152</v>
      </c>
      <c r="D154" s="13" t="s">
        <v>409</v>
      </c>
      <c r="E154" s="13" t="str">
        <f t="shared" si="6"/>
        <v>FL2</v>
      </c>
      <c r="F154" s="13" t="str">
        <f t="shared" si="7"/>
        <v>50</v>
      </c>
      <c r="G154" s="13" t="str">
        <f t="shared" si="8"/>
        <v>152</v>
      </c>
    </row>
    <row r="155" spans="1:7" x14ac:dyDescent="0.3">
      <c r="A155" s="43" t="s">
        <v>411</v>
      </c>
      <c r="B155" s="44" t="s">
        <v>2152</v>
      </c>
      <c r="C155" s="4">
        <v>250153</v>
      </c>
      <c r="D155" s="13" t="s">
        <v>411</v>
      </c>
      <c r="E155" s="13" t="str">
        <f t="shared" si="6"/>
        <v>FL2</v>
      </c>
      <c r="F155" s="13" t="str">
        <f t="shared" si="7"/>
        <v>50</v>
      </c>
      <c r="G155" s="13" t="str">
        <f t="shared" si="8"/>
        <v>153</v>
      </c>
    </row>
    <row r="156" spans="1:7" x14ac:dyDescent="0.3">
      <c r="A156" s="13" t="s">
        <v>413</v>
      </c>
      <c r="B156" s="44" t="s">
        <v>2152</v>
      </c>
      <c r="C156" s="4">
        <v>250154</v>
      </c>
      <c r="D156" s="13" t="s">
        <v>413</v>
      </c>
      <c r="E156" s="13" t="str">
        <f t="shared" si="6"/>
        <v>FL2</v>
      </c>
      <c r="F156" s="13" t="str">
        <f t="shared" si="7"/>
        <v>50</v>
      </c>
      <c r="G156" s="13" t="str">
        <f t="shared" si="8"/>
        <v>154</v>
      </c>
    </row>
    <row r="157" spans="1:7" x14ac:dyDescent="0.3">
      <c r="A157" s="43" t="s">
        <v>415</v>
      </c>
      <c r="B157" s="44" t="s">
        <v>2152</v>
      </c>
      <c r="C157" s="4">
        <v>250155</v>
      </c>
      <c r="D157" s="13" t="s">
        <v>415</v>
      </c>
      <c r="E157" s="13" t="str">
        <f t="shared" si="6"/>
        <v>FL2</v>
      </c>
      <c r="F157" s="13" t="str">
        <f t="shared" si="7"/>
        <v>50</v>
      </c>
      <c r="G157" s="13" t="str">
        <f t="shared" si="8"/>
        <v>155</v>
      </c>
    </row>
    <row r="158" spans="1:7" x14ac:dyDescent="0.3">
      <c r="A158" s="13" t="s">
        <v>417</v>
      </c>
      <c r="B158" s="44" t="s">
        <v>2152</v>
      </c>
      <c r="C158" s="4">
        <v>250156</v>
      </c>
      <c r="D158" s="13" t="s">
        <v>417</v>
      </c>
      <c r="E158" s="13" t="str">
        <f t="shared" si="6"/>
        <v>FL2</v>
      </c>
      <c r="F158" s="13" t="str">
        <f t="shared" si="7"/>
        <v>50</v>
      </c>
      <c r="G158" s="13" t="str">
        <f t="shared" si="8"/>
        <v>156</v>
      </c>
    </row>
    <row r="159" spans="1:7" x14ac:dyDescent="0.3">
      <c r="A159" s="43" t="s">
        <v>419</v>
      </c>
      <c r="B159" s="44" t="s">
        <v>2152</v>
      </c>
      <c r="C159" s="4">
        <v>250157</v>
      </c>
      <c r="D159" s="13" t="s">
        <v>419</v>
      </c>
      <c r="E159" s="13" t="str">
        <f t="shared" si="6"/>
        <v>FL2</v>
      </c>
      <c r="F159" s="13" t="str">
        <f t="shared" si="7"/>
        <v>50</v>
      </c>
      <c r="G159" s="13" t="str">
        <f t="shared" si="8"/>
        <v>157</v>
      </c>
    </row>
    <row r="160" spans="1:7" x14ac:dyDescent="0.3">
      <c r="A160" s="13" t="s">
        <v>421</v>
      </c>
      <c r="B160" s="44" t="s">
        <v>2152</v>
      </c>
      <c r="C160" s="4">
        <v>250158</v>
      </c>
      <c r="D160" s="13" t="s">
        <v>421</v>
      </c>
      <c r="E160" s="13" t="str">
        <f t="shared" si="6"/>
        <v>FL2</v>
      </c>
      <c r="F160" s="13" t="str">
        <f t="shared" si="7"/>
        <v>50</v>
      </c>
      <c r="G160" s="13" t="str">
        <f t="shared" si="8"/>
        <v>158</v>
      </c>
    </row>
    <row r="161" spans="1:7" x14ac:dyDescent="0.3">
      <c r="A161" s="43" t="s">
        <v>423</v>
      </c>
      <c r="B161" s="44" t="s">
        <v>2152</v>
      </c>
      <c r="C161" s="4">
        <v>250159</v>
      </c>
      <c r="D161" s="13" t="s">
        <v>423</v>
      </c>
      <c r="E161" s="13" t="str">
        <f t="shared" si="6"/>
        <v>FL2</v>
      </c>
      <c r="F161" s="13" t="str">
        <f t="shared" si="7"/>
        <v>50</v>
      </c>
      <c r="G161" s="13" t="str">
        <f t="shared" si="8"/>
        <v>159</v>
      </c>
    </row>
    <row r="162" spans="1:7" x14ac:dyDescent="0.3">
      <c r="A162" s="13" t="s">
        <v>425</v>
      </c>
      <c r="B162" s="44" t="s">
        <v>2152</v>
      </c>
      <c r="C162" s="4">
        <v>250160</v>
      </c>
      <c r="D162" s="13" t="s">
        <v>425</v>
      </c>
      <c r="E162" s="13" t="str">
        <f t="shared" si="6"/>
        <v>FL2</v>
      </c>
      <c r="F162" s="13" t="str">
        <f t="shared" si="7"/>
        <v>50</v>
      </c>
      <c r="G162" s="13" t="str">
        <f t="shared" si="8"/>
        <v>160</v>
      </c>
    </row>
    <row r="163" spans="1:7" x14ac:dyDescent="0.3">
      <c r="A163" s="43" t="s">
        <v>427</v>
      </c>
      <c r="B163" s="44" t="s">
        <v>2152</v>
      </c>
      <c r="C163" s="4">
        <v>250161</v>
      </c>
      <c r="D163" s="13" t="s">
        <v>427</v>
      </c>
      <c r="E163" s="13" t="str">
        <f t="shared" si="6"/>
        <v>FL2</v>
      </c>
      <c r="F163" s="13" t="str">
        <f t="shared" si="7"/>
        <v>50</v>
      </c>
      <c r="G163" s="13" t="str">
        <f t="shared" si="8"/>
        <v>161</v>
      </c>
    </row>
    <row r="164" spans="1:7" x14ac:dyDescent="0.3">
      <c r="A164" s="13" t="s">
        <v>429</v>
      </c>
      <c r="B164" s="44" t="s">
        <v>2152</v>
      </c>
      <c r="C164" s="4">
        <v>250162</v>
      </c>
      <c r="D164" s="13" t="s">
        <v>429</v>
      </c>
      <c r="E164" s="13" t="str">
        <f t="shared" si="6"/>
        <v>FL2</v>
      </c>
      <c r="F164" s="13" t="str">
        <f t="shared" si="7"/>
        <v>50</v>
      </c>
      <c r="G164" s="13" t="str">
        <f t="shared" si="8"/>
        <v>162</v>
      </c>
    </row>
    <row r="165" spans="1:7" x14ac:dyDescent="0.3">
      <c r="A165" s="43" t="s">
        <v>431</v>
      </c>
      <c r="B165" s="44" t="s">
        <v>2152</v>
      </c>
      <c r="C165" s="4">
        <v>250163</v>
      </c>
      <c r="D165" s="13" t="s">
        <v>431</v>
      </c>
      <c r="E165" s="13" t="str">
        <f t="shared" si="6"/>
        <v>FL2</v>
      </c>
      <c r="F165" s="13" t="str">
        <f t="shared" si="7"/>
        <v>50</v>
      </c>
      <c r="G165" s="13" t="str">
        <f t="shared" si="8"/>
        <v>163</v>
      </c>
    </row>
    <row r="166" spans="1:7" x14ac:dyDescent="0.3">
      <c r="A166" s="13" t="s">
        <v>433</v>
      </c>
      <c r="B166" s="44" t="s">
        <v>2152</v>
      </c>
      <c r="C166" s="4">
        <v>250164</v>
      </c>
      <c r="D166" s="13" t="s">
        <v>433</v>
      </c>
      <c r="E166" s="13" t="str">
        <f t="shared" si="6"/>
        <v>FL2</v>
      </c>
      <c r="F166" s="13" t="str">
        <f t="shared" si="7"/>
        <v>50</v>
      </c>
      <c r="G166" s="13" t="str">
        <f t="shared" si="8"/>
        <v>164</v>
      </c>
    </row>
    <row r="167" spans="1:7" x14ac:dyDescent="0.3">
      <c r="A167" s="43" t="s">
        <v>435</v>
      </c>
      <c r="B167" s="44" t="s">
        <v>2152</v>
      </c>
      <c r="C167" s="4">
        <v>250165</v>
      </c>
      <c r="D167" s="13" t="s">
        <v>435</v>
      </c>
      <c r="E167" s="13" t="str">
        <f t="shared" si="6"/>
        <v>FL2</v>
      </c>
      <c r="F167" s="13" t="str">
        <f t="shared" si="7"/>
        <v>50</v>
      </c>
      <c r="G167" s="13" t="str">
        <f t="shared" si="8"/>
        <v>165</v>
      </c>
    </row>
    <row r="168" spans="1:7" x14ac:dyDescent="0.3">
      <c r="A168" s="13" t="s">
        <v>437</v>
      </c>
      <c r="B168" s="44" t="s">
        <v>2152</v>
      </c>
      <c r="C168" s="4">
        <v>250166</v>
      </c>
      <c r="D168" s="13" t="s">
        <v>437</v>
      </c>
      <c r="E168" s="13" t="str">
        <f t="shared" si="6"/>
        <v>FL2</v>
      </c>
      <c r="F168" s="13" t="str">
        <f t="shared" si="7"/>
        <v>50</v>
      </c>
      <c r="G168" s="13" t="str">
        <f t="shared" si="8"/>
        <v>166</v>
      </c>
    </row>
    <row r="169" spans="1:7" x14ac:dyDescent="0.3">
      <c r="A169" s="43" t="s">
        <v>439</v>
      </c>
      <c r="B169" s="44" t="s">
        <v>2152</v>
      </c>
      <c r="C169" s="4">
        <v>250167</v>
      </c>
      <c r="D169" s="13" t="s">
        <v>439</v>
      </c>
      <c r="E169" s="13" t="str">
        <f t="shared" si="6"/>
        <v>FL2</v>
      </c>
      <c r="F169" s="13" t="str">
        <f t="shared" si="7"/>
        <v>50</v>
      </c>
      <c r="G169" s="13" t="str">
        <f t="shared" si="8"/>
        <v>167</v>
      </c>
    </row>
    <row r="170" spans="1:7" x14ac:dyDescent="0.3">
      <c r="A170" s="13" t="s">
        <v>441</v>
      </c>
      <c r="B170" s="44" t="s">
        <v>2152</v>
      </c>
      <c r="C170" s="4">
        <v>250168</v>
      </c>
      <c r="D170" s="13" t="s">
        <v>441</v>
      </c>
      <c r="E170" s="13" t="str">
        <f t="shared" si="6"/>
        <v>FL2</v>
      </c>
      <c r="F170" s="13" t="str">
        <f t="shared" si="7"/>
        <v>50</v>
      </c>
      <c r="G170" s="13" t="str">
        <f t="shared" si="8"/>
        <v>168</v>
      </c>
    </row>
    <row r="171" spans="1:7" x14ac:dyDescent="0.3">
      <c r="A171" s="43" t="s">
        <v>443</v>
      </c>
      <c r="B171" s="44" t="s">
        <v>2152</v>
      </c>
      <c r="C171" s="4">
        <v>250169</v>
      </c>
      <c r="D171" s="13" t="s">
        <v>443</v>
      </c>
      <c r="E171" s="13" t="str">
        <f t="shared" si="6"/>
        <v>FL2</v>
      </c>
      <c r="F171" s="13" t="str">
        <f t="shared" si="7"/>
        <v>50</v>
      </c>
      <c r="G171" s="13" t="str">
        <f t="shared" si="8"/>
        <v>169</v>
      </c>
    </row>
    <row r="172" spans="1:7" x14ac:dyDescent="0.3">
      <c r="A172" s="13" t="s">
        <v>445</v>
      </c>
      <c r="B172" s="44" t="s">
        <v>2152</v>
      </c>
      <c r="C172" s="4">
        <v>250170</v>
      </c>
      <c r="D172" s="13" t="s">
        <v>445</v>
      </c>
      <c r="E172" s="13" t="str">
        <f t="shared" si="6"/>
        <v>FL2</v>
      </c>
      <c r="F172" s="13" t="str">
        <f t="shared" si="7"/>
        <v>50</v>
      </c>
      <c r="G172" s="13" t="str">
        <f t="shared" si="8"/>
        <v>170</v>
      </c>
    </row>
    <row r="173" spans="1:7" x14ac:dyDescent="0.3">
      <c r="A173" s="43" t="s">
        <v>447</v>
      </c>
      <c r="B173" s="44" t="s">
        <v>2152</v>
      </c>
      <c r="C173" s="4">
        <v>250171</v>
      </c>
      <c r="D173" s="13" t="s">
        <v>447</v>
      </c>
      <c r="E173" s="13" t="str">
        <f t="shared" si="6"/>
        <v>FL2</v>
      </c>
      <c r="F173" s="13" t="str">
        <f t="shared" si="7"/>
        <v>50</v>
      </c>
      <c r="G173" s="13" t="str">
        <f t="shared" si="8"/>
        <v>171</v>
      </c>
    </row>
    <row r="174" spans="1:7" x14ac:dyDescent="0.3">
      <c r="A174" s="13" t="s">
        <v>449</v>
      </c>
      <c r="B174" s="44" t="s">
        <v>2152</v>
      </c>
      <c r="C174" s="4">
        <v>250172</v>
      </c>
      <c r="D174" s="13" t="s">
        <v>449</v>
      </c>
      <c r="E174" s="13" t="str">
        <f t="shared" si="6"/>
        <v>FL2</v>
      </c>
      <c r="F174" s="13" t="str">
        <f t="shared" si="7"/>
        <v>50</v>
      </c>
      <c r="G174" s="13" t="str">
        <f t="shared" si="8"/>
        <v>172</v>
      </c>
    </row>
    <row r="175" spans="1:7" x14ac:dyDescent="0.3">
      <c r="A175" s="43" t="s">
        <v>451</v>
      </c>
      <c r="B175" s="44" t="s">
        <v>2152</v>
      </c>
      <c r="C175" s="4">
        <v>250173</v>
      </c>
      <c r="D175" s="13" t="s">
        <v>451</v>
      </c>
      <c r="E175" s="13" t="str">
        <f t="shared" si="6"/>
        <v>FL2</v>
      </c>
      <c r="F175" s="13" t="str">
        <f t="shared" si="7"/>
        <v>50</v>
      </c>
      <c r="G175" s="13" t="str">
        <f t="shared" si="8"/>
        <v>173</v>
      </c>
    </row>
    <row r="176" spans="1:7" x14ac:dyDescent="0.3">
      <c r="A176" s="13" t="s">
        <v>453</v>
      </c>
      <c r="B176" s="44" t="s">
        <v>2152</v>
      </c>
      <c r="C176" s="4">
        <v>250174</v>
      </c>
      <c r="D176" s="13" t="s">
        <v>453</v>
      </c>
      <c r="E176" s="13" t="str">
        <f t="shared" si="6"/>
        <v>FL2</v>
      </c>
      <c r="F176" s="13" t="str">
        <f t="shared" si="7"/>
        <v>50</v>
      </c>
      <c r="G176" s="13" t="str">
        <f t="shared" si="8"/>
        <v>174</v>
      </c>
    </row>
    <row r="177" spans="1:7" x14ac:dyDescent="0.3">
      <c r="A177" s="43" t="s">
        <v>455</v>
      </c>
      <c r="B177" s="44" t="s">
        <v>2152</v>
      </c>
      <c r="C177" s="4">
        <v>250175</v>
      </c>
      <c r="D177" s="13" t="s">
        <v>455</v>
      </c>
      <c r="E177" s="13" t="str">
        <f t="shared" si="6"/>
        <v>FL2</v>
      </c>
      <c r="F177" s="13" t="str">
        <f t="shared" si="7"/>
        <v>50</v>
      </c>
      <c r="G177" s="13" t="str">
        <f t="shared" si="8"/>
        <v>175</v>
      </c>
    </row>
    <row r="178" spans="1:7" x14ac:dyDescent="0.3">
      <c r="A178" s="13" t="s">
        <v>457</v>
      </c>
      <c r="B178" s="44" t="s">
        <v>2152</v>
      </c>
      <c r="C178" s="4">
        <v>250176</v>
      </c>
      <c r="D178" s="13" t="s">
        <v>457</v>
      </c>
      <c r="E178" s="13" t="str">
        <f t="shared" si="6"/>
        <v>FL2</v>
      </c>
      <c r="F178" s="13" t="str">
        <f t="shared" si="7"/>
        <v>50</v>
      </c>
      <c r="G178" s="13" t="str">
        <f t="shared" si="8"/>
        <v>176</v>
      </c>
    </row>
    <row r="179" spans="1:7" x14ac:dyDescent="0.3">
      <c r="A179" s="43" t="s">
        <v>459</v>
      </c>
      <c r="B179" s="44" t="s">
        <v>2152</v>
      </c>
      <c r="C179" s="4">
        <v>250177</v>
      </c>
      <c r="D179" s="13" t="s">
        <v>459</v>
      </c>
      <c r="E179" s="13" t="str">
        <f t="shared" si="6"/>
        <v>FL2</v>
      </c>
      <c r="F179" s="13" t="str">
        <f t="shared" si="7"/>
        <v>50</v>
      </c>
      <c r="G179" s="13" t="str">
        <f t="shared" si="8"/>
        <v>177</v>
      </c>
    </row>
    <row r="180" spans="1:7" x14ac:dyDescent="0.3">
      <c r="A180" s="13" t="s">
        <v>461</v>
      </c>
      <c r="B180" s="44" t="s">
        <v>2152</v>
      </c>
      <c r="C180" s="4">
        <v>250178</v>
      </c>
      <c r="D180" s="13" t="s">
        <v>461</v>
      </c>
      <c r="E180" s="13" t="str">
        <f t="shared" si="6"/>
        <v>FL2</v>
      </c>
      <c r="F180" s="13" t="str">
        <f t="shared" si="7"/>
        <v>50</v>
      </c>
      <c r="G180" s="13" t="str">
        <f t="shared" si="8"/>
        <v>178</v>
      </c>
    </row>
    <row r="181" spans="1:7" x14ac:dyDescent="0.3">
      <c r="A181" s="43" t="s">
        <v>463</v>
      </c>
      <c r="B181" s="44" t="s">
        <v>2152</v>
      </c>
      <c r="C181" s="4">
        <v>250179</v>
      </c>
      <c r="D181" s="13" t="s">
        <v>463</v>
      </c>
      <c r="E181" s="13" t="str">
        <f t="shared" si="6"/>
        <v>FL2</v>
      </c>
      <c r="F181" s="13" t="str">
        <f t="shared" si="7"/>
        <v>50</v>
      </c>
      <c r="G181" s="13" t="str">
        <f t="shared" si="8"/>
        <v>179</v>
      </c>
    </row>
    <row r="182" spans="1:7" x14ac:dyDescent="0.3">
      <c r="A182" s="13" t="s">
        <v>465</v>
      </c>
      <c r="B182" s="44" t="s">
        <v>2152</v>
      </c>
      <c r="C182" s="4">
        <v>250180</v>
      </c>
      <c r="D182" s="13" t="s">
        <v>465</v>
      </c>
      <c r="E182" s="13" t="str">
        <f t="shared" si="6"/>
        <v>FL2</v>
      </c>
      <c r="F182" s="13" t="str">
        <f t="shared" si="7"/>
        <v>50</v>
      </c>
      <c r="G182" s="13" t="str">
        <f t="shared" si="8"/>
        <v>180</v>
      </c>
    </row>
    <row r="183" spans="1:7" x14ac:dyDescent="0.3">
      <c r="A183" s="43" t="s">
        <v>467</v>
      </c>
      <c r="B183" s="44" t="s">
        <v>2152</v>
      </c>
      <c r="C183" s="4">
        <v>250181</v>
      </c>
      <c r="D183" s="13" t="s">
        <v>467</v>
      </c>
      <c r="E183" s="13" t="str">
        <f t="shared" si="6"/>
        <v>FL2</v>
      </c>
      <c r="F183" s="13" t="str">
        <f t="shared" si="7"/>
        <v>50</v>
      </c>
      <c r="G183" s="13" t="str">
        <f t="shared" si="8"/>
        <v>181</v>
      </c>
    </row>
    <row r="184" spans="1:7" x14ac:dyDescent="0.3">
      <c r="A184" s="13" t="s">
        <v>469</v>
      </c>
      <c r="B184" s="44" t="s">
        <v>2152</v>
      </c>
      <c r="C184" s="4">
        <v>250182</v>
      </c>
      <c r="D184" s="13" t="s">
        <v>469</v>
      </c>
      <c r="E184" s="13" t="str">
        <f t="shared" si="6"/>
        <v>FL2</v>
      </c>
      <c r="F184" s="13" t="str">
        <f t="shared" si="7"/>
        <v>50</v>
      </c>
      <c r="G184" s="13" t="str">
        <f t="shared" si="8"/>
        <v>182</v>
      </c>
    </row>
    <row r="185" spans="1:7" x14ac:dyDescent="0.3">
      <c r="A185" s="43" t="s">
        <v>471</v>
      </c>
      <c r="B185" s="44" t="s">
        <v>2152</v>
      </c>
      <c r="C185" s="4">
        <v>250183</v>
      </c>
      <c r="D185" s="13" t="s">
        <v>471</v>
      </c>
      <c r="E185" s="13" t="str">
        <f t="shared" si="6"/>
        <v>FL2</v>
      </c>
      <c r="F185" s="13" t="str">
        <f t="shared" si="7"/>
        <v>50</v>
      </c>
      <c r="G185" s="13" t="str">
        <f t="shared" si="8"/>
        <v>183</v>
      </c>
    </row>
    <row r="186" spans="1:7" x14ac:dyDescent="0.3">
      <c r="A186" s="13" t="s">
        <v>473</v>
      </c>
      <c r="B186" s="44" t="s">
        <v>2152</v>
      </c>
      <c r="C186" s="4">
        <v>250184</v>
      </c>
      <c r="D186" s="13" t="s">
        <v>473</v>
      </c>
      <c r="E186" s="13" t="str">
        <f t="shared" si="6"/>
        <v>FL2</v>
      </c>
      <c r="F186" s="13" t="str">
        <f t="shared" si="7"/>
        <v>50</v>
      </c>
      <c r="G186" s="13" t="str">
        <f t="shared" si="8"/>
        <v>184</v>
      </c>
    </row>
    <row r="187" spans="1:7" x14ac:dyDescent="0.3">
      <c r="A187" s="43" t="s">
        <v>475</v>
      </c>
      <c r="B187" s="44" t="s">
        <v>2152</v>
      </c>
      <c r="C187" s="4">
        <v>250185</v>
      </c>
      <c r="D187" s="13" t="s">
        <v>475</v>
      </c>
      <c r="E187" s="13" t="str">
        <f t="shared" si="6"/>
        <v>FL2</v>
      </c>
      <c r="F187" s="13" t="str">
        <f t="shared" si="7"/>
        <v>50</v>
      </c>
      <c r="G187" s="13" t="str">
        <f t="shared" si="8"/>
        <v>185</v>
      </c>
    </row>
    <row r="188" spans="1:7" x14ac:dyDescent="0.3">
      <c r="A188" s="13" t="s">
        <v>477</v>
      </c>
      <c r="B188" s="44" t="s">
        <v>2152</v>
      </c>
      <c r="C188" s="4">
        <v>250186</v>
      </c>
      <c r="D188" s="13" t="s">
        <v>477</v>
      </c>
      <c r="E188" s="13" t="str">
        <f t="shared" si="6"/>
        <v>FL2</v>
      </c>
      <c r="F188" s="13" t="str">
        <f t="shared" si="7"/>
        <v>50</v>
      </c>
      <c r="G188" s="13" t="str">
        <f t="shared" si="8"/>
        <v>186</v>
      </c>
    </row>
    <row r="189" spans="1:7" x14ac:dyDescent="0.3">
      <c r="A189" s="43" t="s">
        <v>479</v>
      </c>
      <c r="B189" s="44" t="s">
        <v>2152</v>
      </c>
      <c r="C189" s="4">
        <v>250187</v>
      </c>
      <c r="D189" s="13" t="s">
        <v>479</v>
      </c>
      <c r="E189" s="13" t="str">
        <f t="shared" si="6"/>
        <v>FL2</v>
      </c>
      <c r="F189" s="13" t="str">
        <f t="shared" si="7"/>
        <v>50</v>
      </c>
      <c r="G189" s="13" t="str">
        <f t="shared" si="8"/>
        <v>187</v>
      </c>
    </row>
    <row r="190" spans="1:7" x14ac:dyDescent="0.3">
      <c r="A190" s="13" t="s">
        <v>481</v>
      </c>
      <c r="B190" s="44" t="s">
        <v>2152</v>
      </c>
      <c r="C190" s="4">
        <v>250188</v>
      </c>
      <c r="D190" s="13" t="s">
        <v>481</v>
      </c>
      <c r="E190" s="13" t="str">
        <f t="shared" si="6"/>
        <v>FL2</v>
      </c>
      <c r="F190" s="13" t="str">
        <f t="shared" si="7"/>
        <v>50</v>
      </c>
      <c r="G190" s="13" t="str">
        <f t="shared" si="8"/>
        <v>188</v>
      </c>
    </row>
    <row r="191" spans="1:7" x14ac:dyDescent="0.3">
      <c r="A191" s="43" t="s">
        <v>483</v>
      </c>
      <c r="B191" s="44" t="s">
        <v>2152</v>
      </c>
      <c r="C191" s="4">
        <v>250189</v>
      </c>
      <c r="D191" s="13" t="s">
        <v>483</v>
      </c>
      <c r="E191" s="13" t="str">
        <f t="shared" si="6"/>
        <v>FL2</v>
      </c>
      <c r="F191" s="13" t="str">
        <f t="shared" si="7"/>
        <v>50</v>
      </c>
      <c r="G191" s="13" t="str">
        <f t="shared" si="8"/>
        <v>189</v>
      </c>
    </row>
    <row r="192" spans="1:7" x14ac:dyDescent="0.3">
      <c r="A192" s="13" t="s">
        <v>485</v>
      </c>
      <c r="B192" s="44" t="s">
        <v>2152</v>
      </c>
      <c r="C192" s="4">
        <v>250190</v>
      </c>
      <c r="D192" s="13" t="s">
        <v>485</v>
      </c>
      <c r="E192" s="13" t="str">
        <f t="shared" si="6"/>
        <v>FL2</v>
      </c>
      <c r="F192" s="13" t="str">
        <f t="shared" si="7"/>
        <v>50</v>
      </c>
      <c r="G192" s="13" t="str">
        <f t="shared" si="8"/>
        <v>190</v>
      </c>
    </row>
    <row r="193" spans="1:7" x14ac:dyDescent="0.3">
      <c r="A193" s="43" t="s">
        <v>487</v>
      </c>
      <c r="B193" s="44" t="s">
        <v>2152</v>
      </c>
      <c r="C193" s="4">
        <v>250191</v>
      </c>
      <c r="D193" s="13" t="s">
        <v>487</v>
      </c>
      <c r="E193" s="13" t="str">
        <f t="shared" si="6"/>
        <v>FL2</v>
      </c>
      <c r="F193" s="13" t="str">
        <f t="shared" si="7"/>
        <v>50</v>
      </c>
      <c r="G193" s="13" t="str">
        <f t="shared" si="8"/>
        <v>191</v>
      </c>
    </row>
    <row r="194" spans="1:7" x14ac:dyDescent="0.3">
      <c r="A194" s="13" t="s">
        <v>489</v>
      </c>
      <c r="B194" s="44" t="s">
        <v>2152</v>
      </c>
      <c r="C194" s="4">
        <v>250192</v>
      </c>
      <c r="D194" s="13" t="s">
        <v>489</v>
      </c>
      <c r="E194" s="13" t="str">
        <f t="shared" si="6"/>
        <v>FL2</v>
      </c>
      <c r="F194" s="13" t="str">
        <f t="shared" si="7"/>
        <v>50</v>
      </c>
      <c r="G194" s="13" t="str">
        <f t="shared" si="8"/>
        <v>192</v>
      </c>
    </row>
    <row r="195" spans="1:7" x14ac:dyDescent="0.3">
      <c r="A195" s="43" t="s">
        <v>491</v>
      </c>
      <c r="B195" s="44" t="s">
        <v>2152</v>
      </c>
      <c r="C195" s="4">
        <v>250193</v>
      </c>
      <c r="D195" s="13" t="s">
        <v>491</v>
      </c>
      <c r="E195" s="13" t="str">
        <f t="shared" si="6"/>
        <v>FL2</v>
      </c>
      <c r="F195" s="13" t="str">
        <f t="shared" si="7"/>
        <v>50</v>
      </c>
      <c r="G195" s="13" t="str">
        <f t="shared" si="8"/>
        <v>193</v>
      </c>
    </row>
    <row r="196" spans="1:7" x14ac:dyDescent="0.3">
      <c r="A196" s="13" t="s">
        <v>492</v>
      </c>
      <c r="B196" s="44" t="s">
        <v>2152</v>
      </c>
      <c r="C196" s="4">
        <v>250194</v>
      </c>
      <c r="D196" s="13" t="s">
        <v>492</v>
      </c>
      <c r="E196" s="13" t="str">
        <f t="shared" ref="E196:E259" si="9">LEFT(D196,3)</f>
        <v>FL2</v>
      </c>
      <c r="F196" s="13" t="str">
        <f t="shared" ref="F196:F259" si="10">MID(D196,4,2)</f>
        <v>50</v>
      </c>
      <c r="G196" s="13" t="str">
        <f t="shared" ref="G196:G259" si="11">RIGHT(D196,3)</f>
        <v>194</v>
      </c>
    </row>
    <row r="197" spans="1:7" x14ac:dyDescent="0.3">
      <c r="A197" s="43" t="s">
        <v>494</v>
      </c>
      <c r="B197" s="44" t="s">
        <v>2152</v>
      </c>
      <c r="C197" s="4">
        <v>250195</v>
      </c>
      <c r="D197" s="13" t="s">
        <v>494</v>
      </c>
      <c r="E197" s="13" t="str">
        <f t="shared" si="9"/>
        <v>FL2</v>
      </c>
      <c r="F197" s="13" t="str">
        <f t="shared" si="10"/>
        <v>50</v>
      </c>
      <c r="G197" s="13" t="str">
        <f t="shared" si="11"/>
        <v>195</v>
      </c>
    </row>
    <row r="198" spans="1:7" x14ac:dyDescent="0.3">
      <c r="A198" s="13" t="s">
        <v>496</v>
      </c>
      <c r="B198" s="44" t="s">
        <v>2152</v>
      </c>
      <c r="C198" s="4">
        <v>250196</v>
      </c>
      <c r="D198" s="13" t="s">
        <v>496</v>
      </c>
      <c r="E198" s="13" t="str">
        <f t="shared" si="9"/>
        <v>FL2</v>
      </c>
      <c r="F198" s="13" t="str">
        <f t="shared" si="10"/>
        <v>50</v>
      </c>
      <c r="G198" s="13" t="str">
        <f t="shared" si="11"/>
        <v>196</v>
      </c>
    </row>
    <row r="199" spans="1:7" x14ac:dyDescent="0.3">
      <c r="A199" s="43" t="s">
        <v>498</v>
      </c>
      <c r="B199" s="44" t="s">
        <v>2152</v>
      </c>
      <c r="C199" s="4">
        <v>250197</v>
      </c>
      <c r="D199" s="13" t="s">
        <v>498</v>
      </c>
      <c r="E199" s="13" t="str">
        <f t="shared" si="9"/>
        <v>FL2</v>
      </c>
      <c r="F199" s="13" t="str">
        <f t="shared" si="10"/>
        <v>50</v>
      </c>
      <c r="G199" s="13" t="str">
        <f t="shared" si="11"/>
        <v>197</v>
      </c>
    </row>
    <row r="200" spans="1:7" x14ac:dyDescent="0.3">
      <c r="A200" s="13" t="s">
        <v>500</v>
      </c>
      <c r="B200" s="44" t="s">
        <v>2152</v>
      </c>
      <c r="C200" s="4">
        <v>250198</v>
      </c>
      <c r="D200" s="13" t="s">
        <v>500</v>
      </c>
      <c r="E200" s="13" t="str">
        <f t="shared" si="9"/>
        <v>FL2</v>
      </c>
      <c r="F200" s="13" t="str">
        <f t="shared" si="10"/>
        <v>50</v>
      </c>
      <c r="G200" s="13" t="str">
        <f t="shared" si="11"/>
        <v>198</v>
      </c>
    </row>
    <row r="201" spans="1:7" x14ac:dyDescent="0.3">
      <c r="A201" s="43" t="s">
        <v>502</v>
      </c>
      <c r="B201" s="44" t="s">
        <v>2152</v>
      </c>
      <c r="C201" s="4">
        <v>250199</v>
      </c>
      <c r="D201" s="13" t="s">
        <v>502</v>
      </c>
      <c r="E201" s="13" t="str">
        <f t="shared" si="9"/>
        <v>FL2</v>
      </c>
      <c r="F201" s="13" t="str">
        <f t="shared" si="10"/>
        <v>50</v>
      </c>
      <c r="G201" s="13" t="str">
        <f t="shared" si="11"/>
        <v>199</v>
      </c>
    </row>
    <row r="202" spans="1:7" x14ac:dyDescent="0.3">
      <c r="A202" s="13" t="s">
        <v>504</v>
      </c>
      <c r="B202" s="44" t="s">
        <v>2152</v>
      </c>
      <c r="C202" s="4">
        <v>250200</v>
      </c>
      <c r="D202" s="13" t="s">
        <v>504</v>
      </c>
      <c r="E202" s="13" t="str">
        <f t="shared" si="9"/>
        <v>FL2</v>
      </c>
      <c r="F202" s="13" t="str">
        <f t="shared" si="10"/>
        <v>50</v>
      </c>
      <c r="G202" s="13" t="str">
        <f t="shared" si="11"/>
        <v>200</v>
      </c>
    </row>
    <row r="203" spans="1:7" x14ac:dyDescent="0.3">
      <c r="A203" s="43" t="s">
        <v>506</v>
      </c>
      <c r="B203" s="44" t="s">
        <v>2152</v>
      </c>
      <c r="C203" s="4">
        <v>250201</v>
      </c>
      <c r="D203" s="13" t="s">
        <v>506</v>
      </c>
      <c r="E203" s="13" t="str">
        <f t="shared" si="9"/>
        <v>FL2</v>
      </c>
      <c r="F203" s="13" t="str">
        <f t="shared" si="10"/>
        <v>50</v>
      </c>
      <c r="G203" s="13" t="str">
        <f t="shared" si="11"/>
        <v>201</v>
      </c>
    </row>
    <row r="204" spans="1:7" x14ac:dyDescent="0.3">
      <c r="A204" s="13" t="s">
        <v>508</v>
      </c>
      <c r="B204" s="44" t="s">
        <v>2152</v>
      </c>
      <c r="C204" s="4">
        <v>250202</v>
      </c>
      <c r="D204" s="13" t="s">
        <v>508</v>
      </c>
      <c r="E204" s="13" t="str">
        <f t="shared" si="9"/>
        <v>FL2</v>
      </c>
      <c r="F204" s="13" t="str">
        <f t="shared" si="10"/>
        <v>50</v>
      </c>
      <c r="G204" s="13" t="str">
        <f t="shared" si="11"/>
        <v>202</v>
      </c>
    </row>
    <row r="205" spans="1:7" x14ac:dyDescent="0.3">
      <c r="A205" s="43" t="s">
        <v>510</v>
      </c>
      <c r="B205" s="44" t="s">
        <v>2152</v>
      </c>
      <c r="C205" s="4">
        <v>250203</v>
      </c>
      <c r="D205" s="13" t="s">
        <v>510</v>
      </c>
      <c r="E205" s="13" t="str">
        <f t="shared" si="9"/>
        <v>FL2</v>
      </c>
      <c r="F205" s="13" t="str">
        <f t="shared" si="10"/>
        <v>50</v>
      </c>
      <c r="G205" s="13" t="str">
        <f t="shared" si="11"/>
        <v>203</v>
      </c>
    </row>
    <row r="206" spans="1:7" x14ac:dyDescent="0.3">
      <c r="A206" s="13" t="s">
        <v>512</v>
      </c>
      <c r="B206" s="44" t="s">
        <v>2152</v>
      </c>
      <c r="C206" s="4">
        <v>250204</v>
      </c>
      <c r="D206" s="13" t="s">
        <v>512</v>
      </c>
      <c r="E206" s="13" t="str">
        <f t="shared" si="9"/>
        <v>FL2</v>
      </c>
      <c r="F206" s="13" t="str">
        <f t="shared" si="10"/>
        <v>50</v>
      </c>
      <c r="G206" s="13" t="str">
        <f t="shared" si="11"/>
        <v>204</v>
      </c>
    </row>
    <row r="207" spans="1:7" x14ac:dyDescent="0.3">
      <c r="A207" s="43" t="s">
        <v>514</v>
      </c>
      <c r="B207" s="44" t="s">
        <v>2152</v>
      </c>
      <c r="C207" s="4">
        <v>250205</v>
      </c>
      <c r="D207" s="13" t="s">
        <v>514</v>
      </c>
      <c r="E207" s="13" t="str">
        <f t="shared" si="9"/>
        <v>FL2</v>
      </c>
      <c r="F207" s="13" t="str">
        <f t="shared" si="10"/>
        <v>50</v>
      </c>
      <c r="G207" s="13" t="str">
        <f t="shared" si="11"/>
        <v>205</v>
      </c>
    </row>
    <row r="208" spans="1:7" x14ac:dyDescent="0.3">
      <c r="A208" s="13" t="s">
        <v>516</v>
      </c>
      <c r="B208" s="44" t="s">
        <v>2152</v>
      </c>
      <c r="C208" s="4">
        <v>250206</v>
      </c>
      <c r="D208" s="13" t="s">
        <v>516</v>
      </c>
      <c r="E208" s="13" t="str">
        <f t="shared" si="9"/>
        <v>FL2</v>
      </c>
      <c r="F208" s="13" t="str">
        <f t="shared" si="10"/>
        <v>50</v>
      </c>
      <c r="G208" s="13" t="str">
        <f t="shared" si="11"/>
        <v>206</v>
      </c>
    </row>
    <row r="209" spans="1:7" x14ac:dyDescent="0.3">
      <c r="A209" s="43" t="s">
        <v>518</v>
      </c>
      <c r="B209" s="44" t="s">
        <v>2152</v>
      </c>
      <c r="C209" s="4">
        <v>250207</v>
      </c>
      <c r="D209" s="13" t="s">
        <v>518</v>
      </c>
      <c r="E209" s="13" t="str">
        <f t="shared" si="9"/>
        <v>FL2</v>
      </c>
      <c r="F209" s="13" t="str">
        <f t="shared" si="10"/>
        <v>50</v>
      </c>
      <c r="G209" s="13" t="str">
        <f t="shared" si="11"/>
        <v>207</v>
      </c>
    </row>
    <row r="210" spans="1:7" x14ac:dyDescent="0.3">
      <c r="A210" s="13" t="s">
        <v>520</v>
      </c>
      <c r="B210" s="44" t="s">
        <v>2152</v>
      </c>
      <c r="C210" s="4">
        <v>250208</v>
      </c>
      <c r="D210" s="13" t="s">
        <v>520</v>
      </c>
      <c r="E210" s="13" t="str">
        <f t="shared" si="9"/>
        <v>FL2</v>
      </c>
      <c r="F210" s="13" t="str">
        <f t="shared" si="10"/>
        <v>50</v>
      </c>
      <c r="G210" s="13" t="str">
        <f t="shared" si="11"/>
        <v>208</v>
      </c>
    </row>
    <row r="211" spans="1:7" x14ac:dyDescent="0.3">
      <c r="A211" s="43" t="s">
        <v>522</v>
      </c>
      <c r="B211" s="44" t="s">
        <v>2152</v>
      </c>
      <c r="C211" s="4">
        <v>250209</v>
      </c>
      <c r="D211" s="13" t="s">
        <v>522</v>
      </c>
      <c r="E211" s="13" t="str">
        <f t="shared" si="9"/>
        <v>FL2</v>
      </c>
      <c r="F211" s="13" t="str">
        <f t="shared" si="10"/>
        <v>50</v>
      </c>
      <c r="G211" s="13" t="str">
        <f t="shared" si="11"/>
        <v>209</v>
      </c>
    </row>
    <row r="212" spans="1:7" x14ac:dyDescent="0.3">
      <c r="A212" s="13" t="s">
        <v>524</v>
      </c>
      <c r="B212" s="44" t="s">
        <v>2152</v>
      </c>
      <c r="C212" s="4">
        <v>250210</v>
      </c>
      <c r="D212" s="13" t="s">
        <v>524</v>
      </c>
      <c r="E212" s="13" t="str">
        <f t="shared" si="9"/>
        <v>FL2</v>
      </c>
      <c r="F212" s="13" t="str">
        <f t="shared" si="10"/>
        <v>50</v>
      </c>
      <c r="G212" s="13" t="str">
        <f t="shared" si="11"/>
        <v>210</v>
      </c>
    </row>
    <row r="213" spans="1:7" x14ac:dyDescent="0.3">
      <c r="A213" s="43" t="s">
        <v>526</v>
      </c>
      <c r="B213" s="44" t="s">
        <v>2152</v>
      </c>
      <c r="C213" s="4">
        <v>250211</v>
      </c>
      <c r="D213" s="13" t="s">
        <v>526</v>
      </c>
      <c r="E213" s="13" t="str">
        <f t="shared" si="9"/>
        <v>FL2</v>
      </c>
      <c r="F213" s="13" t="str">
        <f t="shared" si="10"/>
        <v>50</v>
      </c>
      <c r="G213" s="13" t="str">
        <f t="shared" si="11"/>
        <v>211</v>
      </c>
    </row>
    <row r="214" spans="1:7" x14ac:dyDescent="0.3">
      <c r="A214" s="13" t="s">
        <v>528</v>
      </c>
      <c r="B214" s="44" t="s">
        <v>2152</v>
      </c>
      <c r="C214" s="4">
        <v>250212</v>
      </c>
      <c r="D214" s="13" t="s">
        <v>528</v>
      </c>
      <c r="E214" s="13" t="str">
        <f t="shared" si="9"/>
        <v>FL2</v>
      </c>
      <c r="F214" s="13" t="str">
        <f t="shared" si="10"/>
        <v>50</v>
      </c>
      <c r="G214" s="13" t="str">
        <f t="shared" si="11"/>
        <v>212</v>
      </c>
    </row>
    <row r="215" spans="1:7" x14ac:dyDescent="0.3">
      <c r="A215" s="43" t="s">
        <v>530</v>
      </c>
      <c r="B215" s="44" t="s">
        <v>2152</v>
      </c>
      <c r="C215" s="4">
        <v>250213</v>
      </c>
      <c r="D215" s="13" t="s">
        <v>530</v>
      </c>
      <c r="E215" s="13" t="str">
        <f t="shared" si="9"/>
        <v>FL2</v>
      </c>
      <c r="F215" s="13" t="str">
        <f t="shared" si="10"/>
        <v>50</v>
      </c>
      <c r="G215" s="13" t="str">
        <f t="shared" si="11"/>
        <v>213</v>
      </c>
    </row>
    <row r="216" spans="1:7" x14ac:dyDescent="0.3">
      <c r="A216" s="13" t="s">
        <v>532</v>
      </c>
      <c r="B216" s="44" t="s">
        <v>2152</v>
      </c>
      <c r="C216" s="4">
        <v>250214</v>
      </c>
      <c r="D216" s="13" t="s">
        <v>532</v>
      </c>
      <c r="E216" s="13" t="str">
        <f t="shared" si="9"/>
        <v>FL2</v>
      </c>
      <c r="F216" s="13" t="str">
        <f t="shared" si="10"/>
        <v>50</v>
      </c>
      <c r="G216" s="13" t="str">
        <f t="shared" si="11"/>
        <v>214</v>
      </c>
    </row>
    <row r="217" spans="1:7" x14ac:dyDescent="0.3">
      <c r="A217" s="43" t="s">
        <v>534</v>
      </c>
      <c r="B217" s="44" t="s">
        <v>2152</v>
      </c>
      <c r="C217" s="4">
        <v>250215</v>
      </c>
      <c r="D217" s="13" t="s">
        <v>534</v>
      </c>
      <c r="E217" s="13" t="str">
        <f t="shared" si="9"/>
        <v>FL2</v>
      </c>
      <c r="F217" s="13" t="str">
        <f t="shared" si="10"/>
        <v>50</v>
      </c>
      <c r="G217" s="13" t="str">
        <f t="shared" si="11"/>
        <v>215</v>
      </c>
    </row>
    <row r="218" spans="1:7" x14ac:dyDescent="0.3">
      <c r="A218" s="13" t="s">
        <v>536</v>
      </c>
      <c r="B218" s="44" t="s">
        <v>2152</v>
      </c>
      <c r="C218" s="4">
        <v>250216</v>
      </c>
      <c r="D218" s="13" t="s">
        <v>536</v>
      </c>
      <c r="E218" s="13" t="str">
        <f t="shared" si="9"/>
        <v>FL2</v>
      </c>
      <c r="F218" s="13" t="str">
        <f t="shared" si="10"/>
        <v>50</v>
      </c>
      <c r="G218" s="13" t="str">
        <f t="shared" si="11"/>
        <v>216</v>
      </c>
    </row>
    <row r="219" spans="1:7" x14ac:dyDescent="0.3">
      <c r="A219" s="43" t="s">
        <v>538</v>
      </c>
      <c r="B219" s="44" t="s">
        <v>2152</v>
      </c>
      <c r="C219" s="4">
        <v>250217</v>
      </c>
      <c r="D219" s="13" t="s">
        <v>538</v>
      </c>
      <c r="E219" s="13" t="str">
        <f t="shared" si="9"/>
        <v>FL2</v>
      </c>
      <c r="F219" s="13" t="str">
        <f t="shared" si="10"/>
        <v>50</v>
      </c>
      <c r="G219" s="13" t="str">
        <f t="shared" si="11"/>
        <v>217</v>
      </c>
    </row>
    <row r="220" spans="1:7" x14ac:dyDescent="0.3">
      <c r="A220" s="13" t="s">
        <v>540</v>
      </c>
      <c r="B220" s="44" t="s">
        <v>2152</v>
      </c>
      <c r="C220" s="4">
        <v>250218</v>
      </c>
      <c r="D220" s="13" t="s">
        <v>540</v>
      </c>
      <c r="E220" s="13" t="str">
        <f t="shared" si="9"/>
        <v>FL2</v>
      </c>
      <c r="F220" s="13" t="str">
        <f t="shared" si="10"/>
        <v>50</v>
      </c>
      <c r="G220" s="13" t="str">
        <f t="shared" si="11"/>
        <v>218</v>
      </c>
    </row>
    <row r="221" spans="1:7" x14ac:dyDescent="0.3">
      <c r="A221" s="43" t="s">
        <v>542</v>
      </c>
      <c r="B221" s="44" t="s">
        <v>2152</v>
      </c>
      <c r="C221" s="4">
        <v>250219</v>
      </c>
      <c r="D221" s="13" t="s">
        <v>542</v>
      </c>
      <c r="E221" s="13" t="str">
        <f t="shared" si="9"/>
        <v>FL2</v>
      </c>
      <c r="F221" s="13" t="str">
        <f t="shared" si="10"/>
        <v>50</v>
      </c>
      <c r="G221" s="13" t="str">
        <f t="shared" si="11"/>
        <v>219</v>
      </c>
    </row>
    <row r="222" spans="1:7" x14ac:dyDescent="0.3">
      <c r="A222" s="13" t="s">
        <v>544</v>
      </c>
      <c r="B222" s="44" t="s">
        <v>2152</v>
      </c>
      <c r="C222" s="4">
        <v>250220</v>
      </c>
      <c r="D222" s="13" t="s">
        <v>544</v>
      </c>
      <c r="E222" s="13" t="str">
        <f t="shared" si="9"/>
        <v>FL2</v>
      </c>
      <c r="F222" s="13" t="str">
        <f t="shared" si="10"/>
        <v>50</v>
      </c>
      <c r="G222" s="13" t="str">
        <f t="shared" si="11"/>
        <v>220</v>
      </c>
    </row>
    <row r="223" spans="1:7" x14ac:dyDescent="0.3">
      <c r="A223" s="43" t="s">
        <v>546</v>
      </c>
      <c r="B223" s="44" t="s">
        <v>2152</v>
      </c>
      <c r="C223" s="4">
        <v>250221</v>
      </c>
      <c r="D223" s="13" t="s">
        <v>546</v>
      </c>
      <c r="E223" s="13" t="str">
        <f t="shared" si="9"/>
        <v>FL2</v>
      </c>
      <c r="F223" s="13" t="str">
        <f t="shared" si="10"/>
        <v>50</v>
      </c>
      <c r="G223" s="13" t="str">
        <f t="shared" si="11"/>
        <v>221</v>
      </c>
    </row>
    <row r="224" spans="1:7" x14ac:dyDescent="0.3">
      <c r="A224" s="13" t="s">
        <v>548</v>
      </c>
      <c r="B224" s="44" t="s">
        <v>2152</v>
      </c>
      <c r="C224" s="4">
        <v>250222</v>
      </c>
      <c r="D224" s="13" t="s">
        <v>548</v>
      </c>
      <c r="E224" s="13" t="str">
        <f t="shared" si="9"/>
        <v>FL2</v>
      </c>
      <c r="F224" s="13" t="str">
        <f t="shared" si="10"/>
        <v>50</v>
      </c>
      <c r="G224" s="13" t="str">
        <f t="shared" si="11"/>
        <v>222</v>
      </c>
    </row>
    <row r="225" spans="1:7" x14ac:dyDescent="0.3">
      <c r="A225" s="43" t="s">
        <v>550</v>
      </c>
      <c r="B225" s="44" t="s">
        <v>2152</v>
      </c>
      <c r="C225" s="4">
        <v>250223</v>
      </c>
      <c r="D225" s="13" t="s">
        <v>550</v>
      </c>
      <c r="E225" s="13" t="str">
        <f t="shared" si="9"/>
        <v>FL2</v>
      </c>
      <c r="F225" s="13" t="str">
        <f t="shared" si="10"/>
        <v>50</v>
      </c>
      <c r="G225" s="13" t="str">
        <f t="shared" si="11"/>
        <v>223</v>
      </c>
    </row>
    <row r="226" spans="1:7" x14ac:dyDescent="0.3">
      <c r="A226" s="13" t="s">
        <v>552</v>
      </c>
      <c r="B226" s="44" t="s">
        <v>2152</v>
      </c>
      <c r="C226" s="4">
        <v>250224</v>
      </c>
      <c r="D226" s="13" t="s">
        <v>552</v>
      </c>
      <c r="E226" s="13" t="str">
        <f t="shared" si="9"/>
        <v>FL2</v>
      </c>
      <c r="F226" s="13" t="str">
        <f t="shared" si="10"/>
        <v>50</v>
      </c>
      <c r="G226" s="13" t="str">
        <f t="shared" si="11"/>
        <v>224</v>
      </c>
    </row>
    <row r="227" spans="1:7" x14ac:dyDescent="0.3">
      <c r="A227" s="43" t="s">
        <v>554</v>
      </c>
      <c r="B227" s="44" t="s">
        <v>2152</v>
      </c>
      <c r="C227" s="4">
        <v>250225</v>
      </c>
      <c r="D227" s="13" t="s">
        <v>554</v>
      </c>
      <c r="E227" s="13" t="str">
        <f t="shared" si="9"/>
        <v>FL2</v>
      </c>
      <c r="F227" s="13" t="str">
        <f t="shared" si="10"/>
        <v>50</v>
      </c>
      <c r="G227" s="13" t="str">
        <f t="shared" si="11"/>
        <v>225</v>
      </c>
    </row>
    <row r="228" spans="1:7" x14ac:dyDescent="0.3">
      <c r="A228" s="13" t="s">
        <v>556</v>
      </c>
      <c r="B228" s="44" t="s">
        <v>2152</v>
      </c>
      <c r="C228" s="4">
        <v>250226</v>
      </c>
      <c r="D228" s="13" t="s">
        <v>556</v>
      </c>
      <c r="E228" s="13" t="str">
        <f t="shared" si="9"/>
        <v>FL2</v>
      </c>
      <c r="F228" s="13" t="str">
        <f t="shared" si="10"/>
        <v>50</v>
      </c>
      <c r="G228" s="13" t="str">
        <f t="shared" si="11"/>
        <v>226</v>
      </c>
    </row>
    <row r="229" spans="1:7" x14ac:dyDescent="0.3">
      <c r="A229" s="43" t="s">
        <v>558</v>
      </c>
      <c r="B229" s="44" t="s">
        <v>2152</v>
      </c>
      <c r="C229" s="4">
        <v>250227</v>
      </c>
      <c r="D229" s="13" t="s">
        <v>558</v>
      </c>
      <c r="E229" s="13" t="str">
        <f t="shared" si="9"/>
        <v>FL2</v>
      </c>
      <c r="F229" s="13" t="str">
        <f t="shared" si="10"/>
        <v>50</v>
      </c>
      <c r="G229" s="13" t="str">
        <f t="shared" si="11"/>
        <v>227</v>
      </c>
    </row>
    <row r="230" spans="1:7" x14ac:dyDescent="0.3">
      <c r="A230" s="13" t="s">
        <v>560</v>
      </c>
      <c r="B230" s="44" t="s">
        <v>2152</v>
      </c>
      <c r="C230" s="4">
        <v>250228</v>
      </c>
      <c r="D230" s="13" t="s">
        <v>560</v>
      </c>
      <c r="E230" s="13" t="str">
        <f t="shared" si="9"/>
        <v>FL2</v>
      </c>
      <c r="F230" s="13" t="str">
        <f t="shared" si="10"/>
        <v>50</v>
      </c>
      <c r="G230" s="13" t="str">
        <f t="shared" si="11"/>
        <v>228</v>
      </c>
    </row>
    <row r="231" spans="1:7" x14ac:dyDescent="0.3">
      <c r="A231" s="43" t="s">
        <v>562</v>
      </c>
      <c r="B231" s="44" t="s">
        <v>2152</v>
      </c>
      <c r="C231" s="4">
        <v>250229</v>
      </c>
      <c r="D231" s="13" t="s">
        <v>562</v>
      </c>
      <c r="E231" s="13" t="str">
        <f t="shared" si="9"/>
        <v>FL2</v>
      </c>
      <c r="F231" s="13" t="str">
        <f t="shared" si="10"/>
        <v>50</v>
      </c>
      <c r="G231" s="13" t="str">
        <f t="shared" si="11"/>
        <v>229</v>
      </c>
    </row>
    <row r="232" spans="1:7" x14ac:dyDescent="0.3">
      <c r="A232" s="13" t="s">
        <v>564</v>
      </c>
      <c r="B232" s="44" t="s">
        <v>2152</v>
      </c>
      <c r="C232" s="4">
        <v>250230</v>
      </c>
      <c r="D232" s="13" t="s">
        <v>564</v>
      </c>
      <c r="E232" s="13" t="str">
        <f t="shared" si="9"/>
        <v>FL2</v>
      </c>
      <c r="F232" s="13" t="str">
        <f t="shared" si="10"/>
        <v>50</v>
      </c>
      <c r="G232" s="13" t="str">
        <f t="shared" si="11"/>
        <v>230</v>
      </c>
    </row>
    <row r="233" spans="1:7" x14ac:dyDescent="0.3">
      <c r="A233" s="43" t="s">
        <v>566</v>
      </c>
      <c r="B233" s="44" t="s">
        <v>2152</v>
      </c>
      <c r="C233" s="4">
        <v>250231</v>
      </c>
      <c r="D233" s="13" t="s">
        <v>566</v>
      </c>
      <c r="E233" s="13" t="str">
        <f t="shared" si="9"/>
        <v>FL2</v>
      </c>
      <c r="F233" s="13" t="str">
        <f t="shared" si="10"/>
        <v>50</v>
      </c>
      <c r="G233" s="13" t="str">
        <f t="shared" si="11"/>
        <v>231</v>
      </c>
    </row>
    <row r="234" spans="1:7" x14ac:dyDescent="0.3">
      <c r="A234" s="13" t="s">
        <v>568</v>
      </c>
      <c r="B234" s="44" t="s">
        <v>2152</v>
      </c>
      <c r="C234" s="4">
        <v>250232</v>
      </c>
      <c r="D234" s="13" t="s">
        <v>568</v>
      </c>
      <c r="E234" s="13" t="str">
        <f t="shared" si="9"/>
        <v>FL2</v>
      </c>
      <c r="F234" s="13" t="str">
        <f t="shared" si="10"/>
        <v>50</v>
      </c>
      <c r="G234" s="13" t="str">
        <f t="shared" si="11"/>
        <v>232</v>
      </c>
    </row>
    <row r="235" spans="1:7" x14ac:dyDescent="0.3">
      <c r="A235" s="43" t="s">
        <v>570</v>
      </c>
      <c r="B235" s="44" t="s">
        <v>2152</v>
      </c>
      <c r="C235" s="4">
        <v>250233</v>
      </c>
      <c r="D235" s="13" t="s">
        <v>570</v>
      </c>
      <c r="E235" s="13" t="str">
        <f t="shared" si="9"/>
        <v>FL2</v>
      </c>
      <c r="F235" s="13" t="str">
        <f t="shared" si="10"/>
        <v>50</v>
      </c>
      <c r="G235" s="13" t="str">
        <f t="shared" si="11"/>
        <v>233</v>
      </c>
    </row>
    <row r="236" spans="1:7" x14ac:dyDescent="0.3">
      <c r="A236" s="13" t="s">
        <v>572</v>
      </c>
      <c r="B236" s="44" t="s">
        <v>2152</v>
      </c>
      <c r="C236" s="4">
        <v>250234</v>
      </c>
      <c r="D236" s="13" t="s">
        <v>572</v>
      </c>
      <c r="E236" s="13" t="str">
        <f t="shared" si="9"/>
        <v>FL2</v>
      </c>
      <c r="F236" s="13" t="str">
        <f t="shared" si="10"/>
        <v>50</v>
      </c>
      <c r="G236" s="13" t="str">
        <f t="shared" si="11"/>
        <v>234</v>
      </c>
    </row>
    <row r="237" spans="1:7" x14ac:dyDescent="0.3">
      <c r="A237" s="43" t="s">
        <v>574</v>
      </c>
      <c r="B237" s="44" t="s">
        <v>2152</v>
      </c>
      <c r="C237" s="4">
        <v>250235</v>
      </c>
      <c r="D237" s="13" t="s">
        <v>574</v>
      </c>
      <c r="E237" s="13" t="str">
        <f t="shared" si="9"/>
        <v>FL2</v>
      </c>
      <c r="F237" s="13" t="str">
        <f t="shared" si="10"/>
        <v>50</v>
      </c>
      <c r="G237" s="13" t="str">
        <f t="shared" si="11"/>
        <v>235</v>
      </c>
    </row>
    <row r="238" spans="1:7" x14ac:dyDescent="0.3">
      <c r="A238" s="13" t="s">
        <v>576</v>
      </c>
      <c r="B238" s="44" t="s">
        <v>2152</v>
      </c>
      <c r="C238" s="4">
        <v>250236</v>
      </c>
      <c r="D238" s="13" t="s">
        <v>576</v>
      </c>
      <c r="E238" s="13" t="str">
        <f t="shared" si="9"/>
        <v>FL2</v>
      </c>
      <c r="F238" s="13" t="str">
        <f t="shared" si="10"/>
        <v>50</v>
      </c>
      <c r="G238" s="13" t="str">
        <f t="shared" si="11"/>
        <v>236</v>
      </c>
    </row>
    <row r="239" spans="1:7" x14ac:dyDescent="0.3">
      <c r="A239" s="43" t="s">
        <v>578</v>
      </c>
      <c r="B239" s="44" t="s">
        <v>2152</v>
      </c>
      <c r="C239" s="4">
        <v>250237</v>
      </c>
      <c r="D239" s="13" t="s">
        <v>578</v>
      </c>
      <c r="E239" s="13" t="str">
        <f t="shared" si="9"/>
        <v>FL2</v>
      </c>
      <c r="F239" s="13" t="str">
        <f t="shared" si="10"/>
        <v>50</v>
      </c>
      <c r="G239" s="13" t="str">
        <f t="shared" si="11"/>
        <v>237</v>
      </c>
    </row>
    <row r="240" spans="1:7" x14ac:dyDescent="0.3">
      <c r="A240" s="13" t="s">
        <v>580</v>
      </c>
      <c r="B240" s="44" t="s">
        <v>2152</v>
      </c>
      <c r="C240" s="4">
        <v>250238</v>
      </c>
      <c r="D240" s="13" t="s">
        <v>580</v>
      </c>
      <c r="E240" s="13" t="str">
        <f t="shared" si="9"/>
        <v>FL2</v>
      </c>
      <c r="F240" s="13" t="str">
        <f t="shared" si="10"/>
        <v>50</v>
      </c>
      <c r="G240" s="13" t="str">
        <f t="shared" si="11"/>
        <v>238</v>
      </c>
    </row>
    <row r="241" spans="1:7" x14ac:dyDescent="0.3">
      <c r="A241" s="43" t="s">
        <v>582</v>
      </c>
      <c r="B241" s="44" t="s">
        <v>2152</v>
      </c>
      <c r="C241" s="4">
        <v>250239</v>
      </c>
      <c r="D241" s="13" t="s">
        <v>582</v>
      </c>
      <c r="E241" s="13" t="str">
        <f t="shared" si="9"/>
        <v>FL2</v>
      </c>
      <c r="F241" s="13" t="str">
        <f t="shared" si="10"/>
        <v>50</v>
      </c>
      <c r="G241" s="13" t="str">
        <f t="shared" si="11"/>
        <v>239</v>
      </c>
    </row>
    <row r="242" spans="1:7" x14ac:dyDescent="0.3">
      <c r="A242" s="13" t="s">
        <v>584</v>
      </c>
      <c r="B242" s="44" t="s">
        <v>2152</v>
      </c>
      <c r="C242" s="4">
        <v>250240</v>
      </c>
      <c r="D242" s="13" t="s">
        <v>584</v>
      </c>
      <c r="E242" s="13" t="str">
        <f t="shared" si="9"/>
        <v>FL2</v>
      </c>
      <c r="F242" s="13" t="str">
        <f t="shared" si="10"/>
        <v>50</v>
      </c>
      <c r="G242" s="13" t="str">
        <f t="shared" si="11"/>
        <v>240</v>
      </c>
    </row>
    <row r="243" spans="1:7" x14ac:dyDescent="0.3">
      <c r="A243" s="43" t="s">
        <v>586</v>
      </c>
      <c r="B243" s="44" t="s">
        <v>2152</v>
      </c>
      <c r="C243" s="4">
        <v>250241</v>
      </c>
      <c r="D243" s="13" t="s">
        <v>586</v>
      </c>
      <c r="E243" s="13" t="str">
        <f t="shared" si="9"/>
        <v>FL2</v>
      </c>
      <c r="F243" s="13" t="str">
        <f t="shared" si="10"/>
        <v>50</v>
      </c>
      <c r="G243" s="13" t="str">
        <f t="shared" si="11"/>
        <v>241</v>
      </c>
    </row>
    <row r="244" spans="1:7" x14ac:dyDescent="0.3">
      <c r="A244" s="13" t="s">
        <v>588</v>
      </c>
      <c r="B244" s="44" t="s">
        <v>2152</v>
      </c>
      <c r="C244" s="4">
        <v>250242</v>
      </c>
      <c r="D244" s="13" t="s">
        <v>588</v>
      </c>
      <c r="E244" s="13" t="str">
        <f t="shared" si="9"/>
        <v>FL2</v>
      </c>
      <c r="F244" s="13" t="str">
        <f t="shared" si="10"/>
        <v>50</v>
      </c>
      <c r="G244" s="13" t="str">
        <f t="shared" si="11"/>
        <v>242</v>
      </c>
    </row>
    <row r="245" spans="1:7" x14ac:dyDescent="0.3">
      <c r="A245" s="43" t="s">
        <v>590</v>
      </c>
      <c r="B245" s="44" t="s">
        <v>2152</v>
      </c>
      <c r="C245" s="4">
        <v>250243</v>
      </c>
      <c r="D245" s="13" t="s">
        <v>590</v>
      </c>
      <c r="E245" s="13" t="str">
        <f t="shared" si="9"/>
        <v>FL2</v>
      </c>
      <c r="F245" s="13" t="str">
        <f t="shared" si="10"/>
        <v>50</v>
      </c>
      <c r="G245" s="13" t="str">
        <f t="shared" si="11"/>
        <v>243</v>
      </c>
    </row>
    <row r="246" spans="1:7" x14ac:dyDescent="0.3">
      <c r="A246" s="13" t="s">
        <v>592</v>
      </c>
      <c r="B246" s="44" t="s">
        <v>2152</v>
      </c>
      <c r="C246" s="4">
        <v>250244</v>
      </c>
      <c r="D246" s="13" t="s">
        <v>592</v>
      </c>
      <c r="E246" s="13" t="str">
        <f t="shared" si="9"/>
        <v>FL2</v>
      </c>
      <c r="F246" s="13" t="str">
        <f t="shared" si="10"/>
        <v>50</v>
      </c>
      <c r="G246" s="13" t="str">
        <f t="shared" si="11"/>
        <v>244</v>
      </c>
    </row>
    <row r="247" spans="1:7" x14ac:dyDescent="0.3">
      <c r="A247" s="43" t="s">
        <v>594</v>
      </c>
      <c r="B247" s="44" t="s">
        <v>2152</v>
      </c>
      <c r="C247" s="4">
        <v>250245</v>
      </c>
      <c r="D247" s="13" t="s">
        <v>594</v>
      </c>
      <c r="E247" s="13" t="str">
        <f t="shared" si="9"/>
        <v>FL2</v>
      </c>
      <c r="F247" s="13" t="str">
        <f t="shared" si="10"/>
        <v>50</v>
      </c>
      <c r="G247" s="13" t="str">
        <f t="shared" si="11"/>
        <v>245</v>
      </c>
    </row>
    <row r="248" spans="1:7" x14ac:dyDescent="0.3">
      <c r="A248" s="13" t="s">
        <v>596</v>
      </c>
      <c r="B248" s="44" t="s">
        <v>2152</v>
      </c>
      <c r="C248" s="4">
        <v>250246</v>
      </c>
      <c r="D248" s="13" t="s">
        <v>596</v>
      </c>
      <c r="E248" s="13" t="str">
        <f t="shared" si="9"/>
        <v>FL2</v>
      </c>
      <c r="F248" s="13" t="str">
        <f t="shared" si="10"/>
        <v>50</v>
      </c>
      <c r="G248" s="13" t="str">
        <f t="shared" si="11"/>
        <v>246</v>
      </c>
    </row>
    <row r="249" spans="1:7" x14ac:dyDescent="0.3">
      <c r="A249" s="43" t="s">
        <v>598</v>
      </c>
      <c r="B249" s="44" t="s">
        <v>2152</v>
      </c>
      <c r="C249" s="4">
        <v>250247</v>
      </c>
      <c r="D249" s="13" t="s">
        <v>598</v>
      </c>
      <c r="E249" s="13" t="str">
        <f t="shared" si="9"/>
        <v>FL2</v>
      </c>
      <c r="F249" s="13" t="str">
        <f t="shared" si="10"/>
        <v>50</v>
      </c>
      <c r="G249" s="13" t="str">
        <f t="shared" si="11"/>
        <v>247</v>
      </c>
    </row>
    <row r="250" spans="1:7" x14ac:dyDescent="0.3">
      <c r="A250" s="13" t="s">
        <v>600</v>
      </c>
      <c r="B250" s="44" t="s">
        <v>2152</v>
      </c>
      <c r="C250" s="4">
        <v>250248</v>
      </c>
      <c r="D250" s="13" t="s">
        <v>600</v>
      </c>
      <c r="E250" s="13" t="str">
        <f t="shared" si="9"/>
        <v>FL2</v>
      </c>
      <c r="F250" s="13" t="str">
        <f t="shared" si="10"/>
        <v>50</v>
      </c>
      <c r="G250" s="13" t="str">
        <f t="shared" si="11"/>
        <v>248</v>
      </c>
    </row>
    <row r="251" spans="1:7" x14ac:dyDescent="0.3">
      <c r="A251" s="43" t="s">
        <v>602</v>
      </c>
      <c r="B251" s="44" t="s">
        <v>2152</v>
      </c>
      <c r="C251" s="4">
        <v>250249</v>
      </c>
      <c r="D251" s="13" t="s">
        <v>602</v>
      </c>
      <c r="E251" s="13" t="str">
        <f t="shared" si="9"/>
        <v>FL2</v>
      </c>
      <c r="F251" s="13" t="str">
        <f t="shared" si="10"/>
        <v>50</v>
      </c>
      <c r="G251" s="13" t="str">
        <f t="shared" si="11"/>
        <v>249</v>
      </c>
    </row>
    <row r="252" spans="1:7" x14ac:dyDescent="0.3">
      <c r="A252" s="13" t="s">
        <v>604</v>
      </c>
      <c r="B252" s="44" t="s">
        <v>2152</v>
      </c>
      <c r="C252" s="4">
        <v>250250</v>
      </c>
      <c r="D252" s="13" t="s">
        <v>604</v>
      </c>
      <c r="E252" s="13" t="str">
        <f t="shared" si="9"/>
        <v>FL2</v>
      </c>
      <c r="F252" s="13" t="str">
        <f t="shared" si="10"/>
        <v>50</v>
      </c>
      <c r="G252" s="13" t="str">
        <f t="shared" si="11"/>
        <v>250</v>
      </c>
    </row>
    <row r="253" spans="1:7" x14ac:dyDescent="0.3">
      <c r="A253" s="43" t="s">
        <v>606</v>
      </c>
      <c r="B253" s="44" t="s">
        <v>2152</v>
      </c>
      <c r="C253" s="4">
        <v>250251</v>
      </c>
      <c r="D253" s="13" t="s">
        <v>606</v>
      </c>
      <c r="E253" s="13" t="str">
        <f t="shared" si="9"/>
        <v>FL2</v>
      </c>
      <c r="F253" s="13" t="str">
        <f t="shared" si="10"/>
        <v>50</v>
      </c>
      <c r="G253" s="13" t="str">
        <f t="shared" si="11"/>
        <v>251</v>
      </c>
    </row>
    <row r="254" spans="1:7" x14ac:dyDescent="0.3">
      <c r="A254" s="13" t="s">
        <v>608</v>
      </c>
      <c r="B254" s="44" t="s">
        <v>2152</v>
      </c>
      <c r="C254" s="4">
        <v>250252</v>
      </c>
      <c r="D254" s="13" t="s">
        <v>608</v>
      </c>
      <c r="E254" s="13" t="str">
        <f t="shared" si="9"/>
        <v>FL2</v>
      </c>
      <c r="F254" s="13" t="str">
        <f t="shared" si="10"/>
        <v>50</v>
      </c>
      <c r="G254" s="13" t="str">
        <f t="shared" si="11"/>
        <v>252</v>
      </c>
    </row>
    <row r="255" spans="1:7" x14ac:dyDescent="0.3">
      <c r="A255" s="43" t="s">
        <v>610</v>
      </c>
      <c r="B255" s="44" t="s">
        <v>2152</v>
      </c>
      <c r="C255" s="4">
        <v>250253</v>
      </c>
      <c r="D255" s="13" t="s">
        <v>610</v>
      </c>
      <c r="E255" s="13" t="str">
        <f t="shared" si="9"/>
        <v>FL2</v>
      </c>
      <c r="F255" s="13" t="str">
        <f t="shared" si="10"/>
        <v>50</v>
      </c>
      <c r="G255" s="13" t="str">
        <f t="shared" si="11"/>
        <v>253</v>
      </c>
    </row>
    <row r="256" spans="1:7" x14ac:dyDescent="0.3">
      <c r="A256" s="13" t="s">
        <v>612</v>
      </c>
      <c r="B256" s="44" t="s">
        <v>2152</v>
      </c>
      <c r="C256" s="4">
        <v>250254</v>
      </c>
      <c r="D256" s="13" t="s">
        <v>612</v>
      </c>
      <c r="E256" s="13" t="str">
        <f t="shared" si="9"/>
        <v>FL2</v>
      </c>
      <c r="F256" s="13" t="str">
        <f t="shared" si="10"/>
        <v>50</v>
      </c>
      <c r="G256" s="13" t="str">
        <f t="shared" si="11"/>
        <v>254</v>
      </c>
    </row>
    <row r="257" spans="1:7" x14ac:dyDescent="0.3">
      <c r="A257" s="43" t="s">
        <v>614</v>
      </c>
      <c r="B257" s="44" t="s">
        <v>2152</v>
      </c>
      <c r="C257" s="4">
        <v>250255</v>
      </c>
      <c r="D257" s="13" t="s">
        <v>614</v>
      </c>
      <c r="E257" s="13" t="str">
        <f t="shared" si="9"/>
        <v>FL2</v>
      </c>
      <c r="F257" s="13" t="str">
        <f t="shared" si="10"/>
        <v>50</v>
      </c>
      <c r="G257" s="13" t="str">
        <f t="shared" si="11"/>
        <v>255</v>
      </c>
    </row>
    <row r="258" spans="1:7" x14ac:dyDescent="0.3">
      <c r="A258" s="13" t="s">
        <v>616</v>
      </c>
      <c r="B258" s="44" t="s">
        <v>2152</v>
      </c>
      <c r="C258" s="4">
        <v>250256</v>
      </c>
      <c r="D258" s="13" t="s">
        <v>616</v>
      </c>
      <c r="E258" s="13" t="str">
        <f t="shared" si="9"/>
        <v>FL2</v>
      </c>
      <c r="F258" s="13" t="str">
        <f t="shared" si="10"/>
        <v>50</v>
      </c>
      <c r="G258" s="13" t="str">
        <f t="shared" si="11"/>
        <v>256</v>
      </c>
    </row>
    <row r="259" spans="1:7" x14ac:dyDescent="0.3">
      <c r="A259" s="43" t="s">
        <v>618</v>
      </c>
      <c r="B259" s="44" t="s">
        <v>2152</v>
      </c>
      <c r="C259" s="4">
        <v>250257</v>
      </c>
      <c r="D259" s="13" t="s">
        <v>618</v>
      </c>
      <c r="E259" s="13" t="str">
        <f t="shared" si="9"/>
        <v>FL2</v>
      </c>
      <c r="F259" s="13" t="str">
        <f t="shared" si="10"/>
        <v>50</v>
      </c>
      <c r="G259" s="13" t="str">
        <f t="shared" si="11"/>
        <v>257</v>
      </c>
    </row>
    <row r="260" spans="1:7" x14ac:dyDescent="0.3">
      <c r="A260" s="13" t="s">
        <v>620</v>
      </c>
      <c r="B260" s="44" t="s">
        <v>2152</v>
      </c>
      <c r="C260" s="4">
        <v>250258</v>
      </c>
      <c r="D260" s="13" t="s">
        <v>620</v>
      </c>
      <c r="E260" s="13" t="str">
        <f t="shared" ref="E260:E323" si="12">LEFT(D260,3)</f>
        <v>FL2</v>
      </c>
      <c r="F260" s="13" t="str">
        <f t="shared" ref="F260:F323" si="13">MID(D260,4,2)</f>
        <v>50</v>
      </c>
      <c r="G260" s="13" t="str">
        <f t="shared" ref="G260:G323" si="14">RIGHT(D260,3)</f>
        <v>258</v>
      </c>
    </row>
    <row r="261" spans="1:7" x14ac:dyDescent="0.3">
      <c r="A261" s="43" t="s">
        <v>622</v>
      </c>
      <c r="B261" s="44" t="s">
        <v>2152</v>
      </c>
      <c r="C261" s="4">
        <v>250259</v>
      </c>
      <c r="D261" s="13" t="s">
        <v>622</v>
      </c>
      <c r="E261" s="13" t="str">
        <f t="shared" si="12"/>
        <v>FL2</v>
      </c>
      <c r="F261" s="13" t="str">
        <f t="shared" si="13"/>
        <v>50</v>
      </c>
      <c r="G261" s="13" t="str">
        <f t="shared" si="14"/>
        <v>259</v>
      </c>
    </row>
    <row r="262" spans="1:7" x14ac:dyDescent="0.3">
      <c r="A262" s="13" t="s">
        <v>624</v>
      </c>
      <c r="B262" s="44" t="s">
        <v>2152</v>
      </c>
      <c r="C262" s="4">
        <v>250260</v>
      </c>
      <c r="D262" s="13" t="s">
        <v>624</v>
      </c>
      <c r="E262" s="13" t="str">
        <f t="shared" si="12"/>
        <v>FL2</v>
      </c>
      <c r="F262" s="13" t="str">
        <f t="shared" si="13"/>
        <v>50</v>
      </c>
      <c r="G262" s="13" t="str">
        <f t="shared" si="14"/>
        <v>260</v>
      </c>
    </row>
    <row r="263" spans="1:7" x14ac:dyDescent="0.3">
      <c r="A263" s="43" t="s">
        <v>626</v>
      </c>
      <c r="B263" s="44" t="s">
        <v>2152</v>
      </c>
      <c r="C263" s="4">
        <v>250261</v>
      </c>
      <c r="D263" s="13" t="s">
        <v>626</v>
      </c>
      <c r="E263" s="13" t="str">
        <f t="shared" si="12"/>
        <v>FL2</v>
      </c>
      <c r="F263" s="13" t="str">
        <f t="shared" si="13"/>
        <v>50</v>
      </c>
      <c r="G263" s="13" t="str">
        <f t="shared" si="14"/>
        <v>261</v>
      </c>
    </row>
    <row r="264" spans="1:7" x14ac:dyDescent="0.3">
      <c r="A264" s="13" t="s">
        <v>628</v>
      </c>
      <c r="B264" s="44" t="s">
        <v>2152</v>
      </c>
      <c r="C264" s="4">
        <v>250262</v>
      </c>
      <c r="D264" s="13" t="s">
        <v>628</v>
      </c>
      <c r="E264" s="13" t="str">
        <f t="shared" si="12"/>
        <v>FL2</v>
      </c>
      <c r="F264" s="13" t="str">
        <f t="shared" si="13"/>
        <v>50</v>
      </c>
      <c r="G264" s="13" t="str">
        <f t="shared" si="14"/>
        <v>262</v>
      </c>
    </row>
    <row r="265" spans="1:7" x14ac:dyDescent="0.3">
      <c r="A265" s="43" t="s">
        <v>630</v>
      </c>
      <c r="B265" s="44" t="s">
        <v>2152</v>
      </c>
      <c r="C265" s="4">
        <v>250263</v>
      </c>
      <c r="D265" s="13" t="s">
        <v>630</v>
      </c>
      <c r="E265" s="13" t="str">
        <f t="shared" si="12"/>
        <v>FL2</v>
      </c>
      <c r="F265" s="13" t="str">
        <f t="shared" si="13"/>
        <v>50</v>
      </c>
      <c r="G265" s="13" t="str">
        <f t="shared" si="14"/>
        <v>263</v>
      </c>
    </row>
    <row r="266" spans="1:7" x14ac:dyDescent="0.3">
      <c r="A266" s="13" t="s">
        <v>632</v>
      </c>
      <c r="B266" s="44" t="s">
        <v>2152</v>
      </c>
      <c r="C266" s="4">
        <v>250264</v>
      </c>
      <c r="D266" s="13" t="s">
        <v>632</v>
      </c>
      <c r="E266" s="13" t="str">
        <f t="shared" si="12"/>
        <v>FL2</v>
      </c>
      <c r="F266" s="13" t="str">
        <f t="shared" si="13"/>
        <v>50</v>
      </c>
      <c r="G266" s="13" t="str">
        <f t="shared" si="14"/>
        <v>264</v>
      </c>
    </row>
    <row r="267" spans="1:7" x14ac:dyDescent="0.3">
      <c r="A267" s="43" t="s">
        <v>634</v>
      </c>
      <c r="B267" s="44" t="s">
        <v>2152</v>
      </c>
      <c r="C267" s="4">
        <v>250265</v>
      </c>
      <c r="D267" s="13" t="s">
        <v>634</v>
      </c>
      <c r="E267" s="13" t="str">
        <f t="shared" si="12"/>
        <v>FL2</v>
      </c>
      <c r="F267" s="13" t="str">
        <f t="shared" si="13"/>
        <v>50</v>
      </c>
      <c r="G267" s="13" t="str">
        <f t="shared" si="14"/>
        <v>265</v>
      </c>
    </row>
    <row r="268" spans="1:7" x14ac:dyDescent="0.3">
      <c r="A268" s="13" t="s">
        <v>636</v>
      </c>
      <c r="B268" s="44" t="s">
        <v>2152</v>
      </c>
      <c r="C268" s="4">
        <v>250266</v>
      </c>
      <c r="D268" s="13" t="s">
        <v>636</v>
      </c>
      <c r="E268" s="13" t="str">
        <f t="shared" si="12"/>
        <v>FL2</v>
      </c>
      <c r="F268" s="13" t="str">
        <f t="shared" si="13"/>
        <v>50</v>
      </c>
      <c r="G268" s="13" t="str">
        <f t="shared" si="14"/>
        <v>266</v>
      </c>
    </row>
    <row r="269" spans="1:7" x14ac:dyDescent="0.3">
      <c r="A269" s="43" t="s">
        <v>638</v>
      </c>
      <c r="B269" s="44" t="s">
        <v>2152</v>
      </c>
      <c r="C269" s="4">
        <v>250267</v>
      </c>
      <c r="D269" s="13" t="s">
        <v>638</v>
      </c>
      <c r="E269" s="13" t="str">
        <f t="shared" si="12"/>
        <v>FL2</v>
      </c>
      <c r="F269" s="13" t="str">
        <f t="shared" si="13"/>
        <v>50</v>
      </c>
      <c r="G269" s="13" t="str">
        <f t="shared" si="14"/>
        <v>267</v>
      </c>
    </row>
    <row r="270" spans="1:7" x14ac:dyDescent="0.3">
      <c r="A270" s="13" t="s">
        <v>640</v>
      </c>
      <c r="B270" s="44" t="s">
        <v>2152</v>
      </c>
      <c r="C270" s="4">
        <v>250268</v>
      </c>
      <c r="D270" s="13" t="s">
        <v>640</v>
      </c>
      <c r="E270" s="13" t="str">
        <f t="shared" si="12"/>
        <v>FL2</v>
      </c>
      <c r="F270" s="13" t="str">
        <f t="shared" si="13"/>
        <v>50</v>
      </c>
      <c r="G270" s="13" t="str">
        <f t="shared" si="14"/>
        <v>268</v>
      </c>
    </row>
    <row r="271" spans="1:7" x14ac:dyDescent="0.3">
      <c r="A271" s="43" t="s">
        <v>642</v>
      </c>
      <c r="B271" s="44" t="s">
        <v>2152</v>
      </c>
      <c r="C271" s="4">
        <v>250269</v>
      </c>
      <c r="D271" s="13" t="s">
        <v>642</v>
      </c>
      <c r="E271" s="13" t="str">
        <f t="shared" si="12"/>
        <v>FL2</v>
      </c>
      <c r="F271" s="13" t="str">
        <f t="shared" si="13"/>
        <v>50</v>
      </c>
      <c r="G271" s="13" t="str">
        <f t="shared" si="14"/>
        <v>269</v>
      </c>
    </row>
    <row r="272" spans="1:7" x14ac:dyDescent="0.3">
      <c r="A272" s="13" t="s">
        <v>644</v>
      </c>
      <c r="B272" s="44" t="s">
        <v>2152</v>
      </c>
      <c r="C272" s="4">
        <v>250270</v>
      </c>
      <c r="D272" s="13" t="s">
        <v>644</v>
      </c>
      <c r="E272" s="13" t="str">
        <f t="shared" si="12"/>
        <v>FL2</v>
      </c>
      <c r="F272" s="13" t="str">
        <f t="shared" si="13"/>
        <v>50</v>
      </c>
      <c r="G272" s="13" t="str">
        <f t="shared" si="14"/>
        <v>270</v>
      </c>
    </row>
    <row r="273" spans="1:7" x14ac:dyDescent="0.3">
      <c r="A273" s="43" t="s">
        <v>646</v>
      </c>
      <c r="B273" s="44" t="s">
        <v>2152</v>
      </c>
      <c r="C273" s="4">
        <v>250271</v>
      </c>
      <c r="D273" s="13" t="s">
        <v>646</v>
      </c>
      <c r="E273" s="13" t="str">
        <f t="shared" si="12"/>
        <v>FL2</v>
      </c>
      <c r="F273" s="13" t="str">
        <f t="shared" si="13"/>
        <v>50</v>
      </c>
      <c r="G273" s="13" t="str">
        <f t="shared" si="14"/>
        <v>271</v>
      </c>
    </row>
    <row r="274" spans="1:7" x14ac:dyDescent="0.3">
      <c r="A274" s="13" t="s">
        <v>648</v>
      </c>
      <c r="B274" s="44" t="s">
        <v>2152</v>
      </c>
      <c r="C274" s="4">
        <v>250272</v>
      </c>
      <c r="D274" s="13" t="s">
        <v>648</v>
      </c>
      <c r="E274" s="13" t="str">
        <f t="shared" si="12"/>
        <v>FL2</v>
      </c>
      <c r="F274" s="13" t="str">
        <f t="shared" si="13"/>
        <v>50</v>
      </c>
      <c r="G274" s="13" t="str">
        <f t="shared" si="14"/>
        <v>272</v>
      </c>
    </row>
    <row r="275" spans="1:7" x14ac:dyDescent="0.3">
      <c r="A275" s="43" t="s">
        <v>650</v>
      </c>
      <c r="B275" s="44" t="s">
        <v>2152</v>
      </c>
      <c r="C275" s="4">
        <v>250273</v>
      </c>
      <c r="D275" s="13" t="s">
        <v>650</v>
      </c>
      <c r="E275" s="13" t="str">
        <f t="shared" si="12"/>
        <v>FL2</v>
      </c>
      <c r="F275" s="13" t="str">
        <f t="shared" si="13"/>
        <v>50</v>
      </c>
      <c r="G275" s="13" t="str">
        <f t="shared" si="14"/>
        <v>273</v>
      </c>
    </row>
    <row r="276" spans="1:7" x14ac:dyDescent="0.3">
      <c r="A276" s="13" t="s">
        <v>652</v>
      </c>
      <c r="B276" s="44" t="s">
        <v>2152</v>
      </c>
      <c r="C276" s="4">
        <v>250274</v>
      </c>
      <c r="D276" s="13" t="s">
        <v>652</v>
      </c>
      <c r="E276" s="13" t="str">
        <f t="shared" si="12"/>
        <v>FL2</v>
      </c>
      <c r="F276" s="13" t="str">
        <f t="shared" si="13"/>
        <v>50</v>
      </c>
      <c r="G276" s="13" t="str">
        <f t="shared" si="14"/>
        <v>274</v>
      </c>
    </row>
    <row r="277" spans="1:7" x14ac:dyDescent="0.3">
      <c r="A277" s="43" t="s">
        <v>654</v>
      </c>
      <c r="B277" s="44" t="s">
        <v>2152</v>
      </c>
      <c r="C277" s="4">
        <v>250275</v>
      </c>
      <c r="D277" s="13" t="s">
        <v>654</v>
      </c>
      <c r="E277" s="13" t="str">
        <f t="shared" si="12"/>
        <v>FL2</v>
      </c>
      <c r="F277" s="13" t="str">
        <f t="shared" si="13"/>
        <v>50</v>
      </c>
      <c r="G277" s="13" t="str">
        <f t="shared" si="14"/>
        <v>275</v>
      </c>
    </row>
    <row r="278" spans="1:7" x14ac:dyDescent="0.3">
      <c r="A278" s="13" t="s">
        <v>656</v>
      </c>
      <c r="B278" s="44" t="s">
        <v>2152</v>
      </c>
      <c r="C278" s="4">
        <v>250276</v>
      </c>
      <c r="D278" s="13" t="s">
        <v>656</v>
      </c>
      <c r="E278" s="13" t="str">
        <f t="shared" si="12"/>
        <v>FL2</v>
      </c>
      <c r="F278" s="13" t="str">
        <f t="shared" si="13"/>
        <v>50</v>
      </c>
      <c r="G278" s="13" t="str">
        <f t="shared" si="14"/>
        <v>276</v>
      </c>
    </row>
    <row r="279" spans="1:7" x14ac:dyDescent="0.3">
      <c r="A279" s="43" t="s">
        <v>658</v>
      </c>
      <c r="B279" s="44" t="s">
        <v>2152</v>
      </c>
      <c r="C279" s="4">
        <v>250277</v>
      </c>
      <c r="D279" s="13" t="s">
        <v>658</v>
      </c>
      <c r="E279" s="13" t="str">
        <f t="shared" si="12"/>
        <v>FL2</v>
      </c>
      <c r="F279" s="13" t="str">
        <f t="shared" si="13"/>
        <v>50</v>
      </c>
      <c r="G279" s="13" t="str">
        <f t="shared" si="14"/>
        <v>277</v>
      </c>
    </row>
    <row r="280" spans="1:7" x14ac:dyDescent="0.3">
      <c r="A280" s="13" t="s">
        <v>660</v>
      </c>
      <c r="B280" s="44" t="s">
        <v>2152</v>
      </c>
      <c r="C280" s="4">
        <v>250278</v>
      </c>
      <c r="D280" s="13" t="s">
        <v>660</v>
      </c>
      <c r="E280" s="13" t="str">
        <f t="shared" si="12"/>
        <v>FL2</v>
      </c>
      <c r="F280" s="13" t="str">
        <f t="shared" si="13"/>
        <v>50</v>
      </c>
      <c r="G280" s="13" t="str">
        <f t="shared" si="14"/>
        <v>278</v>
      </c>
    </row>
    <row r="281" spans="1:7" x14ac:dyDescent="0.3">
      <c r="A281" s="43" t="s">
        <v>662</v>
      </c>
      <c r="B281" s="44" t="s">
        <v>2152</v>
      </c>
      <c r="C281" s="4">
        <v>250279</v>
      </c>
      <c r="D281" s="13" t="s">
        <v>662</v>
      </c>
      <c r="E281" s="13" t="str">
        <f t="shared" si="12"/>
        <v>FL2</v>
      </c>
      <c r="F281" s="13" t="str">
        <f t="shared" si="13"/>
        <v>50</v>
      </c>
      <c r="G281" s="13" t="str">
        <f t="shared" si="14"/>
        <v>279</v>
      </c>
    </row>
    <row r="282" spans="1:7" x14ac:dyDescent="0.3">
      <c r="A282" s="13" t="s">
        <v>664</v>
      </c>
      <c r="B282" s="44" t="s">
        <v>2152</v>
      </c>
      <c r="C282" s="4">
        <v>250280</v>
      </c>
      <c r="D282" s="13" t="s">
        <v>664</v>
      </c>
      <c r="E282" s="13" t="str">
        <f t="shared" si="12"/>
        <v>FL2</v>
      </c>
      <c r="F282" s="13" t="str">
        <f t="shared" si="13"/>
        <v>50</v>
      </c>
      <c r="G282" s="13" t="str">
        <f t="shared" si="14"/>
        <v>280</v>
      </c>
    </row>
    <row r="283" spans="1:7" x14ac:dyDescent="0.3">
      <c r="A283" s="43" t="s">
        <v>666</v>
      </c>
      <c r="B283" s="44" t="s">
        <v>2152</v>
      </c>
      <c r="C283" s="4">
        <v>250281</v>
      </c>
      <c r="D283" s="13" t="s">
        <v>666</v>
      </c>
      <c r="E283" s="13" t="str">
        <f t="shared" si="12"/>
        <v>FL2</v>
      </c>
      <c r="F283" s="13" t="str">
        <f t="shared" si="13"/>
        <v>50</v>
      </c>
      <c r="G283" s="13" t="str">
        <f t="shared" si="14"/>
        <v>281</v>
      </c>
    </row>
    <row r="284" spans="1:7" x14ac:dyDescent="0.3">
      <c r="A284" s="13" t="s">
        <v>668</v>
      </c>
      <c r="B284" s="44" t="s">
        <v>2152</v>
      </c>
      <c r="C284" s="4">
        <v>250282</v>
      </c>
      <c r="D284" s="13" t="s">
        <v>668</v>
      </c>
      <c r="E284" s="13" t="str">
        <f t="shared" si="12"/>
        <v>FL2</v>
      </c>
      <c r="F284" s="13" t="str">
        <f t="shared" si="13"/>
        <v>50</v>
      </c>
      <c r="G284" s="13" t="str">
        <f t="shared" si="14"/>
        <v>282</v>
      </c>
    </row>
    <row r="285" spans="1:7" x14ac:dyDescent="0.3">
      <c r="A285" s="43" t="s">
        <v>670</v>
      </c>
      <c r="B285" s="44" t="s">
        <v>2152</v>
      </c>
      <c r="C285" s="4">
        <v>250283</v>
      </c>
      <c r="D285" s="13" t="s">
        <v>670</v>
      </c>
      <c r="E285" s="13" t="str">
        <f t="shared" si="12"/>
        <v>FL2</v>
      </c>
      <c r="F285" s="13" t="str">
        <f t="shared" si="13"/>
        <v>50</v>
      </c>
      <c r="G285" s="13" t="str">
        <f t="shared" si="14"/>
        <v>283</v>
      </c>
    </row>
    <row r="286" spans="1:7" x14ac:dyDescent="0.3">
      <c r="A286" s="13" t="s">
        <v>672</v>
      </c>
      <c r="B286" s="44" t="s">
        <v>2152</v>
      </c>
      <c r="C286" s="4">
        <v>250284</v>
      </c>
      <c r="D286" s="13" t="s">
        <v>672</v>
      </c>
      <c r="E286" s="13" t="str">
        <f t="shared" si="12"/>
        <v>FL2</v>
      </c>
      <c r="F286" s="13" t="str">
        <f t="shared" si="13"/>
        <v>50</v>
      </c>
      <c r="G286" s="13" t="str">
        <f t="shared" si="14"/>
        <v>284</v>
      </c>
    </row>
    <row r="287" spans="1:7" x14ac:dyDescent="0.3">
      <c r="A287" s="43" t="s">
        <v>674</v>
      </c>
      <c r="B287" s="44" t="s">
        <v>2152</v>
      </c>
      <c r="C287" s="4">
        <v>250285</v>
      </c>
      <c r="D287" s="13" t="s">
        <v>674</v>
      </c>
      <c r="E287" s="13" t="str">
        <f t="shared" si="12"/>
        <v>FL2</v>
      </c>
      <c r="F287" s="13" t="str">
        <f t="shared" si="13"/>
        <v>50</v>
      </c>
      <c r="G287" s="13" t="str">
        <f t="shared" si="14"/>
        <v>285</v>
      </c>
    </row>
    <row r="288" spans="1:7" x14ac:dyDescent="0.3">
      <c r="A288" s="13" t="s">
        <v>676</v>
      </c>
      <c r="B288" s="44" t="s">
        <v>2152</v>
      </c>
      <c r="C288" s="4">
        <v>250286</v>
      </c>
      <c r="D288" s="13" t="s">
        <v>676</v>
      </c>
      <c r="E288" s="13" t="str">
        <f t="shared" si="12"/>
        <v>FL2</v>
      </c>
      <c r="F288" s="13" t="str">
        <f t="shared" si="13"/>
        <v>50</v>
      </c>
      <c r="G288" s="13" t="str">
        <f t="shared" si="14"/>
        <v>286</v>
      </c>
    </row>
    <row r="289" spans="1:7" x14ac:dyDescent="0.3">
      <c r="A289" s="43" t="s">
        <v>678</v>
      </c>
      <c r="B289" s="44" t="s">
        <v>2152</v>
      </c>
      <c r="C289" s="4">
        <v>250287</v>
      </c>
      <c r="D289" s="13" t="s">
        <v>678</v>
      </c>
      <c r="E289" s="13" t="str">
        <f t="shared" si="12"/>
        <v>FL2</v>
      </c>
      <c r="F289" s="13" t="str">
        <f t="shared" si="13"/>
        <v>50</v>
      </c>
      <c r="G289" s="13" t="str">
        <f t="shared" si="14"/>
        <v>287</v>
      </c>
    </row>
    <row r="290" spans="1:7" x14ac:dyDescent="0.3">
      <c r="A290" s="13" t="s">
        <v>680</v>
      </c>
      <c r="B290" s="44" t="s">
        <v>2152</v>
      </c>
      <c r="C290" s="4">
        <v>250288</v>
      </c>
      <c r="D290" s="13" t="s">
        <v>680</v>
      </c>
      <c r="E290" s="13" t="str">
        <f t="shared" si="12"/>
        <v>FL2</v>
      </c>
      <c r="F290" s="13" t="str">
        <f t="shared" si="13"/>
        <v>50</v>
      </c>
      <c r="G290" s="13" t="str">
        <f t="shared" si="14"/>
        <v>288</v>
      </c>
    </row>
    <row r="291" spans="1:7" x14ac:dyDescent="0.3">
      <c r="A291" s="43" t="s">
        <v>682</v>
      </c>
      <c r="B291" s="44" t="s">
        <v>2152</v>
      </c>
      <c r="C291" s="4">
        <v>250289</v>
      </c>
      <c r="D291" s="13" t="s">
        <v>682</v>
      </c>
      <c r="E291" s="13" t="str">
        <f t="shared" si="12"/>
        <v>FL2</v>
      </c>
      <c r="F291" s="13" t="str">
        <f t="shared" si="13"/>
        <v>50</v>
      </c>
      <c r="G291" s="13" t="str">
        <f t="shared" si="14"/>
        <v>289</v>
      </c>
    </row>
    <row r="292" spans="1:7" x14ac:dyDescent="0.3">
      <c r="A292" s="13" t="s">
        <v>684</v>
      </c>
      <c r="B292" s="44" t="s">
        <v>2152</v>
      </c>
      <c r="C292" s="4">
        <v>250290</v>
      </c>
      <c r="D292" s="13" t="s">
        <v>684</v>
      </c>
      <c r="E292" s="13" t="str">
        <f t="shared" si="12"/>
        <v>FL2</v>
      </c>
      <c r="F292" s="13" t="str">
        <f t="shared" si="13"/>
        <v>50</v>
      </c>
      <c r="G292" s="13" t="str">
        <f t="shared" si="14"/>
        <v>290</v>
      </c>
    </row>
    <row r="293" spans="1:7" x14ac:dyDescent="0.3">
      <c r="A293" s="43" t="s">
        <v>686</v>
      </c>
      <c r="B293" s="44" t="s">
        <v>2152</v>
      </c>
      <c r="C293" s="4">
        <v>250291</v>
      </c>
      <c r="D293" s="13" t="s">
        <v>686</v>
      </c>
      <c r="E293" s="13" t="str">
        <f t="shared" si="12"/>
        <v>FL2</v>
      </c>
      <c r="F293" s="13" t="str">
        <f t="shared" si="13"/>
        <v>50</v>
      </c>
      <c r="G293" s="13" t="str">
        <f t="shared" si="14"/>
        <v>291</v>
      </c>
    </row>
    <row r="294" spans="1:7" x14ac:dyDescent="0.3">
      <c r="A294" s="13" t="s">
        <v>688</v>
      </c>
      <c r="B294" s="44" t="s">
        <v>2152</v>
      </c>
      <c r="C294" s="4">
        <v>250292</v>
      </c>
      <c r="D294" s="13" t="s">
        <v>688</v>
      </c>
      <c r="E294" s="13" t="str">
        <f t="shared" si="12"/>
        <v>FL2</v>
      </c>
      <c r="F294" s="13" t="str">
        <f t="shared" si="13"/>
        <v>50</v>
      </c>
      <c r="G294" s="13" t="str">
        <f t="shared" si="14"/>
        <v>292</v>
      </c>
    </row>
    <row r="295" spans="1:7" x14ac:dyDescent="0.3">
      <c r="A295" s="43" t="s">
        <v>690</v>
      </c>
      <c r="B295" s="44" t="s">
        <v>2152</v>
      </c>
      <c r="C295" s="4">
        <v>250293</v>
      </c>
      <c r="D295" s="13" t="s">
        <v>690</v>
      </c>
      <c r="E295" s="13" t="str">
        <f t="shared" si="12"/>
        <v>FL2</v>
      </c>
      <c r="F295" s="13" t="str">
        <f t="shared" si="13"/>
        <v>50</v>
      </c>
      <c r="G295" s="13" t="str">
        <f t="shared" si="14"/>
        <v>293</v>
      </c>
    </row>
    <row r="296" spans="1:7" x14ac:dyDescent="0.3">
      <c r="A296" s="13" t="s">
        <v>692</v>
      </c>
      <c r="B296" s="44" t="s">
        <v>2152</v>
      </c>
      <c r="C296" s="4">
        <v>250294</v>
      </c>
      <c r="D296" s="13" t="s">
        <v>692</v>
      </c>
      <c r="E296" s="13" t="str">
        <f t="shared" si="12"/>
        <v>FL2</v>
      </c>
      <c r="F296" s="13" t="str">
        <f t="shared" si="13"/>
        <v>50</v>
      </c>
      <c r="G296" s="13" t="str">
        <f t="shared" si="14"/>
        <v>294</v>
      </c>
    </row>
    <row r="297" spans="1:7" x14ac:dyDescent="0.3">
      <c r="A297" s="43" t="s">
        <v>694</v>
      </c>
      <c r="B297" s="44" t="s">
        <v>2152</v>
      </c>
      <c r="C297" s="4">
        <v>250295</v>
      </c>
      <c r="D297" s="13" t="s">
        <v>694</v>
      </c>
      <c r="E297" s="13" t="str">
        <f t="shared" si="12"/>
        <v>FL2</v>
      </c>
      <c r="F297" s="13" t="str">
        <f t="shared" si="13"/>
        <v>50</v>
      </c>
      <c r="G297" s="13" t="str">
        <f t="shared" si="14"/>
        <v>295</v>
      </c>
    </row>
    <row r="298" spans="1:7" x14ac:dyDescent="0.3">
      <c r="A298" s="13" t="s">
        <v>696</v>
      </c>
      <c r="B298" s="44" t="s">
        <v>2152</v>
      </c>
      <c r="C298" s="4">
        <v>250296</v>
      </c>
      <c r="D298" s="13" t="s">
        <v>696</v>
      </c>
      <c r="E298" s="13" t="str">
        <f t="shared" si="12"/>
        <v>FL2</v>
      </c>
      <c r="F298" s="13" t="str">
        <f t="shared" si="13"/>
        <v>50</v>
      </c>
      <c r="G298" s="13" t="str">
        <f t="shared" si="14"/>
        <v>296</v>
      </c>
    </row>
    <row r="299" spans="1:7" x14ac:dyDescent="0.3">
      <c r="A299" s="43" t="s">
        <v>698</v>
      </c>
      <c r="B299" s="44" t="s">
        <v>2152</v>
      </c>
      <c r="C299" s="4">
        <v>250297</v>
      </c>
      <c r="D299" s="13" t="s">
        <v>698</v>
      </c>
      <c r="E299" s="13" t="str">
        <f t="shared" si="12"/>
        <v>FL2</v>
      </c>
      <c r="F299" s="13" t="str">
        <f t="shared" si="13"/>
        <v>50</v>
      </c>
      <c r="G299" s="13" t="str">
        <f t="shared" si="14"/>
        <v>297</v>
      </c>
    </row>
    <row r="300" spans="1:7" x14ac:dyDescent="0.3">
      <c r="A300" s="13" t="s">
        <v>700</v>
      </c>
      <c r="B300" s="44" t="s">
        <v>2152</v>
      </c>
      <c r="C300" s="4">
        <v>250298</v>
      </c>
      <c r="D300" s="13" t="s">
        <v>700</v>
      </c>
      <c r="E300" s="13" t="str">
        <f t="shared" si="12"/>
        <v>FL2</v>
      </c>
      <c r="F300" s="13" t="str">
        <f t="shared" si="13"/>
        <v>50</v>
      </c>
      <c r="G300" s="13" t="str">
        <f t="shared" si="14"/>
        <v>298</v>
      </c>
    </row>
    <row r="301" spans="1:7" x14ac:dyDescent="0.3">
      <c r="A301" s="43" t="s">
        <v>702</v>
      </c>
      <c r="B301" s="44" t="s">
        <v>2152</v>
      </c>
      <c r="C301" s="4">
        <v>250299</v>
      </c>
      <c r="D301" s="13" t="s">
        <v>702</v>
      </c>
      <c r="E301" s="13" t="str">
        <f t="shared" si="12"/>
        <v>FL2</v>
      </c>
      <c r="F301" s="13" t="str">
        <f t="shared" si="13"/>
        <v>50</v>
      </c>
      <c r="G301" s="13" t="str">
        <f t="shared" si="14"/>
        <v>299</v>
      </c>
    </row>
    <row r="302" spans="1:7" x14ac:dyDescent="0.3">
      <c r="A302" s="13" t="s">
        <v>704</v>
      </c>
      <c r="B302" s="44" t="s">
        <v>2152</v>
      </c>
      <c r="C302" s="4">
        <v>250300</v>
      </c>
      <c r="D302" s="13" t="s">
        <v>704</v>
      </c>
      <c r="E302" s="13" t="str">
        <f t="shared" si="12"/>
        <v>FL2</v>
      </c>
      <c r="F302" s="13" t="str">
        <f t="shared" si="13"/>
        <v>50</v>
      </c>
      <c r="G302" s="13" t="str">
        <f t="shared" si="14"/>
        <v>300</v>
      </c>
    </row>
    <row r="303" spans="1:7" x14ac:dyDescent="0.3">
      <c r="A303" s="43" t="s">
        <v>706</v>
      </c>
      <c r="B303" s="44" t="s">
        <v>2152</v>
      </c>
      <c r="C303" s="4">
        <v>250301</v>
      </c>
      <c r="D303" s="13" t="s">
        <v>706</v>
      </c>
      <c r="E303" s="13" t="str">
        <f t="shared" si="12"/>
        <v>FL2</v>
      </c>
      <c r="F303" s="13" t="str">
        <f t="shared" si="13"/>
        <v>50</v>
      </c>
      <c r="G303" s="13" t="str">
        <f t="shared" si="14"/>
        <v>301</v>
      </c>
    </row>
    <row r="304" spans="1:7" x14ac:dyDescent="0.3">
      <c r="A304" s="13" t="s">
        <v>708</v>
      </c>
      <c r="B304" s="44" t="s">
        <v>2152</v>
      </c>
      <c r="C304" s="4">
        <v>250302</v>
      </c>
      <c r="D304" s="13" t="s">
        <v>708</v>
      </c>
      <c r="E304" s="13" t="str">
        <f t="shared" si="12"/>
        <v>FL2</v>
      </c>
      <c r="F304" s="13" t="str">
        <f t="shared" si="13"/>
        <v>50</v>
      </c>
      <c r="G304" s="13" t="str">
        <f t="shared" si="14"/>
        <v>302</v>
      </c>
    </row>
    <row r="305" spans="1:7" x14ac:dyDescent="0.3">
      <c r="A305" s="43" t="s">
        <v>710</v>
      </c>
      <c r="B305" s="44" t="s">
        <v>2152</v>
      </c>
      <c r="C305" s="4">
        <v>250303</v>
      </c>
      <c r="D305" s="13" t="s">
        <v>710</v>
      </c>
      <c r="E305" s="13" t="str">
        <f t="shared" si="12"/>
        <v>FL2</v>
      </c>
      <c r="F305" s="13" t="str">
        <f t="shared" si="13"/>
        <v>50</v>
      </c>
      <c r="G305" s="13" t="str">
        <f t="shared" si="14"/>
        <v>303</v>
      </c>
    </row>
    <row r="306" spans="1:7" x14ac:dyDescent="0.3">
      <c r="A306" s="13" t="s">
        <v>712</v>
      </c>
      <c r="B306" s="44" t="s">
        <v>2152</v>
      </c>
      <c r="C306" s="4">
        <v>250304</v>
      </c>
      <c r="D306" s="13" t="s">
        <v>712</v>
      </c>
      <c r="E306" s="13" t="str">
        <f t="shared" si="12"/>
        <v>FL2</v>
      </c>
      <c r="F306" s="13" t="str">
        <f t="shared" si="13"/>
        <v>50</v>
      </c>
      <c r="G306" s="13" t="str">
        <f t="shared" si="14"/>
        <v>304</v>
      </c>
    </row>
    <row r="307" spans="1:7" x14ac:dyDescent="0.3">
      <c r="A307" s="43" t="s">
        <v>714</v>
      </c>
      <c r="B307" s="44" t="s">
        <v>2152</v>
      </c>
      <c r="C307" s="4">
        <v>250305</v>
      </c>
      <c r="D307" s="13" t="s">
        <v>714</v>
      </c>
      <c r="E307" s="13" t="str">
        <f t="shared" si="12"/>
        <v>FL2</v>
      </c>
      <c r="F307" s="13" t="str">
        <f t="shared" si="13"/>
        <v>50</v>
      </c>
      <c r="G307" s="13" t="str">
        <f t="shared" si="14"/>
        <v>305</v>
      </c>
    </row>
    <row r="308" spans="1:7" x14ac:dyDescent="0.3">
      <c r="A308" s="13" t="s">
        <v>716</v>
      </c>
      <c r="B308" s="44" t="s">
        <v>2152</v>
      </c>
      <c r="C308" s="4">
        <v>250306</v>
      </c>
      <c r="D308" s="13" t="s">
        <v>716</v>
      </c>
      <c r="E308" s="13" t="str">
        <f t="shared" si="12"/>
        <v>FL2</v>
      </c>
      <c r="F308" s="13" t="str">
        <f t="shared" si="13"/>
        <v>50</v>
      </c>
      <c r="G308" s="13" t="str">
        <f t="shared" si="14"/>
        <v>306</v>
      </c>
    </row>
    <row r="309" spans="1:7" x14ac:dyDescent="0.3">
      <c r="A309" s="43" t="s">
        <v>718</v>
      </c>
      <c r="B309" s="44" t="s">
        <v>2152</v>
      </c>
      <c r="C309" s="4">
        <v>250307</v>
      </c>
      <c r="D309" s="13" t="s">
        <v>718</v>
      </c>
      <c r="E309" s="13" t="str">
        <f t="shared" si="12"/>
        <v>FL2</v>
      </c>
      <c r="F309" s="13" t="str">
        <f t="shared" si="13"/>
        <v>50</v>
      </c>
      <c r="G309" s="13" t="str">
        <f t="shared" si="14"/>
        <v>307</v>
      </c>
    </row>
    <row r="310" spans="1:7" x14ac:dyDescent="0.3">
      <c r="A310" s="13" t="s">
        <v>720</v>
      </c>
      <c r="B310" s="44" t="s">
        <v>2152</v>
      </c>
      <c r="C310" s="4">
        <v>250308</v>
      </c>
      <c r="D310" s="13" t="s">
        <v>720</v>
      </c>
      <c r="E310" s="13" t="str">
        <f t="shared" si="12"/>
        <v>FL2</v>
      </c>
      <c r="F310" s="13" t="str">
        <f t="shared" si="13"/>
        <v>50</v>
      </c>
      <c r="G310" s="13" t="str">
        <f t="shared" si="14"/>
        <v>308</v>
      </c>
    </row>
    <row r="311" spans="1:7" x14ac:dyDescent="0.3">
      <c r="A311" s="43" t="s">
        <v>722</v>
      </c>
      <c r="B311" s="44" t="s">
        <v>2152</v>
      </c>
      <c r="C311" s="4">
        <v>250309</v>
      </c>
      <c r="D311" s="13" t="s">
        <v>722</v>
      </c>
      <c r="E311" s="13" t="str">
        <f t="shared" si="12"/>
        <v>FL2</v>
      </c>
      <c r="F311" s="13" t="str">
        <f t="shared" si="13"/>
        <v>50</v>
      </c>
      <c r="G311" s="13" t="str">
        <f t="shared" si="14"/>
        <v>309</v>
      </c>
    </row>
    <row r="312" spans="1:7" x14ac:dyDescent="0.3">
      <c r="A312" s="13" t="s">
        <v>724</v>
      </c>
      <c r="B312" s="44" t="s">
        <v>2152</v>
      </c>
      <c r="C312" s="4">
        <v>250310</v>
      </c>
      <c r="D312" s="13" t="s">
        <v>724</v>
      </c>
      <c r="E312" s="13" t="str">
        <f t="shared" si="12"/>
        <v>FL2</v>
      </c>
      <c r="F312" s="13" t="str">
        <f t="shared" si="13"/>
        <v>50</v>
      </c>
      <c r="G312" s="13" t="str">
        <f t="shared" si="14"/>
        <v>310</v>
      </c>
    </row>
    <row r="313" spans="1:7" x14ac:dyDescent="0.3">
      <c r="A313" s="43" t="s">
        <v>726</v>
      </c>
      <c r="B313" s="44" t="s">
        <v>2152</v>
      </c>
      <c r="C313" s="4">
        <v>250311</v>
      </c>
      <c r="D313" s="13" t="s">
        <v>726</v>
      </c>
      <c r="E313" s="13" t="str">
        <f t="shared" si="12"/>
        <v>FL2</v>
      </c>
      <c r="F313" s="13" t="str">
        <f t="shared" si="13"/>
        <v>50</v>
      </c>
      <c r="G313" s="13" t="str">
        <f t="shared" si="14"/>
        <v>311</v>
      </c>
    </row>
    <row r="314" spans="1:7" x14ac:dyDescent="0.3">
      <c r="A314" s="13" t="s">
        <v>728</v>
      </c>
      <c r="B314" s="44" t="s">
        <v>2152</v>
      </c>
      <c r="C314" s="4">
        <v>250312</v>
      </c>
      <c r="D314" s="13" t="s">
        <v>728</v>
      </c>
      <c r="E314" s="13" t="str">
        <f t="shared" si="12"/>
        <v>FL2</v>
      </c>
      <c r="F314" s="13" t="str">
        <f t="shared" si="13"/>
        <v>50</v>
      </c>
      <c r="G314" s="13" t="str">
        <f t="shared" si="14"/>
        <v>312</v>
      </c>
    </row>
    <row r="315" spans="1:7" x14ac:dyDescent="0.3">
      <c r="A315" s="43" t="s">
        <v>730</v>
      </c>
      <c r="B315" s="44" t="s">
        <v>2152</v>
      </c>
      <c r="C315" s="4">
        <v>250313</v>
      </c>
      <c r="D315" s="13" t="s">
        <v>730</v>
      </c>
      <c r="E315" s="13" t="str">
        <f t="shared" si="12"/>
        <v>FL2</v>
      </c>
      <c r="F315" s="13" t="str">
        <f t="shared" si="13"/>
        <v>50</v>
      </c>
      <c r="G315" s="13" t="str">
        <f t="shared" si="14"/>
        <v>313</v>
      </c>
    </row>
    <row r="316" spans="1:7" x14ac:dyDescent="0.3">
      <c r="A316" s="13" t="s">
        <v>732</v>
      </c>
      <c r="B316" s="44" t="s">
        <v>2152</v>
      </c>
      <c r="C316" s="4">
        <v>250314</v>
      </c>
      <c r="D316" s="13" t="s">
        <v>732</v>
      </c>
      <c r="E316" s="13" t="str">
        <f t="shared" si="12"/>
        <v>FL2</v>
      </c>
      <c r="F316" s="13" t="str">
        <f t="shared" si="13"/>
        <v>50</v>
      </c>
      <c r="G316" s="13" t="str">
        <f t="shared" si="14"/>
        <v>314</v>
      </c>
    </row>
    <row r="317" spans="1:7" x14ac:dyDescent="0.3">
      <c r="A317" s="43" t="s">
        <v>734</v>
      </c>
      <c r="B317" s="44" t="s">
        <v>2152</v>
      </c>
      <c r="C317" s="4">
        <v>250315</v>
      </c>
      <c r="D317" s="13" t="s">
        <v>734</v>
      </c>
      <c r="E317" s="13" t="str">
        <f t="shared" si="12"/>
        <v>FL2</v>
      </c>
      <c r="F317" s="13" t="str">
        <f t="shared" si="13"/>
        <v>50</v>
      </c>
      <c r="G317" s="13" t="str">
        <f t="shared" si="14"/>
        <v>315</v>
      </c>
    </row>
    <row r="318" spans="1:7" x14ac:dyDescent="0.3">
      <c r="A318" s="13" t="s">
        <v>736</v>
      </c>
      <c r="B318" s="44" t="s">
        <v>2152</v>
      </c>
      <c r="C318" s="4">
        <v>250316</v>
      </c>
      <c r="D318" s="13" t="s">
        <v>736</v>
      </c>
      <c r="E318" s="13" t="str">
        <f t="shared" si="12"/>
        <v>FL2</v>
      </c>
      <c r="F318" s="13" t="str">
        <f t="shared" si="13"/>
        <v>50</v>
      </c>
      <c r="G318" s="13" t="str">
        <f t="shared" si="14"/>
        <v>316</v>
      </c>
    </row>
    <row r="319" spans="1:7" x14ac:dyDescent="0.3">
      <c r="A319" s="43" t="s">
        <v>738</v>
      </c>
      <c r="B319" s="44" t="s">
        <v>2152</v>
      </c>
      <c r="C319" s="4">
        <v>250317</v>
      </c>
      <c r="D319" s="13" t="s">
        <v>738</v>
      </c>
      <c r="E319" s="13" t="str">
        <f t="shared" si="12"/>
        <v>FL2</v>
      </c>
      <c r="F319" s="13" t="str">
        <f t="shared" si="13"/>
        <v>50</v>
      </c>
      <c r="G319" s="13" t="str">
        <f t="shared" si="14"/>
        <v>317</v>
      </c>
    </row>
    <row r="320" spans="1:7" x14ac:dyDescent="0.3">
      <c r="A320" s="13" t="s">
        <v>740</v>
      </c>
      <c r="B320" s="44" t="s">
        <v>2152</v>
      </c>
      <c r="C320" s="4">
        <v>250318</v>
      </c>
      <c r="D320" s="13" t="s">
        <v>740</v>
      </c>
      <c r="E320" s="13" t="str">
        <f t="shared" si="12"/>
        <v>FL2</v>
      </c>
      <c r="F320" s="13" t="str">
        <f t="shared" si="13"/>
        <v>50</v>
      </c>
      <c r="G320" s="13" t="str">
        <f t="shared" si="14"/>
        <v>318</v>
      </c>
    </row>
    <row r="321" spans="1:7" x14ac:dyDescent="0.3">
      <c r="A321" s="43" t="s">
        <v>742</v>
      </c>
      <c r="B321" s="44" t="s">
        <v>2152</v>
      </c>
      <c r="C321" s="4">
        <v>250319</v>
      </c>
      <c r="D321" s="13" t="s">
        <v>742</v>
      </c>
      <c r="E321" s="13" t="str">
        <f t="shared" si="12"/>
        <v>FL2</v>
      </c>
      <c r="F321" s="13" t="str">
        <f t="shared" si="13"/>
        <v>50</v>
      </c>
      <c r="G321" s="13" t="str">
        <f t="shared" si="14"/>
        <v>319</v>
      </c>
    </row>
    <row r="322" spans="1:7" x14ac:dyDescent="0.3">
      <c r="A322" s="13" t="s">
        <v>744</v>
      </c>
      <c r="B322" s="44" t="s">
        <v>2152</v>
      </c>
      <c r="C322" s="4">
        <v>250320</v>
      </c>
      <c r="D322" s="13" t="s">
        <v>744</v>
      </c>
      <c r="E322" s="13" t="str">
        <f t="shared" si="12"/>
        <v>FL2</v>
      </c>
      <c r="F322" s="13" t="str">
        <f t="shared" si="13"/>
        <v>50</v>
      </c>
      <c r="G322" s="13" t="str">
        <f t="shared" si="14"/>
        <v>320</v>
      </c>
    </row>
    <row r="323" spans="1:7" x14ac:dyDescent="0.3">
      <c r="A323" s="43" t="s">
        <v>746</v>
      </c>
      <c r="B323" s="44" t="s">
        <v>2152</v>
      </c>
      <c r="C323" s="4">
        <v>250321</v>
      </c>
      <c r="D323" s="13" t="s">
        <v>746</v>
      </c>
      <c r="E323" s="13" t="str">
        <f t="shared" si="12"/>
        <v>FL2</v>
      </c>
      <c r="F323" s="13" t="str">
        <f t="shared" si="13"/>
        <v>50</v>
      </c>
      <c r="G323" s="13" t="str">
        <f t="shared" si="14"/>
        <v>321</v>
      </c>
    </row>
    <row r="324" spans="1:7" x14ac:dyDescent="0.3">
      <c r="A324" s="13" t="s">
        <v>748</v>
      </c>
      <c r="B324" s="44" t="s">
        <v>2152</v>
      </c>
      <c r="C324" s="4">
        <v>250322</v>
      </c>
      <c r="D324" s="13" t="s">
        <v>748</v>
      </c>
      <c r="E324" s="13" t="str">
        <f t="shared" ref="E324:E387" si="15">LEFT(D324,3)</f>
        <v>FL2</v>
      </c>
      <c r="F324" s="13" t="str">
        <f t="shared" ref="F324:F387" si="16">MID(D324,4,2)</f>
        <v>50</v>
      </c>
      <c r="G324" s="13" t="str">
        <f t="shared" ref="G324:G387" si="17">RIGHT(D324,3)</f>
        <v>322</v>
      </c>
    </row>
    <row r="325" spans="1:7" x14ac:dyDescent="0.3">
      <c r="A325" s="43" t="s">
        <v>750</v>
      </c>
      <c r="B325" s="44" t="s">
        <v>2152</v>
      </c>
      <c r="C325" s="4">
        <v>250323</v>
      </c>
      <c r="D325" s="13" t="s">
        <v>750</v>
      </c>
      <c r="E325" s="13" t="str">
        <f t="shared" si="15"/>
        <v>FL2</v>
      </c>
      <c r="F325" s="13" t="str">
        <f t="shared" si="16"/>
        <v>50</v>
      </c>
      <c r="G325" s="13" t="str">
        <f t="shared" si="17"/>
        <v>323</v>
      </c>
    </row>
    <row r="326" spans="1:7" x14ac:dyDescent="0.3">
      <c r="A326" s="13" t="s">
        <v>752</v>
      </c>
      <c r="B326" s="44" t="s">
        <v>2152</v>
      </c>
      <c r="C326" s="4">
        <v>250324</v>
      </c>
      <c r="D326" s="13" t="s">
        <v>752</v>
      </c>
      <c r="E326" s="13" t="str">
        <f t="shared" si="15"/>
        <v>FL2</v>
      </c>
      <c r="F326" s="13" t="str">
        <f t="shared" si="16"/>
        <v>50</v>
      </c>
      <c r="G326" s="13" t="str">
        <f t="shared" si="17"/>
        <v>324</v>
      </c>
    </row>
    <row r="327" spans="1:7" x14ac:dyDescent="0.3">
      <c r="A327" s="43" t="s">
        <v>754</v>
      </c>
      <c r="B327" s="44" t="s">
        <v>2152</v>
      </c>
      <c r="C327" s="4">
        <v>250325</v>
      </c>
      <c r="D327" s="13" t="s">
        <v>754</v>
      </c>
      <c r="E327" s="13" t="str">
        <f t="shared" si="15"/>
        <v>FL2</v>
      </c>
      <c r="F327" s="13" t="str">
        <f t="shared" si="16"/>
        <v>50</v>
      </c>
      <c r="G327" s="13" t="str">
        <f t="shared" si="17"/>
        <v>325</v>
      </c>
    </row>
    <row r="328" spans="1:7" x14ac:dyDescent="0.3">
      <c r="A328" s="13" t="s">
        <v>756</v>
      </c>
      <c r="B328" s="44" t="s">
        <v>2152</v>
      </c>
      <c r="C328" s="4">
        <v>250326</v>
      </c>
      <c r="D328" s="13" t="s">
        <v>756</v>
      </c>
      <c r="E328" s="13" t="str">
        <f t="shared" si="15"/>
        <v>FL2</v>
      </c>
      <c r="F328" s="13" t="str">
        <f t="shared" si="16"/>
        <v>50</v>
      </c>
      <c r="G328" s="13" t="str">
        <f t="shared" si="17"/>
        <v>326</v>
      </c>
    </row>
    <row r="329" spans="1:7" x14ac:dyDescent="0.3">
      <c r="A329" s="43" t="s">
        <v>758</v>
      </c>
      <c r="B329" s="44" t="s">
        <v>2152</v>
      </c>
      <c r="C329" s="4">
        <v>250327</v>
      </c>
      <c r="D329" s="13" t="s">
        <v>758</v>
      </c>
      <c r="E329" s="13" t="str">
        <f t="shared" si="15"/>
        <v>FL2</v>
      </c>
      <c r="F329" s="13" t="str">
        <f t="shared" si="16"/>
        <v>50</v>
      </c>
      <c r="G329" s="13" t="str">
        <f t="shared" si="17"/>
        <v>327</v>
      </c>
    </row>
    <row r="330" spans="1:7" x14ac:dyDescent="0.3">
      <c r="A330" s="13" t="s">
        <v>760</v>
      </c>
      <c r="B330" s="44" t="s">
        <v>2152</v>
      </c>
      <c r="C330" s="4">
        <v>250328</v>
      </c>
      <c r="D330" s="13" t="s">
        <v>760</v>
      </c>
      <c r="E330" s="13" t="str">
        <f t="shared" si="15"/>
        <v>FL2</v>
      </c>
      <c r="F330" s="13" t="str">
        <f t="shared" si="16"/>
        <v>50</v>
      </c>
      <c r="G330" s="13" t="str">
        <f t="shared" si="17"/>
        <v>328</v>
      </c>
    </row>
    <row r="331" spans="1:7" x14ac:dyDescent="0.3">
      <c r="A331" s="43" t="s">
        <v>762</v>
      </c>
      <c r="B331" s="44" t="s">
        <v>2152</v>
      </c>
      <c r="C331" s="4">
        <v>250329</v>
      </c>
      <c r="D331" s="13" t="s">
        <v>762</v>
      </c>
      <c r="E331" s="13" t="str">
        <f t="shared" si="15"/>
        <v>FL2</v>
      </c>
      <c r="F331" s="13" t="str">
        <f t="shared" si="16"/>
        <v>50</v>
      </c>
      <c r="G331" s="13" t="str">
        <f t="shared" si="17"/>
        <v>329</v>
      </c>
    </row>
    <row r="332" spans="1:7" x14ac:dyDescent="0.3">
      <c r="A332" s="13" t="s">
        <v>764</v>
      </c>
      <c r="B332" s="44" t="s">
        <v>2152</v>
      </c>
      <c r="C332" s="4">
        <v>250330</v>
      </c>
      <c r="D332" s="13" t="s">
        <v>764</v>
      </c>
      <c r="E332" s="13" t="str">
        <f t="shared" si="15"/>
        <v>FL2</v>
      </c>
      <c r="F332" s="13" t="str">
        <f t="shared" si="16"/>
        <v>50</v>
      </c>
      <c r="G332" s="13" t="str">
        <f t="shared" si="17"/>
        <v>330</v>
      </c>
    </row>
    <row r="333" spans="1:7" x14ac:dyDescent="0.3">
      <c r="A333" s="43" t="s">
        <v>766</v>
      </c>
      <c r="B333" s="44" t="s">
        <v>2152</v>
      </c>
      <c r="C333" s="4">
        <v>250331</v>
      </c>
      <c r="D333" s="13" t="s">
        <v>766</v>
      </c>
      <c r="E333" s="13" t="str">
        <f t="shared" si="15"/>
        <v>FL2</v>
      </c>
      <c r="F333" s="13" t="str">
        <f t="shared" si="16"/>
        <v>50</v>
      </c>
      <c r="G333" s="13" t="str">
        <f t="shared" si="17"/>
        <v>331</v>
      </c>
    </row>
    <row r="334" spans="1:7" x14ac:dyDescent="0.3">
      <c r="A334" s="13" t="s">
        <v>768</v>
      </c>
      <c r="B334" s="44" t="s">
        <v>2152</v>
      </c>
      <c r="C334" s="4">
        <v>250332</v>
      </c>
      <c r="D334" s="13" t="s">
        <v>768</v>
      </c>
      <c r="E334" s="13" t="str">
        <f t="shared" si="15"/>
        <v>FL2</v>
      </c>
      <c r="F334" s="13" t="str">
        <f t="shared" si="16"/>
        <v>50</v>
      </c>
      <c r="G334" s="13" t="str">
        <f t="shared" si="17"/>
        <v>332</v>
      </c>
    </row>
    <row r="335" spans="1:7" x14ac:dyDescent="0.3">
      <c r="A335" s="43" t="s">
        <v>770</v>
      </c>
      <c r="B335" s="44" t="s">
        <v>2152</v>
      </c>
      <c r="C335" s="4">
        <v>250333</v>
      </c>
      <c r="D335" s="13" t="s">
        <v>770</v>
      </c>
      <c r="E335" s="13" t="str">
        <f t="shared" si="15"/>
        <v>FL2</v>
      </c>
      <c r="F335" s="13" t="str">
        <f t="shared" si="16"/>
        <v>50</v>
      </c>
      <c r="G335" s="13" t="str">
        <f t="shared" si="17"/>
        <v>333</v>
      </c>
    </row>
    <row r="336" spans="1:7" x14ac:dyDescent="0.3">
      <c r="A336" s="13" t="s">
        <v>772</v>
      </c>
      <c r="B336" s="44" t="s">
        <v>2152</v>
      </c>
      <c r="C336" s="4">
        <v>250334</v>
      </c>
      <c r="D336" s="13" t="s">
        <v>772</v>
      </c>
      <c r="E336" s="13" t="str">
        <f t="shared" si="15"/>
        <v>FL2</v>
      </c>
      <c r="F336" s="13" t="str">
        <f t="shared" si="16"/>
        <v>50</v>
      </c>
      <c r="G336" s="13" t="str">
        <f t="shared" si="17"/>
        <v>334</v>
      </c>
    </row>
    <row r="337" spans="1:7" x14ac:dyDescent="0.3">
      <c r="A337" s="43" t="s">
        <v>774</v>
      </c>
      <c r="B337" s="44" t="s">
        <v>2152</v>
      </c>
      <c r="C337" s="4">
        <v>250335</v>
      </c>
      <c r="D337" s="13" t="s">
        <v>774</v>
      </c>
      <c r="E337" s="13" t="str">
        <f t="shared" si="15"/>
        <v>FL2</v>
      </c>
      <c r="F337" s="13" t="str">
        <f t="shared" si="16"/>
        <v>50</v>
      </c>
      <c r="G337" s="13" t="str">
        <f t="shared" si="17"/>
        <v>335</v>
      </c>
    </row>
    <row r="338" spans="1:7" x14ac:dyDescent="0.3">
      <c r="A338" s="13" t="s">
        <v>776</v>
      </c>
      <c r="B338" s="44" t="s">
        <v>2152</v>
      </c>
      <c r="C338" s="4">
        <v>250336</v>
      </c>
      <c r="D338" s="13" t="s">
        <v>776</v>
      </c>
      <c r="E338" s="13" t="str">
        <f t="shared" si="15"/>
        <v>FL2</v>
      </c>
      <c r="F338" s="13" t="str">
        <f t="shared" si="16"/>
        <v>50</v>
      </c>
      <c r="G338" s="13" t="str">
        <f t="shared" si="17"/>
        <v>336</v>
      </c>
    </row>
    <row r="339" spans="1:7" x14ac:dyDescent="0.3">
      <c r="A339" s="43" t="s">
        <v>778</v>
      </c>
      <c r="B339" s="44" t="s">
        <v>2152</v>
      </c>
      <c r="C339" s="4">
        <v>250337</v>
      </c>
      <c r="D339" s="13" t="s">
        <v>778</v>
      </c>
      <c r="E339" s="13" t="str">
        <f t="shared" si="15"/>
        <v>FL2</v>
      </c>
      <c r="F339" s="13" t="str">
        <f t="shared" si="16"/>
        <v>50</v>
      </c>
      <c r="G339" s="13" t="str">
        <f t="shared" si="17"/>
        <v>337</v>
      </c>
    </row>
    <row r="340" spans="1:7" x14ac:dyDescent="0.3">
      <c r="A340" s="13" t="s">
        <v>780</v>
      </c>
      <c r="B340" s="44" t="s">
        <v>2152</v>
      </c>
      <c r="C340" s="4">
        <v>250338</v>
      </c>
      <c r="D340" s="13" t="s">
        <v>780</v>
      </c>
      <c r="E340" s="13" t="str">
        <f t="shared" si="15"/>
        <v>FL2</v>
      </c>
      <c r="F340" s="13" t="str">
        <f t="shared" si="16"/>
        <v>50</v>
      </c>
      <c r="G340" s="13" t="str">
        <f t="shared" si="17"/>
        <v>338</v>
      </c>
    </row>
    <row r="341" spans="1:7" x14ac:dyDescent="0.3">
      <c r="A341" s="43" t="s">
        <v>782</v>
      </c>
      <c r="B341" s="44" t="s">
        <v>2152</v>
      </c>
      <c r="C341" s="4">
        <v>250339</v>
      </c>
      <c r="D341" s="13" t="s">
        <v>782</v>
      </c>
      <c r="E341" s="13" t="str">
        <f t="shared" si="15"/>
        <v>FL2</v>
      </c>
      <c r="F341" s="13" t="str">
        <f t="shared" si="16"/>
        <v>50</v>
      </c>
      <c r="G341" s="13" t="str">
        <f t="shared" si="17"/>
        <v>339</v>
      </c>
    </row>
    <row r="342" spans="1:7" x14ac:dyDescent="0.3">
      <c r="A342" s="13" t="s">
        <v>784</v>
      </c>
      <c r="B342" s="44" t="s">
        <v>2152</v>
      </c>
      <c r="C342" s="4">
        <v>250340</v>
      </c>
      <c r="D342" s="13" t="s">
        <v>784</v>
      </c>
      <c r="E342" s="13" t="str">
        <f t="shared" si="15"/>
        <v>FL2</v>
      </c>
      <c r="F342" s="13" t="str">
        <f t="shared" si="16"/>
        <v>50</v>
      </c>
      <c r="G342" s="13" t="str">
        <f t="shared" si="17"/>
        <v>340</v>
      </c>
    </row>
    <row r="343" spans="1:7" x14ac:dyDescent="0.3">
      <c r="A343" s="43" t="s">
        <v>786</v>
      </c>
      <c r="B343" s="44" t="s">
        <v>2152</v>
      </c>
      <c r="C343" s="4">
        <v>250341</v>
      </c>
      <c r="D343" s="13" t="s">
        <v>786</v>
      </c>
      <c r="E343" s="13" t="str">
        <f t="shared" si="15"/>
        <v>FL2</v>
      </c>
      <c r="F343" s="13" t="str">
        <f t="shared" si="16"/>
        <v>50</v>
      </c>
      <c r="G343" s="13" t="str">
        <f t="shared" si="17"/>
        <v>341</v>
      </c>
    </row>
    <row r="344" spans="1:7" x14ac:dyDescent="0.3">
      <c r="A344" s="13" t="s">
        <v>788</v>
      </c>
      <c r="B344" s="44" t="s">
        <v>2152</v>
      </c>
      <c r="C344" s="4">
        <v>250342</v>
      </c>
      <c r="D344" s="13" t="s">
        <v>788</v>
      </c>
      <c r="E344" s="13" t="str">
        <f t="shared" si="15"/>
        <v>FL2</v>
      </c>
      <c r="F344" s="13" t="str">
        <f t="shared" si="16"/>
        <v>50</v>
      </c>
      <c r="G344" s="13" t="str">
        <f t="shared" si="17"/>
        <v>342</v>
      </c>
    </row>
    <row r="345" spans="1:7" x14ac:dyDescent="0.3">
      <c r="A345" s="43" t="s">
        <v>790</v>
      </c>
      <c r="B345" s="44" t="s">
        <v>2152</v>
      </c>
      <c r="C345" s="4">
        <v>250343</v>
      </c>
      <c r="D345" s="13" t="s">
        <v>790</v>
      </c>
      <c r="E345" s="13" t="str">
        <f t="shared" si="15"/>
        <v>FL2</v>
      </c>
      <c r="F345" s="13" t="str">
        <f t="shared" si="16"/>
        <v>50</v>
      </c>
      <c r="G345" s="13" t="str">
        <f t="shared" si="17"/>
        <v>343</v>
      </c>
    </row>
    <row r="346" spans="1:7" x14ac:dyDescent="0.3">
      <c r="A346" s="13" t="s">
        <v>792</v>
      </c>
      <c r="B346" s="44" t="s">
        <v>2152</v>
      </c>
      <c r="C346" s="4">
        <v>250344</v>
      </c>
      <c r="D346" s="13" t="s">
        <v>792</v>
      </c>
      <c r="E346" s="13" t="str">
        <f t="shared" si="15"/>
        <v>FL2</v>
      </c>
      <c r="F346" s="13" t="str">
        <f t="shared" si="16"/>
        <v>50</v>
      </c>
      <c r="G346" s="13" t="str">
        <f t="shared" si="17"/>
        <v>344</v>
      </c>
    </row>
    <row r="347" spans="1:7" x14ac:dyDescent="0.3">
      <c r="A347" s="43" t="s">
        <v>794</v>
      </c>
      <c r="B347" s="44" t="s">
        <v>2152</v>
      </c>
      <c r="C347" s="4">
        <v>250345</v>
      </c>
      <c r="D347" s="13" t="s">
        <v>794</v>
      </c>
      <c r="E347" s="13" t="str">
        <f t="shared" si="15"/>
        <v>FL2</v>
      </c>
      <c r="F347" s="13" t="str">
        <f t="shared" si="16"/>
        <v>50</v>
      </c>
      <c r="G347" s="13" t="str">
        <f t="shared" si="17"/>
        <v>345</v>
      </c>
    </row>
    <row r="348" spans="1:7" x14ac:dyDescent="0.3">
      <c r="A348" s="13" t="s">
        <v>796</v>
      </c>
      <c r="B348" s="44" t="s">
        <v>2152</v>
      </c>
      <c r="C348" s="4">
        <v>250346</v>
      </c>
      <c r="D348" s="13" t="s">
        <v>796</v>
      </c>
      <c r="E348" s="13" t="str">
        <f t="shared" si="15"/>
        <v>FL2</v>
      </c>
      <c r="F348" s="13" t="str">
        <f t="shared" si="16"/>
        <v>50</v>
      </c>
      <c r="G348" s="13" t="str">
        <f t="shared" si="17"/>
        <v>346</v>
      </c>
    </row>
    <row r="349" spans="1:7" x14ac:dyDescent="0.3">
      <c r="A349" s="43" t="s">
        <v>798</v>
      </c>
      <c r="B349" s="44" t="s">
        <v>2152</v>
      </c>
      <c r="C349" s="4">
        <v>250347</v>
      </c>
      <c r="D349" s="13" t="s">
        <v>798</v>
      </c>
      <c r="E349" s="13" t="str">
        <f t="shared" si="15"/>
        <v>FL2</v>
      </c>
      <c r="F349" s="13" t="str">
        <f t="shared" si="16"/>
        <v>50</v>
      </c>
      <c r="G349" s="13" t="str">
        <f t="shared" si="17"/>
        <v>347</v>
      </c>
    </row>
    <row r="350" spans="1:7" x14ac:dyDescent="0.3">
      <c r="A350" s="13" t="s">
        <v>800</v>
      </c>
      <c r="B350" s="44" t="s">
        <v>2152</v>
      </c>
      <c r="C350" s="4">
        <v>250348</v>
      </c>
      <c r="D350" s="13" t="s">
        <v>800</v>
      </c>
      <c r="E350" s="13" t="str">
        <f t="shared" si="15"/>
        <v>FL2</v>
      </c>
      <c r="F350" s="13" t="str">
        <f t="shared" si="16"/>
        <v>50</v>
      </c>
      <c r="G350" s="13" t="str">
        <f t="shared" si="17"/>
        <v>348</v>
      </c>
    </row>
    <row r="351" spans="1:7" x14ac:dyDescent="0.3">
      <c r="A351" s="43" t="s">
        <v>802</v>
      </c>
      <c r="B351" s="44" t="s">
        <v>2152</v>
      </c>
      <c r="C351" s="4">
        <v>250349</v>
      </c>
      <c r="D351" s="13" t="s">
        <v>802</v>
      </c>
      <c r="E351" s="13" t="str">
        <f t="shared" si="15"/>
        <v>FL2</v>
      </c>
      <c r="F351" s="13" t="str">
        <f t="shared" si="16"/>
        <v>50</v>
      </c>
      <c r="G351" s="13" t="str">
        <f t="shared" si="17"/>
        <v>349</v>
      </c>
    </row>
    <row r="352" spans="1:7" x14ac:dyDescent="0.3">
      <c r="A352" s="13" t="s">
        <v>804</v>
      </c>
      <c r="B352" s="44" t="s">
        <v>2152</v>
      </c>
      <c r="C352" s="4">
        <v>250350</v>
      </c>
      <c r="D352" s="13" t="s">
        <v>804</v>
      </c>
      <c r="E352" s="13" t="str">
        <f t="shared" si="15"/>
        <v>FL2</v>
      </c>
      <c r="F352" s="13" t="str">
        <f t="shared" si="16"/>
        <v>50</v>
      </c>
      <c r="G352" s="13" t="str">
        <f t="shared" si="17"/>
        <v>350</v>
      </c>
    </row>
    <row r="353" spans="1:7" x14ac:dyDescent="0.3">
      <c r="A353" s="43" t="s">
        <v>806</v>
      </c>
      <c r="B353" s="44" t="s">
        <v>2152</v>
      </c>
      <c r="C353" s="4">
        <v>250351</v>
      </c>
      <c r="D353" s="13" t="s">
        <v>806</v>
      </c>
      <c r="E353" s="13" t="str">
        <f t="shared" si="15"/>
        <v>FL2</v>
      </c>
      <c r="F353" s="13" t="str">
        <f t="shared" si="16"/>
        <v>50</v>
      </c>
      <c r="G353" s="13" t="str">
        <f t="shared" si="17"/>
        <v>351</v>
      </c>
    </row>
    <row r="354" spans="1:7" x14ac:dyDescent="0.3">
      <c r="A354" s="13" t="s">
        <v>808</v>
      </c>
      <c r="B354" s="44" t="s">
        <v>2152</v>
      </c>
      <c r="C354" s="4">
        <v>250352</v>
      </c>
      <c r="D354" s="13" t="s">
        <v>808</v>
      </c>
      <c r="E354" s="13" t="str">
        <f t="shared" si="15"/>
        <v>FL2</v>
      </c>
      <c r="F354" s="13" t="str">
        <f t="shared" si="16"/>
        <v>50</v>
      </c>
      <c r="G354" s="13" t="str">
        <f t="shared" si="17"/>
        <v>352</v>
      </c>
    </row>
    <row r="355" spans="1:7" x14ac:dyDescent="0.3">
      <c r="A355" s="43" t="s">
        <v>810</v>
      </c>
      <c r="B355" s="44" t="s">
        <v>2152</v>
      </c>
      <c r="C355" s="4">
        <v>250353</v>
      </c>
      <c r="D355" s="13" t="s">
        <v>810</v>
      </c>
      <c r="E355" s="13" t="str">
        <f t="shared" si="15"/>
        <v>FL2</v>
      </c>
      <c r="F355" s="13" t="str">
        <f t="shared" si="16"/>
        <v>50</v>
      </c>
      <c r="G355" s="13" t="str">
        <f t="shared" si="17"/>
        <v>353</v>
      </c>
    </row>
    <row r="356" spans="1:7" x14ac:dyDescent="0.3">
      <c r="A356" s="13" t="s">
        <v>812</v>
      </c>
      <c r="B356" s="44" t="s">
        <v>2152</v>
      </c>
      <c r="C356" s="4">
        <v>250354</v>
      </c>
      <c r="D356" s="13" t="s">
        <v>812</v>
      </c>
      <c r="E356" s="13" t="str">
        <f t="shared" si="15"/>
        <v>FL2</v>
      </c>
      <c r="F356" s="13" t="str">
        <f t="shared" si="16"/>
        <v>50</v>
      </c>
      <c r="G356" s="13" t="str">
        <f t="shared" si="17"/>
        <v>354</v>
      </c>
    </row>
    <row r="357" spans="1:7" x14ac:dyDescent="0.3">
      <c r="A357" s="43" t="s">
        <v>814</v>
      </c>
      <c r="B357" s="44" t="s">
        <v>2152</v>
      </c>
      <c r="C357" s="4">
        <v>250355</v>
      </c>
      <c r="D357" s="13" t="s">
        <v>814</v>
      </c>
      <c r="E357" s="13" t="str">
        <f t="shared" si="15"/>
        <v>FL2</v>
      </c>
      <c r="F357" s="13" t="str">
        <f t="shared" si="16"/>
        <v>50</v>
      </c>
      <c r="G357" s="13" t="str">
        <f t="shared" si="17"/>
        <v>355</v>
      </c>
    </row>
    <row r="358" spans="1:7" x14ac:dyDescent="0.3">
      <c r="A358" s="13" t="s">
        <v>816</v>
      </c>
      <c r="B358" s="44" t="s">
        <v>2152</v>
      </c>
      <c r="C358" s="4">
        <v>250356</v>
      </c>
      <c r="D358" s="13" t="s">
        <v>816</v>
      </c>
      <c r="E358" s="13" t="str">
        <f t="shared" si="15"/>
        <v>FL2</v>
      </c>
      <c r="F358" s="13" t="str">
        <f t="shared" si="16"/>
        <v>50</v>
      </c>
      <c r="G358" s="13" t="str">
        <f t="shared" si="17"/>
        <v>356</v>
      </c>
    </row>
    <row r="359" spans="1:7" x14ac:dyDescent="0.3">
      <c r="A359" s="43" t="s">
        <v>818</v>
      </c>
      <c r="B359" s="44" t="s">
        <v>2152</v>
      </c>
      <c r="C359" s="4">
        <v>250357</v>
      </c>
      <c r="D359" s="13" t="s">
        <v>818</v>
      </c>
      <c r="E359" s="13" t="str">
        <f t="shared" si="15"/>
        <v>FL2</v>
      </c>
      <c r="F359" s="13" t="str">
        <f t="shared" si="16"/>
        <v>50</v>
      </c>
      <c r="G359" s="13" t="str">
        <f t="shared" si="17"/>
        <v>357</v>
      </c>
    </row>
    <row r="360" spans="1:7" x14ac:dyDescent="0.3">
      <c r="A360" s="13" t="s">
        <v>820</v>
      </c>
      <c r="B360" s="44" t="s">
        <v>2152</v>
      </c>
      <c r="C360" s="4">
        <v>250358</v>
      </c>
      <c r="D360" s="13" t="s">
        <v>820</v>
      </c>
      <c r="E360" s="13" t="str">
        <f t="shared" si="15"/>
        <v>FL2</v>
      </c>
      <c r="F360" s="13" t="str">
        <f t="shared" si="16"/>
        <v>50</v>
      </c>
      <c r="G360" s="13" t="str">
        <f t="shared" si="17"/>
        <v>358</v>
      </c>
    </row>
    <row r="361" spans="1:7" x14ac:dyDescent="0.3">
      <c r="A361" s="43" t="s">
        <v>822</v>
      </c>
      <c r="B361" s="44" t="s">
        <v>2152</v>
      </c>
      <c r="C361" s="4">
        <v>250359</v>
      </c>
      <c r="D361" s="13" t="s">
        <v>822</v>
      </c>
      <c r="E361" s="13" t="str">
        <f t="shared" si="15"/>
        <v>FL2</v>
      </c>
      <c r="F361" s="13" t="str">
        <f t="shared" si="16"/>
        <v>50</v>
      </c>
      <c r="G361" s="13" t="str">
        <f t="shared" si="17"/>
        <v>359</v>
      </c>
    </row>
    <row r="362" spans="1:7" x14ac:dyDescent="0.3">
      <c r="A362" s="13" t="s">
        <v>824</v>
      </c>
      <c r="B362" s="44" t="s">
        <v>2152</v>
      </c>
      <c r="C362" s="4">
        <v>250360</v>
      </c>
      <c r="D362" s="13" t="s">
        <v>824</v>
      </c>
      <c r="E362" s="13" t="str">
        <f t="shared" si="15"/>
        <v>FL2</v>
      </c>
      <c r="F362" s="13" t="str">
        <f t="shared" si="16"/>
        <v>50</v>
      </c>
      <c r="G362" s="13" t="str">
        <f t="shared" si="17"/>
        <v>360</v>
      </c>
    </row>
    <row r="363" spans="1:7" x14ac:dyDescent="0.3">
      <c r="A363" s="43" t="s">
        <v>826</v>
      </c>
      <c r="B363" s="44" t="s">
        <v>2152</v>
      </c>
      <c r="C363" s="4">
        <v>250361</v>
      </c>
      <c r="D363" s="13" t="s">
        <v>826</v>
      </c>
      <c r="E363" s="13" t="str">
        <f t="shared" si="15"/>
        <v>FL2</v>
      </c>
      <c r="F363" s="13" t="str">
        <f t="shared" si="16"/>
        <v>50</v>
      </c>
      <c r="G363" s="13" t="str">
        <f t="shared" si="17"/>
        <v>361</v>
      </c>
    </row>
    <row r="364" spans="1:7" x14ac:dyDescent="0.3">
      <c r="A364" s="13" t="s">
        <v>828</v>
      </c>
      <c r="B364" s="44" t="s">
        <v>2152</v>
      </c>
      <c r="C364" s="4">
        <v>250362</v>
      </c>
      <c r="D364" s="13" t="s">
        <v>828</v>
      </c>
      <c r="E364" s="13" t="str">
        <f t="shared" si="15"/>
        <v>FL2</v>
      </c>
      <c r="F364" s="13" t="str">
        <f t="shared" si="16"/>
        <v>50</v>
      </c>
      <c r="G364" s="13" t="str">
        <f t="shared" si="17"/>
        <v>362</v>
      </c>
    </row>
    <row r="365" spans="1:7" x14ac:dyDescent="0.3">
      <c r="A365" s="43" t="s">
        <v>830</v>
      </c>
      <c r="B365" s="44" t="s">
        <v>2152</v>
      </c>
      <c r="C365" s="4">
        <v>250363</v>
      </c>
      <c r="D365" s="13" t="s">
        <v>830</v>
      </c>
      <c r="E365" s="13" t="str">
        <f t="shared" si="15"/>
        <v>FL2</v>
      </c>
      <c r="F365" s="13" t="str">
        <f t="shared" si="16"/>
        <v>50</v>
      </c>
      <c r="G365" s="13" t="str">
        <f t="shared" si="17"/>
        <v>363</v>
      </c>
    </row>
    <row r="366" spans="1:7" x14ac:dyDescent="0.3">
      <c r="A366" s="13" t="s">
        <v>832</v>
      </c>
      <c r="B366" s="44" t="s">
        <v>2152</v>
      </c>
      <c r="C366" s="4">
        <v>250364</v>
      </c>
      <c r="D366" s="13" t="s">
        <v>832</v>
      </c>
      <c r="E366" s="13" t="str">
        <f t="shared" si="15"/>
        <v>FL2</v>
      </c>
      <c r="F366" s="13" t="str">
        <f t="shared" si="16"/>
        <v>50</v>
      </c>
      <c r="G366" s="13" t="str">
        <f t="shared" si="17"/>
        <v>364</v>
      </c>
    </row>
    <row r="367" spans="1:7" x14ac:dyDescent="0.3">
      <c r="A367" s="43" t="s">
        <v>834</v>
      </c>
      <c r="B367" s="44" t="s">
        <v>2152</v>
      </c>
      <c r="C367" s="4">
        <v>250365</v>
      </c>
      <c r="D367" s="13" t="s">
        <v>834</v>
      </c>
      <c r="E367" s="13" t="str">
        <f t="shared" si="15"/>
        <v>FL2</v>
      </c>
      <c r="F367" s="13" t="str">
        <f t="shared" si="16"/>
        <v>50</v>
      </c>
      <c r="G367" s="13" t="str">
        <f t="shared" si="17"/>
        <v>365</v>
      </c>
    </row>
    <row r="368" spans="1:7" x14ac:dyDescent="0.3">
      <c r="A368" s="13" t="s">
        <v>836</v>
      </c>
      <c r="B368" s="44" t="s">
        <v>2152</v>
      </c>
      <c r="C368" s="4">
        <v>250366</v>
      </c>
      <c r="D368" s="13" t="s">
        <v>836</v>
      </c>
      <c r="E368" s="13" t="str">
        <f t="shared" si="15"/>
        <v>FL2</v>
      </c>
      <c r="F368" s="13" t="str">
        <f t="shared" si="16"/>
        <v>50</v>
      </c>
      <c r="G368" s="13" t="str">
        <f t="shared" si="17"/>
        <v>366</v>
      </c>
    </row>
    <row r="369" spans="1:7" x14ac:dyDescent="0.3">
      <c r="A369" s="43" t="s">
        <v>838</v>
      </c>
      <c r="B369" s="44" t="s">
        <v>2152</v>
      </c>
      <c r="C369" s="4">
        <v>250367</v>
      </c>
      <c r="D369" s="13" t="s">
        <v>838</v>
      </c>
      <c r="E369" s="13" t="str">
        <f t="shared" si="15"/>
        <v>FL2</v>
      </c>
      <c r="F369" s="13" t="str">
        <f t="shared" si="16"/>
        <v>50</v>
      </c>
      <c r="G369" s="13" t="str">
        <f t="shared" si="17"/>
        <v>367</v>
      </c>
    </row>
    <row r="370" spans="1:7" x14ac:dyDescent="0.3">
      <c r="A370" s="13" t="s">
        <v>840</v>
      </c>
      <c r="B370" s="44" t="s">
        <v>2152</v>
      </c>
      <c r="C370" s="4">
        <v>250368</v>
      </c>
      <c r="D370" s="13" t="s">
        <v>840</v>
      </c>
      <c r="E370" s="13" t="str">
        <f t="shared" si="15"/>
        <v>FL2</v>
      </c>
      <c r="F370" s="13" t="str">
        <f t="shared" si="16"/>
        <v>50</v>
      </c>
      <c r="G370" s="13" t="str">
        <f t="shared" si="17"/>
        <v>368</v>
      </c>
    </row>
    <row r="371" spans="1:7" x14ac:dyDescent="0.3">
      <c r="A371" s="43" t="s">
        <v>842</v>
      </c>
      <c r="B371" s="44" t="s">
        <v>2152</v>
      </c>
      <c r="C371" s="4">
        <v>250369</v>
      </c>
      <c r="D371" s="13" t="s">
        <v>842</v>
      </c>
      <c r="E371" s="13" t="str">
        <f t="shared" si="15"/>
        <v>FL2</v>
      </c>
      <c r="F371" s="13" t="str">
        <f t="shared" si="16"/>
        <v>50</v>
      </c>
      <c r="G371" s="13" t="str">
        <f t="shared" si="17"/>
        <v>369</v>
      </c>
    </row>
    <row r="372" spans="1:7" x14ac:dyDescent="0.3">
      <c r="A372" s="13" t="s">
        <v>844</v>
      </c>
      <c r="B372" s="44" t="s">
        <v>2152</v>
      </c>
      <c r="C372" s="4">
        <v>250370</v>
      </c>
      <c r="D372" s="13" t="s">
        <v>844</v>
      </c>
      <c r="E372" s="13" t="str">
        <f t="shared" si="15"/>
        <v>FL2</v>
      </c>
      <c r="F372" s="13" t="str">
        <f t="shared" si="16"/>
        <v>50</v>
      </c>
      <c r="G372" s="13" t="str">
        <f t="shared" si="17"/>
        <v>370</v>
      </c>
    </row>
    <row r="373" spans="1:7" x14ac:dyDescent="0.3">
      <c r="A373" s="43" t="s">
        <v>846</v>
      </c>
      <c r="B373" s="44" t="s">
        <v>2152</v>
      </c>
      <c r="C373" s="4">
        <v>250371</v>
      </c>
      <c r="D373" s="13" t="s">
        <v>846</v>
      </c>
      <c r="E373" s="13" t="str">
        <f t="shared" si="15"/>
        <v>FL2</v>
      </c>
      <c r="F373" s="13" t="str">
        <f t="shared" si="16"/>
        <v>50</v>
      </c>
      <c r="G373" s="13" t="str">
        <f t="shared" si="17"/>
        <v>371</v>
      </c>
    </row>
    <row r="374" spans="1:7" x14ac:dyDescent="0.3">
      <c r="A374" s="13" t="s">
        <v>848</v>
      </c>
      <c r="B374" s="44" t="s">
        <v>2152</v>
      </c>
      <c r="C374" s="4">
        <v>250372</v>
      </c>
      <c r="D374" s="13" t="s">
        <v>848</v>
      </c>
      <c r="E374" s="13" t="str">
        <f t="shared" si="15"/>
        <v>FL2</v>
      </c>
      <c r="F374" s="13" t="str">
        <f t="shared" si="16"/>
        <v>50</v>
      </c>
      <c r="G374" s="13" t="str">
        <f t="shared" si="17"/>
        <v>372</v>
      </c>
    </row>
    <row r="375" spans="1:7" x14ac:dyDescent="0.3">
      <c r="A375" s="43" t="s">
        <v>850</v>
      </c>
      <c r="B375" s="44" t="s">
        <v>2152</v>
      </c>
      <c r="C375" s="4">
        <v>250373</v>
      </c>
      <c r="D375" s="13" t="s">
        <v>850</v>
      </c>
      <c r="E375" s="13" t="str">
        <f t="shared" si="15"/>
        <v>FL2</v>
      </c>
      <c r="F375" s="13" t="str">
        <f t="shared" si="16"/>
        <v>50</v>
      </c>
      <c r="G375" s="13" t="str">
        <f t="shared" si="17"/>
        <v>373</v>
      </c>
    </row>
    <row r="376" spans="1:7" x14ac:dyDescent="0.3">
      <c r="A376" s="13" t="s">
        <v>852</v>
      </c>
      <c r="B376" s="44" t="s">
        <v>2152</v>
      </c>
      <c r="C376" s="4">
        <v>250374</v>
      </c>
      <c r="D376" s="13" t="s">
        <v>852</v>
      </c>
      <c r="E376" s="13" t="str">
        <f t="shared" si="15"/>
        <v>FL2</v>
      </c>
      <c r="F376" s="13" t="str">
        <f t="shared" si="16"/>
        <v>50</v>
      </c>
      <c r="G376" s="13" t="str">
        <f t="shared" si="17"/>
        <v>374</v>
      </c>
    </row>
    <row r="377" spans="1:7" x14ac:dyDescent="0.3">
      <c r="A377" s="43" t="s">
        <v>854</v>
      </c>
      <c r="B377" s="44" t="s">
        <v>2152</v>
      </c>
      <c r="C377" s="4">
        <v>250375</v>
      </c>
      <c r="D377" s="13" t="s">
        <v>854</v>
      </c>
      <c r="E377" s="13" t="str">
        <f t="shared" si="15"/>
        <v>FL2</v>
      </c>
      <c r="F377" s="13" t="str">
        <f t="shared" si="16"/>
        <v>50</v>
      </c>
      <c r="G377" s="13" t="str">
        <f t="shared" si="17"/>
        <v>375</v>
      </c>
    </row>
    <row r="378" spans="1:7" x14ac:dyDescent="0.3">
      <c r="A378" s="13" t="s">
        <v>856</v>
      </c>
      <c r="B378" s="44" t="s">
        <v>2152</v>
      </c>
      <c r="C378" s="4">
        <v>250376</v>
      </c>
      <c r="D378" s="13" t="s">
        <v>856</v>
      </c>
      <c r="E378" s="13" t="str">
        <f t="shared" si="15"/>
        <v>FL2</v>
      </c>
      <c r="F378" s="13" t="str">
        <f t="shared" si="16"/>
        <v>50</v>
      </c>
      <c r="G378" s="13" t="str">
        <f t="shared" si="17"/>
        <v>376</v>
      </c>
    </row>
    <row r="379" spans="1:7" x14ac:dyDescent="0.3">
      <c r="A379" s="43" t="s">
        <v>858</v>
      </c>
      <c r="B379" s="44" t="s">
        <v>2152</v>
      </c>
      <c r="C379" s="4">
        <v>250377</v>
      </c>
      <c r="D379" s="13" t="s">
        <v>858</v>
      </c>
      <c r="E379" s="13" t="str">
        <f t="shared" si="15"/>
        <v>FL2</v>
      </c>
      <c r="F379" s="13" t="str">
        <f t="shared" si="16"/>
        <v>50</v>
      </c>
      <c r="G379" s="13" t="str">
        <f t="shared" si="17"/>
        <v>377</v>
      </c>
    </row>
    <row r="380" spans="1:7" x14ac:dyDescent="0.3">
      <c r="A380" s="13" t="s">
        <v>860</v>
      </c>
      <c r="B380" s="44" t="s">
        <v>2152</v>
      </c>
      <c r="C380" s="4">
        <v>250378</v>
      </c>
      <c r="D380" s="13" t="s">
        <v>860</v>
      </c>
      <c r="E380" s="13" t="str">
        <f t="shared" si="15"/>
        <v>FL2</v>
      </c>
      <c r="F380" s="13" t="str">
        <f t="shared" si="16"/>
        <v>50</v>
      </c>
      <c r="G380" s="13" t="str">
        <f t="shared" si="17"/>
        <v>378</v>
      </c>
    </row>
    <row r="381" spans="1:7" x14ac:dyDescent="0.3">
      <c r="A381" s="43" t="s">
        <v>862</v>
      </c>
      <c r="B381" s="44" t="s">
        <v>2152</v>
      </c>
      <c r="C381" s="4">
        <v>250379</v>
      </c>
      <c r="D381" s="13" t="s">
        <v>862</v>
      </c>
      <c r="E381" s="13" t="str">
        <f t="shared" si="15"/>
        <v>FL2</v>
      </c>
      <c r="F381" s="13" t="str">
        <f t="shared" si="16"/>
        <v>50</v>
      </c>
      <c r="G381" s="13" t="str">
        <f t="shared" si="17"/>
        <v>379</v>
      </c>
    </row>
    <row r="382" spans="1:7" x14ac:dyDescent="0.3">
      <c r="A382" s="13" t="s">
        <v>864</v>
      </c>
      <c r="B382" s="44" t="s">
        <v>2152</v>
      </c>
      <c r="C382" s="4">
        <v>250380</v>
      </c>
      <c r="D382" s="13" t="s">
        <v>864</v>
      </c>
      <c r="E382" s="13" t="str">
        <f t="shared" si="15"/>
        <v>FL2</v>
      </c>
      <c r="F382" s="13" t="str">
        <f t="shared" si="16"/>
        <v>50</v>
      </c>
      <c r="G382" s="13" t="str">
        <f t="shared" si="17"/>
        <v>380</v>
      </c>
    </row>
    <row r="383" spans="1:7" x14ac:dyDescent="0.3">
      <c r="A383" s="43" t="s">
        <v>866</v>
      </c>
      <c r="B383" s="44" t="s">
        <v>2152</v>
      </c>
      <c r="C383" s="4">
        <v>250381</v>
      </c>
      <c r="D383" s="13" t="s">
        <v>866</v>
      </c>
      <c r="E383" s="13" t="str">
        <f t="shared" si="15"/>
        <v>FL2</v>
      </c>
      <c r="F383" s="13" t="str">
        <f t="shared" si="16"/>
        <v>50</v>
      </c>
      <c r="G383" s="13" t="str">
        <f t="shared" si="17"/>
        <v>381</v>
      </c>
    </row>
    <row r="384" spans="1:7" x14ac:dyDescent="0.3">
      <c r="A384" s="13" t="s">
        <v>868</v>
      </c>
      <c r="B384" s="44" t="s">
        <v>2152</v>
      </c>
      <c r="C384" s="4">
        <v>250382</v>
      </c>
      <c r="D384" s="13" t="s">
        <v>868</v>
      </c>
      <c r="E384" s="13" t="str">
        <f t="shared" si="15"/>
        <v>FL2</v>
      </c>
      <c r="F384" s="13" t="str">
        <f t="shared" si="16"/>
        <v>50</v>
      </c>
      <c r="G384" s="13" t="str">
        <f t="shared" si="17"/>
        <v>382</v>
      </c>
    </row>
    <row r="385" spans="1:7" x14ac:dyDescent="0.3">
      <c r="A385" s="43" t="s">
        <v>870</v>
      </c>
      <c r="B385" s="44" t="s">
        <v>2152</v>
      </c>
      <c r="C385" s="4">
        <v>250383</v>
      </c>
      <c r="D385" s="13" t="s">
        <v>870</v>
      </c>
      <c r="E385" s="13" t="str">
        <f t="shared" si="15"/>
        <v>FL2</v>
      </c>
      <c r="F385" s="13" t="str">
        <f t="shared" si="16"/>
        <v>50</v>
      </c>
      <c r="G385" s="13" t="str">
        <f t="shared" si="17"/>
        <v>383</v>
      </c>
    </row>
    <row r="386" spans="1:7" x14ac:dyDescent="0.3">
      <c r="A386" s="13" t="s">
        <v>872</v>
      </c>
      <c r="B386" s="44" t="s">
        <v>2152</v>
      </c>
      <c r="C386" s="4">
        <v>250384</v>
      </c>
      <c r="D386" s="13" t="s">
        <v>872</v>
      </c>
      <c r="E386" s="13" t="str">
        <f t="shared" si="15"/>
        <v>FL2</v>
      </c>
      <c r="F386" s="13" t="str">
        <f t="shared" si="16"/>
        <v>50</v>
      </c>
      <c r="G386" s="13" t="str">
        <f t="shared" si="17"/>
        <v>384</v>
      </c>
    </row>
    <row r="387" spans="1:7" x14ac:dyDescent="0.3">
      <c r="A387" s="43" t="s">
        <v>874</v>
      </c>
      <c r="B387" s="44" t="s">
        <v>2152</v>
      </c>
      <c r="C387" s="4">
        <v>250385</v>
      </c>
      <c r="D387" s="13" t="s">
        <v>874</v>
      </c>
      <c r="E387" s="13" t="str">
        <f t="shared" si="15"/>
        <v>FL2</v>
      </c>
      <c r="F387" s="13" t="str">
        <f t="shared" si="16"/>
        <v>50</v>
      </c>
      <c r="G387" s="13" t="str">
        <f t="shared" si="17"/>
        <v>385</v>
      </c>
    </row>
    <row r="388" spans="1:7" x14ac:dyDescent="0.3">
      <c r="A388" s="13" t="s">
        <v>876</v>
      </c>
      <c r="B388" s="44" t="s">
        <v>2152</v>
      </c>
      <c r="C388" s="4">
        <v>250386</v>
      </c>
      <c r="D388" s="13" t="s">
        <v>876</v>
      </c>
      <c r="E388" s="13" t="str">
        <f t="shared" ref="E388:E451" si="18">LEFT(D388,3)</f>
        <v>FL2</v>
      </c>
      <c r="F388" s="13" t="str">
        <f t="shared" ref="F388:F451" si="19">MID(D388,4,2)</f>
        <v>50</v>
      </c>
      <c r="G388" s="13" t="str">
        <f t="shared" ref="G388:G451" si="20">RIGHT(D388,3)</f>
        <v>386</v>
      </c>
    </row>
    <row r="389" spans="1:7" x14ac:dyDescent="0.3">
      <c r="A389" s="43" t="s">
        <v>878</v>
      </c>
      <c r="B389" s="44" t="s">
        <v>2152</v>
      </c>
      <c r="C389" s="4">
        <v>250387</v>
      </c>
      <c r="D389" s="13" t="s">
        <v>878</v>
      </c>
      <c r="E389" s="13" t="str">
        <f t="shared" si="18"/>
        <v>FL2</v>
      </c>
      <c r="F389" s="13" t="str">
        <f t="shared" si="19"/>
        <v>50</v>
      </c>
      <c r="G389" s="13" t="str">
        <f t="shared" si="20"/>
        <v>387</v>
      </c>
    </row>
    <row r="390" spans="1:7" x14ac:dyDescent="0.3">
      <c r="A390" s="13" t="s">
        <v>880</v>
      </c>
      <c r="B390" s="44" t="s">
        <v>2152</v>
      </c>
      <c r="C390" s="4">
        <v>250388</v>
      </c>
      <c r="D390" s="13" t="s">
        <v>880</v>
      </c>
      <c r="E390" s="13" t="str">
        <f t="shared" si="18"/>
        <v>FL2</v>
      </c>
      <c r="F390" s="13" t="str">
        <f t="shared" si="19"/>
        <v>50</v>
      </c>
      <c r="G390" s="13" t="str">
        <f t="shared" si="20"/>
        <v>388</v>
      </c>
    </row>
    <row r="391" spans="1:7" x14ac:dyDescent="0.3">
      <c r="A391" s="43" t="s">
        <v>882</v>
      </c>
      <c r="B391" s="44" t="s">
        <v>2152</v>
      </c>
      <c r="C391" s="4">
        <v>250389</v>
      </c>
      <c r="D391" s="13" t="s">
        <v>882</v>
      </c>
      <c r="E391" s="13" t="str">
        <f t="shared" si="18"/>
        <v>FL2</v>
      </c>
      <c r="F391" s="13" t="str">
        <f t="shared" si="19"/>
        <v>50</v>
      </c>
      <c r="G391" s="13" t="str">
        <f t="shared" si="20"/>
        <v>389</v>
      </c>
    </row>
    <row r="392" spans="1:7" x14ac:dyDescent="0.3">
      <c r="A392" s="13" t="s">
        <v>884</v>
      </c>
      <c r="B392" s="44" t="s">
        <v>2152</v>
      </c>
      <c r="C392" s="4">
        <v>250390</v>
      </c>
      <c r="D392" s="13" t="s">
        <v>884</v>
      </c>
      <c r="E392" s="13" t="str">
        <f t="shared" si="18"/>
        <v>FL2</v>
      </c>
      <c r="F392" s="13" t="str">
        <f t="shared" si="19"/>
        <v>50</v>
      </c>
      <c r="G392" s="13" t="str">
        <f t="shared" si="20"/>
        <v>390</v>
      </c>
    </row>
    <row r="393" spans="1:7" x14ac:dyDescent="0.3">
      <c r="A393" s="43" t="s">
        <v>886</v>
      </c>
      <c r="B393" s="44" t="s">
        <v>2152</v>
      </c>
      <c r="C393" s="4">
        <v>250391</v>
      </c>
      <c r="D393" s="13" t="s">
        <v>886</v>
      </c>
      <c r="E393" s="13" t="str">
        <f t="shared" si="18"/>
        <v>FL2</v>
      </c>
      <c r="F393" s="13" t="str">
        <f t="shared" si="19"/>
        <v>50</v>
      </c>
      <c r="G393" s="13" t="str">
        <f t="shared" si="20"/>
        <v>391</v>
      </c>
    </row>
    <row r="394" spans="1:7" x14ac:dyDescent="0.3">
      <c r="A394" s="13" t="s">
        <v>888</v>
      </c>
      <c r="B394" s="44" t="s">
        <v>2152</v>
      </c>
      <c r="C394" s="4">
        <v>250392</v>
      </c>
      <c r="D394" s="13" t="s">
        <v>888</v>
      </c>
      <c r="E394" s="13" t="str">
        <f t="shared" si="18"/>
        <v>FL2</v>
      </c>
      <c r="F394" s="13" t="str">
        <f t="shared" si="19"/>
        <v>50</v>
      </c>
      <c r="G394" s="13" t="str">
        <f t="shared" si="20"/>
        <v>392</v>
      </c>
    </row>
    <row r="395" spans="1:7" x14ac:dyDescent="0.3">
      <c r="A395" s="43" t="s">
        <v>890</v>
      </c>
      <c r="B395" s="44" t="s">
        <v>2152</v>
      </c>
      <c r="C395" s="4">
        <v>250393</v>
      </c>
      <c r="D395" s="13" t="s">
        <v>890</v>
      </c>
      <c r="E395" s="13" t="str">
        <f t="shared" si="18"/>
        <v>FL2</v>
      </c>
      <c r="F395" s="13" t="str">
        <f t="shared" si="19"/>
        <v>50</v>
      </c>
      <c r="G395" s="13" t="str">
        <f t="shared" si="20"/>
        <v>393</v>
      </c>
    </row>
    <row r="396" spans="1:7" x14ac:dyDescent="0.3">
      <c r="A396" s="13" t="s">
        <v>892</v>
      </c>
      <c r="B396" s="44" t="s">
        <v>2152</v>
      </c>
      <c r="C396" s="4">
        <v>250394</v>
      </c>
      <c r="D396" s="13" t="s">
        <v>892</v>
      </c>
      <c r="E396" s="13" t="str">
        <f t="shared" si="18"/>
        <v>FL2</v>
      </c>
      <c r="F396" s="13" t="str">
        <f t="shared" si="19"/>
        <v>50</v>
      </c>
      <c r="G396" s="13" t="str">
        <f t="shared" si="20"/>
        <v>394</v>
      </c>
    </row>
    <row r="397" spans="1:7" x14ac:dyDescent="0.3">
      <c r="A397" s="43" t="s">
        <v>894</v>
      </c>
      <c r="B397" s="44" t="s">
        <v>2152</v>
      </c>
      <c r="C397" s="4">
        <v>250395</v>
      </c>
      <c r="D397" s="13" t="s">
        <v>894</v>
      </c>
      <c r="E397" s="13" t="str">
        <f t="shared" si="18"/>
        <v>FL2</v>
      </c>
      <c r="F397" s="13" t="str">
        <f t="shared" si="19"/>
        <v>50</v>
      </c>
      <c r="G397" s="13" t="str">
        <f t="shared" si="20"/>
        <v>395</v>
      </c>
    </row>
    <row r="398" spans="1:7" x14ac:dyDescent="0.3">
      <c r="A398" s="13" t="s">
        <v>896</v>
      </c>
      <c r="B398" s="44" t="s">
        <v>2152</v>
      </c>
      <c r="C398" s="4">
        <v>250396</v>
      </c>
      <c r="D398" s="13" t="s">
        <v>896</v>
      </c>
      <c r="E398" s="13" t="str">
        <f t="shared" si="18"/>
        <v>FL2</v>
      </c>
      <c r="F398" s="13" t="str">
        <f t="shared" si="19"/>
        <v>50</v>
      </c>
      <c r="G398" s="13" t="str">
        <f t="shared" si="20"/>
        <v>396</v>
      </c>
    </row>
    <row r="399" spans="1:7" x14ac:dyDescent="0.3">
      <c r="A399" s="43" t="s">
        <v>898</v>
      </c>
      <c r="B399" s="44" t="s">
        <v>2152</v>
      </c>
      <c r="C399" s="4">
        <v>250397</v>
      </c>
      <c r="D399" s="13" t="s">
        <v>898</v>
      </c>
      <c r="E399" s="13" t="str">
        <f t="shared" si="18"/>
        <v>FL2</v>
      </c>
      <c r="F399" s="13" t="str">
        <f t="shared" si="19"/>
        <v>50</v>
      </c>
      <c r="G399" s="13" t="str">
        <f t="shared" si="20"/>
        <v>397</v>
      </c>
    </row>
    <row r="400" spans="1:7" x14ac:dyDescent="0.3">
      <c r="A400" s="13" t="s">
        <v>900</v>
      </c>
      <c r="B400" s="44" t="s">
        <v>2152</v>
      </c>
      <c r="C400" s="4">
        <v>250398</v>
      </c>
      <c r="D400" s="13" t="s">
        <v>900</v>
      </c>
      <c r="E400" s="13" t="str">
        <f t="shared" si="18"/>
        <v>FL2</v>
      </c>
      <c r="F400" s="13" t="str">
        <f t="shared" si="19"/>
        <v>50</v>
      </c>
      <c r="G400" s="13" t="str">
        <f t="shared" si="20"/>
        <v>398</v>
      </c>
    </row>
    <row r="401" spans="1:7" x14ac:dyDescent="0.3">
      <c r="A401" s="43" t="s">
        <v>902</v>
      </c>
      <c r="B401" s="44" t="s">
        <v>2152</v>
      </c>
      <c r="C401" s="4">
        <v>250399</v>
      </c>
      <c r="D401" s="13" t="s">
        <v>902</v>
      </c>
      <c r="E401" s="13" t="str">
        <f t="shared" si="18"/>
        <v>FL2</v>
      </c>
      <c r="F401" s="13" t="str">
        <f t="shared" si="19"/>
        <v>50</v>
      </c>
      <c r="G401" s="13" t="str">
        <f t="shared" si="20"/>
        <v>399</v>
      </c>
    </row>
    <row r="402" spans="1:7" x14ac:dyDescent="0.3">
      <c r="A402" s="13" t="s">
        <v>904</v>
      </c>
      <c r="B402" s="44" t="s">
        <v>2152</v>
      </c>
      <c r="C402" s="4">
        <v>250400</v>
      </c>
      <c r="D402" s="13" t="s">
        <v>904</v>
      </c>
      <c r="E402" s="13" t="str">
        <f t="shared" si="18"/>
        <v>FL2</v>
      </c>
      <c r="F402" s="13" t="str">
        <f t="shared" si="19"/>
        <v>50</v>
      </c>
      <c r="G402" s="13" t="str">
        <f t="shared" si="20"/>
        <v>400</v>
      </c>
    </row>
    <row r="403" spans="1:7" x14ac:dyDescent="0.3">
      <c r="A403" s="43" t="s">
        <v>906</v>
      </c>
      <c r="B403" s="44" t="s">
        <v>2152</v>
      </c>
      <c r="C403" s="4">
        <v>250401</v>
      </c>
      <c r="D403" s="13" t="s">
        <v>906</v>
      </c>
      <c r="E403" s="13" t="str">
        <f t="shared" si="18"/>
        <v>FL2</v>
      </c>
      <c r="F403" s="13" t="str">
        <f t="shared" si="19"/>
        <v>50</v>
      </c>
      <c r="G403" s="13" t="str">
        <f t="shared" si="20"/>
        <v>401</v>
      </c>
    </row>
    <row r="404" spans="1:7" x14ac:dyDescent="0.3">
      <c r="A404" s="13" t="s">
        <v>908</v>
      </c>
      <c r="B404" s="44" t="s">
        <v>2152</v>
      </c>
      <c r="C404" s="4">
        <v>250402</v>
      </c>
      <c r="D404" s="13" t="s">
        <v>908</v>
      </c>
      <c r="E404" s="13" t="str">
        <f t="shared" si="18"/>
        <v>FL2</v>
      </c>
      <c r="F404" s="13" t="str">
        <f t="shared" si="19"/>
        <v>50</v>
      </c>
      <c r="G404" s="13" t="str">
        <f t="shared" si="20"/>
        <v>402</v>
      </c>
    </row>
    <row r="405" spans="1:7" x14ac:dyDescent="0.3">
      <c r="A405" s="43" t="s">
        <v>910</v>
      </c>
      <c r="B405" s="44" t="s">
        <v>2152</v>
      </c>
      <c r="C405" s="4">
        <v>250403</v>
      </c>
      <c r="D405" s="13" t="s">
        <v>910</v>
      </c>
      <c r="E405" s="13" t="str">
        <f t="shared" si="18"/>
        <v>FL2</v>
      </c>
      <c r="F405" s="13" t="str">
        <f t="shared" si="19"/>
        <v>50</v>
      </c>
      <c r="G405" s="13" t="str">
        <f t="shared" si="20"/>
        <v>403</v>
      </c>
    </row>
    <row r="406" spans="1:7" x14ac:dyDescent="0.3">
      <c r="A406" s="13" t="s">
        <v>912</v>
      </c>
      <c r="B406" s="44" t="s">
        <v>2152</v>
      </c>
      <c r="C406" s="4">
        <v>250404</v>
      </c>
      <c r="D406" s="13" t="s">
        <v>912</v>
      </c>
      <c r="E406" s="13" t="str">
        <f t="shared" si="18"/>
        <v>FL2</v>
      </c>
      <c r="F406" s="13" t="str">
        <f t="shared" si="19"/>
        <v>50</v>
      </c>
      <c r="G406" s="13" t="str">
        <f t="shared" si="20"/>
        <v>404</v>
      </c>
    </row>
    <row r="407" spans="1:7" x14ac:dyDescent="0.3">
      <c r="A407" s="43" t="s">
        <v>914</v>
      </c>
      <c r="B407" s="44" t="s">
        <v>2152</v>
      </c>
      <c r="C407" s="4">
        <v>250405</v>
      </c>
      <c r="D407" s="13" t="s">
        <v>914</v>
      </c>
      <c r="E407" s="13" t="str">
        <f t="shared" si="18"/>
        <v>FL2</v>
      </c>
      <c r="F407" s="13" t="str">
        <f t="shared" si="19"/>
        <v>50</v>
      </c>
      <c r="G407" s="13" t="str">
        <f t="shared" si="20"/>
        <v>405</v>
      </c>
    </row>
    <row r="408" spans="1:7" x14ac:dyDescent="0.3">
      <c r="A408" s="13" t="s">
        <v>916</v>
      </c>
      <c r="B408" s="44" t="s">
        <v>2152</v>
      </c>
      <c r="C408" s="4">
        <v>250406</v>
      </c>
      <c r="D408" s="13" t="s">
        <v>916</v>
      </c>
      <c r="E408" s="13" t="str">
        <f t="shared" si="18"/>
        <v>FL2</v>
      </c>
      <c r="F408" s="13" t="str">
        <f t="shared" si="19"/>
        <v>50</v>
      </c>
      <c r="G408" s="13" t="str">
        <f t="shared" si="20"/>
        <v>406</v>
      </c>
    </row>
    <row r="409" spans="1:7" x14ac:dyDescent="0.3">
      <c r="A409" s="43" t="s">
        <v>918</v>
      </c>
      <c r="B409" s="44" t="s">
        <v>2152</v>
      </c>
      <c r="C409" s="4">
        <v>250407</v>
      </c>
      <c r="D409" s="13" t="s">
        <v>918</v>
      </c>
      <c r="E409" s="13" t="str">
        <f t="shared" si="18"/>
        <v>FL2</v>
      </c>
      <c r="F409" s="13" t="str">
        <f t="shared" si="19"/>
        <v>50</v>
      </c>
      <c r="G409" s="13" t="str">
        <f t="shared" si="20"/>
        <v>407</v>
      </c>
    </row>
    <row r="410" spans="1:7" x14ac:dyDescent="0.3">
      <c r="A410" s="13" t="s">
        <v>920</v>
      </c>
      <c r="B410" s="44" t="s">
        <v>2152</v>
      </c>
      <c r="C410" s="4">
        <v>250408</v>
      </c>
      <c r="D410" s="13" t="s">
        <v>920</v>
      </c>
      <c r="E410" s="13" t="str">
        <f t="shared" si="18"/>
        <v>FL2</v>
      </c>
      <c r="F410" s="13" t="str">
        <f t="shared" si="19"/>
        <v>50</v>
      </c>
      <c r="G410" s="13" t="str">
        <f t="shared" si="20"/>
        <v>408</v>
      </c>
    </row>
    <row r="411" spans="1:7" x14ac:dyDescent="0.3">
      <c r="A411" s="43" t="s">
        <v>922</v>
      </c>
      <c r="B411" s="44" t="s">
        <v>2152</v>
      </c>
      <c r="C411" s="4">
        <v>250409</v>
      </c>
      <c r="D411" s="13" t="s">
        <v>922</v>
      </c>
      <c r="E411" s="13" t="str">
        <f t="shared" si="18"/>
        <v>FL2</v>
      </c>
      <c r="F411" s="13" t="str">
        <f t="shared" si="19"/>
        <v>50</v>
      </c>
      <c r="G411" s="13" t="str">
        <f t="shared" si="20"/>
        <v>409</v>
      </c>
    </row>
    <row r="412" spans="1:7" x14ac:dyDescent="0.3">
      <c r="A412" s="13" t="s">
        <v>924</v>
      </c>
      <c r="B412" s="44" t="s">
        <v>2152</v>
      </c>
      <c r="C412" s="4">
        <v>250410</v>
      </c>
      <c r="D412" s="13" t="s">
        <v>924</v>
      </c>
      <c r="E412" s="13" t="str">
        <f t="shared" si="18"/>
        <v>FL2</v>
      </c>
      <c r="F412" s="13" t="str">
        <f t="shared" si="19"/>
        <v>50</v>
      </c>
      <c r="G412" s="13" t="str">
        <f t="shared" si="20"/>
        <v>410</v>
      </c>
    </row>
    <row r="413" spans="1:7" x14ac:dyDescent="0.3">
      <c r="A413" s="43" t="s">
        <v>926</v>
      </c>
      <c r="B413" s="44" t="s">
        <v>2152</v>
      </c>
      <c r="C413" s="4">
        <v>250411</v>
      </c>
      <c r="D413" s="13" t="s">
        <v>926</v>
      </c>
      <c r="E413" s="13" t="str">
        <f t="shared" si="18"/>
        <v>FL2</v>
      </c>
      <c r="F413" s="13" t="str">
        <f t="shared" si="19"/>
        <v>50</v>
      </c>
      <c r="G413" s="13" t="str">
        <f t="shared" si="20"/>
        <v>411</v>
      </c>
    </row>
    <row r="414" spans="1:7" x14ac:dyDescent="0.3">
      <c r="A414" s="13" t="s">
        <v>928</v>
      </c>
      <c r="B414" s="44" t="s">
        <v>2152</v>
      </c>
      <c r="C414" s="4">
        <v>250412</v>
      </c>
      <c r="D414" s="13" t="s">
        <v>928</v>
      </c>
      <c r="E414" s="13" t="str">
        <f t="shared" si="18"/>
        <v>FL2</v>
      </c>
      <c r="F414" s="13" t="str">
        <f t="shared" si="19"/>
        <v>50</v>
      </c>
      <c r="G414" s="13" t="str">
        <f t="shared" si="20"/>
        <v>412</v>
      </c>
    </row>
    <row r="415" spans="1:7" x14ac:dyDescent="0.3">
      <c r="A415" s="43" t="s">
        <v>930</v>
      </c>
      <c r="B415" s="44" t="s">
        <v>2152</v>
      </c>
      <c r="C415" s="4">
        <v>250413</v>
      </c>
      <c r="D415" s="13" t="s">
        <v>930</v>
      </c>
      <c r="E415" s="13" t="str">
        <f t="shared" si="18"/>
        <v>FL2</v>
      </c>
      <c r="F415" s="13" t="str">
        <f t="shared" si="19"/>
        <v>50</v>
      </c>
      <c r="G415" s="13" t="str">
        <f t="shared" si="20"/>
        <v>413</v>
      </c>
    </row>
    <row r="416" spans="1:7" x14ac:dyDescent="0.3">
      <c r="A416" s="13" t="s">
        <v>932</v>
      </c>
      <c r="B416" s="44" t="s">
        <v>2152</v>
      </c>
      <c r="C416" s="4">
        <v>250414</v>
      </c>
      <c r="D416" s="13" t="s">
        <v>932</v>
      </c>
      <c r="E416" s="13" t="str">
        <f t="shared" si="18"/>
        <v>FL2</v>
      </c>
      <c r="F416" s="13" t="str">
        <f t="shared" si="19"/>
        <v>50</v>
      </c>
      <c r="G416" s="13" t="str">
        <f t="shared" si="20"/>
        <v>414</v>
      </c>
    </row>
    <row r="417" spans="1:7" x14ac:dyDescent="0.3">
      <c r="A417" s="43" t="s">
        <v>934</v>
      </c>
      <c r="B417" s="44" t="s">
        <v>2152</v>
      </c>
      <c r="C417" s="4">
        <v>250415</v>
      </c>
      <c r="D417" s="13" t="s">
        <v>934</v>
      </c>
      <c r="E417" s="13" t="str">
        <f t="shared" si="18"/>
        <v>FL2</v>
      </c>
      <c r="F417" s="13" t="str">
        <f t="shared" si="19"/>
        <v>50</v>
      </c>
      <c r="G417" s="13" t="str">
        <f t="shared" si="20"/>
        <v>415</v>
      </c>
    </row>
    <row r="418" spans="1:7" x14ac:dyDescent="0.3">
      <c r="A418" s="13" t="s">
        <v>936</v>
      </c>
      <c r="B418" s="44" t="s">
        <v>2152</v>
      </c>
      <c r="C418" s="4">
        <v>250416</v>
      </c>
      <c r="D418" s="13" t="s">
        <v>936</v>
      </c>
      <c r="E418" s="13" t="str">
        <f t="shared" si="18"/>
        <v>FL2</v>
      </c>
      <c r="F418" s="13" t="str">
        <f t="shared" si="19"/>
        <v>50</v>
      </c>
      <c r="G418" s="13" t="str">
        <f t="shared" si="20"/>
        <v>416</v>
      </c>
    </row>
    <row r="419" spans="1:7" x14ac:dyDescent="0.3">
      <c r="A419" s="43" t="s">
        <v>938</v>
      </c>
      <c r="B419" s="44" t="s">
        <v>2152</v>
      </c>
      <c r="C419" s="4">
        <v>250417</v>
      </c>
      <c r="D419" s="13" t="s">
        <v>938</v>
      </c>
      <c r="E419" s="13" t="str">
        <f t="shared" si="18"/>
        <v>FL2</v>
      </c>
      <c r="F419" s="13" t="str">
        <f t="shared" si="19"/>
        <v>50</v>
      </c>
      <c r="G419" s="13" t="str">
        <f t="shared" si="20"/>
        <v>417</v>
      </c>
    </row>
    <row r="420" spans="1:7" x14ac:dyDescent="0.3">
      <c r="A420" s="13" t="s">
        <v>939</v>
      </c>
      <c r="B420" s="44" t="s">
        <v>2152</v>
      </c>
      <c r="C420" s="4">
        <v>250418</v>
      </c>
      <c r="D420" s="13" t="s">
        <v>939</v>
      </c>
      <c r="E420" s="13" t="str">
        <f t="shared" si="18"/>
        <v>FL2</v>
      </c>
      <c r="F420" s="13" t="str">
        <f t="shared" si="19"/>
        <v>50</v>
      </c>
      <c r="G420" s="13" t="str">
        <f t="shared" si="20"/>
        <v>418</v>
      </c>
    </row>
    <row r="421" spans="1:7" x14ac:dyDescent="0.3">
      <c r="A421" s="43" t="s">
        <v>941</v>
      </c>
      <c r="B421" s="44" t="s">
        <v>2152</v>
      </c>
      <c r="C421" s="4">
        <v>250419</v>
      </c>
      <c r="D421" s="13" t="s">
        <v>941</v>
      </c>
      <c r="E421" s="13" t="str">
        <f t="shared" si="18"/>
        <v>FL2</v>
      </c>
      <c r="F421" s="13" t="str">
        <f t="shared" si="19"/>
        <v>50</v>
      </c>
      <c r="G421" s="13" t="str">
        <f t="shared" si="20"/>
        <v>419</v>
      </c>
    </row>
    <row r="422" spans="1:7" x14ac:dyDescent="0.3">
      <c r="A422" s="13" t="s">
        <v>943</v>
      </c>
      <c r="B422" s="44" t="s">
        <v>2152</v>
      </c>
      <c r="C422" s="4">
        <v>250420</v>
      </c>
      <c r="D422" s="13" t="s">
        <v>943</v>
      </c>
      <c r="E422" s="13" t="str">
        <f t="shared" si="18"/>
        <v>FL2</v>
      </c>
      <c r="F422" s="13" t="str">
        <f t="shared" si="19"/>
        <v>50</v>
      </c>
      <c r="G422" s="13" t="str">
        <f t="shared" si="20"/>
        <v>420</v>
      </c>
    </row>
    <row r="423" spans="1:7" x14ac:dyDescent="0.3">
      <c r="A423" s="43" t="s">
        <v>945</v>
      </c>
      <c r="B423" s="44" t="s">
        <v>2152</v>
      </c>
      <c r="C423" s="4">
        <v>250421</v>
      </c>
      <c r="D423" s="13" t="s">
        <v>945</v>
      </c>
      <c r="E423" s="13" t="str">
        <f t="shared" si="18"/>
        <v>FL2</v>
      </c>
      <c r="F423" s="13" t="str">
        <f t="shared" si="19"/>
        <v>50</v>
      </c>
      <c r="G423" s="13" t="str">
        <f t="shared" si="20"/>
        <v>421</v>
      </c>
    </row>
    <row r="424" spans="1:7" x14ac:dyDescent="0.3">
      <c r="A424" s="13" t="s">
        <v>947</v>
      </c>
      <c r="B424" s="44" t="s">
        <v>2152</v>
      </c>
      <c r="C424" s="4">
        <v>250422</v>
      </c>
      <c r="D424" s="13" t="s">
        <v>947</v>
      </c>
      <c r="E424" s="13" t="str">
        <f t="shared" si="18"/>
        <v>FL2</v>
      </c>
      <c r="F424" s="13" t="str">
        <f t="shared" si="19"/>
        <v>50</v>
      </c>
      <c r="G424" s="13" t="str">
        <f t="shared" si="20"/>
        <v>422</v>
      </c>
    </row>
    <row r="425" spans="1:7" x14ac:dyDescent="0.3">
      <c r="A425" s="43" t="s">
        <v>949</v>
      </c>
      <c r="B425" s="44" t="s">
        <v>2152</v>
      </c>
      <c r="C425" s="4">
        <v>250423</v>
      </c>
      <c r="D425" s="13" t="s">
        <v>949</v>
      </c>
      <c r="E425" s="13" t="str">
        <f t="shared" si="18"/>
        <v>FL2</v>
      </c>
      <c r="F425" s="13" t="str">
        <f t="shared" si="19"/>
        <v>50</v>
      </c>
      <c r="G425" s="13" t="str">
        <f t="shared" si="20"/>
        <v>423</v>
      </c>
    </row>
    <row r="426" spans="1:7" x14ac:dyDescent="0.3">
      <c r="A426" s="13" t="s">
        <v>951</v>
      </c>
      <c r="B426" s="44" t="s">
        <v>2152</v>
      </c>
      <c r="C426" s="4">
        <v>250424</v>
      </c>
      <c r="D426" s="13" t="s">
        <v>951</v>
      </c>
      <c r="E426" s="13" t="str">
        <f t="shared" si="18"/>
        <v>FL2</v>
      </c>
      <c r="F426" s="13" t="str">
        <f t="shared" si="19"/>
        <v>50</v>
      </c>
      <c r="G426" s="13" t="str">
        <f t="shared" si="20"/>
        <v>424</v>
      </c>
    </row>
    <row r="427" spans="1:7" x14ac:dyDescent="0.3">
      <c r="A427" s="43" t="s">
        <v>953</v>
      </c>
      <c r="B427" s="44" t="s">
        <v>2152</v>
      </c>
      <c r="C427" s="4">
        <v>250425</v>
      </c>
      <c r="D427" s="13" t="s">
        <v>953</v>
      </c>
      <c r="E427" s="13" t="str">
        <f t="shared" si="18"/>
        <v>FL2</v>
      </c>
      <c r="F427" s="13" t="str">
        <f t="shared" si="19"/>
        <v>50</v>
      </c>
      <c r="G427" s="13" t="str">
        <f t="shared" si="20"/>
        <v>425</v>
      </c>
    </row>
    <row r="428" spans="1:7" x14ac:dyDescent="0.3">
      <c r="A428" s="13" t="s">
        <v>955</v>
      </c>
      <c r="B428" s="44" t="s">
        <v>2152</v>
      </c>
      <c r="C428" s="4">
        <v>250426</v>
      </c>
      <c r="D428" s="13" t="s">
        <v>955</v>
      </c>
      <c r="E428" s="13" t="str">
        <f t="shared" si="18"/>
        <v>FL2</v>
      </c>
      <c r="F428" s="13" t="str">
        <f t="shared" si="19"/>
        <v>50</v>
      </c>
      <c r="G428" s="13" t="str">
        <f t="shared" si="20"/>
        <v>426</v>
      </c>
    </row>
    <row r="429" spans="1:7" x14ac:dyDescent="0.3">
      <c r="A429" s="43" t="s">
        <v>957</v>
      </c>
      <c r="B429" s="44" t="s">
        <v>2152</v>
      </c>
      <c r="C429" s="4">
        <v>250427</v>
      </c>
      <c r="D429" s="13" t="s">
        <v>957</v>
      </c>
      <c r="E429" s="13" t="str">
        <f t="shared" si="18"/>
        <v>FL2</v>
      </c>
      <c r="F429" s="13" t="str">
        <f t="shared" si="19"/>
        <v>50</v>
      </c>
      <c r="G429" s="13" t="str">
        <f t="shared" si="20"/>
        <v>427</v>
      </c>
    </row>
    <row r="430" spans="1:7" x14ac:dyDescent="0.3">
      <c r="A430" s="13" t="s">
        <v>959</v>
      </c>
      <c r="B430" s="44" t="s">
        <v>2152</v>
      </c>
      <c r="C430" s="4">
        <v>250428</v>
      </c>
      <c r="D430" s="13" t="s">
        <v>959</v>
      </c>
      <c r="E430" s="13" t="str">
        <f t="shared" si="18"/>
        <v>FL2</v>
      </c>
      <c r="F430" s="13" t="str">
        <f t="shared" si="19"/>
        <v>50</v>
      </c>
      <c r="G430" s="13" t="str">
        <f t="shared" si="20"/>
        <v>428</v>
      </c>
    </row>
    <row r="431" spans="1:7" x14ac:dyDescent="0.3">
      <c r="A431" s="43" t="s">
        <v>961</v>
      </c>
      <c r="B431" s="44" t="s">
        <v>2152</v>
      </c>
      <c r="C431" s="4">
        <v>250429</v>
      </c>
      <c r="D431" s="13" t="s">
        <v>961</v>
      </c>
      <c r="E431" s="13" t="str">
        <f t="shared" si="18"/>
        <v>FL2</v>
      </c>
      <c r="F431" s="13" t="str">
        <f t="shared" si="19"/>
        <v>50</v>
      </c>
      <c r="G431" s="13" t="str">
        <f t="shared" si="20"/>
        <v>429</v>
      </c>
    </row>
    <row r="432" spans="1:7" x14ac:dyDescent="0.3">
      <c r="A432" s="13" t="s">
        <v>963</v>
      </c>
      <c r="B432" s="44" t="s">
        <v>2152</v>
      </c>
      <c r="C432" s="4">
        <v>250430</v>
      </c>
      <c r="D432" s="13" t="s">
        <v>963</v>
      </c>
      <c r="E432" s="13" t="str">
        <f t="shared" si="18"/>
        <v>FL2</v>
      </c>
      <c r="F432" s="13" t="str">
        <f t="shared" si="19"/>
        <v>50</v>
      </c>
      <c r="G432" s="13" t="str">
        <f t="shared" si="20"/>
        <v>430</v>
      </c>
    </row>
    <row r="433" spans="1:7" x14ac:dyDescent="0.3">
      <c r="A433" s="43" t="s">
        <v>965</v>
      </c>
      <c r="B433" s="44" t="s">
        <v>2152</v>
      </c>
      <c r="C433" s="4">
        <v>250431</v>
      </c>
      <c r="D433" s="13" t="s">
        <v>965</v>
      </c>
      <c r="E433" s="13" t="str">
        <f t="shared" si="18"/>
        <v>FL2</v>
      </c>
      <c r="F433" s="13" t="str">
        <f t="shared" si="19"/>
        <v>50</v>
      </c>
      <c r="G433" s="13" t="str">
        <f t="shared" si="20"/>
        <v>431</v>
      </c>
    </row>
    <row r="434" spans="1:7" x14ac:dyDescent="0.3">
      <c r="A434" s="13" t="s">
        <v>967</v>
      </c>
      <c r="B434" s="44" t="s">
        <v>2152</v>
      </c>
      <c r="C434" s="4">
        <v>250432</v>
      </c>
      <c r="D434" s="13" t="s">
        <v>967</v>
      </c>
      <c r="E434" s="13" t="str">
        <f t="shared" si="18"/>
        <v>FL2</v>
      </c>
      <c r="F434" s="13" t="str">
        <f t="shared" si="19"/>
        <v>50</v>
      </c>
      <c r="G434" s="13" t="str">
        <f t="shared" si="20"/>
        <v>432</v>
      </c>
    </row>
    <row r="435" spans="1:7" x14ac:dyDescent="0.3">
      <c r="A435" s="43" t="s">
        <v>969</v>
      </c>
      <c r="B435" s="44" t="s">
        <v>2152</v>
      </c>
      <c r="C435" s="4">
        <v>250433</v>
      </c>
      <c r="D435" s="13" t="s">
        <v>969</v>
      </c>
      <c r="E435" s="13" t="str">
        <f t="shared" si="18"/>
        <v>FL2</v>
      </c>
      <c r="F435" s="13" t="str">
        <f t="shared" si="19"/>
        <v>50</v>
      </c>
      <c r="G435" s="13" t="str">
        <f t="shared" si="20"/>
        <v>433</v>
      </c>
    </row>
    <row r="436" spans="1:7" x14ac:dyDescent="0.3">
      <c r="A436" s="13" t="s">
        <v>971</v>
      </c>
      <c r="B436" s="44" t="s">
        <v>2152</v>
      </c>
      <c r="C436" s="4">
        <v>250434</v>
      </c>
      <c r="D436" s="13" t="s">
        <v>971</v>
      </c>
      <c r="E436" s="13" t="str">
        <f t="shared" si="18"/>
        <v>FL2</v>
      </c>
      <c r="F436" s="13" t="str">
        <f t="shared" si="19"/>
        <v>50</v>
      </c>
      <c r="G436" s="13" t="str">
        <f t="shared" si="20"/>
        <v>434</v>
      </c>
    </row>
    <row r="437" spans="1:7" x14ac:dyDescent="0.3">
      <c r="A437" s="43" t="s">
        <v>973</v>
      </c>
      <c r="B437" s="44" t="s">
        <v>2152</v>
      </c>
      <c r="C437" s="4">
        <v>250435</v>
      </c>
      <c r="D437" s="13" t="s">
        <v>973</v>
      </c>
      <c r="E437" s="13" t="str">
        <f t="shared" si="18"/>
        <v>FL2</v>
      </c>
      <c r="F437" s="13" t="str">
        <f t="shared" si="19"/>
        <v>50</v>
      </c>
      <c r="G437" s="13" t="str">
        <f t="shared" si="20"/>
        <v>435</v>
      </c>
    </row>
    <row r="438" spans="1:7" x14ac:dyDescent="0.3">
      <c r="A438" s="13" t="s">
        <v>975</v>
      </c>
      <c r="B438" s="44" t="s">
        <v>2152</v>
      </c>
      <c r="C438" s="4">
        <v>250436</v>
      </c>
      <c r="D438" s="13" t="s">
        <v>975</v>
      </c>
      <c r="E438" s="13" t="str">
        <f t="shared" si="18"/>
        <v>FL2</v>
      </c>
      <c r="F438" s="13" t="str">
        <f t="shared" si="19"/>
        <v>50</v>
      </c>
      <c r="G438" s="13" t="str">
        <f t="shared" si="20"/>
        <v>436</v>
      </c>
    </row>
    <row r="439" spans="1:7" x14ac:dyDescent="0.3">
      <c r="A439" s="43" t="s">
        <v>977</v>
      </c>
      <c r="B439" s="44" t="s">
        <v>2152</v>
      </c>
      <c r="C439" s="4">
        <v>250437</v>
      </c>
      <c r="D439" s="13" t="s">
        <v>977</v>
      </c>
      <c r="E439" s="13" t="str">
        <f t="shared" si="18"/>
        <v>FL2</v>
      </c>
      <c r="F439" s="13" t="str">
        <f t="shared" si="19"/>
        <v>50</v>
      </c>
      <c r="G439" s="13" t="str">
        <f t="shared" si="20"/>
        <v>437</v>
      </c>
    </row>
    <row r="440" spans="1:7" x14ac:dyDescent="0.3">
      <c r="A440" s="13" t="s">
        <v>979</v>
      </c>
      <c r="B440" s="44" t="s">
        <v>2152</v>
      </c>
      <c r="C440" s="4">
        <v>250438</v>
      </c>
      <c r="D440" s="13" t="s">
        <v>979</v>
      </c>
      <c r="E440" s="13" t="str">
        <f t="shared" si="18"/>
        <v>FL2</v>
      </c>
      <c r="F440" s="13" t="str">
        <f t="shared" si="19"/>
        <v>50</v>
      </c>
      <c r="G440" s="13" t="str">
        <f t="shared" si="20"/>
        <v>438</v>
      </c>
    </row>
    <row r="441" spans="1:7" x14ac:dyDescent="0.3">
      <c r="A441" s="43" t="s">
        <v>981</v>
      </c>
      <c r="B441" s="44" t="s">
        <v>2152</v>
      </c>
      <c r="C441" s="4">
        <v>250439</v>
      </c>
      <c r="D441" s="13" t="s">
        <v>981</v>
      </c>
      <c r="E441" s="13" t="str">
        <f t="shared" si="18"/>
        <v>FL2</v>
      </c>
      <c r="F441" s="13" t="str">
        <f t="shared" si="19"/>
        <v>50</v>
      </c>
      <c r="G441" s="13" t="str">
        <f t="shared" si="20"/>
        <v>439</v>
      </c>
    </row>
    <row r="442" spans="1:7" x14ac:dyDescent="0.3">
      <c r="A442" s="13" t="s">
        <v>983</v>
      </c>
      <c r="B442" s="44" t="s">
        <v>2152</v>
      </c>
      <c r="C442" s="4">
        <v>250440</v>
      </c>
      <c r="D442" s="13" t="s">
        <v>983</v>
      </c>
      <c r="E442" s="13" t="str">
        <f t="shared" si="18"/>
        <v>FL2</v>
      </c>
      <c r="F442" s="13" t="str">
        <f t="shared" si="19"/>
        <v>50</v>
      </c>
      <c r="G442" s="13" t="str">
        <f t="shared" si="20"/>
        <v>440</v>
      </c>
    </row>
    <row r="443" spans="1:7" x14ac:dyDescent="0.3">
      <c r="A443" s="43" t="s">
        <v>985</v>
      </c>
      <c r="B443" s="44" t="s">
        <v>2152</v>
      </c>
      <c r="C443" s="4">
        <v>250441</v>
      </c>
      <c r="D443" s="13" t="s">
        <v>985</v>
      </c>
      <c r="E443" s="13" t="str">
        <f t="shared" si="18"/>
        <v>FL2</v>
      </c>
      <c r="F443" s="13" t="str">
        <f t="shared" si="19"/>
        <v>50</v>
      </c>
      <c r="G443" s="13" t="str">
        <f t="shared" si="20"/>
        <v>441</v>
      </c>
    </row>
    <row r="444" spans="1:7" x14ac:dyDescent="0.3">
      <c r="A444" s="13" t="s">
        <v>987</v>
      </c>
      <c r="B444" s="44" t="s">
        <v>2152</v>
      </c>
      <c r="C444" s="4">
        <v>250442</v>
      </c>
      <c r="D444" s="13" t="s">
        <v>987</v>
      </c>
      <c r="E444" s="13" t="str">
        <f t="shared" si="18"/>
        <v>FL2</v>
      </c>
      <c r="F444" s="13" t="str">
        <f t="shared" si="19"/>
        <v>50</v>
      </c>
      <c r="G444" s="13" t="str">
        <f t="shared" si="20"/>
        <v>442</v>
      </c>
    </row>
    <row r="445" spans="1:7" x14ac:dyDescent="0.3">
      <c r="A445" s="43" t="s">
        <v>989</v>
      </c>
      <c r="B445" s="44" t="s">
        <v>2152</v>
      </c>
      <c r="C445" s="4">
        <v>250443</v>
      </c>
      <c r="D445" s="13" t="s">
        <v>989</v>
      </c>
      <c r="E445" s="13" t="str">
        <f t="shared" si="18"/>
        <v>FL2</v>
      </c>
      <c r="F445" s="13" t="str">
        <f t="shared" si="19"/>
        <v>50</v>
      </c>
      <c r="G445" s="13" t="str">
        <f t="shared" si="20"/>
        <v>443</v>
      </c>
    </row>
    <row r="446" spans="1:7" x14ac:dyDescent="0.3">
      <c r="A446" s="13" t="s">
        <v>991</v>
      </c>
      <c r="B446" s="44" t="s">
        <v>2152</v>
      </c>
      <c r="C446" s="4">
        <v>250444</v>
      </c>
      <c r="D446" s="13" t="s">
        <v>991</v>
      </c>
      <c r="E446" s="13" t="str">
        <f t="shared" si="18"/>
        <v>FL2</v>
      </c>
      <c r="F446" s="13" t="str">
        <f t="shared" si="19"/>
        <v>50</v>
      </c>
      <c r="G446" s="13" t="str">
        <f t="shared" si="20"/>
        <v>444</v>
      </c>
    </row>
    <row r="447" spans="1:7" x14ac:dyDescent="0.3">
      <c r="A447" s="43" t="s">
        <v>993</v>
      </c>
      <c r="B447" s="44" t="s">
        <v>2152</v>
      </c>
      <c r="C447" s="4">
        <v>250445</v>
      </c>
      <c r="D447" s="13" t="s">
        <v>993</v>
      </c>
      <c r="E447" s="13" t="str">
        <f t="shared" si="18"/>
        <v>FL2</v>
      </c>
      <c r="F447" s="13" t="str">
        <f t="shared" si="19"/>
        <v>50</v>
      </c>
      <c r="G447" s="13" t="str">
        <f t="shared" si="20"/>
        <v>445</v>
      </c>
    </row>
    <row r="448" spans="1:7" x14ac:dyDescent="0.3">
      <c r="A448" s="13" t="s">
        <v>995</v>
      </c>
      <c r="B448" s="44" t="s">
        <v>2152</v>
      </c>
      <c r="C448" s="4">
        <v>250446</v>
      </c>
      <c r="D448" s="13" t="s">
        <v>995</v>
      </c>
      <c r="E448" s="13" t="str">
        <f t="shared" si="18"/>
        <v>FL2</v>
      </c>
      <c r="F448" s="13" t="str">
        <f t="shared" si="19"/>
        <v>50</v>
      </c>
      <c r="G448" s="13" t="str">
        <f t="shared" si="20"/>
        <v>446</v>
      </c>
    </row>
    <row r="449" spans="1:7" x14ac:dyDescent="0.3">
      <c r="A449" s="43" t="s">
        <v>997</v>
      </c>
      <c r="B449" s="44" t="s">
        <v>2152</v>
      </c>
      <c r="C449" s="4">
        <v>250447</v>
      </c>
      <c r="D449" s="13" t="s">
        <v>997</v>
      </c>
      <c r="E449" s="13" t="str">
        <f t="shared" si="18"/>
        <v>FL2</v>
      </c>
      <c r="F449" s="13" t="str">
        <f t="shared" si="19"/>
        <v>50</v>
      </c>
      <c r="G449" s="13" t="str">
        <f t="shared" si="20"/>
        <v>447</v>
      </c>
    </row>
    <row r="450" spans="1:7" x14ac:dyDescent="0.3">
      <c r="A450" s="13" t="s">
        <v>999</v>
      </c>
      <c r="B450" s="44" t="s">
        <v>2152</v>
      </c>
      <c r="C450" s="4">
        <v>250448</v>
      </c>
      <c r="D450" s="13" t="s">
        <v>999</v>
      </c>
      <c r="E450" s="13" t="str">
        <f t="shared" si="18"/>
        <v>FL2</v>
      </c>
      <c r="F450" s="13" t="str">
        <f t="shared" si="19"/>
        <v>50</v>
      </c>
      <c r="G450" s="13" t="str">
        <f t="shared" si="20"/>
        <v>448</v>
      </c>
    </row>
    <row r="451" spans="1:7" x14ac:dyDescent="0.3">
      <c r="A451" s="43" t="s">
        <v>1001</v>
      </c>
      <c r="B451" s="44" t="s">
        <v>2152</v>
      </c>
      <c r="C451" s="4">
        <v>250449</v>
      </c>
      <c r="D451" s="13" t="s">
        <v>1001</v>
      </c>
      <c r="E451" s="13" t="str">
        <f t="shared" si="18"/>
        <v>FL2</v>
      </c>
      <c r="F451" s="13" t="str">
        <f t="shared" si="19"/>
        <v>50</v>
      </c>
      <c r="G451" s="13" t="str">
        <f t="shared" si="20"/>
        <v>449</v>
      </c>
    </row>
    <row r="452" spans="1:7" x14ac:dyDescent="0.3">
      <c r="A452" s="13" t="s">
        <v>1003</v>
      </c>
      <c r="B452" s="44" t="s">
        <v>2152</v>
      </c>
      <c r="C452" s="4">
        <v>250450</v>
      </c>
      <c r="D452" s="13" t="s">
        <v>1003</v>
      </c>
      <c r="E452" s="13" t="str">
        <f t="shared" ref="E452:E515" si="21">LEFT(D452,3)</f>
        <v>FL2</v>
      </c>
      <c r="F452" s="13" t="str">
        <f t="shared" ref="F452:F515" si="22">MID(D452,4,2)</f>
        <v>50</v>
      </c>
      <c r="G452" s="13" t="str">
        <f t="shared" ref="G452:G515" si="23">RIGHT(D452,3)</f>
        <v>450</v>
      </c>
    </row>
    <row r="453" spans="1:7" x14ac:dyDescent="0.3">
      <c r="A453" s="43" t="s">
        <v>1005</v>
      </c>
      <c r="B453" s="44" t="s">
        <v>2152</v>
      </c>
      <c r="C453" s="4">
        <v>250451</v>
      </c>
      <c r="D453" s="13" t="s">
        <v>1005</v>
      </c>
      <c r="E453" s="13" t="str">
        <f t="shared" si="21"/>
        <v>FL2</v>
      </c>
      <c r="F453" s="13" t="str">
        <f t="shared" si="22"/>
        <v>50</v>
      </c>
      <c r="G453" s="13" t="str">
        <f t="shared" si="23"/>
        <v>451</v>
      </c>
    </row>
    <row r="454" spans="1:7" x14ac:dyDescent="0.3">
      <c r="A454" s="13" t="s">
        <v>1007</v>
      </c>
      <c r="B454" s="44" t="s">
        <v>2152</v>
      </c>
      <c r="C454" s="4">
        <v>250452</v>
      </c>
      <c r="D454" s="13" t="s">
        <v>1007</v>
      </c>
      <c r="E454" s="13" t="str">
        <f t="shared" si="21"/>
        <v>FL2</v>
      </c>
      <c r="F454" s="13" t="str">
        <f t="shared" si="22"/>
        <v>50</v>
      </c>
      <c r="G454" s="13" t="str">
        <f t="shared" si="23"/>
        <v>452</v>
      </c>
    </row>
    <row r="455" spans="1:7" x14ac:dyDescent="0.3">
      <c r="A455" s="43" t="s">
        <v>1009</v>
      </c>
      <c r="B455" s="44" t="s">
        <v>2152</v>
      </c>
      <c r="C455" s="4">
        <v>250453</v>
      </c>
      <c r="D455" s="13" t="s">
        <v>1009</v>
      </c>
      <c r="E455" s="13" t="str">
        <f t="shared" si="21"/>
        <v>FL2</v>
      </c>
      <c r="F455" s="13" t="str">
        <f t="shared" si="22"/>
        <v>50</v>
      </c>
      <c r="G455" s="13" t="str">
        <f t="shared" si="23"/>
        <v>453</v>
      </c>
    </row>
    <row r="456" spans="1:7" x14ac:dyDescent="0.3">
      <c r="A456" s="13" t="s">
        <v>1011</v>
      </c>
      <c r="B456" s="44" t="s">
        <v>2152</v>
      </c>
      <c r="C456" s="4">
        <v>250454</v>
      </c>
      <c r="D456" s="13" t="s">
        <v>1011</v>
      </c>
      <c r="E456" s="13" t="str">
        <f t="shared" si="21"/>
        <v>FL2</v>
      </c>
      <c r="F456" s="13" t="str">
        <f t="shared" si="22"/>
        <v>50</v>
      </c>
      <c r="G456" s="13" t="str">
        <f t="shared" si="23"/>
        <v>454</v>
      </c>
    </row>
    <row r="457" spans="1:7" x14ac:dyDescent="0.3">
      <c r="A457" s="43" t="s">
        <v>1013</v>
      </c>
      <c r="B457" s="44" t="s">
        <v>2152</v>
      </c>
      <c r="C457" s="4">
        <v>250455</v>
      </c>
      <c r="D457" s="13" t="s">
        <v>1013</v>
      </c>
      <c r="E457" s="13" t="str">
        <f t="shared" si="21"/>
        <v>FL2</v>
      </c>
      <c r="F457" s="13" t="str">
        <f t="shared" si="22"/>
        <v>50</v>
      </c>
      <c r="G457" s="13" t="str">
        <f t="shared" si="23"/>
        <v>455</v>
      </c>
    </row>
    <row r="458" spans="1:7" x14ac:dyDescent="0.3">
      <c r="A458" s="13" t="s">
        <v>1015</v>
      </c>
      <c r="B458" s="44" t="s">
        <v>2152</v>
      </c>
      <c r="C458" s="4">
        <v>250456</v>
      </c>
      <c r="D458" s="13" t="s">
        <v>1015</v>
      </c>
      <c r="E458" s="13" t="str">
        <f t="shared" si="21"/>
        <v>FL2</v>
      </c>
      <c r="F458" s="13" t="str">
        <f t="shared" si="22"/>
        <v>50</v>
      </c>
      <c r="G458" s="13" t="str">
        <f t="shared" si="23"/>
        <v>456</v>
      </c>
    </row>
    <row r="459" spans="1:7" x14ac:dyDescent="0.3">
      <c r="A459" s="43" t="s">
        <v>1017</v>
      </c>
      <c r="B459" s="44" t="s">
        <v>2152</v>
      </c>
      <c r="C459" s="4">
        <v>250457</v>
      </c>
      <c r="D459" s="13" t="s">
        <v>1017</v>
      </c>
      <c r="E459" s="13" t="str">
        <f t="shared" si="21"/>
        <v>FL2</v>
      </c>
      <c r="F459" s="13" t="str">
        <f t="shared" si="22"/>
        <v>50</v>
      </c>
      <c r="G459" s="13" t="str">
        <f t="shared" si="23"/>
        <v>457</v>
      </c>
    </row>
    <row r="460" spans="1:7" x14ac:dyDescent="0.3">
      <c r="A460" s="13" t="s">
        <v>1019</v>
      </c>
      <c r="B460" s="44" t="s">
        <v>2152</v>
      </c>
      <c r="C460" s="4">
        <v>250458</v>
      </c>
      <c r="D460" s="13" t="s">
        <v>1019</v>
      </c>
      <c r="E460" s="13" t="str">
        <f t="shared" si="21"/>
        <v>FL2</v>
      </c>
      <c r="F460" s="13" t="str">
        <f t="shared" si="22"/>
        <v>50</v>
      </c>
      <c r="G460" s="13" t="str">
        <f t="shared" si="23"/>
        <v>458</v>
      </c>
    </row>
    <row r="461" spans="1:7" x14ac:dyDescent="0.3">
      <c r="A461" s="43" t="s">
        <v>1021</v>
      </c>
      <c r="B461" s="44" t="s">
        <v>2152</v>
      </c>
      <c r="C461" s="4">
        <v>250459</v>
      </c>
      <c r="D461" s="13" t="s">
        <v>1021</v>
      </c>
      <c r="E461" s="13" t="str">
        <f t="shared" si="21"/>
        <v>FL2</v>
      </c>
      <c r="F461" s="13" t="str">
        <f t="shared" si="22"/>
        <v>50</v>
      </c>
      <c r="G461" s="13" t="str">
        <f t="shared" si="23"/>
        <v>459</v>
      </c>
    </row>
    <row r="462" spans="1:7" x14ac:dyDescent="0.3">
      <c r="A462" s="13" t="s">
        <v>1023</v>
      </c>
      <c r="B462" s="44" t="s">
        <v>2152</v>
      </c>
      <c r="C462" s="4">
        <v>250460</v>
      </c>
      <c r="D462" s="13" t="s">
        <v>1023</v>
      </c>
      <c r="E462" s="13" t="str">
        <f t="shared" si="21"/>
        <v>FL2</v>
      </c>
      <c r="F462" s="13" t="str">
        <f t="shared" si="22"/>
        <v>50</v>
      </c>
      <c r="G462" s="13" t="str">
        <f t="shared" si="23"/>
        <v>460</v>
      </c>
    </row>
    <row r="463" spans="1:7" x14ac:dyDescent="0.3">
      <c r="A463" s="43" t="s">
        <v>1025</v>
      </c>
      <c r="B463" s="44" t="s">
        <v>2152</v>
      </c>
      <c r="C463" s="4">
        <v>250461</v>
      </c>
      <c r="D463" s="13" t="s">
        <v>1025</v>
      </c>
      <c r="E463" s="13" t="str">
        <f t="shared" si="21"/>
        <v>FL2</v>
      </c>
      <c r="F463" s="13" t="str">
        <f t="shared" si="22"/>
        <v>50</v>
      </c>
      <c r="G463" s="13" t="str">
        <f t="shared" si="23"/>
        <v>461</v>
      </c>
    </row>
    <row r="464" spans="1:7" x14ac:dyDescent="0.3">
      <c r="A464" s="13" t="s">
        <v>1027</v>
      </c>
      <c r="B464" s="44" t="s">
        <v>2152</v>
      </c>
      <c r="C464" s="4">
        <v>250462</v>
      </c>
      <c r="D464" s="13" t="s">
        <v>1027</v>
      </c>
      <c r="E464" s="13" t="str">
        <f t="shared" si="21"/>
        <v>FL2</v>
      </c>
      <c r="F464" s="13" t="str">
        <f t="shared" si="22"/>
        <v>50</v>
      </c>
      <c r="G464" s="13" t="str">
        <f t="shared" si="23"/>
        <v>462</v>
      </c>
    </row>
    <row r="465" spans="1:7" x14ac:dyDescent="0.3">
      <c r="A465" s="43" t="s">
        <v>1029</v>
      </c>
      <c r="B465" s="44" t="s">
        <v>2152</v>
      </c>
      <c r="C465" s="4">
        <v>250463</v>
      </c>
      <c r="D465" s="13" t="s">
        <v>1029</v>
      </c>
      <c r="E465" s="13" t="str">
        <f t="shared" si="21"/>
        <v>FL2</v>
      </c>
      <c r="F465" s="13" t="str">
        <f t="shared" si="22"/>
        <v>50</v>
      </c>
      <c r="G465" s="13" t="str">
        <f t="shared" si="23"/>
        <v>463</v>
      </c>
    </row>
    <row r="466" spans="1:7" x14ac:dyDescent="0.3">
      <c r="A466" s="13" t="s">
        <v>1031</v>
      </c>
      <c r="B466" s="44" t="s">
        <v>2152</v>
      </c>
      <c r="C466" s="4">
        <v>250464</v>
      </c>
      <c r="D466" s="13" t="s">
        <v>1031</v>
      </c>
      <c r="E466" s="13" t="str">
        <f t="shared" si="21"/>
        <v>FL2</v>
      </c>
      <c r="F466" s="13" t="str">
        <f t="shared" si="22"/>
        <v>50</v>
      </c>
      <c r="G466" s="13" t="str">
        <f t="shared" si="23"/>
        <v>464</v>
      </c>
    </row>
    <row r="467" spans="1:7" x14ac:dyDescent="0.3">
      <c r="A467" s="43" t="s">
        <v>1033</v>
      </c>
      <c r="B467" s="44" t="s">
        <v>2152</v>
      </c>
      <c r="C467" s="4">
        <v>250465</v>
      </c>
      <c r="D467" s="13" t="s">
        <v>1033</v>
      </c>
      <c r="E467" s="13" t="str">
        <f t="shared" si="21"/>
        <v>FL2</v>
      </c>
      <c r="F467" s="13" t="str">
        <f t="shared" si="22"/>
        <v>50</v>
      </c>
      <c r="G467" s="13" t="str">
        <f t="shared" si="23"/>
        <v>465</v>
      </c>
    </row>
    <row r="468" spans="1:7" x14ac:dyDescent="0.3">
      <c r="A468" s="13" t="s">
        <v>1035</v>
      </c>
      <c r="B468" s="44" t="s">
        <v>2152</v>
      </c>
      <c r="C468" s="4">
        <v>250466</v>
      </c>
      <c r="D468" s="13" t="s">
        <v>1035</v>
      </c>
      <c r="E468" s="13" t="str">
        <f t="shared" si="21"/>
        <v>FL2</v>
      </c>
      <c r="F468" s="13" t="str">
        <f t="shared" si="22"/>
        <v>50</v>
      </c>
      <c r="G468" s="13" t="str">
        <f t="shared" si="23"/>
        <v>466</v>
      </c>
    </row>
    <row r="469" spans="1:7" x14ac:dyDescent="0.3">
      <c r="A469" s="43" t="s">
        <v>1037</v>
      </c>
      <c r="B469" s="44" t="s">
        <v>2152</v>
      </c>
      <c r="C469" s="4">
        <v>250467</v>
      </c>
      <c r="D469" s="13" t="s">
        <v>1037</v>
      </c>
      <c r="E469" s="13" t="str">
        <f t="shared" si="21"/>
        <v>FL2</v>
      </c>
      <c r="F469" s="13" t="str">
        <f t="shared" si="22"/>
        <v>50</v>
      </c>
      <c r="G469" s="13" t="str">
        <f t="shared" si="23"/>
        <v>467</v>
      </c>
    </row>
    <row r="470" spans="1:7" x14ac:dyDescent="0.3">
      <c r="A470" s="13" t="s">
        <v>1039</v>
      </c>
      <c r="B470" s="44" t="s">
        <v>2152</v>
      </c>
      <c r="C470" s="4">
        <v>250468</v>
      </c>
      <c r="D470" s="13" t="s">
        <v>1039</v>
      </c>
      <c r="E470" s="13" t="str">
        <f t="shared" si="21"/>
        <v>FL2</v>
      </c>
      <c r="F470" s="13" t="str">
        <f t="shared" si="22"/>
        <v>50</v>
      </c>
      <c r="G470" s="13" t="str">
        <f t="shared" si="23"/>
        <v>468</v>
      </c>
    </row>
    <row r="471" spans="1:7" x14ac:dyDescent="0.3">
      <c r="A471" s="43" t="s">
        <v>1041</v>
      </c>
      <c r="B471" s="44" t="s">
        <v>2152</v>
      </c>
      <c r="C471" s="4">
        <v>250469</v>
      </c>
      <c r="D471" s="13" t="s">
        <v>1041</v>
      </c>
      <c r="E471" s="13" t="str">
        <f t="shared" si="21"/>
        <v>FL2</v>
      </c>
      <c r="F471" s="13" t="str">
        <f t="shared" si="22"/>
        <v>50</v>
      </c>
      <c r="G471" s="13" t="str">
        <f t="shared" si="23"/>
        <v>469</v>
      </c>
    </row>
    <row r="472" spans="1:7" x14ac:dyDescent="0.3">
      <c r="A472" s="13" t="s">
        <v>1043</v>
      </c>
      <c r="B472" s="44" t="s">
        <v>2152</v>
      </c>
      <c r="C472" s="4">
        <v>250470</v>
      </c>
      <c r="D472" s="13" t="s">
        <v>1043</v>
      </c>
      <c r="E472" s="13" t="str">
        <f t="shared" si="21"/>
        <v>FL2</v>
      </c>
      <c r="F472" s="13" t="str">
        <f t="shared" si="22"/>
        <v>50</v>
      </c>
      <c r="G472" s="13" t="str">
        <f t="shared" si="23"/>
        <v>470</v>
      </c>
    </row>
    <row r="473" spans="1:7" x14ac:dyDescent="0.3">
      <c r="A473" s="43" t="s">
        <v>1045</v>
      </c>
      <c r="B473" s="44" t="s">
        <v>2152</v>
      </c>
      <c r="C473" s="4">
        <v>250471</v>
      </c>
      <c r="D473" s="13" t="s">
        <v>1045</v>
      </c>
      <c r="E473" s="13" t="str">
        <f t="shared" si="21"/>
        <v>FL2</v>
      </c>
      <c r="F473" s="13" t="str">
        <f t="shared" si="22"/>
        <v>50</v>
      </c>
      <c r="G473" s="13" t="str">
        <f t="shared" si="23"/>
        <v>471</v>
      </c>
    </row>
    <row r="474" spans="1:7" x14ac:dyDescent="0.3">
      <c r="A474" s="13" t="s">
        <v>1047</v>
      </c>
      <c r="B474" s="44" t="s">
        <v>2152</v>
      </c>
      <c r="C474" s="4">
        <v>250472</v>
      </c>
      <c r="D474" s="13" t="s">
        <v>1047</v>
      </c>
      <c r="E474" s="13" t="str">
        <f t="shared" si="21"/>
        <v>FL2</v>
      </c>
      <c r="F474" s="13" t="str">
        <f t="shared" si="22"/>
        <v>50</v>
      </c>
      <c r="G474" s="13" t="str">
        <f t="shared" si="23"/>
        <v>472</v>
      </c>
    </row>
    <row r="475" spans="1:7" x14ac:dyDescent="0.3">
      <c r="A475" s="43" t="s">
        <v>1049</v>
      </c>
      <c r="B475" s="44" t="s">
        <v>2152</v>
      </c>
      <c r="C475" s="4">
        <v>250473</v>
      </c>
      <c r="D475" s="13" t="s">
        <v>1049</v>
      </c>
      <c r="E475" s="13" t="str">
        <f t="shared" si="21"/>
        <v>FL2</v>
      </c>
      <c r="F475" s="13" t="str">
        <f t="shared" si="22"/>
        <v>50</v>
      </c>
      <c r="G475" s="13" t="str">
        <f t="shared" si="23"/>
        <v>473</v>
      </c>
    </row>
    <row r="476" spans="1:7" x14ac:dyDescent="0.3">
      <c r="A476" s="13" t="s">
        <v>1051</v>
      </c>
      <c r="B476" s="44" t="s">
        <v>2152</v>
      </c>
      <c r="C476" s="4">
        <v>250474</v>
      </c>
      <c r="D476" s="13" t="s">
        <v>1051</v>
      </c>
      <c r="E476" s="13" t="str">
        <f t="shared" si="21"/>
        <v>FL2</v>
      </c>
      <c r="F476" s="13" t="str">
        <f t="shared" si="22"/>
        <v>50</v>
      </c>
      <c r="G476" s="13" t="str">
        <f t="shared" si="23"/>
        <v>474</v>
      </c>
    </row>
    <row r="477" spans="1:7" x14ac:dyDescent="0.3">
      <c r="A477" s="43" t="s">
        <v>1053</v>
      </c>
      <c r="B477" s="44" t="s">
        <v>2152</v>
      </c>
      <c r="C477" s="4">
        <v>250475</v>
      </c>
      <c r="D477" s="13" t="s">
        <v>1053</v>
      </c>
      <c r="E477" s="13" t="str">
        <f t="shared" si="21"/>
        <v>FL2</v>
      </c>
      <c r="F477" s="13" t="str">
        <f t="shared" si="22"/>
        <v>50</v>
      </c>
      <c r="G477" s="13" t="str">
        <f t="shared" si="23"/>
        <v>475</v>
      </c>
    </row>
    <row r="478" spans="1:7" x14ac:dyDescent="0.3">
      <c r="A478" s="13" t="s">
        <v>1055</v>
      </c>
      <c r="B478" s="44" t="s">
        <v>2152</v>
      </c>
      <c r="C478" s="4">
        <v>250476</v>
      </c>
      <c r="D478" s="13" t="s">
        <v>1055</v>
      </c>
      <c r="E478" s="13" t="str">
        <f t="shared" si="21"/>
        <v>FL2</v>
      </c>
      <c r="F478" s="13" t="str">
        <f t="shared" si="22"/>
        <v>50</v>
      </c>
      <c r="G478" s="13" t="str">
        <f t="shared" si="23"/>
        <v>476</v>
      </c>
    </row>
    <row r="479" spans="1:7" x14ac:dyDescent="0.3">
      <c r="A479" s="43" t="s">
        <v>1057</v>
      </c>
      <c r="B479" s="44" t="s">
        <v>2152</v>
      </c>
      <c r="C479" s="4">
        <v>250477</v>
      </c>
      <c r="D479" s="13" t="s">
        <v>1057</v>
      </c>
      <c r="E479" s="13" t="str">
        <f t="shared" si="21"/>
        <v>FL2</v>
      </c>
      <c r="F479" s="13" t="str">
        <f t="shared" si="22"/>
        <v>50</v>
      </c>
      <c r="G479" s="13" t="str">
        <f t="shared" si="23"/>
        <v>477</v>
      </c>
    </row>
    <row r="480" spans="1:7" x14ac:dyDescent="0.3">
      <c r="A480" s="13" t="s">
        <v>1059</v>
      </c>
      <c r="B480" s="44" t="s">
        <v>2152</v>
      </c>
      <c r="C480" s="4">
        <v>250478</v>
      </c>
      <c r="D480" s="13" t="s">
        <v>1059</v>
      </c>
      <c r="E480" s="13" t="str">
        <f t="shared" si="21"/>
        <v>FL2</v>
      </c>
      <c r="F480" s="13" t="str">
        <f t="shared" si="22"/>
        <v>50</v>
      </c>
      <c r="G480" s="13" t="str">
        <f t="shared" si="23"/>
        <v>478</v>
      </c>
    </row>
    <row r="481" spans="1:7" x14ac:dyDescent="0.3">
      <c r="A481" s="43" t="s">
        <v>1061</v>
      </c>
      <c r="B481" s="44" t="s">
        <v>2152</v>
      </c>
      <c r="C481" s="4">
        <v>250479</v>
      </c>
      <c r="D481" s="13" t="s">
        <v>1061</v>
      </c>
      <c r="E481" s="13" t="str">
        <f t="shared" si="21"/>
        <v>FL2</v>
      </c>
      <c r="F481" s="13" t="str">
        <f t="shared" si="22"/>
        <v>50</v>
      </c>
      <c r="G481" s="13" t="str">
        <f t="shared" si="23"/>
        <v>479</v>
      </c>
    </row>
    <row r="482" spans="1:7" x14ac:dyDescent="0.3">
      <c r="A482" s="13" t="s">
        <v>1063</v>
      </c>
      <c r="B482" s="44" t="s">
        <v>2152</v>
      </c>
      <c r="C482" s="4">
        <v>250480</v>
      </c>
      <c r="D482" s="13" t="s">
        <v>1063</v>
      </c>
      <c r="E482" s="13" t="str">
        <f t="shared" si="21"/>
        <v>FL2</v>
      </c>
      <c r="F482" s="13" t="str">
        <f t="shared" si="22"/>
        <v>50</v>
      </c>
      <c r="G482" s="13" t="str">
        <f t="shared" si="23"/>
        <v>480</v>
      </c>
    </row>
    <row r="483" spans="1:7" x14ac:dyDescent="0.3">
      <c r="A483" s="43" t="s">
        <v>1065</v>
      </c>
      <c r="B483" s="44" t="s">
        <v>2152</v>
      </c>
      <c r="C483" s="4">
        <v>250481</v>
      </c>
      <c r="D483" s="13" t="s">
        <v>1065</v>
      </c>
      <c r="E483" s="13" t="str">
        <f t="shared" si="21"/>
        <v>FL2</v>
      </c>
      <c r="F483" s="13" t="str">
        <f t="shared" si="22"/>
        <v>50</v>
      </c>
      <c r="G483" s="13" t="str">
        <f t="shared" si="23"/>
        <v>481</v>
      </c>
    </row>
    <row r="484" spans="1:7" x14ac:dyDescent="0.3">
      <c r="A484" s="13" t="s">
        <v>1067</v>
      </c>
      <c r="B484" s="44" t="s">
        <v>2152</v>
      </c>
      <c r="C484" s="4">
        <v>250482</v>
      </c>
      <c r="D484" s="13" t="s">
        <v>1067</v>
      </c>
      <c r="E484" s="13" t="str">
        <f t="shared" si="21"/>
        <v>FL2</v>
      </c>
      <c r="F484" s="13" t="str">
        <f t="shared" si="22"/>
        <v>50</v>
      </c>
      <c r="G484" s="13" t="str">
        <f t="shared" si="23"/>
        <v>482</v>
      </c>
    </row>
    <row r="485" spans="1:7" x14ac:dyDescent="0.3">
      <c r="A485" s="43" t="s">
        <v>1069</v>
      </c>
      <c r="B485" s="44" t="s">
        <v>2152</v>
      </c>
      <c r="C485" s="4">
        <v>250483</v>
      </c>
      <c r="D485" s="13" t="s">
        <v>1069</v>
      </c>
      <c r="E485" s="13" t="str">
        <f t="shared" si="21"/>
        <v>FL2</v>
      </c>
      <c r="F485" s="13" t="str">
        <f t="shared" si="22"/>
        <v>50</v>
      </c>
      <c r="G485" s="13" t="str">
        <f t="shared" si="23"/>
        <v>483</v>
      </c>
    </row>
    <row r="486" spans="1:7" x14ac:dyDescent="0.3">
      <c r="A486" s="13" t="s">
        <v>1071</v>
      </c>
      <c r="B486" s="44" t="s">
        <v>2152</v>
      </c>
      <c r="C486" s="4">
        <v>250484</v>
      </c>
      <c r="D486" s="13" t="s">
        <v>1071</v>
      </c>
      <c r="E486" s="13" t="str">
        <f t="shared" si="21"/>
        <v>FL2</v>
      </c>
      <c r="F486" s="13" t="str">
        <f t="shared" si="22"/>
        <v>50</v>
      </c>
      <c r="G486" s="13" t="str">
        <f t="shared" si="23"/>
        <v>484</v>
      </c>
    </row>
    <row r="487" spans="1:7" x14ac:dyDescent="0.3">
      <c r="A487" s="43" t="s">
        <v>1073</v>
      </c>
      <c r="B487" s="44" t="s">
        <v>2152</v>
      </c>
      <c r="C487" s="4">
        <v>250485</v>
      </c>
      <c r="D487" s="13" t="s">
        <v>1073</v>
      </c>
      <c r="E487" s="13" t="str">
        <f t="shared" si="21"/>
        <v>FL2</v>
      </c>
      <c r="F487" s="13" t="str">
        <f t="shared" si="22"/>
        <v>50</v>
      </c>
      <c r="G487" s="13" t="str">
        <f t="shared" si="23"/>
        <v>485</v>
      </c>
    </row>
    <row r="488" spans="1:7" x14ac:dyDescent="0.3">
      <c r="A488" s="13" t="s">
        <v>1075</v>
      </c>
      <c r="B488" s="44" t="s">
        <v>2152</v>
      </c>
      <c r="C488" s="4">
        <v>250486</v>
      </c>
      <c r="D488" s="13" t="s">
        <v>1075</v>
      </c>
      <c r="E488" s="13" t="str">
        <f t="shared" si="21"/>
        <v>FL2</v>
      </c>
      <c r="F488" s="13" t="str">
        <f t="shared" si="22"/>
        <v>50</v>
      </c>
      <c r="G488" s="13" t="str">
        <f t="shared" si="23"/>
        <v>486</v>
      </c>
    </row>
    <row r="489" spans="1:7" x14ac:dyDescent="0.3">
      <c r="A489" s="43" t="s">
        <v>1077</v>
      </c>
      <c r="B489" s="44" t="s">
        <v>2152</v>
      </c>
      <c r="C489" s="4">
        <v>250487</v>
      </c>
      <c r="D489" s="13" t="s">
        <v>1077</v>
      </c>
      <c r="E489" s="13" t="str">
        <f t="shared" si="21"/>
        <v>FL2</v>
      </c>
      <c r="F489" s="13" t="str">
        <f t="shared" si="22"/>
        <v>50</v>
      </c>
      <c r="G489" s="13" t="str">
        <f t="shared" si="23"/>
        <v>487</v>
      </c>
    </row>
    <row r="490" spans="1:7" x14ac:dyDescent="0.3">
      <c r="A490" s="13" t="s">
        <v>1078</v>
      </c>
      <c r="B490" s="44" t="s">
        <v>2152</v>
      </c>
      <c r="C490" s="4">
        <v>250488</v>
      </c>
      <c r="D490" s="13" t="s">
        <v>1078</v>
      </c>
      <c r="E490" s="13" t="str">
        <f t="shared" si="21"/>
        <v>FL2</v>
      </c>
      <c r="F490" s="13" t="str">
        <f t="shared" si="22"/>
        <v>50</v>
      </c>
      <c r="G490" s="13" t="str">
        <f t="shared" si="23"/>
        <v>488</v>
      </c>
    </row>
    <row r="491" spans="1:7" x14ac:dyDescent="0.3">
      <c r="A491" s="43" t="s">
        <v>1080</v>
      </c>
      <c r="B491" s="44" t="s">
        <v>2152</v>
      </c>
      <c r="C491" s="4">
        <v>250489</v>
      </c>
      <c r="D491" s="13" t="s">
        <v>1080</v>
      </c>
      <c r="E491" s="13" t="str">
        <f t="shared" si="21"/>
        <v>FL2</v>
      </c>
      <c r="F491" s="13" t="str">
        <f t="shared" si="22"/>
        <v>50</v>
      </c>
      <c r="G491" s="13" t="str">
        <f t="shared" si="23"/>
        <v>489</v>
      </c>
    </row>
    <row r="492" spans="1:7" x14ac:dyDescent="0.3">
      <c r="A492" s="13" t="s">
        <v>1082</v>
      </c>
      <c r="B492" s="44" t="s">
        <v>2152</v>
      </c>
      <c r="C492" s="4">
        <v>250490</v>
      </c>
      <c r="D492" s="13" t="s">
        <v>1082</v>
      </c>
      <c r="E492" s="13" t="str">
        <f t="shared" si="21"/>
        <v>FL2</v>
      </c>
      <c r="F492" s="13" t="str">
        <f t="shared" si="22"/>
        <v>50</v>
      </c>
      <c r="G492" s="13" t="str">
        <f t="shared" si="23"/>
        <v>490</v>
      </c>
    </row>
    <row r="493" spans="1:7" x14ac:dyDescent="0.3">
      <c r="A493" s="43" t="s">
        <v>1084</v>
      </c>
      <c r="B493" s="44" t="s">
        <v>2152</v>
      </c>
      <c r="C493" s="4">
        <v>250491</v>
      </c>
      <c r="D493" s="13" t="s">
        <v>1084</v>
      </c>
      <c r="E493" s="13" t="str">
        <f t="shared" si="21"/>
        <v>FL2</v>
      </c>
      <c r="F493" s="13" t="str">
        <f t="shared" si="22"/>
        <v>50</v>
      </c>
      <c r="G493" s="13" t="str">
        <f t="shared" si="23"/>
        <v>491</v>
      </c>
    </row>
    <row r="494" spans="1:7" x14ac:dyDescent="0.3">
      <c r="A494" s="13" t="s">
        <v>1086</v>
      </c>
      <c r="B494" s="44" t="s">
        <v>2152</v>
      </c>
      <c r="C494" s="4">
        <v>250492</v>
      </c>
      <c r="D494" s="13" t="s">
        <v>1086</v>
      </c>
      <c r="E494" s="13" t="str">
        <f t="shared" si="21"/>
        <v>FL2</v>
      </c>
      <c r="F494" s="13" t="str">
        <f t="shared" si="22"/>
        <v>50</v>
      </c>
      <c r="G494" s="13" t="str">
        <f t="shared" si="23"/>
        <v>492</v>
      </c>
    </row>
    <row r="495" spans="1:7" x14ac:dyDescent="0.3">
      <c r="A495" s="43" t="s">
        <v>1088</v>
      </c>
      <c r="B495" s="44" t="s">
        <v>2152</v>
      </c>
      <c r="C495" s="4">
        <v>250493</v>
      </c>
      <c r="D495" s="13" t="s">
        <v>1088</v>
      </c>
      <c r="E495" s="13" t="str">
        <f t="shared" si="21"/>
        <v>FL2</v>
      </c>
      <c r="F495" s="13" t="str">
        <f t="shared" si="22"/>
        <v>50</v>
      </c>
      <c r="G495" s="13" t="str">
        <f t="shared" si="23"/>
        <v>493</v>
      </c>
    </row>
    <row r="496" spans="1:7" x14ac:dyDescent="0.3">
      <c r="A496" s="13" t="s">
        <v>1090</v>
      </c>
      <c r="B496" s="44" t="s">
        <v>2152</v>
      </c>
      <c r="C496" s="4">
        <v>250494</v>
      </c>
      <c r="D496" s="13" t="s">
        <v>1090</v>
      </c>
      <c r="E496" s="13" t="str">
        <f t="shared" si="21"/>
        <v>FL2</v>
      </c>
      <c r="F496" s="13" t="str">
        <f t="shared" si="22"/>
        <v>50</v>
      </c>
      <c r="G496" s="13" t="str">
        <f t="shared" si="23"/>
        <v>494</v>
      </c>
    </row>
    <row r="497" spans="1:7" x14ac:dyDescent="0.3">
      <c r="A497" s="43" t="s">
        <v>1092</v>
      </c>
      <c r="B497" s="44" t="s">
        <v>2152</v>
      </c>
      <c r="C497" s="4">
        <v>250495</v>
      </c>
      <c r="D497" s="13" t="s">
        <v>1092</v>
      </c>
      <c r="E497" s="13" t="str">
        <f t="shared" si="21"/>
        <v>FL2</v>
      </c>
      <c r="F497" s="13" t="str">
        <f t="shared" si="22"/>
        <v>50</v>
      </c>
      <c r="G497" s="13" t="str">
        <f t="shared" si="23"/>
        <v>495</v>
      </c>
    </row>
    <row r="498" spans="1:7" x14ac:dyDescent="0.3">
      <c r="A498" s="13" t="s">
        <v>1094</v>
      </c>
      <c r="B498" s="44" t="s">
        <v>2152</v>
      </c>
      <c r="C498" s="4">
        <v>250496</v>
      </c>
      <c r="D498" s="13" t="s">
        <v>1094</v>
      </c>
      <c r="E498" s="13" t="str">
        <f t="shared" si="21"/>
        <v>FL2</v>
      </c>
      <c r="F498" s="13" t="str">
        <f t="shared" si="22"/>
        <v>50</v>
      </c>
      <c r="G498" s="13" t="str">
        <f t="shared" si="23"/>
        <v>496</v>
      </c>
    </row>
    <row r="499" spans="1:7" x14ac:dyDescent="0.3">
      <c r="A499" s="43" t="s">
        <v>1096</v>
      </c>
      <c r="B499" s="44" t="s">
        <v>2152</v>
      </c>
      <c r="C499" s="4">
        <v>250497</v>
      </c>
      <c r="D499" s="13" t="s">
        <v>1096</v>
      </c>
      <c r="E499" s="13" t="str">
        <f t="shared" si="21"/>
        <v>FL2</v>
      </c>
      <c r="F499" s="13" t="str">
        <f t="shared" si="22"/>
        <v>50</v>
      </c>
      <c r="G499" s="13" t="str">
        <f t="shared" si="23"/>
        <v>497</v>
      </c>
    </row>
    <row r="500" spans="1:7" x14ac:dyDescent="0.3">
      <c r="A500" s="13" t="s">
        <v>1098</v>
      </c>
      <c r="B500" s="44" t="s">
        <v>2152</v>
      </c>
      <c r="C500" s="4">
        <v>250498</v>
      </c>
      <c r="D500" s="13" t="s">
        <v>1098</v>
      </c>
      <c r="E500" s="13" t="str">
        <f t="shared" si="21"/>
        <v>FL2</v>
      </c>
      <c r="F500" s="13" t="str">
        <f t="shared" si="22"/>
        <v>50</v>
      </c>
      <c r="G500" s="13" t="str">
        <f t="shared" si="23"/>
        <v>498</v>
      </c>
    </row>
    <row r="501" spans="1:7" x14ac:dyDescent="0.3">
      <c r="A501" s="43" t="s">
        <v>1100</v>
      </c>
      <c r="B501" s="44" t="s">
        <v>2152</v>
      </c>
      <c r="C501" s="4">
        <v>250499</v>
      </c>
      <c r="D501" s="13" t="s">
        <v>1100</v>
      </c>
      <c r="E501" s="13" t="str">
        <f t="shared" si="21"/>
        <v>FL2</v>
      </c>
      <c r="F501" s="13" t="str">
        <f t="shared" si="22"/>
        <v>50</v>
      </c>
      <c r="G501" s="13" t="str">
        <f t="shared" si="23"/>
        <v>499</v>
      </c>
    </row>
    <row r="502" spans="1:7" x14ac:dyDescent="0.3">
      <c r="A502" s="13" t="s">
        <v>1102</v>
      </c>
      <c r="B502" s="44" t="s">
        <v>2152</v>
      </c>
      <c r="C502" s="4">
        <v>250500</v>
      </c>
      <c r="D502" s="13" t="s">
        <v>1102</v>
      </c>
      <c r="E502" s="13" t="str">
        <f t="shared" si="21"/>
        <v>FL2</v>
      </c>
      <c r="F502" s="13" t="str">
        <f t="shared" si="22"/>
        <v>50</v>
      </c>
      <c r="G502" s="13" t="str">
        <f t="shared" si="23"/>
        <v>500</v>
      </c>
    </row>
    <row r="503" spans="1:7" x14ac:dyDescent="0.3">
      <c r="A503" s="43" t="s">
        <v>1104</v>
      </c>
      <c r="B503" s="44" t="s">
        <v>2152</v>
      </c>
      <c r="C503" s="4">
        <v>250501</v>
      </c>
      <c r="D503" s="13" t="s">
        <v>1104</v>
      </c>
      <c r="E503" s="13" t="str">
        <f t="shared" si="21"/>
        <v>FL2</v>
      </c>
      <c r="F503" s="13" t="str">
        <f t="shared" si="22"/>
        <v>50</v>
      </c>
      <c r="G503" s="13" t="str">
        <f t="shared" si="23"/>
        <v>501</v>
      </c>
    </row>
    <row r="504" spans="1:7" x14ac:dyDescent="0.3">
      <c r="A504" s="13" t="s">
        <v>1106</v>
      </c>
      <c r="B504" s="44" t="s">
        <v>2152</v>
      </c>
      <c r="C504" s="4">
        <v>250502</v>
      </c>
      <c r="D504" s="13" t="s">
        <v>1106</v>
      </c>
      <c r="E504" s="13" t="str">
        <f t="shared" si="21"/>
        <v>FL2</v>
      </c>
      <c r="F504" s="13" t="str">
        <f t="shared" si="22"/>
        <v>50</v>
      </c>
      <c r="G504" s="13" t="str">
        <f t="shared" si="23"/>
        <v>502</v>
      </c>
    </row>
    <row r="505" spans="1:7" x14ac:dyDescent="0.3">
      <c r="A505" s="43" t="s">
        <v>1108</v>
      </c>
      <c r="B505" s="44" t="s">
        <v>2152</v>
      </c>
      <c r="C505" s="4">
        <v>250503</v>
      </c>
      <c r="D505" s="13" t="s">
        <v>1108</v>
      </c>
      <c r="E505" s="13" t="str">
        <f t="shared" si="21"/>
        <v>FL2</v>
      </c>
      <c r="F505" s="13" t="str">
        <f t="shared" si="22"/>
        <v>50</v>
      </c>
      <c r="G505" s="13" t="str">
        <f t="shared" si="23"/>
        <v>503</v>
      </c>
    </row>
    <row r="506" spans="1:7" x14ac:dyDescent="0.3">
      <c r="A506" s="13" t="s">
        <v>1110</v>
      </c>
      <c r="B506" s="44" t="s">
        <v>2152</v>
      </c>
      <c r="C506" s="4">
        <v>250504</v>
      </c>
      <c r="D506" s="13" t="s">
        <v>1110</v>
      </c>
      <c r="E506" s="13" t="str">
        <f t="shared" si="21"/>
        <v>FL2</v>
      </c>
      <c r="F506" s="13" t="str">
        <f t="shared" si="22"/>
        <v>50</v>
      </c>
      <c r="G506" s="13" t="str">
        <f t="shared" si="23"/>
        <v>504</v>
      </c>
    </row>
    <row r="507" spans="1:7" x14ac:dyDescent="0.3">
      <c r="A507" s="43" t="s">
        <v>1112</v>
      </c>
      <c r="B507" s="44" t="s">
        <v>2152</v>
      </c>
      <c r="C507" s="4">
        <v>250505</v>
      </c>
      <c r="D507" s="13" t="s">
        <v>1112</v>
      </c>
      <c r="E507" s="13" t="str">
        <f t="shared" si="21"/>
        <v>FL2</v>
      </c>
      <c r="F507" s="13" t="str">
        <f t="shared" si="22"/>
        <v>50</v>
      </c>
      <c r="G507" s="13" t="str">
        <f t="shared" si="23"/>
        <v>505</v>
      </c>
    </row>
    <row r="508" spans="1:7" x14ac:dyDescent="0.3">
      <c r="A508" s="13" t="s">
        <v>1114</v>
      </c>
      <c r="B508" s="44" t="s">
        <v>2152</v>
      </c>
      <c r="C508" s="4">
        <v>250506</v>
      </c>
      <c r="D508" s="13" t="s">
        <v>1114</v>
      </c>
      <c r="E508" s="13" t="str">
        <f t="shared" si="21"/>
        <v>FL2</v>
      </c>
      <c r="F508" s="13" t="str">
        <f t="shared" si="22"/>
        <v>50</v>
      </c>
      <c r="G508" s="13" t="str">
        <f t="shared" si="23"/>
        <v>506</v>
      </c>
    </row>
    <row r="509" spans="1:7" x14ac:dyDescent="0.3">
      <c r="A509" s="43" t="s">
        <v>1116</v>
      </c>
      <c r="B509" s="44" t="s">
        <v>2152</v>
      </c>
      <c r="C509" s="4">
        <v>250507</v>
      </c>
      <c r="D509" s="13" t="s">
        <v>1116</v>
      </c>
      <c r="E509" s="13" t="str">
        <f t="shared" si="21"/>
        <v>FL2</v>
      </c>
      <c r="F509" s="13" t="str">
        <f t="shared" si="22"/>
        <v>50</v>
      </c>
      <c r="G509" s="13" t="str">
        <f t="shared" si="23"/>
        <v>507</v>
      </c>
    </row>
    <row r="510" spans="1:7" x14ac:dyDescent="0.3">
      <c r="A510" s="13" t="s">
        <v>1118</v>
      </c>
      <c r="B510" s="44" t="s">
        <v>2152</v>
      </c>
      <c r="C510" s="4">
        <v>250508</v>
      </c>
      <c r="D510" s="13" t="s">
        <v>1118</v>
      </c>
      <c r="E510" s="13" t="str">
        <f t="shared" si="21"/>
        <v>FL2</v>
      </c>
      <c r="F510" s="13" t="str">
        <f t="shared" si="22"/>
        <v>50</v>
      </c>
      <c r="G510" s="13" t="str">
        <f t="shared" si="23"/>
        <v>508</v>
      </c>
    </row>
    <row r="511" spans="1:7" x14ac:dyDescent="0.3">
      <c r="A511" s="43" t="s">
        <v>1120</v>
      </c>
      <c r="B511" s="44" t="s">
        <v>2152</v>
      </c>
      <c r="C511" s="4">
        <v>250509</v>
      </c>
      <c r="D511" s="13" t="s">
        <v>1120</v>
      </c>
      <c r="E511" s="13" t="str">
        <f t="shared" si="21"/>
        <v>FL2</v>
      </c>
      <c r="F511" s="13" t="str">
        <f t="shared" si="22"/>
        <v>50</v>
      </c>
      <c r="G511" s="13" t="str">
        <f t="shared" si="23"/>
        <v>509</v>
      </c>
    </row>
    <row r="512" spans="1:7" x14ac:dyDescent="0.3">
      <c r="A512" s="13" t="s">
        <v>1122</v>
      </c>
      <c r="B512" s="44" t="s">
        <v>2152</v>
      </c>
      <c r="C512" s="4">
        <v>250510</v>
      </c>
      <c r="D512" s="13" t="s">
        <v>1122</v>
      </c>
      <c r="E512" s="13" t="str">
        <f t="shared" si="21"/>
        <v>FL2</v>
      </c>
      <c r="F512" s="13" t="str">
        <f t="shared" si="22"/>
        <v>50</v>
      </c>
      <c r="G512" s="13" t="str">
        <f t="shared" si="23"/>
        <v>510</v>
      </c>
    </row>
    <row r="513" spans="1:7" x14ac:dyDescent="0.3">
      <c r="A513" s="43" t="s">
        <v>1124</v>
      </c>
      <c r="B513" s="44" t="s">
        <v>2152</v>
      </c>
      <c r="C513" s="4">
        <v>250511</v>
      </c>
      <c r="D513" s="13" t="s">
        <v>1124</v>
      </c>
      <c r="E513" s="13" t="str">
        <f t="shared" si="21"/>
        <v>FL2</v>
      </c>
      <c r="F513" s="13" t="str">
        <f t="shared" si="22"/>
        <v>50</v>
      </c>
      <c r="G513" s="13" t="str">
        <f t="shared" si="23"/>
        <v>511</v>
      </c>
    </row>
    <row r="514" spans="1:7" x14ac:dyDescent="0.3">
      <c r="A514" s="13" t="s">
        <v>1126</v>
      </c>
      <c r="B514" s="44" t="s">
        <v>2152</v>
      </c>
      <c r="C514" s="4">
        <v>250512</v>
      </c>
      <c r="D514" s="13" t="s">
        <v>1126</v>
      </c>
      <c r="E514" s="13" t="str">
        <f t="shared" si="21"/>
        <v>FL2</v>
      </c>
      <c r="F514" s="13" t="str">
        <f t="shared" si="22"/>
        <v>50</v>
      </c>
      <c r="G514" s="13" t="str">
        <f t="shared" si="23"/>
        <v>512</v>
      </c>
    </row>
    <row r="515" spans="1:7" x14ac:dyDescent="0.3">
      <c r="A515" s="43" t="s">
        <v>1128</v>
      </c>
      <c r="B515" s="44" t="s">
        <v>2152</v>
      </c>
      <c r="C515" s="4">
        <v>250513</v>
      </c>
      <c r="D515" s="13" t="s">
        <v>1128</v>
      </c>
      <c r="E515" s="13" t="str">
        <f t="shared" si="21"/>
        <v>FL2</v>
      </c>
      <c r="F515" s="13" t="str">
        <f t="shared" si="22"/>
        <v>50</v>
      </c>
      <c r="G515" s="13" t="str">
        <f t="shared" si="23"/>
        <v>513</v>
      </c>
    </row>
    <row r="516" spans="1:7" x14ac:dyDescent="0.3">
      <c r="A516" s="13" t="s">
        <v>1130</v>
      </c>
      <c r="B516" s="44" t="s">
        <v>2152</v>
      </c>
      <c r="C516" s="4">
        <v>250514</v>
      </c>
      <c r="D516" s="13" t="s">
        <v>1130</v>
      </c>
      <c r="E516" s="13" t="str">
        <f t="shared" ref="E516:E579" si="24">LEFT(D516,3)</f>
        <v>FL2</v>
      </c>
      <c r="F516" s="13" t="str">
        <f t="shared" ref="F516:F579" si="25">MID(D516,4,2)</f>
        <v>50</v>
      </c>
      <c r="G516" s="13" t="str">
        <f t="shared" ref="G516:G579" si="26">RIGHT(D516,3)</f>
        <v>514</v>
      </c>
    </row>
    <row r="517" spans="1:7" x14ac:dyDescent="0.3">
      <c r="A517" s="43" t="s">
        <v>1132</v>
      </c>
      <c r="B517" s="44" t="s">
        <v>2152</v>
      </c>
      <c r="C517" s="4">
        <v>250515</v>
      </c>
      <c r="D517" s="13" t="s">
        <v>1132</v>
      </c>
      <c r="E517" s="13" t="str">
        <f t="shared" si="24"/>
        <v>FL2</v>
      </c>
      <c r="F517" s="13" t="str">
        <f t="shared" si="25"/>
        <v>50</v>
      </c>
      <c r="G517" s="13" t="str">
        <f t="shared" si="26"/>
        <v>515</v>
      </c>
    </row>
    <row r="518" spans="1:7" x14ac:dyDescent="0.3">
      <c r="A518" s="13" t="s">
        <v>1134</v>
      </c>
      <c r="B518" s="44" t="s">
        <v>2152</v>
      </c>
      <c r="C518" s="4">
        <v>250516</v>
      </c>
      <c r="D518" s="13" t="s">
        <v>1134</v>
      </c>
      <c r="E518" s="13" t="str">
        <f t="shared" si="24"/>
        <v>FL2</v>
      </c>
      <c r="F518" s="13" t="str">
        <f t="shared" si="25"/>
        <v>50</v>
      </c>
      <c r="G518" s="13" t="str">
        <f t="shared" si="26"/>
        <v>516</v>
      </c>
    </row>
    <row r="519" spans="1:7" x14ac:dyDescent="0.3">
      <c r="A519" s="43" t="s">
        <v>1136</v>
      </c>
      <c r="B519" s="44" t="s">
        <v>2152</v>
      </c>
      <c r="C519" s="4">
        <v>250517</v>
      </c>
      <c r="D519" s="13" t="s">
        <v>1136</v>
      </c>
      <c r="E519" s="13" t="str">
        <f t="shared" si="24"/>
        <v>FL2</v>
      </c>
      <c r="F519" s="13" t="str">
        <f t="shared" si="25"/>
        <v>50</v>
      </c>
      <c r="G519" s="13" t="str">
        <f t="shared" si="26"/>
        <v>517</v>
      </c>
    </row>
    <row r="520" spans="1:7" x14ac:dyDescent="0.3">
      <c r="A520" s="13" t="s">
        <v>1138</v>
      </c>
      <c r="B520" s="44" t="s">
        <v>2152</v>
      </c>
      <c r="C520" s="4">
        <v>250518</v>
      </c>
      <c r="D520" s="13" t="s">
        <v>1138</v>
      </c>
      <c r="E520" s="13" t="str">
        <f t="shared" si="24"/>
        <v>FL2</v>
      </c>
      <c r="F520" s="13" t="str">
        <f t="shared" si="25"/>
        <v>50</v>
      </c>
      <c r="G520" s="13" t="str">
        <f t="shared" si="26"/>
        <v>518</v>
      </c>
    </row>
    <row r="521" spans="1:7" x14ac:dyDescent="0.3">
      <c r="A521" s="43" t="s">
        <v>1140</v>
      </c>
      <c r="B521" s="44" t="s">
        <v>2152</v>
      </c>
      <c r="C521" s="4">
        <v>250519</v>
      </c>
      <c r="D521" s="13" t="s">
        <v>1140</v>
      </c>
      <c r="E521" s="13" t="str">
        <f t="shared" si="24"/>
        <v>FL2</v>
      </c>
      <c r="F521" s="13" t="str">
        <f t="shared" si="25"/>
        <v>50</v>
      </c>
      <c r="G521" s="13" t="str">
        <f t="shared" si="26"/>
        <v>519</v>
      </c>
    </row>
    <row r="522" spans="1:7" x14ac:dyDescent="0.3">
      <c r="A522" s="13" t="s">
        <v>1142</v>
      </c>
      <c r="B522" s="44" t="s">
        <v>2152</v>
      </c>
      <c r="C522" s="4">
        <v>250520</v>
      </c>
      <c r="D522" s="13" t="s">
        <v>1142</v>
      </c>
      <c r="E522" s="13" t="str">
        <f t="shared" si="24"/>
        <v>FL2</v>
      </c>
      <c r="F522" s="13" t="str">
        <f t="shared" si="25"/>
        <v>50</v>
      </c>
      <c r="G522" s="13" t="str">
        <f t="shared" si="26"/>
        <v>520</v>
      </c>
    </row>
    <row r="523" spans="1:7" x14ac:dyDescent="0.3">
      <c r="A523" s="43" t="s">
        <v>1144</v>
      </c>
      <c r="B523" s="44" t="s">
        <v>2152</v>
      </c>
      <c r="C523" s="4">
        <v>250521</v>
      </c>
      <c r="D523" s="13" t="s">
        <v>1144</v>
      </c>
      <c r="E523" s="13" t="str">
        <f t="shared" si="24"/>
        <v>FL2</v>
      </c>
      <c r="F523" s="13" t="str">
        <f t="shared" si="25"/>
        <v>50</v>
      </c>
      <c r="G523" s="13" t="str">
        <f t="shared" si="26"/>
        <v>521</v>
      </c>
    </row>
    <row r="524" spans="1:7" x14ac:dyDescent="0.3">
      <c r="A524" s="13" t="s">
        <v>1146</v>
      </c>
      <c r="B524" s="44" t="s">
        <v>2152</v>
      </c>
      <c r="C524" s="4">
        <v>250522</v>
      </c>
      <c r="D524" s="13" t="s">
        <v>1146</v>
      </c>
      <c r="E524" s="13" t="str">
        <f t="shared" si="24"/>
        <v>FL2</v>
      </c>
      <c r="F524" s="13" t="str">
        <f t="shared" si="25"/>
        <v>50</v>
      </c>
      <c r="G524" s="13" t="str">
        <f t="shared" si="26"/>
        <v>522</v>
      </c>
    </row>
    <row r="525" spans="1:7" x14ac:dyDescent="0.3">
      <c r="A525" s="43" t="s">
        <v>1148</v>
      </c>
      <c r="B525" s="44" t="s">
        <v>2152</v>
      </c>
      <c r="C525" s="4">
        <v>250523</v>
      </c>
      <c r="D525" s="13" t="s">
        <v>1148</v>
      </c>
      <c r="E525" s="13" t="str">
        <f t="shared" si="24"/>
        <v>FL2</v>
      </c>
      <c r="F525" s="13" t="str">
        <f t="shared" si="25"/>
        <v>50</v>
      </c>
      <c r="G525" s="13" t="str">
        <f t="shared" si="26"/>
        <v>523</v>
      </c>
    </row>
    <row r="526" spans="1:7" x14ac:dyDescent="0.3">
      <c r="A526" s="13" t="s">
        <v>1150</v>
      </c>
      <c r="B526" s="44" t="s">
        <v>2152</v>
      </c>
      <c r="C526" s="4">
        <v>250524</v>
      </c>
      <c r="D526" s="13" t="s">
        <v>1150</v>
      </c>
      <c r="E526" s="13" t="str">
        <f t="shared" si="24"/>
        <v>FL2</v>
      </c>
      <c r="F526" s="13" t="str">
        <f t="shared" si="25"/>
        <v>50</v>
      </c>
      <c r="G526" s="13" t="str">
        <f t="shared" si="26"/>
        <v>524</v>
      </c>
    </row>
    <row r="527" spans="1:7" x14ac:dyDescent="0.3">
      <c r="A527" s="43" t="s">
        <v>1152</v>
      </c>
      <c r="B527" s="44" t="s">
        <v>2152</v>
      </c>
      <c r="C527" s="4">
        <v>250525</v>
      </c>
      <c r="D527" s="13" t="s">
        <v>1152</v>
      </c>
      <c r="E527" s="13" t="str">
        <f t="shared" si="24"/>
        <v>FL2</v>
      </c>
      <c r="F527" s="13" t="str">
        <f t="shared" si="25"/>
        <v>50</v>
      </c>
      <c r="G527" s="13" t="str">
        <f t="shared" si="26"/>
        <v>525</v>
      </c>
    </row>
    <row r="528" spans="1:7" x14ac:dyDescent="0.3">
      <c r="A528" s="13" t="s">
        <v>1154</v>
      </c>
      <c r="B528" s="44" t="s">
        <v>2152</v>
      </c>
      <c r="C528" s="4">
        <v>250526</v>
      </c>
      <c r="D528" s="13" t="s">
        <v>1154</v>
      </c>
      <c r="E528" s="13" t="str">
        <f t="shared" si="24"/>
        <v>FL2</v>
      </c>
      <c r="F528" s="13" t="str">
        <f t="shared" si="25"/>
        <v>50</v>
      </c>
      <c r="G528" s="13" t="str">
        <f t="shared" si="26"/>
        <v>526</v>
      </c>
    </row>
    <row r="529" spans="1:7" x14ac:dyDescent="0.3">
      <c r="A529" s="43" t="s">
        <v>1156</v>
      </c>
      <c r="B529" s="44" t="s">
        <v>2152</v>
      </c>
      <c r="C529" s="4">
        <v>250527</v>
      </c>
      <c r="D529" s="13" t="s">
        <v>1156</v>
      </c>
      <c r="E529" s="13" t="str">
        <f t="shared" si="24"/>
        <v>FL2</v>
      </c>
      <c r="F529" s="13" t="str">
        <f t="shared" si="25"/>
        <v>50</v>
      </c>
      <c r="G529" s="13" t="str">
        <f t="shared" si="26"/>
        <v>527</v>
      </c>
    </row>
    <row r="530" spans="1:7" x14ac:dyDescent="0.3">
      <c r="A530" s="13" t="s">
        <v>1158</v>
      </c>
      <c r="B530" s="44" t="s">
        <v>2152</v>
      </c>
      <c r="C530" s="4">
        <v>250528</v>
      </c>
      <c r="D530" s="13" t="s">
        <v>1158</v>
      </c>
      <c r="E530" s="13" t="str">
        <f t="shared" si="24"/>
        <v>FL2</v>
      </c>
      <c r="F530" s="13" t="str">
        <f t="shared" si="25"/>
        <v>50</v>
      </c>
      <c r="G530" s="13" t="str">
        <f t="shared" si="26"/>
        <v>528</v>
      </c>
    </row>
    <row r="531" spans="1:7" x14ac:dyDescent="0.3">
      <c r="A531" s="43" t="s">
        <v>1160</v>
      </c>
      <c r="B531" s="44" t="s">
        <v>2152</v>
      </c>
      <c r="C531" s="4">
        <v>250529</v>
      </c>
      <c r="D531" s="13" t="s">
        <v>1160</v>
      </c>
      <c r="E531" s="13" t="str">
        <f t="shared" si="24"/>
        <v>FL2</v>
      </c>
      <c r="F531" s="13" t="str">
        <f t="shared" si="25"/>
        <v>50</v>
      </c>
      <c r="G531" s="13" t="str">
        <f t="shared" si="26"/>
        <v>529</v>
      </c>
    </row>
    <row r="532" spans="1:7" x14ac:dyDescent="0.3">
      <c r="A532" s="13" t="s">
        <v>1162</v>
      </c>
      <c r="B532" s="44" t="s">
        <v>2152</v>
      </c>
      <c r="C532" s="4">
        <v>250530</v>
      </c>
      <c r="D532" s="13" t="s">
        <v>1162</v>
      </c>
      <c r="E532" s="13" t="str">
        <f t="shared" si="24"/>
        <v>FL2</v>
      </c>
      <c r="F532" s="13" t="str">
        <f t="shared" si="25"/>
        <v>50</v>
      </c>
      <c r="G532" s="13" t="str">
        <f t="shared" si="26"/>
        <v>530</v>
      </c>
    </row>
    <row r="533" spans="1:7" x14ac:dyDescent="0.3">
      <c r="A533" s="43" t="s">
        <v>1164</v>
      </c>
      <c r="B533" s="44" t="s">
        <v>2152</v>
      </c>
      <c r="C533" s="4">
        <v>250531</v>
      </c>
      <c r="D533" s="13" t="s">
        <v>1164</v>
      </c>
      <c r="E533" s="13" t="str">
        <f t="shared" si="24"/>
        <v>FL2</v>
      </c>
      <c r="F533" s="13" t="str">
        <f t="shared" si="25"/>
        <v>50</v>
      </c>
      <c r="G533" s="13" t="str">
        <f t="shared" si="26"/>
        <v>531</v>
      </c>
    </row>
    <row r="534" spans="1:7" x14ac:dyDescent="0.3">
      <c r="A534" s="13" t="s">
        <v>1166</v>
      </c>
      <c r="B534" s="44" t="s">
        <v>2152</v>
      </c>
      <c r="C534" s="4">
        <v>250532</v>
      </c>
      <c r="D534" s="13" t="s">
        <v>1166</v>
      </c>
      <c r="E534" s="13" t="str">
        <f t="shared" si="24"/>
        <v>FL2</v>
      </c>
      <c r="F534" s="13" t="str">
        <f t="shared" si="25"/>
        <v>50</v>
      </c>
      <c r="G534" s="13" t="str">
        <f t="shared" si="26"/>
        <v>532</v>
      </c>
    </row>
    <row r="535" spans="1:7" x14ac:dyDescent="0.3">
      <c r="A535" s="43" t="s">
        <v>1168</v>
      </c>
      <c r="B535" s="44" t="s">
        <v>2152</v>
      </c>
      <c r="C535" s="4">
        <v>250533</v>
      </c>
      <c r="D535" s="13" t="s">
        <v>1168</v>
      </c>
      <c r="E535" s="13" t="str">
        <f t="shared" si="24"/>
        <v>FL2</v>
      </c>
      <c r="F535" s="13" t="str">
        <f t="shared" si="25"/>
        <v>50</v>
      </c>
      <c r="G535" s="13" t="str">
        <f t="shared" si="26"/>
        <v>533</v>
      </c>
    </row>
    <row r="536" spans="1:7" x14ac:dyDescent="0.3">
      <c r="A536" s="13" t="s">
        <v>1170</v>
      </c>
      <c r="B536" s="44" t="s">
        <v>2152</v>
      </c>
      <c r="C536" s="4">
        <v>250534</v>
      </c>
      <c r="D536" s="13" t="s">
        <v>1170</v>
      </c>
      <c r="E536" s="13" t="str">
        <f t="shared" si="24"/>
        <v>FL2</v>
      </c>
      <c r="F536" s="13" t="str">
        <f t="shared" si="25"/>
        <v>50</v>
      </c>
      <c r="G536" s="13" t="str">
        <f t="shared" si="26"/>
        <v>534</v>
      </c>
    </row>
    <row r="537" spans="1:7" x14ac:dyDescent="0.3">
      <c r="A537" s="43" t="s">
        <v>1172</v>
      </c>
      <c r="B537" s="44" t="s">
        <v>2152</v>
      </c>
      <c r="C537" s="4">
        <v>250535</v>
      </c>
      <c r="D537" s="13" t="s">
        <v>1172</v>
      </c>
      <c r="E537" s="13" t="str">
        <f t="shared" si="24"/>
        <v>FL2</v>
      </c>
      <c r="F537" s="13" t="str">
        <f t="shared" si="25"/>
        <v>50</v>
      </c>
      <c r="G537" s="13" t="str">
        <f t="shared" si="26"/>
        <v>535</v>
      </c>
    </row>
    <row r="538" spans="1:7" x14ac:dyDescent="0.3">
      <c r="A538" s="13" t="s">
        <v>1174</v>
      </c>
      <c r="B538" s="44" t="s">
        <v>2152</v>
      </c>
      <c r="C538" s="4">
        <v>250536</v>
      </c>
      <c r="D538" s="13" t="s">
        <v>1174</v>
      </c>
      <c r="E538" s="13" t="str">
        <f t="shared" si="24"/>
        <v>FL2</v>
      </c>
      <c r="F538" s="13" t="str">
        <f t="shared" si="25"/>
        <v>50</v>
      </c>
      <c r="G538" s="13" t="str">
        <f t="shared" si="26"/>
        <v>536</v>
      </c>
    </row>
    <row r="539" spans="1:7" x14ac:dyDescent="0.3">
      <c r="A539" s="43" t="s">
        <v>1176</v>
      </c>
      <c r="B539" s="44" t="s">
        <v>2152</v>
      </c>
      <c r="C539" s="4">
        <v>250537</v>
      </c>
      <c r="D539" s="13" t="s">
        <v>1176</v>
      </c>
      <c r="E539" s="13" t="str">
        <f t="shared" si="24"/>
        <v>FL2</v>
      </c>
      <c r="F539" s="13" t="str">
        <f t="shared" si="25"/>
        <v>50</v>
      </c>
      <c r="G539" s="13" t="str">
        <f t="shared" si="26"/>
        <v>537</v>
      </c>
    </row>
    <row r="540" spans="1:7" x14ac:dyDescent="0.3">
      <c r="A540" s="13" t="s">
        <v>1178</v>
      </c>
      <c r="B540" s="44" t="s">
        <v>2152</v>
      </c>
      <c r="C540" s="4">
        <v>250538</v>
      </c>
      <c r="D540" s="13" t="s">
        <v>1178</v>
      </c>
      <c r="E540" s="13" t="str">
        <f t="shared" si="24"/>
        <v>FL2</v>
      </c>
      <c r="F540" s="13" t="str">
        <f t="shared" si="25"/>
        <v>50</v>
      </c>
      <c r="G540" s="13" t="str">
        <f t="shared" si="26"/>
        <v>538</v>
      </c>
    </row>
    <row r="541" spans="1:7" x14ac:dyDescent="0.3">
      <c r="A541" s="43" t="s">
        <v>1180</v>
      </c>
      <c r="B541" s="44" t="s">
        <v>2152</v>
      </c>
      <c r="C541" s="4">
        <v>250539</v>
      </c>
      <c r="D541" s="13" t="s">
        <v>1180</v>
      </c>
      <c r="E541" s="13" t="str">
        <f t="shared" si="24"/>
        <v>FL2</v>
      </c>
      <c r="F541" s="13" t="str">
        <f t="shared" si="25"/>
        <v>50</v>
      </c>
      <c r="G541" s="13" t="str">
        <f t="shared" si="26"/>
        <v>539</v>
      </c>
    </row>
    <row r="542" spans="1:7" x14ac:dyDescent="0.3">
      <c r="A542" s="13" t="s">
        <v>1182</v>
      </c>
      <c r="B542" s="44" t="s">
        <v>2152</v>
      </c>
      <c r="C542" s="4">
        <v>250540</v>
      </c>
      <c r="D542" s="13" t="s">
        <v>1182</v>
      </c>
      <c r="E542" s="13" t="str">
        <f t="shared" si="24"/>
        <v>FL2</v>
      </c>
      <c r="F542" s="13" t="str">
        <f t="shared" si="25"/>
        <v>50</v>
      </c>
      <c r="G542" s="13" t="str">
        <f t="shared" si="26"/>
        <v>540</v>
      </c>
    </row>
    <row r="543" spans="1:7" x14ac:dyDescent="0.3">
      <c r="A543" s="43" t="s">
        <v>1184</v>
      </c>
      <c r="B543" s="44" t="s">
        <v>2152</v>
      </c>
      <c r="C543" s="4">
        <v>250541</v>
      </c>
      <c r="D543" s="13" t="s">
        <v>1184</v>
      </c>
      <c r="E543" s="13" t="str">
        <f t="shared" si="24"/>
        <v>FL2</v>
      </c>
      <c r="F543" s="13" t="str">
        <f t="shared" si="25"/>
        <v>50</v>
      </c>
      <c r="G543" s="13" t="str">
        <f t="shared" si="26"/>
        <v>541</v>
      </c>
    </row>
    <row r="544" spans="1:7" x14ac:dyDescent="0.3">
      <c r="A544" s="13" t="s">
        <v>1186</v>
      </c>
      <c r="B544" s="44" t="s">
        <v>2152</v>
      </c>
      <c r="C544" s="4">
        <v>250542</v>
      </c>
      <c r="D544" s="13" t="s">
        <v>1186</v>
      </c>
      <c r="E544" s="13" t="str">
        <f t="shared" si="24"/>
        <v>FL2</v>
      </c>
      <c r="F544" s="13" t="str">
        <f t="shared" si="25"/>
        <v>50</v>
      </c>
      <c r="G544" s="13" t="str">
        <f t="shared" si="26"/>
        <v>542</v>
      </c>
    </row>
    <row r="545" spans="1:7" x14ac:dyDescent="0.3">
      <c r="A545" s="43" t="s">
        <v>1188</v>
      </c>
      <c r="B545" s="44" t="s">
        <v>2152</v>
      </c>
      <c r="C545" s="4">
        <v>250543</v>
      </c>
      <c r="D545" s="13" t="s">
        <v>1188</v>
      </c>
      <c r="E545" s="13" t="str">
        <f t="shared" si="24"/>
        <v>FL2</v>
      </c>
      <c r="F545" s="13" t="str">
        <f t="shared" si="25"/>
        <v>50</v>
      </c>
      <c r="G545" s="13" t="str">
        <f t="shared" si="26"/>
        <v>543</v>
      </c>
    </row>
    <row r="546" spans="1:7" x14ac:dyDescent="0.3">
      <c r="A546" s="13" t="s">
        <v>1190</v>
      </c>
      <c r="B546" s="44" t="s">
        <v>2152</v>
      </c>
      <c r="C546" s="4">
        <v>250544</v>
      </c>
      <c r="D546" s="13" t="s">
        <v>1190</v>
      </c>
      <c r="E546" s="13" t="str">
        <f t="shared" si="24"/>
        <v>FL2</v>
      </c>
      <c r="F546" s="13" t="str">
        <f t="shared" si="25"/>
        <v>50</v>
      </c>
      <c r="G546" s="13" t="str">
        <f t="shared" si="26"/>
        <v>544</v>
      </c>
    </row>
    <row r="547" spans="1:7" x14ac:dyDescent="0.3">
      <c r="A547" s="43" t="s">
        <v>1192</v>
      </c>
      <c r="B547" s="44" t="s">
        <v>2152</v>
      </c>
      <c r="C547" s="4">
        <v>250545</v>
      </c>
      <c r="D547" s="13" t="s">
        <v>1192</v>
      </c>
      <c r="E547" s="13" t="str">
        <f t="shared" si="24"/>
        <v>FL2</v>
      </c>
      <c r="F547" s="13" t="str">
        <f t="shared" si="25"/>
        <v>50</v>
      </c>
      <c r="G547" s="13" t="str">
        <f t="shared" si="26"/>
        <v>545</v>
      </c>
    </row>
    <row r="548" spans="1:7" x14ac:dyDescent="0.3">
      <c r="A548" s="13" t="s">
        <v>1194</v>
      </c>
      <c r="B548" s="44" t="s">
        <v>2152</v>
      </c>
      <c r="C548" s="4">
        <v>250546</v>
      </c>
      <c r="D548" s="13" t="s">
        <v>1194</v>
      </c>
      <c r="E548" s="13" t="str">
        <f t="shared" si="24"/>
        <v>FL2</v>
      </c>
      <c r="F548" s="13" t="str">
        <f t="shared" si="25"/>
        <v>50</v>
      </c>
      <c r="G548" s="13" t="str">
        <f t="shared" si="26"/>
        <v>546</v>
      </c>
    </row>
    <row r="549" spans="1:7" x14ac:dyDescent="0.3">
      <c r="A549" s="43" t="s">
        <v>1196</v>
      </c>
      <c r="B549" s="44" t="s">
        <v>2152</v>
      </c>
      <c r="C549" s="4">
        <v>250547</v>
      </c>
      <c r="D549" s="13" t="s">
        <v>1196</v>
      </c>
      <c r="E549" s="13" t="str">
        <f t="shared" si="24"/>
        <v>FL2</v>
      </c>
      <c r="F549" s="13" t="str">
        <f t="shared" si="25"/>
        <v>50</v>
      </c>
      <c r="G549" s="13" t="str">
        <f t="shared" si="26"/>
        <v>547</v>
      </c>
    </row>
    <row r="550" spans="1:7" x14ac:dyDescent="0.3">
      <c r="A550" s="13" t="s">
        <v>1198</v>
      </c>
      <c r="B550" s="44" t="s">
        <v>2152</v>
      </c>
      <c r="C550" s="4">
        <v>250548</v>
      </c>
      <c r="D550" s="13" t="s">
        <v>1198</v>
      </c>
      <c r="E550" s="13" t="str">
        <f t="shared" si="24"/>
        <v>FL2</v>
      </c>
      <c r="F550" s="13" t="str">
        <f t="shared" si="25"/>
        <v>50</v>
      </c>
      <c r="G550" s="13" t="str">
        <f t="shared" si="26"/>
        <v>548</v>
      </c>
    </row>
    <row r="551" spans="1:7" x14ac:dyDescent="0.3">
      <c r="A551" s="43" t="s">
        <v>1200</v>
      </c>
      <c r="B551" s="44" t="s">
        <v>2152</v>
      </c>
      <c r="C551" s="4">
        <v>250549</v>
      </c>
      <c r="D551" s="13" t="s">
        <v>1200</v>
      </c>
      <c r="E551" s="13" t="str">
        <f t="shared" si="24"/>
        <v>FL2</v>
      </c>
      <c r="F551" s="13" t="str">
        <f t="shared" si="25"/>
        <v>50</v>
      </c>
      <c r="G551" s="13" t="str">
        <f t="shared" si="26"/>
        <v>549</v>
      </c>
    </row>
    <row r="552" spans="1:7" x14ac:dyDescent="0.3">
      <c r="A552" s="13" t="s">
        <v>1202</v>
      </c>
      <c r="B552" s="44" t="s">
        <v>2152</v>
      </c>
      <c r="C552" s="4">
        <v>250550</v>
      </c>
      <c r="D552" s="13" t="s">
        <v>1202</v>
      </c>
      <c r="E552" s="13" t="str">
        <f t="shared" si="24"/>
        <v>FL2</v>
      </c>
      <c r="F552" s="13" t="str">
        <f t="shared" si="25"/>
        <v>50</v>
      </c>
      <c r="G552" s="13" t="str">
        <f t="shared" si="26"/>
        <v>550</v>
      </c>
    </row>
    <row r="553" spans="1:7" x14ac:dyDescent="0.3">
      <c r="A553" s="43" t="s">
        <v>1204</v>
      </c>
      <c r="B553" s="44" t="s">
        <v>2152</v>
      </c>
      <c r="C553" s="4">
        <v>250551</v>
      </c>
      <c r="D553" s="13" t="s">
        <v>1204</v>
      </c>
      <c r="E553" s="13" t="str">
        <f t="shared" si="24"/>
        <v>FL2</v>
      </c>
      <c r="F553" s="13" t="str">
        <f t="shared" si="25"/>
        <v>50</v>
      </c>
      <c r="G553" s="13" t="str">
        <f t="shared" si="26"/>
        <v>551</v>
      </c>
    </row>
    <row r="554" spans="1:7" x14ac:dyDescent="0.3">
      <c r="A554" s="13" t="s">
        <v>1206</v>
      </c>
      <c r="B554" s="44" t="s">
        <v>2152</v>
      </c>
      <c r="C554" s="4">
        <v>250552</v>
      </c>
      <c r="D554" s="13" t="s">
        <v>1206</v>
      </c>
      <c r="E554" s="13" t="str">
        <f t="shared" si="24"/>
        <v>FL2</v>
      </c>
      <c r="F554" s="13" t="str">
        <f t="shared" si="25"/>
        <v>50</v>
      </c>
      <c r="G554" s="13" t="str">
        <f t="shared" si="26"/>
        <v>552</v>
      </c>
    </row>
    <row r="555" spans="1:7" x14ac:dyDescent="0.3">
      <c r="A555" s="43" t="s">
        <v>1208</v>
      </c>
      <c r="B555" s="44" t="s">
        <v>2152</v>
      </c>
      <c r="C555" s="4">
        <v>250553</v>
      </c>
      <c r="D555" s="13" t="s">
        <v>1208</v>
      </c>
      <c r="E555" s="13" t="str">
        <f t="shared" si="24"/>
        <v>FL2</v>
      </c>
      <c r="F555" s="13" t="str">
        <f t="shared" si="25"/>
        <v>50</v>
      </c>
      <c r="G555" s="13" t="str">
        <f t="shared" si="26"/>
        <v>553</v>
      </c>
    </row>
    <row r="556" spans="1:7" x14ac:dyDescent="0.3">
      <c r="A556" s="13" t="s">
        <v>1210</v>
      </c>
      <c r="B556" s="44" t="s">
        <v>2152</v>
      </c>
      <c r="C556" s="4">
        <v>250554</v>
      </c>
      <c r="D556" s="13" t="s">
        <v>1210</v>
      </c>
      <c r="E556" s="13" t="str">
        <f t="shared" si="24"/>
        <v>FL2</v>
      </c>
      <c r="F556" s="13" t="str">
        <f t="shared" si="25"/>
        <v>50</v>
      </c>
      <c r="G556" s="13" t="str">
        <f t="shared" si="26"/>
        <v>554</v>
      </c>
    </row>
    <row r="557" spans="1:7" x14ac:dyDescent="0.3">
      <c r="A557" s="43" t="s">
        <v>1212</v>
      </c>
      <c r="B557" s="44" t="s">
        <v>2152</v>
      </c>
      <c r="C557" s="4">
        <v>250555</v>
      </c>
      <c r="D557" s="13" t="s">
        <v>1212</v>
      </c>
      <c r="E557" s="13" t="str">
        <f t="shared" si="24"/>
        <v>FL2</v>
      </c>
      <c r="F557" s="13" t="str">
        <f t="shared" si="25"/>
        <v>50</v>
      </c>
      <c r="G557" s="13" t="str">
        <f t="shared" si="26"/>
        <v>555</v>
      </c>
    </row>
    <row r="558" spans="1:7" x14ac:dyDescent="0.3">
      <c r="A558" s="13" t="s">
        <v>1214</v>
      </c>
      <c r="B558" s="44" t="s">
        <v>2152</v>
      </c>
      <c r="C558" s="4">
        <v>250556</v>
      </c>
      <c r="D558" s="13" t="s">
        <v>1214</v>
      </c>
      <c r="E558" s="13" t="str">
        <f t="shared" si="24"/>
        <v>FL2</v>
      </c>
      <c r="F558" s="13" t="str">
        <f t="shared" si="25"/>
        <v>50</v>
      </c>
      <c r="G558" s="13" t="str">
        <f t="shared" si="26"/>
        <v>556</v>
      </c>
    </row>
    <row r="559" spans="1:7" x14ac:dyDescent="0.3">
      <c r="A559" s="43" t="s">
        <v>1216</v>
      </c>
      <c r="B559" s="44" t="s">
        <v>2152</v>
      </c>
      <c r="C559" s="4">
        <v>250557</v>
      </c>
      <c r="D559" s="13" t="s">
        <v>1216</v>
      </c>
      <c r="E559" s="13" t="str">
        <f t="shared" si="24"/>
        <v>FL2</v>
      </c>
      <c r="F559" s="13" t="str">
        <f t="shared" si="25"/>
        <v>50</v>
      </c>
      <c r="G559" s="13" t="str">
        <f t="shared" si="26"/>
        <v>557</v>
      </c>
    </row>
    <row r="560" spans="1:7" x14ac:dyDescent="0.3">
      <c r="A560" s="13" t="s">
        <v>1218</v>
      </c>
      <c r="B560" s="44" t="s">
        <v>2152</v>
      </c>
      <c r="C560" s="4">
        <v>250558</v>
      </c>
      <c r="D560" s="13" t="s">
        <v>1218</v>
      </c>
      <c r="E560" s="13" t="str">
        <f t="shared" si="24"/>
        <v>FL2</v>
      </c>
      <c r="F560" s="13" t="str">
        <f t="shared" si="25"/>
        <v>50</v>
      </c>
      <c r="G560" s="13" t="str">
        <f t="shared" si="26"/>
        <v>558</v>
      </c>
    </row>
    <row r="561" spans="1:7" x14ac:dyDescent="0.3">
      <c r="A561" s="43" t="s">
        <v>1220</v>
      </c>
      <c r="B561" s="44" t="s">
        <v>2152</v>
      </c>
      <c r="C561" s="4">
        <v>250559</v>
      </c>
      <c r="D561" s="13" t="s">
        <v>1220</v>
      </c>
      <c r="E561" s="13" t="str">
        <f t="shared" si="24"/>
        <v>FL2</v>
      </c>
      <c r="F561" s="13" t="str">
        <f t="shared" si="25"/>
        <v>50</v>
      </c>
      <c r="G561" s="13" t="str">
        <f t="shared" si="26"/>
        <v>559</v>
      </c>
    </row>
    <row r="562" spans="1:7" x14ac:dyDescent="0.3">
      <c r="A562" s="13" t="s">
        <v>1222</v>
      </c>
      <c r="B562" s="44" t="s">
        <v>2152</v>
      </c>
      <c r="C562" s="4">
        <v>250560</v>
      </c>
      <c r="D562" s="13" t="s">
        <v>1222</v>
      </c>
      <c r="E562" s="13" t="str">
        <f t="shared" si="24"/>
        <v>FL2</v>
      </c>
      <c r="F562" s="13" t="str">
        <f t="shared" si="25"/>
        <v>50</v>
      </c>
      <c r="G562" s="13" t="str">
        <f t="shared" si="26"/>
        <v>560</v>
      </c>
    </row>
    <row r="563" spans="1:7" x14ac:dyDescent="0.3">
      <c r="A563" s="43" t="s">
        <v>1224</v>
      </c>
      <c r="B563" s="44" t="s">
        <v>2152</v>
      </c>
      <c r="C563" s="4">
        <v>250561</v>
      </c>
      <c r="D563" s="13" t="s">
        <v>1224</v>
      </c>
      <c r="E563" s="13" t="str">
        <f t="shared" si="24"/>
        <v>FL2</v>
      </c>
      <c r="F563" s="13" t="str">
        <f t="shared" si="25"/>
        <v>50</v>
      </c>
      <c r="G563" s="13" t="str">
        <f t="shared" si="26"/>
        <v>561</v>
      </c>
    </row>
    <row r="564" spans="1:7" x14ac:dyDescent="0.3">
      <c r="A564" s="13" t="s">
        <v>1226</v>
      </c>
      <c r="B564" s="44" t="s">
        <v>2152</v>
      </c>
      <c r="C564" s="4">
        <v>250562</v>
      </c>
      <c r="D564" s="13" t="s">
        <v>1226</v>
      </c>
      <c r="E564" s="13" t="str">
        <f t="shared" si="24"/>
        <v>FL2</v>
      </c>
      <c r="F564" s="13" t="str">
        <f t="shared" si="25"/>
        <v>50</v>
      </c>
      <c r="G564" s="13" t="str">
        <f t="shared" si="26"/>
        <v>562</v>
      </c>
    </row>
    <row r="565" spans="1:7" x14ac:dyDescent="0.3">
      <c r="A565" s="43" t="s">
        <v>1228</v>
      </c>
      <c r="B565" s="44" t="s">
        <v>2152</v>
      </c>
      <c r="C565" s="4">
        <v>250563</v>
      </c>
      <c r="D565" s="13" t="s">
        <v>1228</v>
      </c>
      <c r="E565" s="13" t="str">
        <f t="shared" si="24"/>
        <v>FL2</v>
      </c>
      <c r="F565" s="13" t="str">
        <f t="shared" si="25"/>
        <v>50</v>
      </c>
      <c r="G565" s="13" t="str">
        <f t="shared" si="26"/>
        <v>563</v>
      </c>
    </row>
    <row r="566" spans="1:7" x14ac:dyDescent="0.3">
      <c r="A566" s="13" t="s">
        <v>1230</v>
      </c>
      <c r="B566" s="44" t="s">
        <v>2152</v>
      </c>
      <c r="C566" s="4">
        <v>250564</v>
      </c>
      <c r="D566" s="13" t="s">
        <v>1230</v>
      </c>
      <c r="E566" s="13" t="str">
        <f t="shared" si="24"/>
        <v>FL2</v>
      </c>
      <c r="F566" s="13" t="str">
        <f t="shared" si="25"/>
        <v>50</v>
      </c>
      <c r="G566" s="13" t="str">
        <f t="shared" si="26"/>
        <v>564</v>
      </c>
    </row>
    <row r="567" spans="1:7" x14ac:dyDescent="0.3">
      <c r="A567" s="43" t="s">
        <v>1232</v>
      </c>
      <c r="B567" s="44" t="s">
        <v>2152</v>
      </c>
      <c r="C567" s="4">
        <v>250565</v>
      </c>
      <c r="D567" s="13" t="s">
        <v>1232</v>
      </c>
      <c r="E567" s="13" t="str">
        <f t="shared" si="24"/>
        <v>FL2</v>
      </c>
      <c r="F567" s="13" t="str">
        <f t="shared" si="25"/>
        <v>50</v>
      </c>
      <c r="G567" s="13" t="str">
        <f t="shared" si="26"/>
        <v>565</v>
      </c>
    </row>
    <row r="568" spans="1:7" x14ac:dyDescent="0.3">
      <c r="A568" s="13" t="s">
        <v>1234</v>
      </c>
      <c r="B568" s="44" t="s">
        <v>2152</v>
      </c>
      <c r="C568" s="4">
        <v>250566</v>
      </c>
      <c r="D568" s="13" t="s">
        <v>1234</v>
      </c>
      <c r="E568" s="13" t="str">
        <f t="shared" si="24"/>
        <v>FL2</v>
      </c>
      <c r="F568" s="13" t="str">
        <f t="shared" si="25"/>
        <v>50</v>
      </c>
      <c r="G568" s="13" t="str">
        <f t="shared" si="26"/>
        <v>566</v>
      </c>
    </row>
    <row r="569" spans="1:7" x14ac:dyDescent="0.3">
      <c r="A569" s="43" t="s">
        <v>1236</v>
      </c>
      <c r="B569" s="44" t="s">
        <v>2152</v>
      </c>
      <c r="C569" s="4">
        <v>250567</v>
      </c>
      <c r="D569" s="13" t="s">
        <v>1236</v>
      </c>
      <c r="E569" s="13" t="str">
        <f t="shared" si="24"/>
        <v>FL2</v>
      </c>
      <c r="F569" s="13" t="str">
        <f t="shared" si="25"/>
        <v>50</v>
      </c>
      <c r="G569" s="13" t="str">
        <f t="shared" si="26"/>
        <v>567</v>
      </c>
    </row>
    <row r="570" spans="1:7" x14ac:dyDescent="0.3">
      <c r="A570" s="13" t="s">
        <v>1238</v>
      </c>
      <c r="B570" s="44" t="s">
        <v>2152</v>
      </c>
      <c r="C570" s="4">
        <v>250568</v>
      </c>
      <c r="D570" s="13" t="s">
        <v>1238</v>
      </c>
      <c r="E570" s="13" t="str">
        <f t="shared" si="24"/>
        <v>FL2</v>
      </c>
      <c r="F570" s="13" t="str">
        <f t="shared" si="25"/>
        <v>50</v>
      </c>
      <c r="G570" s="13" t="str">
        <f t="shared" si="26"/>
        <v>568</v>
      </c>
    </row>
    <row r="571" spans="1:7" x14ac:dyDescent="0.3">
      <c r="A571" s="43" t="s">
        <v>1240</v>
      </c>
      <c r="B571" s="44" t="s">
        <v>2152</v>
      </c>
      <c r="C571" s="4">
        <v>250569</v>
      </c>
      <c r="D571" s="13" t="s">
        <v>1240</v>
      </c>
      <c r="E571" s="13" t="str">
        <f t="shared" si="24"/>
        <v>FL2</v>
      </c>
      <c r="F571" s="13" t="str">
        <f t="shared" si="25"/>
        <v>50</v>
      </c>
      <c r="G571" s="13" t="str">
        <f t="shared" si="26"/>
        <v>569</v>
      </c>
    </row>
    <row r="572" spans="1:7" x14ac:dyDescent="0.3">
      <c r="A572" s="13" t="s">
        <v>1242</v>
      </c>
      <c r="B572" s="44" t="s">
        <v>2152</v>
      </c>
      <c r="C572" s="4">
        <v>250570</v>
      </c>
      <c r="D572" s="13" t="s">
        <v>1242</v>
      </c>
      <c r="E572" s="13" t="str">
        <f t="shared" si="24"/>
        <v>FL2</v>
      </c>
      <c r="F572" s="13" t="str">
        <f t="shared" si="25"/>
        <v>50</v>
      </c>
      <c r="G572" s="13" t="str">
        <f t="shared" si="26"/>
        <v>570</v>
      </c>
    </row>
    <row r="573" spans="1:7" x14ac:dyDescent="0.3">
      <c r="A573" s="43" t="s">
        <v>1244</v>
      </c>
      <c r="B573" s="44" t="s">
        <v>2152</v>
      </c>
      <c r="C573" s="4">
        <v>250571</v>
      </c>
      <c r="D573" s="13" t="s">
        <v>1244</v>
      </c>
      <c r="E573" s="13" t="str">
        <f t="shared" si="24"/>
        <v>FL2</v>
      </c>
      <c r="F573" s="13" t="str">
        <f t="shared" si="25"/>
        <v>50</v>
      </c>
      <c r="G573" s="13" t="str">
        <f t="shared" si="26"/>
        <v>571</v>
      </c>
    </row>
    <row r="574" spans="1:7" x14ac:dyDescent="0.3">
      <c r="A574" s="13" t="s">
        <v>1246</v>
      </c>
      <c r="B574" s="44" t="s">
        <v>2152</v>
      </c>
      <c r="C574" s="4">
        <v>250572</v>
      </c>
      <c r="D574" s="13" t="s">
        <v>1246</v>
      </c>
      <c r="E574" s="13" t="str">
        <f t="shared" si="24"/>
        <v>FL2</v>
      </c>
      <c r="F574" s="13" t="str">
        <f t="shared" si="25"/>
        <v>50</v>
      </c>
      <c r="G574" s="13" t="str">
        <f t="shared" si="26"/>
        <v>572</v>
      </c>
    </row>
    <row r="575" spans="1:7" x14ac:dyDescent="0.3">
      <c r="A575" s="43" t="s">
        <v>1248</v>
      </c>
      <c r="B575" s="44" t="s">
        <v>2152</v>
      </c>
      <c r="C575" s="4">
        <v>250573</v>
      </c>
      <c r="D575" s="13" t="s">
        <v>1248</v>
      </c>
      <c r="E575" s="13" t="str">
        <f t="shared" si="24"/>
        <v>FL2</v>
      </c>
      <c r="F575" s="13" t="str">
        <f t="shared" si="25"/>
        <v>50</v>
      </c>
      <c r="G575" s="13" t="str">
        <f t="shared" si="26"/>
        <v>573</v>
      </c>
    </row>
    <row r="576" spans="1:7" x14ac:dyDescent="0.3">
      <c r="A576" s="13" t="s">
        <v>1250</v>
      </c>
      <c r="B576" s="44" t="s">
        <v>2152</v>
      </c>
      <c r="C576" s="4">
        <v>250574</v>
      </c>
      <c r="D576" s="13" t="s">
        <v>1250</v>
      </c>
      <c r="E576" s="13" t="str">
        <f t="shared" si="24"/>
        <v>FL2</v>
      </c>
      <c r="F576" s="13" t="str">
        <f t="shared" si="25"/>
        <v>50</v>
      </c>
      <c r="G576" s="13" t="str">
        <f t="shared" si="26"/>
        <v>574</v>
      </c>
    </row>
    <row r="577" spans="1:7" x14ac:dyDescent="0.3">
      <c r="A577" s="43" t="s">
        <v>1252</v>
      </c>
      <c r="B577" s="44" t="s">
        <v>2152</v>
      </c>
      <c r="C577" s="4">
        <v>250575</v>
      </c>
      <c r="D577" s="13" t="s">
        <v>1252</v>
      </c>
      <c r="E577" s="13" t="str">
        <f t="shared" si="24"/>
        <v>FL2</v>
      </c>
      <c r="F577" s="13" t="str">
        <f t="shared" si="25"/>
        <v>50</v>
      </c>
      <c r="G577" s="13" t="str">
        <f t="shared" si="26"/>
        <v>575</v>
      </c>
    </row>
    <row r="578" spans="1:7" x14ac:dyDescent="0.3">
      <c r="A578" s="13" t="s">
        <v>1254</v>
      </c>
      <c r="B578" s="44" t="s">
        <v>2152</v>
      </c>
      <c r="C578" s="4">
        <v>250576</v>
      </c>
      <c r="D578" s="13" t="s">
        <v>1254</v>
      </c>
      <c r="E578" s="13" t="str">
        <f t="shared" si="24"/>
        <v>FL2</v>
      </c>
      <c r="F578" s="13" t="str">
        <f t="shared" si="25"/>
        <v>50</v>
      </c>
      <c r="G578" s="13" t="str">
        <f t="shared" si="26"/>
        <v>576</v>
      </c>
    </row>
    <row r="579" spans="1:7" x14ac:dyDescent="0.3">
      <c r="A579" s="43" t="s">
        <v>1256</v>
      </c>
      <c r="B579" s="44" t="s">
        <v>2152</v>
      </c>
      <c r="C579" s="4">
        <v>250577</v>
      </c>
      <c r="D579" s="13" t="s">
        <v>1256</v>
      </c>
      <c r="E579" s="13" t="str">
        <f t="shared" si="24"/>
        <v>FL2</v>
      </c>
      <c r="F579" s="13" t="str">
        <f t="shared" si="25"/>
        <v>50</v>
      </c>
      <c r="G579" s="13" t="str">
        <f t="shared" si="26"/>
        <v>577</v>
      </c>
    </row>
    <row r="580" spans="1:7" x14ac:dyDescent="0.3">
      <c r="A580" s="13" t="s">
        <v>1258</v>
      </c>
      <c r="B580" s="44" t="s">
        <v>2152</v>
      </c>
      <c r="C580" s="4">
        <v>250578</v>
      </c>
      <c r="D580" s="13" t="s">
        <v>1258</v>
      </c>
      <c r="E580" s="13" t="str">
        <f t="shared" ref="E580:E643" si="27">LEFT(D580,3)</f>
        <v>FL2</v>
      </c>
      <c r="F580" s="13" t="str">
        <f t="shared" ref="F580:F643" si="28">MID(D580,4,2)</f>
        <v>50</v>
      </c>
      <c r="G580" s="13" t="str">
        <f t="shared" ref="G580:G643" si="29">RIGHT(D580,3)</f>
        <v>578</v>
      </c>
    </row>
    <row r="581" spans="1:7" x14ac:dyDescent="0.3">
      <c r="A581" s="43" t="s">
        <v>1260</v>
      </c>
      <c r="B581" s="44" t="s">
        <v>2152</v>
      </c>
      <c r="C581" s="4">
        <v>250579</v>
      </c>
      <c r="D581" s="13" t="s">
        <v>1260</v>
      </c>
      <c r="E581" s="13" t="str">
        <f t="shared" si="27"/>
        <v>FL2</v>
      </c>
      <c r="F581" s="13" t="str">
        <f t="shared" si="28"/>
        <v>50</v>
      </c>
      <c r="G581" s="13" t="str">
        <f t="shared" si="29"/>
        <v>579</v>
      </c>
    </row>
    <row r="582" spans="1:7" x14ac:dyDescent="0.3">
      <c r="A582" s="13" t="s">
        <v>1262</v>
      </c>
      <c r="B582" s="44" t="s">
        <v>2152</v>
      </c>
      <c r="C582" s="4">
        <v>250580</v>
      </c>
      <c r="D582" s="13" t="s">
        <v>1262</v>
      </c>
      <c r="E582" s="13" t="str">
        <f t="shared" si="27"/>
        <v>FL2</v>
      </c>
      <c r="F582" s="13" t="str">
        <f t="shared" si="28"/>
        <v>50</v>
      </c>
      <c r="G582" s="13" t="str">
        <f t="shared" si="29"/>
        <v>580</v>
      </c>
    </row>
    <row r="583" spans="1:7" x14ac:dyDescent="0.3">
      <c r="A583" s="43" t="s">
        <v>1264</v>
      </c>
      <c r="B583" s="44" t="s">
        <v>2152</v>
      </c>
      <c r="C583" s="4">
        <v>250581</v>
      </c>
      <c r="D583" s="13" t="s">
        <v>1264</v>
      </c>
      <c r="E583" s="13" t="str">
        <f t="shared" si="27"/>
        <v>FL2</v>
      </c>
      <c r="F583" s="13" t="str">
        <f t="shared" si="28"/>
        <v>50</v>
      </c>
      <c r="G583" s="13" t="str">
        <f t="shared" si="29"/>
        <v>581</v>
      </c>
    </row>
    <row r="584" spans="1:7" x14ac:dyDescent="0.3">
      <c r="A584" s="13" t="s">
        <v>1266</v>
      </c>
      <c r="B584" s="44" t="s">
        <v>2152</v>
      </c>
      <c r="C584" s="4">
        <v>250582</v>
      </c>
      <c r="D584" s="13" t="s">
        <v>1266</v>
      </c>
      <c r="E584" s="13" t="str">
        <f t="shared" si="27"/>
        <v>FL2</v>
      </c>
      <c r="F584" s="13" t="str">
        <f t="shared" si="28"/>
        <v>50</v>
      </c>
      <c r="G584" s="13" t="str">
        <f t="shared" si="29"/>
        <v>582</v>
      </c>
    </row>
    <row r="585" spans="1:7" x14ac:dyDescent="0.3">
      <c r="A585" s="43" t="s">
        <v>1268</v>
      </c>
      <c r="B585" s="44" t="s">
        <v>2152</v>
      </c>
      <c r="C585" s="4">
        <v>250583</v>
      </c>
      <c r="D585" s="13" t="s">
        <v>1268</v>
      </c>
      <c r="E585" s="13" t="str">
        <f t="shared" si="27"/>
        <v>FL2</v>
      </c>
      <c r="F585" s="13" t="str">
        <f t="shared" si="28"/>
        <v>50</v>
      </c>
      <c r="G585" s="13" t="str">
        <f t="shared" si="29"/>
        <v>583</v>
      </c>
    </row>
    <row r="586" spans="1:7" x14ac:dyDescent="0.3">
      <c r="A586" s="13" t="s">
        <v>1270</v>
      </c>
      <c r="B586" s="44" t="s">
        <v>2152</v>
      </c>
      <c r="C586" s="4">
        <v>250584</v>
      </c>
      <c r="D586" s="13" t="s">
        <v>1270</v>
      </c>
      <c r="E586" s="13" t="str">
        <f t="shared" si="27"/>
        <v>FL2</v>
      </c>
      <c r="F586" s="13" t="str">
        <f t="shared" si="28"/>
        <v>50</v>
      </c>
      <c r="G586" s="13" t="str">
        <f t="shared" si="29"/>
        <v>584</v>
      </c>
    </row>
    <row r="587" spans="1:7" x14ac:dyDescent="0.3">
      <c r="A587" s="43" t="s">
        <v>1272</v>
      </c>
      <c r="B587" s="44" t="s">
        <v>2152</v>
      </c>
      <c r="C587" s="4">
        <v>250585</v>
      </c>
      <c r="D587" s="13" t="s">
        <v>1272</v>
      </c>
      <c r="E587" s="13" t="str">
        <f t="shared" si="27"/>
        <v>FL2</v>
      </c>
      <c r="F587" s="13" t="str">
        <f t="shared" si="28"/>
        <v>50</v>
      </c>
      <c r="G587" s="13" t="str">
        <f t="shared" si="29"/>
        <v>585</v>
      </c>
    </row>
    <row r="588" spans="1:7" x14ac:dyDescent="0.3">
      <c r="A588" s="13" t="s">
        <v>1274</v>
      </c>
      <c r="B588" s="44" t="s">
        <v>2152</v>
      </c>
      <c r="C588" s="4">
        <v>250586</v>
      </c>
      <c r="D588" s="13" t="s">
        <v>1274</v>
      </c>
      <c r="E588" s="13" t="str">
        <f t="shared" si="27"/>
        <v>FL2</v>
      </c>
      <c r="F588" s="13" t="str">
        <f t="shared" si="28"/>
        <v>50</v>
      </c>
      <c r="G588" s="13" t="str">
        <f t="shared" si="29"/>
        <v>586</v>
      </c>
    </row>
    <row r="589" spans="1:7" x14ac:dyDescent="0.3">
      <c r="A589" s="43" t="s">
        <v>1276</v>
      </c>
      <c r="B589" s="44" t="s">
        <v>2152</v>
      </c>
      <c r="C589" s="4">
        <v>250587</v>
      </c>
      <c r="D589" s="13" t="s">
        <v>1276</v>
      </c>
      <c r="E589" s="13" t="str">
        <f t="shared" si="27"/>
        <v>FL2</v>
      </c>
      <c r="F589" s="13" t="str">
        <f t="shared" si="28"/>
        <v>50</v>
      </c>
      <c r="G589" s="13" t="str">
        <f t="shared" si="29"/>
        <v>587</v>
      </c>
    </row>
    <row r="590" spans="1:7" x14ac:dyDescent="0.3">
      <c r="A590" s="13" t="s">
        <v>1278</v>
      </c>
      <c r="B590" s="44" t="s">
        <v>2152</v>
      </c>
      <c r="C590" s="4">
        <v>250588</v>
      </c>
      <c r="D590" s="13" t="s">
        <v>1278</v>
      </c>
      <c r="E590" s="13" t="str">
        <f t="shared" si="27"/>
        <v>FL2</v>
      </c>
      <c r="F590" s="13" t="str">
        <f t="shared" si="28"/>
        <v>50</v>
      </c>
      <c r="G590" s="13" t="str">
        <f t="shared" si="29"/>
        <v>588</v>
      </c>
    </row>
    <row r="591" spans="1:7" x14ac:dyDescent="0.3">
      <c r="A591" s="43" t="s">
        <v>1280</v>
      </c>
      <c r="B591" s="44" t="s">
        <v>2152</v>
      </c>
      <c r="C591" s="4">
        <v>250589</v>
      </c>
      <c r="D591" s="13" t="s">
        <v>1280</v>
      </c>
      <c r="E591" s="13" t="str">
        <f t="shared" si="27"/>
        <v>FL2</v>
      </c>
      <c r="F591" s="13" t="str">
        <f t="shared" si="28"/>
        <v>50</v>
      </c>
      <c r="G591" s="13" t="str">
        <f t="shared" si="29"/>
        <v>589</v>
      </c>
    </row>
    <row r="592" spans="1:7" x14ac:dyDescent="0.3">
      <c r="A592" s="13" t="s">
        <v>1282</v>
      </c>
      <c r="B592" s="44" t="s">
        <v>2152</v>
      </c>
      <c r="C592" s="4">
        <v>250590</v>
      </c>
      <c r="D592" s="13" t="s">
        <v>1282</v>
      </c>
      <c r="E592" s="13" t="str">
        <f t="shared" si="27"/>
        <v>FL2</v>
      </c>
      <c r="F592" s="13" t="str">
        <f t="shared" si="28"/>
        <v>50</v>
      </c>
      <c r="G592" s="13" t="str">
        <f t="shared" si="29"/>
        <v>590</v>
      </c>
    </row>
    <row r="593" spans="1:7" x14ac:dyDescent="0.3">
      <c r="A593" s="43" t="s">
        <v>1284</v>
      </c>
      <c r="B593" s="44" t="s">
        <v>2152</v>
      </c>
      <c r="C593" s="4">
        <v>250591</v>
      </c>
      <c r="D593" s="13" t="s">
        <v>1284</v>
      </c>
      <c r="E593" s="13" t="str">
        <f t="shared" si="27"/>
        <v>FL2</v>
      </c>
      <c r="F593" s="13" t="str">
        <f t="shared" si="28"/>
        <v>50</v>
      </c>
      <c r="G593" s="13" t="str">
        <f t="shared" si="29"/>
        <v>591</v>
      </c>
    </row>
    <row r="594" spans="1:7" x14ac:dyDescent="0.3">
      <c r="A594" s="13" t="s">
        <v>1286</v>
      </c>
      <c r="B594" s="44" t="s">
        <v>2152</v>
      </c>
      <c r="C594" s="4">
        <v>250592</v>
      </c>
      <c r="D594" s="13" t="s">
        <v>1286</v>
      </c>
      <c r="E594" s="13" t="str">
        <f t="shared" si="27"/>
        <v>FL2</v>
      </c>
      <c r="F594" s="13" t="str">
        <f t="shared" si="28"/>
        <v>50</v>
      </c>
      <c r="G594" s="13" t="str">
        <f t="shared" si="29"/>
        <v>592</v>
      </c>
    </row>
    <row r="595" spans="1:7" x14ac:dyDescent="0.3">
      <c r="A595" s="43" t="s">
        <v>1288</v>
      </c>
      <c r="B595" s="44" t="s">
        <v>2152</v>
      </c>
      <c r="C595" s="4">
        <v>250593</v>
      </c>
      <c r="D595" s="13" t="s">
        <v>1288</v>
      </c>
      <c r="E595" s="13" t="str">
        <f t="shared" si="27"/>
        <v>FL2</v>
      </c>
      <c r="F595" s="13" t="str">
        <f t="shared" si="28"/>
        <v>50</v>
      </c>
      <c r="G595" s="13" t="str">
        <f t="shared" si="29"/>
        <v>593</v>
      </c>
    </row>
    <row r="596" spans="1:7" x14ac:dyDescent="0.3">
      <c r="A596" s="13" t="s">
        <v>1290</v>
      </c>
      <c r="B596" s="44" t="s">
        <v>2152</v>
      </c>
      <c r="C596" s="4">
        <v>250594</v>
      </c>
      <c r="D596" s="13" t="s">
        <v>1290</v>
      </c>
      <c r="E596" s="13" t="str">
        <f t="shared" si="27"/>
        <v>FL2</v>
      </c>
      <c r="F596" s="13" t="str">
        <f t="shared" si="28"/>
        <v>50</v>
      </c>
      <c r="G596" s="13" t="str">
        <f t="shared" si="29"/>
        <v>594</v>
      </c>
    </row>
    <row r="597" spans="1:7" x14ac:dyDescent="0.3">
      <c r="A597" s="43" t="s">
        <v>1292</v>
      </c>
      <c r="B597" s="44" t="s">
        <v>2152</v>
      </c>
      <c r="C597" s="4">
        <v>250595</v>
      </c>
      <c r="D597" s="13" t="s">
        <v>1292</v>
      </c>
      <c r="E597" s="13" t="str">
        <f t="shared" si="27"/>
        <v>FL2</v>
      </c>
      <c r="F597" s="13" t="str">
        <f t="shared" si="28"/>
        <v>50</v>
      </c>
      <c r="G597" s="13" t="str">
        <f t="shared" si="29"/>
        <v>595</v>
      </c>
    </row>
    <row r="598" spans="1:7" x14ac:dyDescent="0.3">
      <c r="A598" s="13" t="s">
        <v>1294</v>
      </c>
      <c r="B598" s="44" t="s">
        <v>2152</v>
      </c>
      <c r="C598" s="4">
        <v>250596</v>
      </c>
      <c r="D598" s="13" t="s">
        <v>1294</v>
      </c>
      <c r="E598" s="13" t="str">
        <f t="shared" si="27"/>
        <v>FL2</v>
      </c>
      <c r="F598" s="13" t="str">
        <f t="shared" si="28"/>
        <v>50</v>
      </c>
      <c r="G598" s="13" t="str">
        <f t="shared" si="29"/>
        <v>596</v>
      </c>
    </row>
    <row r="599" spans="1:7" x14ac:dyDescent="0.3">
      <c r="A599" s="43" t="s">
        <v>1296</v>
      </c>
      <c r="B599" s="44" t="s">
        <v>2152</v>
      </c>
      <c r="C599" s="4">
        <v>250597</v>
      </c>
      <c r="D599" s="13" t="s">
        <v>1296</v>
      </c>
      <c r="E599" s="13" t="str">
        <f t="shared" si="27"/>
        <v>FL2</v>
      </c>
      <c r="F599" s="13" t="str">
        <f t="shared" si="28"/>
        <v>50</v>
      </c>
      <c r="G599" s="13" t="str">
        <f t="shared" si="29"/>
        <v>597</v>
      </c>
    </row>
    <row r="600" spans="1:7" x14ac:dyDescent="0.3">
      <c r="A600" s="13" t="s">
        <v>1298</v>
      </c>
      <c r="B600" s="44" t="s">
        <v>2152</v>
      </c>
      <c r="C600" s="4">
        <v>250598</v>
      </c>
      <c r="D600" s="13" t="s">
        <v>1298</v>
      </c>
      <c r="E600" s="13" t="str">
        <f t="shared" si="27"/>
        <v>FL2</v>
      </c>
      <c r="F600" s="13" t="str">
        <f t="shared" si="28"/>
        <v>50</v>
      </c>
      <c r="G600" s="13" t="str">
        <f t="shared" si="29"/>
        <v>598</v>
      </c>
    </row>
    <row r="601" spans="1:7" x14ac:dyDescent="0.3">
      <c r="A601" s="43" t="s">
        <v>1300</v>
      </c>
      <c r="B601" s="44" t="s">
        <v>2152</v>
      </c>
      <c r="C601" s="4">
        <v>250599</v>
      </c>
      <c r="D601" s="13" t="s">
        <v>1300</v>
      </c>
      <c r="E601" s="13" t="str">
        <f t="shared" si="27"/>
        <v>FL2</v>
      </c>
      <c r="F601" s="13" t="str">
        <f t="shared" si="28"/>
        <v>50</v>
      </c>
      <c r="G601" s="13" t="str">
        <f t="shared" si="29"/>
        <v>599</v>
      </c>
    </row>
    <row r="602" spans="1:7" x14ac:dyDescent="0.3">
      <c r="A602" s="13" t="s">
        <v>1302</v>
      </c>
      <c r="B602" s="44" t="s">
        <v>2152</v>
      </c>
      <c r="C602" s="4">
        <v>250600</v>
      </c>
      <c r="D602" s="13" t="s">
        <v>1302</v>
      </c>
      <c r="E602" s="13" t="str">
        <f t="shared" si="27"/>
        <v>FL2</v>
      </c>
      <c r="F602" s="13" t="str">
        <f t="shared" si="28"/>
        <v>50</v>
      </c>
      <c r="G602" s="13" t="str">
        <f t="shared" si="29"/>
        <v>600</v>
      </c>
    </row>
    <row r="603" spans="1:7" x14ac:dyDescent="0.3">
      <c r="A603" s="43" t="s">
        <v>1304</v>
      </c>
      <c r="B603" s="44" t="s">
        <v>2152</v>
      </c>
      <c r="C603" s="4">
        <v>250601</v>
      </c>
      <c r="D603" s="13" t="s">
        <v>1304</v>
      </c>
      <c r="E603" s="13" t="str">
        <f t="shared" si="27"/>
        <v>FL2</v>
      </c>
      <c r="F603" s="13" t="str">
        <f t="shared" si="28"/>
        <v>50</v>
      </c>
      <c r="G603" s="13" t="str">
        <f t="shared" si="29"/>
        <v>601</v>
      </c>
    </row>
    <row r="604" spans="1:7" x14ac:dyDescent="0.3">
      <c r="A604" s="13" t="s">
        <v>1306</v>
      </c>
      <c r="B604" s="44" t="s">
        <v>2152</v>
      </c>
      <c r="C604" s="4">
        <v>250602</v>
      </c>
      <c r="D604" s="13" t="s">
        <v>1306</v>
      </c>
      <c r="E604" s="13" t="str">
        <f t="shared" si="27"/>
        <v>FL2</v>
      </c>
      <c r="F604" s="13" t="str">
        <f t="shared" si="28"/>
        <v>50</v>
      </c>
      <c r="G604" s="13" t="str">
        <f t="shared" si="29"/>
        <v>602</v>
      </c>
    </row>
    <row r="605" spans="1:7" x14ac:dyDescent="0.3">
      <c r="A605" s="43" t="s">
        <v>1308</v>
      </c>
      <c r="B605" s="44" t="s">
        <v>2152</v>
      </c>
      <c r="C605" s="4">
        <v>250603</v>
      </c>
      <c r="D605" s="13" t="s">
        <v>1308</v>
      </c>
      <c r="E605" s="13" t="str">
        <f t="shared" si="27"/>
        <v>FL2</v>
      </c>
      <c r="F605" s="13" t="str">
        <f t="shared" si="28"/>
        <v>50</v>
      </c>
      <c r="G605" s="13" t="str">
        <f t="shared" si="29"/>
        <v>603</v>
      </c>
    </row>
    <row r="606" spans="1:7" x14ac:dyDescent="0.3">
      <c r="A606" s="13" t="s">
        <v>1310</v>
      </c>
      <c r="B606" s="44" t="s">
        <v>2152</v>
      </c>
      <c r="C606" s="4">
        <v>250604</v>
      </c>
      <c r="D606" s="13" t="s">
        <v>1310</v>
      </c>
      <c r="E606" s="13" t="str">
        <f t="shared" si="27"/>
        <v>FL2</v>
      </c>
      <c r="F606" s="13" t="str">
        <f t="shared" si="28"/>
        <v>50</v>
      </c>
      <c r="G606" s="13" t="str">
        <f t="shared" si="29"/>
        <v>604</v>
      </c>
    </row>
    <row r="607" spans="1:7" x14ac:dyDescent="0.3">
      <c r="A607" s="43" t="s">
        <v>1312</v>
      </c>
      <c r="B607" s="44" t="s">
        <v>2152</v>
      </c>
      <c r="C607" s="4">
        <v>250605</v>
      </c>
      <c r="D607" s="13" t="s">
        <v>1312</v>
      </c>
      <c r="E607" s="13" t="str">
        <f t="shared" si="27"/>
        <v>FL2</v>
      </c>
      <c r="F607" s="13" t="str">
        <f t="shared" si="28"/>
        <v>50</v>
      </c>
      <c r="G607" s="13" t="str">
        <f t="shared" si="29"/>
        <v>605</v>
      </c>
    </row>
    <row r="608" spans="1:7" x14ac:dyDescent="0.3">
      <c r="A608" s="13" t="s">
        <v>1314</v>
      </c>
      <c r="B608" s="44" t="s">
        <v>2152</v>
      </c>
      <c r="C608" s="4">
        <v>250606</v>
      </c>
      <c r="D608" s="13" t="s">
        <v>1314</v>
      </c>
      <c r="E608" s="13" t="str">
        <f t="shared" si="27"/>
        <v>FL2</v>
      </c>
      <c r="F608" s="13" t="str">
        <f t="shared" si="28"/>
        <v>50</v>
      </c>
      <c r="G608" s="13" t="str">
        <f t="shared" si="29"/>
        <v>606</v>
      </c>
    </row>
    <row r="609" spans="1:7" x14ac:dyDescent="0.3">
      <c r="A609" s="43" t="s">
        <v>1316</v>
      </c>
      <c r="B609" s="44" t="s">
        <v>2152</v>
      </c>
      <c r="C609" s="4">
        <v>250607</v>
      </c>
      <c r="D609" s="13" t="s">
        <v>1316</v>
      </c>
      <c r="E609" s="13" t="str">
        <f t="shared" si="27"/>
        <v>FL2</v>
      </c>
      <c r="F609" s="13" t="str">
        <f t="shared" si="28"/>
        <v>50</v>
      </c>
      <c r="G609" s="13" t="str">
        <f t="shared" si="29"/>
        <v>607</v>
      </c>
    </row>
    <row r="610" spans="1:7" x14ac:dyDescent="0.3">
      <c r="A610" s="13" t="s">
        <v>1318</v>
      </c>
      <c r="B610" s="44" t="s">
        <v>2152</v>
      </c>
      <c r="C610" s="4">
        <v>250608</v>
      </c>
      <c r="D610" s="13" t="s">
        <v>1318</v>
      </c>
      <c r="E610" s="13" t="str">
        <f t="shared" si="27"/>
        <v>FL2</v>
      </c>
      <c r="F610" s="13" t="str">
        <f t="shared" si="28"/>
        <v>50</v>
      </c>
      <c r="G610" s="13" t="str">
        <f t="shared" si="29"/>
        <v>608</v>
      </c>
    </row>
    <row r="611" spans="1:7" x14ac:dyDescent="0.3">
      <c r="A611" s="43" t="s">
        <v>1320</v>
      </c>
      <c r="B611" s="44" t="s">
        <v>2152</v>
      </c>
      <c r="C611" s="4">
        <v>250609</v>
      </c>
      <c r="D611" s="13" t="s">
        <v>1320</v>
      </c>
      <c r="E611" s="13" t="str">
        <f t="shared" si="27"/>
        <v>FL2</v>
      </c>
      <c r="F611" s="13" t="str">
        <f t="shared" si="28"/>
        <v>50</v>
      </c>
      <c r="G611" s="13" t="str">
        <f t="shared" si="29"/>
        <v>609</v>
      </c>
    </row>
    <row r="612" spans="1:7" x14ac:dyDescent="0.3">
      <c r="A612" s="13" t="s">
        <v>1322</v>
      </c>
      <c r="B612" s="44" t="s">
        <v>2152</v>
      </c>
      <c r="C612" s="4">
        <v>250610</v>
      </c>
      <c r="D612" s="13" t="s">
        <v>1322</v>
      </c>
      <c r="E612" s="13" t="str">
        <f t="shared" si="27"/>
        <v>FL2</v>
      </c>
      <c r="F612" s="13" t="str">
        <f t="shared" si="28"/>
        <v>50</v>
      </c>
      <c r="G612" s="13" t="str">
        <f t="shared" si="29"/>
        <v>610</v>
      </c>
    </row>
    <row r="613" spans="1:7" x14ac:dyDescent="0.3">
      <c r="A613" s="43" t="s">
        <v>1324</v>
      </c>
      <c r="B613" s="44" t="s">
        <v>2152</v>
      </c>
      <c r="C613" s="4">
        <v>250611</v>
      </c>
      <c r="D613" s="13" t="s">
        <v>1324</v>
      </c>
      <c r="E613" s="13" t="str">
        <f t="shared" si="27"/>
        <v>FL2</v>
      </c>
      <c r="F613" s="13" t="str">
        <f t="shared" si="28"/>
        <v>50</v>
      </c>
      <c r="G613" s="13" t="str">
        <f t="shared" si="29"/>
        <v>611</v>
      </c>
    </row>
    <row r="614" spans="1:7" x14ac:dyDescent="0.3">
      <c r="A614" s="13" t="s">
        <v>1326</v>
      </c>
      <c r="B614" s="44" t="s">
        <v>2152</v>
      </c>
      <c r="C614" s="4">
        <v>250612</v>
      </c>
      <c r="D614" s="13" t="s">
        <v>1326</v>
      </c>
      <c r="E614" s="13" t="str">
        <f t="shared" si="27"/>
        <v>FL2</v>
      </c>
      <c r="F614" s="13" t="str">
        <f t="shared" si="28"/>
        <v>50</v>
      </c>
      <c r="G614" s="13" t="str">
        <f t="shared" si="29"/>
        <v>612</v>
      </c>
    </row>
    <row r="615" spans="1:7" x14ac:dyDescent="0.3">
      <c r="A615" s="43" t="s">
        <v>1328</v>
      </c>
      <c r="B615" s="44" t="s">
        <v>2152</v>
      </c>
      <c r="C615" s="4">
        <v>250613</v>
      </c>
      <c r="D615" s="13" t="s">
        <v>1328</v>
      </c>
      <c r="E615" s="13" t="str">
        <f t="shared" si="27"/>
        <v>FL2</v>
      </c>
      <c r="F615" s="13" t="str">
        <f t="shared" si="28"/>
        <v>50</v>
      </c>
      <c r="G615" s="13" t="str">
        <f t="shared" si="29"/>
        <v>613</v>
      </c>
    </row>
    <row r="616" spans="1:7" x14ac:dyDescent="0.3">
      <c r="A616" s="13" t="s">
        <v>1330</v>
      </c>
      <c r="B616" s="44" t="s">
        <v>2152</v>
      </c>
      <c r="C616" s="4">
        <v>250614</v>
      </c>
      <c r="D616" s="13" t="s">
        <v>1330</v>
      </c>
      <c r="E616" s="13" t="str">
        <f t="shared" si="27"/>
        <v>FL2</v>
      </c>
      <c r="F616" s="13" t="str">
        <f t="shared" si="28"/>
        <v>50</v>
      </c>
      <c r="G616" s="13" t="str">
        <f t="shared" si="29"/>
        <v>614</v>
      </c>
    </row>
    <row r="617" spans="1:7" x14ac:dyDescent="0.3">
      <c r="A617" s="43" t="s">
        <v>1332</v>
      </c>
      <c r="B617" s="44" t="s">
        <v>2152</v>
      </c>
      <c r="C617" s="4">
        <v>250615</v>
      </c>
      <c r="D617" s="13" t="s">
        <v>1332</v>
      </c>
      <c r="E617" s="13" t="str">
        <f t="shared" si="27"/>
        <v>FL2</v>
      </c>
      <c r="F617" s="13" t="str">
        <f t="shared" si="28"/>
        <v>50</v>
      </c>
      <c r="G617" s="13" t="str">
        <f t="shared" si="29"/>
        <v>615</v>
      </c>
    </row>
    <row r="618" spans="1:7" x14ac:dyDescent="0.3">
      <c r="A618" s="13" t="s">
        <v>1334</v>
      </c>
      <c r="B618" s="44" t="s">
        <v>2152</v>
      </c>
      <c r="C618" s="4">
        <v>250616</v>
      </c>
      <c r="D618" s="13" t="s">
        <v>1334</v>
      </c>
      <c r="E618" s="13" t="str">
        <f t="shared" si="27"/>
        <v>FL2</v>
      </c>
      <c r="F618" s="13" t="str">
        <f t="shared" si="28"/>
        <v>50</v>
      </c>
      <c r="G618" s="13" t="str">
        <f t="shared" si="29"/>
        <v>616</v>
      </c>
    </row>
    <row r="619" spans="1:7" x14ac:dyDescent="0.3">
      <c r="A619" s="43" t="s">
        <v>1336</v>
      </c>
      <c r="B619" s="44" t="s">
        <v>2152</v>
      </c>
      <c r="C619" s="4">
        <v>250617</v>
      </c>
      <c r="D619" s="13" t="s">
        <v>1336</v>
      </c>
      <c r="E619" s="13" t="str">
        <f t="shared" si="27"/>
        <v>FL2</v>
      </c>
      <c r="F619" s="13" t="str">
        <f t="shared" si="28"/>
        <v>50</v>
      </c>
      <c r="G619" s="13" t="str">
        <f t="shared" si="29"/>
        <v>617</v>
      </c>
    </row>
    <row r="620" spans="1:7" x14ac:dyDescent="0.3">
      <c r="A620" s="13" t="s">
        <v>1338</v>
      </c>
      <c r="B620" s="44" t="s">
        <v>2152</v>
      </c>
      <c r="C620" s="4">
        <v>250618</v>
      </c>
      <c r="D620" s="13" t="s">
        <v>1338</v>
      </c>
      <c r="E620" s="13" t="str">
        <f t="shared" si="27"/>
        <v>FL2</v>
      </c>
      <c r="F620" s="13" t="str">
        <f t="shared" si="28"/>
        <v>50</v>
      </c>
      <c r="G620" s="13" t="str">
        <f t="shared" si="29"/>
        <v>618</v>
      </c>
    </row>
    <row r="621" spans="1:7" x14ac:dyDescent="0.3">
      <c r="A621" s="43" t="s">
        <v>1340</v>
      </c>
      <c r="B621" s="44" t="s">
        <v>2152</v>
      </c>
      <c r="C621" s="4">
        <v>250619</v>
      </c>
      <c r="D621" s="13" t="s">
        <v>1340</v>
      </c>
      <c r="E621" s="13" t="str">
        <f t="shared" si="27"/>
        <v>FL2</v>
      </c>
      <c r="F621" s="13" t="str">
        <f t="shared" si="28"/>
        <v>50</v>
      </c>
      <c r="G621" s="13" t="str">
        <f t="shared" si="29"/>
        <v>619</v>
      </c>
    </row>
    <row r="622" spans="1:7" x14ac:dyDescent="0.3">
      <c r="A622" s="13" t="s">
        <v>1342</v>
      </c>
      <c r="B622" s="44" t="s">
        <v>2152</v>
      </c>
      <c r="C622" s="4">
        <v>250620</v>
      </c>
      <c r="D622" s="13" t="s">
        <v>1342</v>
      </c>
      <c r="E622" s="13" t="str">
        <f t="shared" si="27"/>
        <v>FL2</v>
      </c>
      <c r="F622" s="13" t="str">
        <f t="shared" si="28"/>
        <v>50</v>
      </c>
      <c r="G622" s="13" t="str">
        <f t="shared" si="29"/>
        <v>620</v>
      </c>
    </row>
    <row r="623" spans="1:7" x14ac:dyDescent="0.3">
      <c r="A623" s="43" t="s">
        <v>1344</v>
      </c>
      <c r="B623" s="44" t="s">
        <v>2152</v>
      </c>
      <c r="C623" s="4">
        <v>250621</v>
      </c>
      <c r="D623" s="13" t="s">
        <v>1344</v>
      </c>
      <c r="E623" s="13" t="str">
        <f t="shared" si="27"/>
        <v>FL2</v>
      </c>
      <c r="F623" s="13" t="str">
        <f t="shared" si="28"/>
        <v>50</v>
      </c>
      <c r="G623" s="13" t="str">
        <f t="shared" si="29"/>
        <v>621</v>
      </c>
    </row>
    <row r="624" spans="1:7" x14ac:dyDescent="0.3">
      <c r="A624" s="13" t="s">
        <v>1346</v>
      </c>
      <c r="B624" s="44" t="s">
        <v>2152</v>
      </c>
      <c r="C624" s="4">
        <v>250622</v>
      </c>
      <c r="D624" s="13" t="s">
        <v>1346</v>
      </c>
      <c r="E624" s="13" t="str">
        <f t="shared" si="27"/>
        <v>FL2</v>
      </c>
      <c r="F624" s="13" t="str">
        <f t="shared" si="28"/>
        <v>50</v>
      </c>
      <c r="G624" s="13" t="str">
        <f t="shared" si="29"/>
        <v>622</v>
      </c>
    </row>
    <row r="625" spans="1:7" x14ac:dyDescent="0.3">
      <c r="A625" s="43" t="s">
        <v>1348</v>
      </c>
      <c r="B625" s="44" t="s">
        <v>2152</v>
      </c>
      <c r="C625" s="4">
        <v>250623</v>
      </c>
      <c r="D625" s="13" t="s">
        <v>1348</v>
      </c>
      <c r="E625" s="13" t="str">
        <f t="shared" si="27"/>
        <v>FL2</v>
      </c>
      <c r="F625" s="13" t="str">
        <f t="shared" si="28"/>
        <v>50</v>
      </c>
      <c r="G625" s="13" t="str">
        <f t="shared" si="29"/>
        <v>623</v>
      </c>
    </row>
    <row r="626" spans="1:7" x14ac:dyDescent="0.3">
      <c r="A626" s="13" t="s">
        <v>1350</v>
      </c>
      <c r="B626" s="44" t="s">
        <v>2152</v>
      </c>
      <c r="C626" s="4">
        <v>250624</v>
      </c>
      <c r="D626" s="13" t="s">
        <v>1350</v>
      </c>
      <c r="E626" s="13" t="str">
        <f t="shared" si="27"/>
        <v>FL2</v>
      </c>
      <c r="F626" s="13" t="str">
        <f t="shared" si="28"/>
        <v>50</v>
      </c>
      <c r="G626" s="13" t="str">
        <f t="shared" si="29"/>
        <v>624</v>
      </c>
    </row>
    <row r="627" spans="1:7" x14ac:dyDescent="0.3">
      <c r="A627" s="43" t="s">
        <v>1352</v>
      </c>
      <c r="B627" s="44" t="s">
        <v>2152</v>
      </c>
      <c r="C627" s="4">
        <v>250625</v>
      </c>
      <c r="D627" s="13" t="s">
        <v>1352</v>
      </c>
      <c r="E627" s="13" t="str">
        <f t="shared" si="27"/>
        <v>FL2</v>
      </c>
      <c r="F627" s="13" t="str">
        <f t="shared" si="28"/>
        <v>50</v>
      </c>
      <c r="G627" s="13" t="str">
        <f t="shared" si="29"/>
        <v>625</v>
      </c>
    </row>
    <row r="628" spans="1:7" x14ac:dyDescent="0.3">
      <c r="A628" s="13" t="s">
        <v>1354</v>
      </c>
      <c r="B628" s="44" t="s">
        <v>2152</v>
      </c>
      <c r="C628" s="4">
        <v>250626</v>
      </c>
      <c r="D628" s="13" t="s">
        <v>1354</v>
      </c>
      <c r="E628" s="13" t="str">
        <f t="shared" si="27"/>
        <v>FL2</v>
      </c>
      <c r="F628" s="13" t="str">
        <f t="shared" si="28"/>
        <v>50</v>
      </c>
      <c r="G628" s="13" t="str">
        <f t="shared" si="29"/>
        <v>626</v>
      </c>
    </row>
    <row r="629" spans="1:7" x14ac:dyDescent="0.3">
      <c r="A629" s="43" t="s">
        <v>1356</v>
      </c>
      <c r="B629" s="44" t="s">
        <v>2152</v>
      </c>
      <c r="C629" s="4">
        <v>250627</v>
      </c>
      <c r="D629" s="13" t="s">
        <v>1356</v>
      </c>
      <c r="E629" s="13" t="str">
        <f t="shared" si="27"/>
        <v>FL2</v>
      </c>
      <c r="F629" s="13" t="str">
        <f t="shared" si="28"/>
        <v>50</v>
      </c>
      <c r="G629" s="13" t="str">
        <f t="shared" si="29"/>
        <v>627</v>
      </c>
    </row>
    <row r="630" spans="1:7" x14ac:dyDescent="0.3">
      <c r="A630" s="13" t="s">
        <v>1358</v>
      </c>
      <c r="B630" s="44" t="s">
        <v>2152</v>
      </c>
      <c r="C630" s="4">
        <v>250628</v>
      </c>
      <c r="D630" s="13" t="s">
        <v>1358</v>
      </c>
      <c r="E630" s="13" t="str">
        <f t="shared" si="27"/>
        <v>FL2</v>
      </c>
      <c r="F630" s="13" t="str">
        <f t="shared" si="28"/>
        <v>50</v>
      </c>
      <c r="G630" s="13" t="str">
        <f t="shared" si="29"/>
        <v>628</v>
      </c>
    </row>
    <row r="631" spans="1:7" x14ac:dyDescent="0.3">
      <c r="A631" s="43" t="s">
        <v>1360</v>
      </c>
      <c r="B631" s="44" t="s">
        <v>2152</v>
      </c>
      <c r="C631" s="4">
        <v>250629</v>
      </c>
      <c r="D631" s="13" t="s">
        <v>1360</v>
      </c>
      <c r="E631" s="13" t="str">
        <f t="shared" si="27"/>
        <v>FL2</v>
      </c>
      <c r="F631" s="13" t="str">
        <f t="shared" si="28"/>
        <v>50</v>
      </c>
      <c r="G631" s="13" t="str">
        <f t="shared" si="29"/>
        <v>629</v>
      </c>
    </row>
    <row r="632" spans="1:7" x14ac:dyDescent="0.3">
      <c r="A632" s="13" t="s">
        <v>1362</v>
      </c>
      <c r="B632" s="44" t="s">
        <v>2152</v>
      </c>
      <c r="C632" s="4">
        <v>250630</v>
      </c>
      <c r="D632" s="13" t="s">
        <v>1362</v>
      </c>
      <c r="E632" s="13" t="str">
        <f t="shared" si="27"/>
        <v>FL2</v>
      </c>
      <c r="F632" s="13" t="str">
        <f t="shared" si="28"/>
        <v>50</v>
      </c>
      <c r="G632" s="13" t="str">
        <f t="shared" si="29"/>
        <v>630</v>
      </c>
    </row>
    <row r="633" spans="1:7" x14ac:dyDescent="0.3">
      <c r="A633" s="43" t="s">
        <v>1364</v>
      </c>
      <c r="B633" s="44" t="s">
        <v>2152</v>
      </c>
      <c r="C633" s="4">
        <v>250631</v>
      </c>
      <c r="D633" s="13" t="s">
        <v>1364</v>
      </c>
      <c r="E633" s="13" t="str">
        <f t="shared" si="27"/>
        <v>FL2</v>
      </c>
      <c r="F633" s="13" t="str">
        <f t="shared" si="28"/>
        <v>50</v>
      </c>
      <c r="G633" s="13" t="str">
        <f t="shared" si="29"/>
        <v>631</v>
      </c>
    </row>
    <row r="634" spans="1:7" x14ac:dyDescent="0.3">
      <c r="A634" s="13" t="s">
        <v>1366</v>
      </c>
      <c r="B634" s="44" t="s">
        <v>2152</v>
      </c>
      <c r="C634" s="4">
        <v>250632</v>
      </c>
      <c r="D634" s="13" t="s">
        <v>1366</v>
      </c>
      <c r="E634" s="13" t="str">
        <f t="shared" si="27"/>
        <v>FL2</v>
      </c>
      <c r="F634" s="13" t="str">
        <f t="shared" si="28"/>
        <v>50</v>
      </c>
      <c r="G634" s="13" t="str">
        <f t="shared" si="29"/>
        <v>632</v>
      </c>
    </row>
    <row r="635" spans="1:7" x14ac:dyDescent="0.3">
      <c r="A635" s="43" t="s">
        <v>1368</v>
      </c>
      <c r="B635" s="44" t="s">
        <v>2152</v>
      </c>
      <c r="C635" s="4">
        <v>250633</v>
      </c>
      <c r="D635" s="13" t="s">
        <v>1368</v>
      </c>
      <c r="E635" s="13" t="str">
        <f t="shared" si="27"/>
        <v>FL2</v>
      </c>
      <c r="F635" s="13" t="str">
        <f t="shared" si="28"/>
        <v>50</v>
      </c>
      <c r="G635" s="13" t="str">
        <f t="shared" si="29"/>
        <v>633</v>
      </c>
    </row>
    <row r="636" spans="1:7" x14ac:dyDescent="0.3">
      <c r="A636" s="13" t="s">
        <v>1370</v>
      </c>
      <c r="B636" s="44" t="s">
        <v>2152</v>
      </c>
      <c r="C636" s="4">
        <v>250634</v>
      </c>
      <c r="D636" s="13" t="s">
        <v>1370</v>
      </c>
      <c r="E636" s="13" t="str">
        <f t="shared" si="27"/>
        <v>FL2</v>
      </c>
      <c r="F636" s="13" t="str">
        <f t="shared" si="28"/>
        <v>50</v>
      </c>
      <c r="G636" s="13" t="str">
        <f t="shared" si="29"/>
        <v>634</v>
      </c>
    </row>
    <row r="637" spans="1:7" x14ac:dyDescent="0.3">
      <c r="A637" s="43" t="s">
        <v>1372</v>
      </c>
      <c r="B637" s="44" t="s">
        <v>2152</v>
      </c>
      <c r="C637" s="4">
        <v>250635</v>
      </c>
      <c r="D637" s="13" t="s">
        <v>1372</v>
      </c>
      <c r="E637" s="13" t="str">
        <f t="shared" si="27"/>
        <v>FL2</v>
      </c>
      <c r="F637" s="13" t="str">
        <f t="shared" si="28"/>
        <v>50</v>
      </c>
      <c r="G637" s="13" t="str">
        <f t="shared" si="29"/>
        <v>635</v>
      </c>
    </row>
    <row r="638" spans="1:7" x14ac:dyDescent="0.3">
      <c r="A638" s="13" t="s">
        <v>1374</v>
      </c>
      <c r="B638" s="44" t="s">
        <v>2152</v>
      </c>
      <c r="C638" s="4">
        <v>250636</v>
      </c>
      <c r="D638" s="13" t="s">
        <v>1374</v>
      </c>
      <c r="E638" s="13" t="str">
        <f t="shared" si="27"/>
        <v>FL2</v>
      </c>
      <c r="F638" s="13" t="str">
        <f t="shared" si="28"/>
        <v>50</v>
      </c>
      <c r="G638" s="13" t="str">
        <f t="shared" si="29"/>
        <v>636</v>
      </c>
    </row>
    <row r="639" spans="1:7" x14ac:dyDescent="0.3">
      <c r="A639" s="43" t="s">
        <v>1376</v>
      </c>
      <c r="B639" s="44" t="s">
        <v>2152</v>
      </c>
      <c r="C639" s="4">
        <v>250637</v>
      </c>
      <c r="D639" s="13" t="s">
        <v>1376</v>
      </c>
      <c r="E639" s="13" t="str">
        <f t="shared" si="27"/>
        <v>FL2</v>
      </c>
      <c r="F639" s="13" t="str">
        <f t="shared" si="28"/>
        <v>50</v>
      </c>
      <c r="G639" s="13" t="str">
        <f t="shared" si="29"/>
        <v>637</v>
      </c>
    </row>
    <row r="640" spans="1:7" x14ac:dyDescent="0.3">
      <c r="A640" s="13" t="s">
        <v>1378</v>
      </c>
      <c r="B640" s="44" t="s">
        <v>2152</v>
      </c>
      <c r="C640" s="4">
        <v>250638</v>
      </c>
      <c r="D640" s="13" t="s">
        <v>1378</v>
      </c>
      <c r="E640" s="13" t="str">
        <f t="shared" si="27"/>
        <v>FL2</v>
      </c>
      <c r="F640" s="13" t="str">
        <f t="shared" si="28"/>
        <v>50</v>
      </c>
      <c r="G640" s="13" t="str">
        <f t="shared" si="29"/>
        <v>638</v>
      </c>
    </row>
    <row r="641" spans="1:7" x14ac:dyDescent="0.3">
      <c r="A641" s="43" t="s">
        <v>1380</v>
      </c>
      <c r="B641" s="44" t="s">
        <v>2152</v>
      </c>
      <c r="C641" s="4">
        <v>250639</v>
      </c>
      <c r="D641" s="13" t="s">
        <v>1380</v>
      </c>
      <c r="E641" s="13" t="str">
        <f t="shared" si="27"/>
        <v>FL2</v>
      </c>
      <c r="F641" s="13" t="str">
        <f t="shared" si="28"/>
        <v>50</v>
      </c>
      <c r="G641" s="13" t="str">
        <f t="shared" si="29"/>
        <v>639</v>
      </c>
    </row>
    <row r="642" spans="1:7" x14ac:dyDescent="0.3">
      <c r="A642" s="13" t="s">
        <v>1382</v>
      </c>
      <c r="B642" s="44" t="s">
        <v>2152</v>
      </c>
      <c r="C642" s="4">
        <v>250640</v>
      </c>
      <c r="D642" s="13" t="s">
        <v>1382</v>
      </c>
      <c r="E642" s="13" t="str">
        <f t="shared" si="27"/>
        <v>FL2</v>
      </c>
      <c r="F642" s="13" t="str">
        <f t="shared" si="28"/>
        <v>50</v>
      </c>
      <c r="G642" s="13" t="str">
        <f t="shared" si="29"/>
        <v>640</v>
      </c>
    </row>
    <row r="643" spans="1:7" x14ac:dyDescent="0.3">
      <c r="A643" s="43" t="s">
        <v>1384</v>
      </c>
      <c r="B643" s="44" t="s">
        <v>2152</v>
      </c>
      <c r="C643" s="4">
        <v>250641</v>
      </c>
      <c r="D643" s="13" t="s">
        <v>1384</v>
      </c>
      <c r="E643" s="13" t="str">
        <f t="shared" si="27"/>
        <v>FL2</v>
      </c>
      <c r="F643" s="13" t="str">
        <f t="shared" si="28"/>
        <v>50</v>
      </c>
      <c r="G643" s="13" t="str">
        <f t="shared" si="29"/>
        <v>641</v>
      </c>
    </row>
    <row r="644" spans="1:7" x14ac:dyDescent="0.3">
      <c r="A644" s="13" t="s">
        <v>1386</v>
      </c>
      <c r="B644" s="44" t="s">
        <v>2152</v>
      </c>
      <c r="C644" s="4">
        <v>250642</v>
      </c>
      <c r="D644" s="13" t="s">
        <v>1386</v>
      </c>
      <c r="E644" s="13" t="str">
        <f t="shared" ref="E644:E707" si="30">LEFT(D644,3)</f>
        <v>FL2</v>
      </c>
      <c r="F644" s="13" t="str">
        <f t="shared" ref="F644:F707" si="31">MID(D644,4,2)</f>
        <v>50</v>
      </c>
      <c r="G644" s="13" t="str">
        <f t="shared" ref="G644:G707" si="32">RIGHT(D644,3)</f>
        <v>642</v>
      </c>
    </row>
    <row r="645" spans="1:7" x14ac:dyDescent="0.3">
      <c r="A645" s="43" t="s">
        <v>1388</v>
      </c>
      <c r="B645" s="44" t="s">
        <v>2152</v>
      </c>
      <c r="C645" s="4">
        <v>250643</v>
      </c>
      <c r="D645" s="13" t="s">
        <v>1388</v>
      </c>
      <c r="E645" s="13" t="str">
        <f t="shared" si="30"/>
        <v>FL2</v>
      </c>
      <c r="F645" s="13" t="str">
        <f t="shared" si="31"/>
        <v>50</v>
      </c>
      <c r="G645" s="13" t="str">
        <f t="shared" si="32"/>
        <v>643</v>
      </c>
    </row>
    <row r="646" spans="1:7" x14ac:dyDescent="0.3">
      <c r="A646" s="13" t="s">
        <v>1390</v>
      </c>
      <c r="B646" s="44" t="s">
        <v>2152</v>
      </c>
      <c r="C646" s="4">
        <v>250644</v>
      </c>
      <c r="D646" s="13" t="s">
        <v>1390</v>
      </c>
      <c r="E646" s="13" t="str">
        <f t="shared" si="30"/>
        <v>FL2</v>
      </c>
      <c r="F646" s="13" t="str">
        <f t="shared" si="31"/>
        <v>50</v>
      </c>
      <c r="G646" s="13" t="str">
        <f t="shared" si="32"/>
        <v>644</v>
      </c>
    </row>
    <row r="647" spans="1:7" x14ac:dyDescent="0.3">
      <c r="A647" s="43" t="s">
        <v>1392</v>
      </c>
      <c r="B647" s="44" t="s">
        <v>2152</v>
      </c>
      <c r="C647" s="4">
        <v>250645</v>
      </c>
      <c r="D647" s="13" t="s">
        <v>1392</v>
      </c>
      <c r="E647" s="13" t="str">
        <f t="shared" si="30"/>
        <v>FL2</v>
      </c>
      <c r="F647" s="13" t="str">
        <f t="shared" si="31"/>
        <v>50</v>
      </c>
      <c r="G647" s="13" t="str">
        <f t="shared" si="32"/>
        <v>645</v>
      </c>
    </row>
    <row r="648" spans="1:7" x14ac:dyDescent="0.3">
      <c r="A648" s="13" t="s">
        <v>1394</v>
      </c>
      <c r="B648" s="44" t="s">
        <v>2152</v>
      </c>
      <c r="C648" s="4">
        <v>250646</v>
      </c>
      <c r="D648" s="13" t="s">
        <v>1394</v>
      </c>
      <c r="E648" s="13" t="str">
        <f t="shared" si="30"/>
        <v>FL2</v>
      </c>
      <c r="F648" s="13" t="str">
        <f t="shared" si="31"/>
        <v>50</v>
      </c>
      <c r="G648" s="13" t="str">
        <f t="shared" si="32"/>
        <v>646</v>
      </c>
    </row>
    <row r="649" spans="1:7" x14ac:dyDescent="0.3">
      <c r="A649" s="43" t="s">
        <v>1396</v>
      </c>
      <c r="B649" s="44" t="s">
        <v>2152</v>
      </c>
      <c r="C649" s="4">
        <v>250647</v>
      </c>
      <c r="D649" s="13" t="s">
        <v>1396</v>
      </c>
      <c r="E649" s="13" t="str">
        <f t="shared" si="30"/>
        <v>FL2</v>
      </c>
      <c r="F649" s="13" t="str">
        <f t="shared" si="31"/>
        <v>50</v>
      </c>
      <c r="G649" s="13" t="str">
        <f t="shared" si="32"/>
        <v>647</v>
      </c>
    </row>
    <row r="650" spans="1:7" x14ac:dyDescent="0.3">
      <c r="A650" s="13" t="s">
        <v>1398</v>
      </c>
      <c r="B650" s="44" t="s">
        <v>2152</v>
      </c>
      <c r="C650" s="4">
        <v>250648</v>
      </c>
      <c r="D650" s="13" t="s">
        <v>1398</v>
      </c>
      <c r="E650" s="13" t="str">
        <f t="shared" si="30"/>
        <v>FL2</v>
      </c>
      <c r="F650" s="13" t="str">
        <f t="shared" si="31"/>
        <v>50</v>
      </c>
      <c r="G650" s="13" t="str">
        <f t="shared" si="32"/>
        <v>648</v>
      </c>
    </row>
    <row r="651" spans="1:7" x14ac:dyDescent="0.3">
      <c r="A651" s="43" t="s">
        <v>1400</v>
      </c>
      <c r="B651" s="44" t="s">
        <v>2152</v>
      </c>
      <c r="C651" s="4">
        <v>250649</v>
      </c>
      <c r="D651" s="13" t="s">
        <v>1400</v>
      </c>
      <c r="E651" s="13" t="str">
        <f t="shared" si="30"/>
        <v>FL2</v>
      </c>
      <c r="F651" s="13" t="str">
        <f t="shared" si="31"/>
        <v>50</v>
      </c>
      <c r="G651" s="13" t="str">
        <f t="shared" si="32"/>
        <v>649</v>
      </c>
    </row>
    <row r="652" spans="1:7" x14ac:dyDescent="0.3">
      <c r="A652" s="13" t="s">
        <v>1402</v>
      </c>
      <c r="B652" s="44" t="s">
        <v>2152</v>
      </c>
      <c r="C652" s="4">
        <v>250650</v>
      </c>
      <c r="D652" s="13" t="s">
        <v>1402</v>
      </c>
      <c r="E652" s="13" t="str">
        <f t="shared" si="30"/>
        <v>FL2</v>
      </c>
      <c r="F652" s="13" t="str">
        <f t="shared" si="31"/>
        <v>50</v>
      </c>
      <c r="G652" s="13" t="str">
        <f t="shared" si="32"/>
        <v>650</v>
      </c>
    </row>
    <row r="653" spans="1:7" x14ac:dyDescent="0.3">
      <c r="A653" s="43" t="s">
        <v>1404</v>
      </c>
      <c r="B653" s="44" t="s">
        <v>2152</v>
      </c>
      <c r="C653" s="4">
        <v>250651</v>
      </c>
      <c r="D653" s="13" t="s">
        <v>1404</v>
      </c>
      <c r="E653" s="13" t="str">
        <f t="shared" si="30"/>
        <v>FL2</v>
      </c>
      <c r="F653" s="13" t="str">
        <f t="shared" si="31"/>
        <v>50</v>
      </c>
      <c r="G653" s="13" t="str">
        <f t="shared" si="32"/>
        <v>651</v>
      </c>
    </row>
    <row r="654" spans="1:7" x14ac:dyDescent="0.3">
      <c r="A654" s="13" t="s">
        <v>1406</v>
      </c>
      <c r="B654" s="44" t="s">
        <v>2152</v>
      </c>
      <c r="C654" s="4">
        <v>250652</v>
      </c>
      <c r="D654" s="13" t="s">
        <v>1406</v>
      </c>
      <c r="E654" s="13" t="str">
        <f t="shared" si="30"/>
        <v>FL2</v>
      </c>
      <c r="F654" s="13" t="str">
        <f t="shared" si="31"/>
        <v>50</v>
      </c>
      <c r="G654" s="13" t="str">
        <f t="shared" si="32"/>
        <v>652</v>
      </c>
    </row>
    <row r="655" spans="1:7" x14ac:dyDescent="0.3">
      <c r="A655" s="43" t="s">
        <v>1408</v>
      </c>
      <c r="B655" s="44" t="s">
        <v>2152</v>
      </c>
      <c r="C655" s="4">
        <v>250653</v>
      </c>
      <c r="D655" s="13" t="s">
        <v>1408</v>
      </c>
      <c r="E655" s="13" t="str">
        <f t="shared" si="30"/>
        <v>FL2</v>
      </c>
      <c r="F655" s="13" t="str">
        <f t="shared" si="31"/>
        <v>50</v>
      </c>
      <c r="G655" s="13" t="str">
        <f t="shared" si="32"/>
        <v>653</v>
      </c>
    </row>
    <row r="656" spans="1:7" x14ac:dyDescent="0.3">
      <c r="A656" s="13" t="s">
        <v>1410</v>
      </c>
      <c r="B656" s="44" t="s">
        <v>2152</v>
      </c>
      <c r="C656" s="4">
        <v>250654</v>
      </c>
      <c r="D656" s="13" t="s">
        <v>1410</v>
      </c>
      <c r="E656" s="13" t="str">
        <f t="shared" si="30"/>
        <v>FL2</v>
      </c>
      <c r="F656" s="13" t="str">
        <f t="shared" si="31"/>
        <v>50</v>
      </c>
      <c r="G656" s="13" t="str">
        <f t="shared" si="32"/>
        <v>654</v>
      </c>
    </row>
    <row r="657" spans="1:7" x14ac:dyDescent="0.3">
      <c r="A657" s="43" t="s">
        <v>1412</v>
      </c>
      <c r="B657" s="44" t="s">
        <v>2152</v>
      </c>
      <c r="C657" s="4">
        <v>250655</v>
      </c>
      <c r="D657" s="13" t="s">
        <v>1412</v>
      </c>
      <c r="E657" s="13" t="str">
        <f t="shared" si="30"/>
        <v>FL2</v>
      </c>
      <c r="F657" s="13" t="str">
        <f t="shared" si="31"/>
        <v>50</v>
      </c>
      <c r="G657" s="13" t="str">
        <f t="shared" si="32"/>
        <v>655</v>
      </c>
    </row>
    <row r="658" spans="1:7" x14ac:dyDescent="0.3">
      <c r="A658" s="13" t="s">
        <v>1414</v>
      </c>
      <c r="B658" s="44" t="s">
        <v>2152</v>
      </c>
      <c r="C658" s="4">
        <v>250656</v>
      </c>
      <c r="D658" s="13" t="s">
        <v>1414</v>
      </c>
      <c r="E658" s="13" t="str">
        <f t="shared" si="30"/>
        <v>FL2</v>
      </c>
      <c r="F658" s="13" t="str">
        <f t="shared" si="31"/>
        <v>50</v>
      </c>
      <c r="G658" s="13" t="str">
        <f t="shared" si="32"/>
        <v>656</v>
      </c>
    </row>
    <row r="659" spans="1:7" x14ac:dyDescent="0.3">
      <c r="A659" s="43" t="s">
        <v>1416</v>
      </c>
      <c r="B659" s="44" t="s">
        <v>2152</v>
      </c>
      <c r="C659" s="4">
        <v>250657</v>
      </c>
      <c r="D659" s="13" t="s">
        <v>1416</v>
      </c>
      <c r="E659" s="13" t="str">
        <f t="shared" si="30"/>
        <v>FL2</v>
      </c>
      <c r="F659" s="13" t="str">
        <f t="shared" si="31"/>
        <v>50</v>
      </c>
      <c r="G659" s="13" t="str">
        <f t="shared" si="32"/>
        <v>657</v>
      </c>
    </row>
    <row r="660" spans="1:7" x14ac:dyDescent="0.3">
      <c r="A660" s="13" t="s">
        <v>1418</v>
      </c>
      <c r="B660" s="44" t="s">
        <v>2152</v>
      </c>
      <c r="C660" s="4">
        <v>250658</v>
      </c>
      <c r="D660" s="13" t="s">
        <v>1418</v>
      </c>
      <c r="E660" s="13" t="str">
        <f t="shared" si="30"/>
        <v>FL2</v>
      </c>
      <c r="F660" s="13" t="str">
        <f t="shared" si="31"/>
        <v>50</v>
      </c>
      <c r="G660" s="13" t="str">
        <f t="shared" si="32"/>
        <v>658</v>
      </c>
    </row>
    <row r="661" spans="1:7" x14ac:dyDescent="0.3">
      <c r="A661" s="43" t="s">
        <v>1420</v>
      </c>
      <c r="B661" s="44" t="s">
        <v>2152</v>
      </c>
      <c r="C661" s="4">
        <v>250659</v>
      </c>
      <c r="D661" s="13" t="s">
        <v>1420</v>
      </c>
      <c r="E661" s="13" t="str">
        <f t="shared" si="30"/>
        <v>FL2</v>
      </c>
      <c r="F661" s="13" t="str">
        <f t="shared" si="31"/>
        <v>50</v>
      </c>
      <c r="G661" s="13" t="str">
        <f t="shared" si="32"/>
        <v>659</v>
      </c>
    </row>
    <row r="662" spans="1:7" x14ac:dyDescent="0.3">
      <c r="A662" s="13" t="s">
        <v>1422</v>
      </c>
      <c r="B662" s="44" t="s">
        <v>2152</v>
      </c>
      <c r="C662" s="4">
        <v>250660</v>
      </c>
      <c r="D662" s="13" t="s">
        <v>1422</v>
      </c>
      <c r="E662" s="13" t="str">
        <f t="shared" si="30"/>
        <v>FL2</v>
      </c>
      <c r="F662" s="13" t="str">
        <f t="shared" si="31"/>
        <v>50</v>
      </c>
      <c r="G662" s="13" t="str">
        <f t="shared" si="32"/>
        <v>660</v>
      </c>
    </row>
    <row r="663" spans="1:7" x14ac:dyDescent="0.3">
      <c r="A663" s="43" t="s">
        <v>1424</v>
      </c>
      <c r="B663" s="44" t="s">
        <v>2152</v>
      </c>
      <c r="C663" s="4">
        <v>250661</v>
      </c>
      <c r="D663" s="13" t="s">
        <v>1424</v>
      </c>
      <c r="E663" s="13" t="str">
        <f t="shared" si="30"/>
        <v>FL2</v>
      </c>
      <c r="F663" s="13" t="str">
        <f t="shared" si="31"/>
        <v>50</v>
      </c>
      <c r="G663" s="13" t="str">
        <f t="shared" si="32"/>
        <v>661</v>
      </c>
    </row>
    <row r="664" spans="1:7" x14ac:dyDescent="0.3">
      <c r="A664" s="13" t="s">
        <v>1426</v>
      </c>
      <c r="B664" s="44" t="s">
        <v>2152</v>
      </c>
      <c r="C664" s="4">
        <v>250662</v>
      </c>
      <c r="D664" s="13" t="s">
        <v>1426</v>
      </c>
      <c r="E664" s="13" t="str">
        <f t="shared" si="30"/>
        <v>FL2</v>
      </c>
      <c r="F664" s="13" t="str">
        <f t="shared" si="31"/>
        <v>50</v>
      </c>
      <c r="G664" s="13" t="str">
        <f t="shared" si="32"/>
        <v>662</v>
      </c>
    </row>
    <row r="665" spans="1:7" x14ac:dyDescent="0.3">
      <c r="A665" s="43" t="s">
        <v>1428</v>
      </c>
      <c r="B665" s="44" t="s">
        <v>2152</v>
      </c>
      <c r="C665" s="4">
        <v>250663</v>
      </c>
      <c r="D665" s="13" t="s">
        <v>1428</v>
      </c>
      <c r="E665" s="13" t="str">
        <f t="shared" si="30"/>
        <v>FL2</v>
      </c>
      <c r="F665" s="13" t="str">
        <f t="shared" si="31"/>
        <v>50</v>
      </c>
      <c r="G665" s="13" t="str">
        <f t="shared" si="32"/>
        <v>663</v>
      </c>
    </row>
    <row r="666" spans="1:7" x14ac:dyDescent="0.3">
      <c r="A666" s="13" t="s">
        <v>1430</v>
      </c>
      <c r="B666" s="44" t="s">
        <v>2152</v>
      </c>
      <c r="C666" s="4">
        <v>250664</v>
      </c>
      <c r="D666" s="13" t="s">
        <v>1430</v>
      </c>
      <c r="E666" s="13" t="str">
        <f t="shared" si="30"/>
        <v>FL2</v>
      </c>
      <c r="F666" s="13" t="str">
        <f t="shared" si="31"/>
        <v>50</v>
      </c>
      <c r="G666" s="13" t="str">
        <f t="shared" si="32"/>
        <v>664</v>
      </c>
    </row>
    <row r="667" spans="1:7" x14ac:dyDescent="0.3">
      <c r="A667" s="43" t="s">
        <v>1432</v>
      </c>
      <c r="B667" s="44" t="s">
        <v>2152</v>
      </c>
      <c r="C667" s="4">
        <v>250665</v>
      </c>
      <c r="D667" s="13" t="s">
        <v>1432</v>
      </c>
      <c r="E667" s="13" t="str">
        <f t="shared" si="30"/>
        <v>FL2</v>
      </c>
      <c r="F667" s="13" t="str">
        <f t="shared" si="31"/>
        <v>50</v>
      </c>
      <c r="G667" s="13" t="str">
        <f t="shared" si="32"/>
        <v>665</v>
      </c>
    </row>
    <row r="668" spans="1:7" x14ac:dyDescent="0.3">
      <c r="A668" s="13" t="s">
        <v>1434</v>
      </c>
      <c r="B668" s="44" t="s">
        <v>2152</v>
      </c>
      <c r="C668" s="4">
        <v>250666</v>
      </c>
      <c r="D668" s="13" t="s">
        <v>1434</v>
      </c>
      <c r="E668" s="13" t="str">
        <f t="shared" si="30"/>
        <v>FL2</v>
      </c>
      <c r="F668" s="13" t="str">
        <f t="shared" si="31"/>
        <v>50</v>
      </c>
      <c r="G668" s="13" t="str">
        <f t="shared" si="32"/>
        <v>666</v>
      </c>
    </row>
    <row r="669" spans="1:7" x14ac:dyDescent="0.3">
      <c r="A669" s="43" t="s">
        <v>1436</v>
      </c>
      <c r="B669" s="44" t="s">
        <v>2152</v>
      </c>
      <c r="C669" s="4">
        <v>250667</v>
      </c>
      <c r="D669" s="13" t="s">
        <v>1436</v>
      </c>
      <c r="E669" s="13" t="str">
        <f t="shared" si="30"/>
        <v>FL2</v>
      </c>
      <c r="F669" s="13" t="str">
        <f t="shared" si="31"/>
        <v>50</v>
      </c>
      <c r="G669" s="13" t="str">
        <f t="shared" si="32"/>
        <v>667</v>
      </c>
    </row>
    <row r="670" spans="1:7" x14ac:dyDescent="0.3">
      <c r="A670" s="13" t="s">
        <v>1438</v>
      </c>
      <c r="B670" s="44" t="s">
        <v>2152</v>
      </c>
      <c r="C670" s="4">
        <v>250668</v>
      </c>
      <c r="D670" s="13" t="s">
        <v>1438</v>
      </c>
      <c r="E670" s="13" t="str">
        <f t="shared" si="30"/>
        <v>FL2</v>
      </c>
      <c r="F670" s="13" t="str">
        <f t="shared" si="31"/>
        <v>50</v>
      </c>
      <c r="G670" s="13" t="str">
        <f t="shared" si="32"/>
        <v>668</v>
      </c>
    </row>
    <row r="671" spans="1:7" x14ac:dyDescent="0.3">
      <c r="A671" s="43" t="s">
        <v>1440</v>
      </c>
      <c r="B671" s="44" t="s">
        <v>2152</v>
      </c>
      <c r="C671" s="4">
        <v>250669</v>
      </c>
      <c r="D671" s="13" t="s">
        <v>1440</v>
      </c>
      <c r="E671" s="13" t="str">
        <f t="shared" si="30"/>
        <v>FL2</v>
      </c>
      <c r="F671" s="13" t="str">
        <f t="shared" si="31"/>
        <v>50</v>
      </c>
      <c r="G671" s="13" t="str">
        <f t="shared" si="32"/>
        <v>669</v>
      </c>
    </row>
    <row r="672" spans="1:7" x14ac:dyDescent="0.3">
      <c r="A672" s="13" t="s">
        <v>1442</v>
      </c>
      <c r="B672" s="44" t="s">
        <v>2152</v>
      </c>
      <c r="C672" s="4">
        <v>250670</v>
      </c>
      <c r="D672" s="13" t="s">
        <v>1442</v>
      </c>
      <c r="E672" s="13" t="str">
        <f t="shared" si="30"/>
        <v>FL2</v>
      </c>
      <c r="F672" s="13" t="str">
        <f t="shared" si="31"/>
        <v>50</v>
      </c>
      <c r="G672" s="13" t="str">
        <f t="shared" si="32"/>
        <v>670</v>
      </c>
    </row>
    <row r="673" spans="1:7" x14ac:dyDescent="0.3">
      <c r="A673" s="43" t="s">
        <v>1444</v>
      </c>
      <c r="B673" s="44" t="s">
        <v>2152</v>
      </c>
      <c r="C673" s="4">
        <v>250671</v>
      </c>
      <c r="D673" s="13" t="s">
        <v>1444</v>
      </c>
      <c r="E673" s="13" t="str">
        <f t="shared" si="30"/>
        <v>FL2</v>
      </c>
      <c r="F673" s="13" t="str">
        <f t="shared" si="31"/>
        <v>50</v>
      </c>
      <c r="G673" s="13" t="str">
        <f t="shared" si="32"/>
        <v>671</v>
      </c>
    </row>
    <row r="674" spans="1:7" x14ac:dyDescent="0.3">
      <c r="A674" s="13" t="s">
        <v>1446</v>
      </c>
      <c r="B674" s="44" t="s">
        <v>2152</v>
      </c>
      <c r="C674" s="4">
        <v>250672</v>
      </c>
      <c r="D674" s="13" t="s">
        <v>1446</v>
      </c>
      <c r="E674" s="13" t="str">
        <f t="shared" si="30"/>
        <v>FL2</v>
      </c>
      <c r="F674" s="13" t="str">
        <f t="shared" si="31"/>
        <v>50</v>
      </c>
      <c r="G674" s="13" t="str">
        <f t="shared" si="32"/>
        <v>672</v>
      </c>
    </row>
    <row r="675" spans="1:7" x14ac:dyDescent="0.3">
      <c r="A675" s="43" t="s">
        <v>1448</v>
      </c>
      <c r="B675" s="44" t="s">
        <v>2152</v>
      </c>
      <c r="C675" s="4">
        <v>250673</v>
      </c>
      <c r="D675" s="13" t="s">
        <v>1448</v>
      </c>
      <c r="E675" s="13" t="str">
        <f t="shared" si="30"/>
        <v>FL2</v>
      </c>
      <c r="F675" s="13" t="str">
        <f t="shared" si="31"/>
        <v>50</v>
      </c>
      <c r="G675" s="13" t="str">
        <f t="shared" si="32"/>
        <v>673</v>
      </c>
    </row>
    <row r="676" spans="1:7" x14ac:dyDescent="0.3">
      <c r="A676" s="13" t="s">
        <v>1450</v>
      </c>
      <c r="B676" s="44" t="s">
        <v>2152</v>
      </c>
      <c r="C676" s="4">
        <v>250674</v>
      </c>
      <c r="D676" s="13" t="s">
        <v>1450</v>
      </c>
      <c r="E676" s="13" t="str">
        <f t="shared" si="30"/>
        <v>FL2</v>
      </c>
      <c r="F676" s="13" t="str">
        <f t="shared" si="31"/>
        <v>50</v>
      </c>
      <c r="G676" s="13" t="str">
        <f t="shared" si="32"/>
        <v>674</v>
      </c>
    </row>
    <row r="677" spans="1:7" x14ac:dyDescent="0.3">
      <c r="A677" s="43" t="s">
        <v>1452</v>
      </c>
      <c r="B677" s="44" t="s">
        <v>2152</v>
      </c>
      <c r="C677" s="4">
        <v>250675</v>
      </c>
      <c r="D677" s="13" t="s">
        <v>1452</v>
      </c>
      <c r="E677" s="13" t="str">
        <f t="shared" si="30"/>
        <v>FL2</v>
      </c>
      <c r="F677" s="13" t="str">
        <f t="shared" si="31"/>
        <v>50</v>
      </c>
      <c r="G677" s="13" t="str">
        <f t="shared" si="32"/>
        <v>675</v>
      </c>
    </row>
    <row r="678" spans="1:7" x14ac:dyDescent="0.3">
      <c r="A678" s="13" t="s">
        <v>1454</v>
      </c>
      <c r="B678" s="44" t="s">
        <v>2152</v>
      </c>
      <c r="C678" s="4">
        <v>250676</v>
      </c>
      <c r="D678" s="13" t="s">
        <v>1454</v>
      </c>
      <c r="E678" s="13" t="str">
        <f t="shared" si="30"/>
        <v>FL2</v>
      </c>
      <c r="F678" s="13" t="str">
        <f t="shared" si="31"/>
        <v>50</v>
      </c>
      <c r="G678" s="13" t="str">
        <f t="shared" si="32"/>
        <v>676</v>
      </c>
    </row>
    <row r="679" spans="1:7" x14ac:dyDescent="0.3">
      <c r="A679" s="43" t="s">
        <v>1456</v>
      </c>
      <c r="B679" s="44" t="s">
        <v>2152</v>
      </c>
      <c r="C679" s="4">
        <v>250677</v>
      </c>
      <c r="D679" s="13" t="s">
        <v>1456</v>
      </c>
      <c r="E679" s="13" t="str">
        <f t="shared" si="30"/>
        <v>FL2</v>
      </c>
      <c r="F679" s="13" t="str">
        <f t="shared" si="31"/>
        <v>50</v>
      </c>
      <c r="G679" s="13" t="str">
        <f t="shared" si="32"/>
        <v>677</v>
      </c>
    </row>
    <row r="680" spans="1:7" x14ac:dyDescent="0.3">
      <c r="A680" s="13" t="s">
        <v>1458</v>
      </c>
      <c r="B680" s="44" t="s">
        <v>2152</v>
      </c>
      <c r="C680" s="4">
        <v>250678</v>
      </c>
      <c r="D680" s="13" t="s">
        <v>1458</v>
      </c>
      <c r="E680" s="13" t="str">
        <f t="shared" si="30"/>
        <v>FL2</v>
      </c>
      <c r="F680" s="13" t="str">
        <f t="shared" si="31"/>
        <v>50</v>
      </c>
      <c r="G680" s="13" t="str">
        <f t="shared" si="32"/>
        <v>678</v>
      </c>
    </row>
    <row r="681" spans="1:7" x14ac:dyDescent="0.3">
      <c r="A681" s="43" t="s">
        <v>1460</v>
      </c>
      <c r="B681" s="44" t="s">
        <v>2152</v>
      </c>
      <c r="C681" s="4">
        <v>250679</v>
      </c>
      <c r="D681" s="13" t="s">
        <v>1460</v>
      </c>
      <c r="E681" s="13" t="str">
        <f t="shared" si="30"/>
        <v>FL2</v>
      </c>
      <c r="F681" s="13" t="str">
        <f t="shared" si="31"/>
        <v>50</v>
      </c>
      <c r="G681" s="13" t="str">
        <f t="shared" si="32"/>
        <v>679</v>
      </c>
    </row>
    <row r="682" spans="1:7" x14ac:dyDescent="0.3">
      <c r="A682" s="13" t="s">
        <v>1462</v>
      </c>
      <c r="B682" s="44" t="s">
        <v>2152</v>
      </c>
      <c r="C682" s="4">
        <v>250680</v>
      </c>
      <c r="D682" s="13" t="s">
        <v>1462</v>
      </c>
      <c r="E682" s="13" t="str">
        <f t="shared" si="30"/>
        <v>FL2</v>
      </c>
      <c r="F682" s="13" t="str">
        <f t="shared" si="31"/>
        <v>50</v>
      </c>
      <c r="G682" s="13" t="str">
        <f t="shared" si="32"/>
        <v>680</v>
      </c>
    </row>
    <row r="683" spans="1:7" x14ac:dyDescent="0.3">
      <c r="A683" s="43" t="s">
        <v>1464</v>
      </c>
      <c r="B683" s="44" t="s">
        <v>2152</v>
      </c>
      <c r="C683" s="4">
        <v>250681</v>
      </c>
      <c r="D683" s="13" t="s">
        <v>1464</v>
      </c>
      <c r="E683" s="13" t="str">
        <f t="shared" si="30"/>
        <v>FL2</v>
      </c>
      <c r="F683" s="13" t="str">
        <f t="shared" si="31"/>
        <v>50</v>
      </c>
      <c r="G683" s="13" t="str">
        <f t="shared" si="32"/>
        <v>681</v>
      </c>
    </row>
    <row r="684" spans="1:7" x14ac:dyDescent="0.3">
      <c r="A684" s="13" t="s">
        <v>1466</v>
      </c>
      <c r="B684" s="44" t="s">
        <v>2152</v>
      </c>
      <c r="C684" s="4">
        <v>250682</v>
      </c>
      <c r="D684" s="13" t="s">
        <v>1466</v>
      </c>
      <c r="E684" s="13" t="str">
        <f t="shared" si="30"/>
        <v>FL2</v>
      </c>
      <c r="F684" s="13" t="str">
        <f t="shared" si="31"/>
        <v>50</v>
      </c>
      <c r="G684" s="13" t="str">
        <f t="shared" si="32"/>
        <v>682</v>
      </c>
    </row>
    <row r="685" spans="1:7" x14ac:dyDescent="0.3">
      <c r="A685" s="43" t="s">
        <v>1468</v>
      </c>
      <c r="B685" s="44" t="s">
        <v>2152</v>
      </c>
      <c r="C685" s="4">
        <v>250683</v>
      </c>
      <c r="D685" s="13" t="s">
        <v>1468</v>
      </c>
      <c r="E685" s="13" t="str">
        <f t="shared" si="30"/>
        <v>FL2</v>
      </c>
      <c r="F685" s="13" t="str">
        <f t="shared" si="31"/>
        <v>50</v>
      </c>
      <c r="G685" s="13" t="str">
        <f t="shared" si="32"/>
        <v>683</v>
      </c>
    </row>
    <row r="686" spans="1:7" x14ac:dyDescent="0.3">
      <c r="A686" s="13" t="s">
        <v>1470</v>
      </c>
      <c r="B686" s="44" t="s">
        <v>2152</v>
      </c>
      <c r="C686" s="4">
        <v>250684</v>
      </c>
      <c r="D686" s="13" t="s">
        <v>1470</v>
      </c>
      <c r="E686" s="13" t="str">
        <f t="shared" si="30"/>
        <v>FL2</v>
      </c>
      <c r="F686" s="13" t="str">
        <f t="shared" si="31"/>
        <v>50</v>
      </c>
      <c r="G686" s="13" t="str">
        <f t="shared" si="32"/>
        <v>684</v>
      </c>
    </row>
    <row r="687" spans="1:7" x14ac:dyDescent="0.3">
      <c r="A687" s="43" t="s">
        <v>1472</v>
      </c>
      <c r="B687" s="44" t="s">
        <v>2152</v>
      </c>
      <c r="C687" s="4">
        <v>250685</v>
      </c>
      <c r="D687" s="13" t="s">
        <v>1472</v>
      </c>
      <c r="E687" s="13" t="str">
        <f t="shared" si="30"/>
        <v>FL2</v>
      </c>
      <c r="F687" s="13" t="str">
        <f t="shared" si="31"/>
        <v>50</v>
      </c>
      <c r="G687" s="13" t="str">
        <f t="shared" si="32"/>
        <v>685</v>
      </c>
    </row>
    <row r="688" spans="1:7" x14ac:dyDescent="0.3">
      <c r="A688" s="13" t="s">
        <v>1474</v>
      </c>
      <c r="B688" s="44" t="s">
        <v>2152</v>
      </c>
      <c r="C688" s="4">
        <v>250686</v>
      </c>
      <c r="D688" s="13" t="s">
        <v>1474</v>
      </c>
      <c r="E688" s="13" t="str">
        <f t="shared" si="30"/>
        <v>FL2</v>
      </c>
      <c r="F688" s="13" t="str">
        <f t="shared" si="31"/>
        <v>50</v>
      </c>
      <c r="G688" s="13" t="str">
        <f t="shared" si="32"/>
        <v>686</v>
      </c>
    </row>
    <row r="689" spans="1:7" x14ac:dyDescent="0.3">
      <c r="A689" s="43" t="s">
        <v>1476</v>
      </c>
      <c r="B689" s="44" t="s">
        <v>2152</v>
      </c>
      <c r="C689" s="4">
        <v>250687</v>
      </c>
      <c r="D689" s="13" t="s">
        <v>1476</v>
      </c>
      <c r="E689" s="13" t="str">
        <f t="shared" si="30"/>
        <v>FL2</v>
      </c>
      <c r="F689" s="13" t="str">
        <f t="shared" si="31"/>
        <v>50</v>
      </c>
      <c r="G689" s="13" t="str">
        <f t="shared" si="32"/>
        <v>687</v>
      </c>
    </row>
    <row r="690" spans="1:7" x14ac:dyDescent="0.3">
      <c r="A690" s="13" t="s">
        <v>1478</v>
      </c>
      <c r="B690" s="44" t="s">
        <v>2152</v>
      </c>
      <c r="C690" s="4">
        <v>250688</v>
      </c>
      <c r="D690" s="13" t="s">
        <v>1478</v>
      </c>
      <c r="E690" s="13" t="str">
        <f t="shared" si="30"/>
        <v>FL2</v>
      </c>
      <c r="F690" s="13" t="str">
        <f t="shared" si="31"/>
        <v>50</v>
      </c>
      <c r="G690" s="13" t="str">
        <f t="shared" si="32"/>
        <v>688</v>
      </c>
    </row>
    <row r="691" spans="1:7" x14ac:dyDescent="0.3">
      <c r="A691" s="43" t="s">
        <v>1480</v>
      </c>
      <c r="B691" s="44" t="s">
        <v>2152</v>
      </c>
      <c r="C691" s="4">
        <v>250689</v>
      </c>
      <c r="D691" s="13" t="s">
        <v>1480</v>
      </c>
      <c r="E691" s="13" t="str">
        <f t="shared" si="30"/>
        <v>FL2</v>
      </c>
      <c r="F691" s="13" t="str">
        <f t="shared" si="31"/>
        <v>50</v>
      </c>
      <c r="G691" s="13" t="str">
        <f t="shared" si="32"/>
        <v>689</v>
      </c>
    </row>
    <row r="692" spans="1:7" x14ac:dyDescent="0.3">
      <c r="A692" s="13" t="s">
        <v>1482</v>
      </c>
      <c r="B692" s="44" t="s">
        <v>2152</v>
      </c>
      <c r="C692" s="4">
        <v>250690</v>
      </c>
      <c r="D692" s="13" t="s">
        <v>1482</v>
      </c>
      <c r="E692" s="13" t="str">
        <f t="shared" si="30"/>
        <v>FL2</v>
      </c>
      <c r="F692" s="13" t="str">
        <f t="shared" si="31"/>
        <v>50</v>
      </c>
      <c r="G692" s="13" t="str">
        <f t="shared" si="32"/>
        <v>690</v>
      </c>
    </row>
    <row r="693" spans="1:7" x14ac:dyDescent="0.3">
      <c r="A693" s="43" t="s">
        <v>1483</v>
      </c>
      <c r="B693" s="44" t="s">
        <v>2152</v>
      </c>
      <c r="C693" s="4">
        <v>250691</v>
      </c>
      <c r="D693" s="13" t="s">
        <v>1483</v>
      </c>
      <c r="E693" s="13" t="str">
        <f t="shared" si="30"/>
        <v>FL2</v>
      </c>
      <c r="F693" s="13" t="str">
        <f t="shared" si="31"/>
        <v>50</v>
      </c>
      <c r="G693" s="13" t="str">
        <f t="shared" si="32"/>
        <v>691</v>
      </c>
    </row>
    <row r="694" spans="1:7" x14ac:dyDescent="0.3">
      <c r="A694" s="13" t="s">
        <v>1485</v>
      </c>
      <c r="B694" s="44" t="s">
        <v>2152</v>
      </c>
      <c r="C694" s="4">
        <v>250692</v>
      </c>
      <c r="D694" s="13" t="s">
        <v>1485</v>
      </c>
      <c r="E694" s="13" t="str">
        <f t="shared" si="30"/>
        <v>FL2</v>
      </c>
      <c r="F694" s="13" t="str">
        <f t="shared" si="31"/>
        <v>50</v>
      </c>
      <c r="G694" s="13" t="str">
        <f t="shared" si="32"/>
        <v>692</v>
      </c>
    </row>
    <row r="695" spans="1:7" x14ac:dyDescent="0.3">
      <c r="A695" s="43" t="s">
        <v>1487</v>
      </c>
      <c r="B695" s="44" t="s">
        <v>2152</v>
      </c>
      <c r="C695" s="4">
        <v>250693</v>
      </c>
      <c r="D695" s="13" t="s">
        <v>1487</v>
      </c>
      <c r="E695" s="13" t="str">
        <f t="shared" si="30"/>
        <v>FL2</v>
      </c>
      <c r="F695" s="13" t="str">
        <f t="shared" si="31"/>
        <v>50</v>
      </c>
      <c r="G695" s="13" t="str">
        <f t="shared" si="32"/>
        <v>693</v>
      </c>
    </row>
    <row r="696" spans="1:7" x14ac:dyDescent="0.3">
      <c r="A696" s="13" t="s">
        <v>1488</v>
      </c>
      <c r="B696" s="44" t="s">
        <v>2152</v>
      </c>
      <c r="C696" s="4">
        <v>250694</v>
      </c>
      <c r="D696" s="13" t="s">
        <v>1488</v>
      </c>
      <c r="E696" s="13" t="str">
        <f t="shared" si="30"/>
        <v>FL2</v>
      </c>
      <c r="F696" s="13" t="str">
        <f t="shared" si="31"/>
        <v>50</v>
      </c>
      <c r="G696" s="13" t="str">
        <f t="shared" si="32"/>
        <v>694</v>
      </c>
    </row>
    <row r="697" spans="1:7" x14ac:dyDescent="0.3">
      <c r="A697" s="43" t="s">
        <v>1490</v>
      </c>
      <c r="B697" s="44" t="s">
        <v>2152</v>
      </c>
      <c r="C697" s="4">
        <v>250695</v>
      </c>
      <c r="D697" s="13" t="s">
        <v>1490</v>
      </c>
      <c r="E697" s="13" t="str">
        <f t="shared" si="30"/>
        <v>FL2</v>
      </c>
      <c r="F697" s="13" t="str">
        <f t="shared" si="31"/>
        <v>50</v>
      </c>
      <c r="G697" s="13" t="str">
        <f t="shared" si="32"/>
        <v>695</v>
      </c>
    </row>
    <row r="698" spans="1:7" x14ac:dyDescent="0.3">
      <c r="A698" s="13" t="s">
        <v>1491</v>
      </c>
      <c r="B698" s="44" t="s">
        <v>2152</v>
      </c>
      <c r="C698" s="4">
        <v>250696</v>
      </c>
      <c r="D698" s="13" t="s">
        <v>1491</v>
      </c>
      <c r="E698" s="13" t="str">
        <f t="shared" si="30"/>
        <v>FL2</v>
      </c>
      <c r="F698" s="13" t="str">
        <f t="shared" si="31"/>
        <v>50</v>
      </c>
      <c r="G698" s="13" t="str">
        <f t="shared" si="32"/>
        <v>696</v>
      </c>
    </row>
    <row r="699" spans="1:7" x14ac:dyDescent="0.3">
      <c r="A699" s="43" t="s">
        <v>1493</v>
      </c>
      <c r="B699" s="44" t="s">
        <v>2152</v>
      </c>
      <c r="C699" s="4">
        <v>250697</v>
      </c>
      <c r="D699" s="13" t="s">
        <v>1493</v>
      </c>
      <c r="E699" s="13" t="str">
        <f t="shared" si="30"/>
        <v>FL2</v>
      </c>
      <c r="F699" s="13" t="str">
        <f t="shared" si="31"/>
        <v>50</v>
      </c>
      <c r="G699" s="13" t="str">
        <f t="shared" si="32"/>
        <v>697</v>
      </c>
    </row>
    <row r="700" spans="1:7" x14ac:dyDescent="0.3">
      <c r="A700" s="13" t="s">
        <v>1495</v>
      </c>
      <c r="B700" s="44" t="s">
        <v>2152</v>
      </c>
      <c r="C700" s="4">
        <v>250698</v>
      </c>
      <c r="D700" s="13" t="s">
        <v>1495</v>
      </c>
      <c r="E700" s="13" t="str">
        <f t="shared" si="30"/>
        <v>FL2</v>
      </c>
      <c r="F700" s="13" t="str">
        <f t="shared" si="31"/>
        <v>50</v>
      </c>
      <c r="G700" s="13" t="str">
        <f t="shared" si="32"/>
        <v>698</v>
      </c>
    </row>
    <row r="701" spans="1:7" x14ac:dyDescent="0.3">
      <c r="A701" s="43" t="s">
        <v>1497</v>
      </c>
      <c r="B701" s="44" t="s">
        <v>2152</v>
      </c>
      <c r="C701" s="4">
        <v>250699</v>
      </c>
      <c r="D701" s="13" t="s">
        <v>1497</v>
      </c>
      <c r="E701" s="13" t="str">
        <f t="shared" si="30"/>
        <v>FL2</v>
      </c>
      <c r="F701" s="13" t="str">
        <f t="shared" si="31"/>
        <v>50</v>
      </c>
      <c r="G701" s="13" t="str">
        <f t="shared" si="32"/>
        <v>699</v>
      </c>
    </row>
    <row r="702" spans="1:7" x14ac:dyDescent="0.3">
      <c r="A702" s="13" t="s">
        <v>1499</v>
      </c>
      <c r="B702" s="44" t="s">
        <v>2152</v>
      </c>
      <c r="C702" s="4">
        <v>250700</v>
      </c>
      <c r="D702" s="13" t="s">
        <v>1499</v>
      </c>
      <c r="E702" s="13" t="str">
        <f t="shared" si="30"/>
        <v>FL2</v>
      </c>
      <c r="F702" s="13" t="str">
        <f t="shared" si="31"/>
        <v>50</v>
      </c>
      <c r="G702" s="13" t="str">
        <f t="shared" si="32"/>
        <v>700</v>
      </c>
    </row>
    <row r="703" spans="1:7" x14ac:dyDescent="0.3">
      <c r="A703" s="43" t="s">
        <v>1501</v>
      </c>
      <c r="B703" s="44" t="s">
        <v>2152</v>
      </c>
      <c r="C703" s="4">
        <v>250701</v>
      </c>
      <c r="D703" s="13" t="s">
        <v>1501</v>
      </c>
      <c r="E703" s="13" t="str">
        <f t="shared" si="30"/>
        <v>FL2</v>
      </c>
      <c r="F703" s="13" t="str">
        <f t="shared" si="31"/>
        <v>50</v>
      </c>
      <c r="G703" s="13" t="str">
        <f t="shared" si="32"/>
        <v>701</v>
      </c>
    </row>
    <row r="704" spans="1:7" x14ac:dyDescent="0.3">
      <c r="A704" s="13" t="s">
        <v>1503</v>
      </c>
      <c r="B704" s="44" t="s">
        <v>2152</v>
      </c>
      <c r="C704" s="4">
        <v>250702</v>
      </c>
      <c r="D704" s="13" t="s">
        <v>1503</v>
      </c>
      <c r="E704" s="13" t="str">
        <f t="shared" si="30"/>
        <v>FL2</v>
      </c>
      <c r="F704" s="13" t="str">
        <f t="shared" si="31"/>
        <v>50</v>
      </c>
      <c r="G704" s="13" t="str">
        <f t="shared" si="32"/>
        <v>702</v>
      </c>
    </row>
    <row r="705" spans="1:7" x14ac:dyDescent="0.3">
      <c r="A705" s="43" t="s">
        <v>1505</v>
      </c>
      <c r="B705" s="44" t="s">
        <v>2152</v>
      </c>
      <c r="C705" s="4">
        <v>250703</v>
      </c>
      <c r="D705" s="13" t="s">
        <v>1505</v>
      </c>
      <c r="E705" s="13" t="str">
        <f t="shared" si="30"/>
        <v>FL2</v>
      </c>
      <c r="F705" s="13" t="str">
        <f t="shared" si="31"/>
        <v>50</v>
      </c>
      <c r="G705" s="13" t="str">
        <f t="shared" si="32"/>
        <v>703</v>
      </c>
    </row>
    <row r="706" spans="1:7" x14ac:dyDescent="0.3">
      <c r="A706" s="13" t="s">
        <v>1507</v>
      </c>
      <c r="B706" s="44" t="s">
        <v>2152</v>
      </c>
      <c r="C706" s="4">
        <v>250704</v>
      </c>
      <c r="D706" s="13" t="s">
        <v>1507</v>
      </c>
      <c r="E706" s="13" t="str">
        <f t="shared" si="30"/>
        <v>FL2</v>
      </c>
      <c r="F706" s="13" t="str">
        <f t="shared" si="31"/>
        <v>50</v>
      </c>
      <c r="G706" s="13" t="str">
        <f t="shared" si="32"/>
        <v>704</v>
      </c>
    </row>
    <row r="707" spans="1:7" x14ac:dyDescent="0.3">
      <c r="A707" s="43" t="s">
        <v>1509</v>
      </c>
      <c r="B707" s="44" t="s">
        <v>2152</v>
      </c>
      <c r="C707" s="4">
        <v>250705</v>
      </c>
      <c r="D707" s="13" t="s">
        <v>1509</v>
      </c>
      <c r="E707" s="13" t="str">
        <f t="shared" si="30"/>
        <v>FL2</v>
      </c>
      <c r="F707" s="13" t="str">
        <f t="shared" si="31"/>
        <v>50</v>
      </c>
      <c r="G707" s="13" t="str">
        <f t="shared" si="32"/>
        <v>705</v>
      </c>
    </row>
    <row r="708" spans="1:7" x14ac:dyDescent="0.3">
      <c r="A708" s="13" t="s">
        <v>1511</v>
      </c>
      <c r="B708" s="44" t="s">
        <v>2152</v>
      </c>
      <c r="C708" s="4">
        <v>250706</v>
      </c>
      <c r="D708" s="13" t="s">
        <v>1511</v>
      </c>
      <c r="E708" s="13" t="str">
        <f t="shared" ref="E708:E771" si="33">LEFT(D708,3)</f>
        <v>FL2</v>
      </c>
      <c r="F708" s="13" t="str">
        <f t="shared" ref="F708:F771" si="34">MID(D708,4,2)</f>
        <v>50</v>
      </c>
      <c r="G708" s="13" t="str">
        <f t="shared" ref="G708:G771" si="35">RIGHT(D708,3)</f>
        <v>706</v>
      </c>
    </row>
    <row r="709" spans="1:7" x14ac:dyDescent="0.3">
      <c r="A709" s="43" t="s">
        <v>1513</v>
      </c>
      <c r="B709" s="44" t="s">
        <v>2152</v>
      </c>
      <c r="C709" s="4">
        <v>250707</v>
      </c>
      <c r="D709" s="13" t="s">
        <v>1513</v>
      </c>
      <c r="E709" s="13" t="str">
        <f t="shared" si="33"/>
        <v>FL2</v>
      </c>
      <c r="F709" s="13" t="str">
        <f t="shared" si="34"/>
        <v>50</v>
      </c>
      <c r="G709" s="13" t="str">
        <f t="shared" si="35"/>
        <v>707</v>
      </c>
    </row>
    <row r="710" spans="1:7" x14ac:dyDescent="0.3">
      <c r="A710" s="13" t="s">
        <v>1515</v>
      </c>
      <c r="B710" s="44" t="s">
        <v>2152</v>
      </c>
      <c r="C710" s="4">
        <v>250708</v>
      </c>
      <c r="D710" s="13" t="s">
        <v>1515</v>
      </c>
      <c r="E710" s="13" t="str">
        <f t="shared" si="33"/>
        <v>FL2</v>
      </c>
      <c r="F710" s="13" t="str">
        <f t="shared" si="34"/>
        <v>50</v>
      </c>
      <c r="G710" s="13" t="str">
        <f t="shared" si="35"/>
        <v>708</v>
      </c>
    </row>
    <row r="711" spans="1:7" x14ac:dyDescent="0.3">
      <c r="A711" s="43" t="s">
        <v>1517</v>
      </c>
      <c r="B711" s="44" t="s">
        <v>2152</v>
      </c>
      <c r="C711" s="4">
        <v>250709</v>
      </c>
      <c r="D711" s="13" t="s">
        <v>1517</v>
      </c>
      <c r="E711" s="13" t="str">
        <f t="shared" si="33"/>
        <v>FL2</v>
      </c>
      <c r="F711" s="13" t="str">
        <f t="shared" si="34"/>
        <v>50</v>
      </c>
      <c r="G711" s="13" t="str">
        <f t="shared" si="35"/>
        <v>709</v>
      </c>
    </row>
    <row r="712" spans="1:7" x14ac:dyDescent="0.3">
      <c r="A712" s="13" t="s">
        <v>1519</v>
      </c>
      <c r="B712" s="44" t="s">
        <v>2152</v>
      </c>
      <c r="C712" s="4">
        <v>250710</v>
      </c>
      <c r="D712" s="13" t="s">
        <v>1519</v>
      </c>
      <c r="E712" s="13" t="str">
        <f t="shared" si="33"/>
        <v>FL2</v>
      </c>
      <c r="F712" s="13" t="str">
        <f t="shared" si="34"/>
        <v>50</v>
      </c>
      <c r="G712" s="13" t="str">
        <f t="shared" si="35"/>
        <v>710</v>
      </c>
    </row>
    <row r="713" spans="1:7" x14ac:dyDescent="0.3">
      <c r="A713" s="43" t="s">
        <v>1521</v>
      </c>
      <c r="B713" s="44" t="s">
        <v>2152</v>
      </c>
      <c r="C713" s="4">
        <v>250711</v>
      </c>
      <c r="D713" s="13" t="s">
        <v>1521</v>
      </c>
      <c r="E713" s="13" t="str">
        <f t="shared" si="33"/>
        <v>FL2</v>
      </c>
      <c r="F713" s="13" t="str">
        <f t="shared" si="34"/>
        <v>50</v>
      </c>
      <c r="G713" s="13" t="str">
        <f t="shared" si="35"/>
        <v>711</v>
      </c>
    </row>
    <row r="714" spans="1:7" x14ac:dyDescent="0.3">
      <c r="A714" s="13" t="s">
        <v>1523</v>
      </c>
      <c r="B714" s="44" t="s">
        <v>2152</v>
      </c>
      <c r="C714" s="4">
        <v>250712</v>
      </c>
      <c r="D714" s="13" t="s">
        <v>1523</v>
      </c>
      <c r="E714" s="13" t="str">
        <f t="shared" si="33"/>
        <v>FL2</v>
      </c>
      <c r="F714" s="13" t="str">
        <f t="shared" si="34"/>
        <v>50</v>
      </c>
      <c r="G714" s="13" t="str">
        <f t="shared" si="35"/>
        <v>712</v>
      </c>
    </row>
    <row r="715" spans="1:7" x14ac:dyDescent="0.3">
      <c r="A715" s="43" t="s">
        <v>1525</v>
      </c>
      <c r="B715" s="44" t="s">
        <v>2152</v>
      </c>
      <c r="C715" s="4">
        <v>250713</v>
      </c>
      <c r="D715" s="13" t="s">
        <v>1525</v>
      </c>
      <c r="E715" s="13" t="str">
        <f t="shared" si="33"/>
        <v>FL2</v>
      </c>
      <c r="F715" s="13" t="str">
        <f t="shared" si="34"/>
        <v>50</v>
      </c>
      <c r="G715" s="13" t="str">
        <f t="shared" si="35"/>
        <v>713</v>
      </c>
    </row>
    <row r="716" spans="1:7" x14ac:dyDescent="0.3">
      <c r="A716" s="13" t="s">
        <v>1527</v>
      </c>
      <c r="B716" s="44" t="s">
        <v>2152</v>
      </c>
      <c r="C716" s="4">
        <v>250714</v>
      </c>
      <c r="D716" s="13" t="s">
        <v>1527</v>
      </c>
      <c r="E716" s="13" t="str">
        <f t="shared" si="33"/>
        <v>FL2</v>
      </c>
      <c r="F716" s="13" t="str">
        <f t="shared" si="34"/>
        <v>50</v>
      </c>
      <c r="G716" s="13" t="str">
        <f t="shared" si="35"/>
        <v>714</v>
      </c>
    </row>
    <row r="717" spans="1:7" x14ac:dyDescent="0.3">
      <c r="A717" s="43" t="s">
        <v>1529</v>
      </c>
      <c r="B717" s="44" t="s">
        <v>2152</v>
      </c>
      <c r="C717" s="4">
        <v>250715</v>
      </c>
      <c r="D717" s="13" t="s">
        <v>1529</v>
      </c>
      <c r="E717" s="13" t="str">
        <f t="shared" si="33"/>
        <v>FL2</v>
      </c>
      <c r="F717" s="13" t="str">
        <f t="shared" si="34"/>
        <v>50</v>
      </c>
      <c r="G717" s="13" t="str">
        <f t="shared" si="35"/>
        <v>715</v>
      </c>
    </row>
    <row r="718" spans="1:7" x14ac:dyDescent="0.3">
      <c r="A718" s="13" t="s">
        <v>1531</v>
      </c>
      <c r="B718" s="44" t="s">
        <v>2152</v>
      </c>
      <c r="C718" s="4">
        <v>250716</v>
      </c>
      <c r="D718" s="13" t="s">
        <v>1531</v>
      </c>
      <c r="E718" s="13" t="str">
        <f t="shared" si="33"/>
        <v>FL2</v>
      </c>
      <c r="F718" s="13" t="str">
        <f t="shared" si="34"/>
        <v>50</v>
      </c>
      <c r="G718" s="13" t="str">
        <f t="shared" si="35"/>
        <v>716</v>
      </c>
    </row>
    <row r="719" spans="1:7" x14ac:dyDescent="0.3">
      <c r="A719" s="43" t="s">
        <v>1533</v>
      </c>
      <c r="B719" s="44" t="s">
        <v>2152</v>
      </c>
      <c r="C719" s="4">
        <v>250717</v>
      </c>
      <c r="D719" s="13" t="s">
        <v>1533</v>
      </c>
      <c r="E719" s="13" t="str">
        <f t="shared" si="33"/>
        <v>FL2</v>
      </c>
      <c r="F719" s="13" t="str">
        <f t="shared" si="34"/>
        <v>50</v>
      </c>
      <c r="G719" s="13" t="str">
        <f t="shared" si="35"/>
        <v>717</v>
      </c>
    </row>
    <row r="720" spans="1:7" x14ac:dyDescent="0.3">
      <c r="A720" s="13" t="s">
        <v>1535</v>
      </c>
      <c r="B720" s="44" t="s">
        <v>2152</v>
      </c>
      <c r="C720" s="4">
        <v>250718</v>
      </c>
      <c r="D720" s="13" t="s">
        <v>1535</v>
      </c>
      <c r="E720" s="13" t="str">
        <f t="shared" si="33"/>
        <v>FL2</v>
      </c>
      <c r="F720" s="13" t="str">
        <f t="shared" si="34"/>
        <v>50</v>
      </c>
      <c r="G720" s="13" t="str">
        <f t="shared" si="35"/>
        <v>718</v>
      </c>
    </row>
    <row r="721" spans="1:7" x14ac:dyDescent="0.3">
      <c r="A721" s="43" t="s">
        <v>1537</v>
      </c>
      <c r="B721" s="44" t="s">
        <v>2152</v>
      </c>
      <c r="C721" s="4">
        <v>250719</v>
      </c>
      <c r="D721" s="13" t="s">
        <v>1537</v>
      </c>
      <c r="E721" s="13" t="str">
        <f t="shared" si="33"/>
        <v>FL2</v>
      </c>
      <c r="F721" s="13" t="str">
        <f t="shared" si="34"/>
        <v>50</v>
      </c>
      <c r="G721" s="13" t="str">
        <f t="shared" si="35"/>
        <v>719</v>
      </c>
    </row>
    <row r="722" spans="1:7" x14ac:dyDescent="0.3">
      <c r="A722" s="13" t="s">
        <v>1539</v>
      </c>
      <c r="B722" s="44" t="s">
        <v>2152</v>
      </c>
      <c r="C722" s="4">
        <v>250720</v>
      </c>
      <c r="D722" s="13" t="s">
        <v>1539</v>
      </c>
      <c r="E722" s="13" t="str">
        <f t="shared" si="33"/>
        <v>FL2</v>
      </c>
      <c r="F722" s="13" t="str">
        <f t="shared" si="34"/>
        <v>50</v>
      </c>
      <c r="G722" s="13" t="str">
        <f t="shared" si="35"/>
        <v>720</v>
      </c>
    </row>
    <row r="723" spans="1:7" x14ac:dyDescent="0.3">
      <c r="A723" s="43" t="s">
        <v>1541</v>
      </c>
      <c r="B723" s="44" t="s">
        <v>2152</v>
      </c>
      <c r="C723" s="4">
        <v>250721</v>
      </c>
      <c r="D723" s="13" t="s">
        <v>1541</v>
      </c>
      <c r="E723" s="13" t="str">
        <f t="shared" si="33"/>
        <v>FL2</v>
      </c>
      <c r="F723" s="13" t="str">
        <f t="shared" si="34"/>
        <v>50</v>
      </c>
      <c r="G723" s="13" t="str">
        <f t="shared" si="35"/>
        <v>721</v>
      </c>
    </row>
    <row r="724" spans="1:7" x14ac:dyDescent="0.3">
      <c r="A724" s="13" t="s">
        <v>1543</v>
      </c>
      <c r="B724" s="44" t="s">
        <v>2152</v>
      </c>
      <c r="C724" s="4">
        <v>250722</v>
      </c>
      <c r="D724" s="13" t="s">
        <v>1543</v>
      </c>
      <c r="E724" s="13" t="str">
        <f t="shared" si="33"/>
        <v>FL2</v>
      </c>
      <c r="F724" s="13" t="str">
        <f t="shared" si="34"/>
        <v>50</v>
      </c>
      <c r="G724" s="13" t="str">
        <f t="shared" si="35"/>
        <v>722</v>
      </c>
    </row>
    <row r="725" spans="1:7" x14ac:dyDescent="0.3">
      <c r="A725" s="43" t="s">
        <v>1545</v>
      </c>
      <c r="B725" s="44" t="s">
        <v>2152</v>
      </c>
      <c r="C725" s="4">
        <v>250723</v>
      </c>
      <c r="D725" s="13" t="s">
        <v>1545</v>
      </c>
      <c r="E725" s="13" t="str">
        <f t="shared" si="33"/>
        <v>FL2</v>
      </c>
      <c r="F725" s="13" t="str">
        <f t="shared" si="34"/>
        <v>50</v>
      </c>
      <c r="G725" s="13" t="str">
        <f t="shared" si="35"/>
        <v>723</v>
      </c>
    </row>
    <row r="726" spans="1:7" x14ac:dyDescent="0.3">
      <c r="A726" s="13" t="s">
        <v>1547</v>
      </c>
      <c r="B726" s="44" t="s">
        <v>2152</v>
      </c>
      <c r="C726" s="4">
        <v>250724</v>
      </c>
      <c r="D726" s="13" t="s">
        <v>1547</v>
      </c>
      <c r="E726" s="13" t="str">
        <f t="shared" si="33"/>
        <v>FL2</v>
      </c>
      <c r="F726" s="13" t="str">
        <f t="shared" si="34"/>
        <v>50</v>
      </c>
      <c r="G726" s="13" t="str">
        <f t="shared" si="35"/>
        <v>724</v>
      </c>
    </row>
    <row r="727" spans="1:7" x14ac:dyDescent="0.3">
      <c r="A727" s="43" t="s">
        <v>1549</v>
      </c>
      <c r="B727" s="44" t="s">
        <v>2152</v>
      </c>
      <c r="C727" s="4">
        <v>250725</v>
      </c>
      <c r="D727" s="13" t="s">
        <v>1549</v>
      </c>
      <c r="E727" s="13" t="str">
        <f t="shared" si="33"/>
        <v>FL2</v>
      </c>
      <c r="F727" s="13" t="str">
        <f t="shared" si="34"/>
        <v>50</v>
      </c>
      <c r="G727" s="13" t="str">
        <f t="shared" si="35"/>
        <v>725</v>
      </c>
    </row>
    <row r="728" spans="1:7" x14ac:dyDescent="0.3">
      <c r="A728" s="13" t="s">
        <v>1551</v>
      </c>
      <c r="B728" s="44" t="s">
        <v>2152</v>
      </c>
      <c r="C728" s="4">
        <v>250726</v>
      </c>
      <c r="D728" s="13" t="s">
        <v>1551</v>
      </c>
      <c r="E728" s="13" t="str">
        <f t="shared" si="33"/>
        <v>FL2</v>
      </c>
      <c r="F728" s="13" t="str">
        <f t="shared" si="34"/>
        <v>50</v>
      </c>
      <c r="G728" s="13" t="str">
        <f t="shared" si="35"/>
        <v>726</v>
      </c>
    </row>
    <row r="729" spans="1:7" x14ac:dyDescent="0.3">
      <c r="A729" s="43" t="s">
        <v>1553</v>
      </c>
      <c r="B729" s="44" t="s">
        <v>2152</v>
      </c>
      <c r="C729" s="4">
        <v>250727</v>
      </c>
      <c r="D729" s="13" t="s">
        <v>1553</v>
      </c>
      <c r="E729" s="13" t="str">
        <f t="shared" si="33"/>
        <v>FL2</v>
      </c>
      <c r="F729" s="13" t="str">
        <f t="shared" si="34"/>
        <v>50</v>
      </c>
      <c r="G729" s="13" t="str">
        <f t="shared" si="35"/>
        <v>727</v>
      </c>
    </row>
    <row r="730" spans="1:7" x14ac:dyDescent="0.3">
      <c r="A730" s="13" t="s">
        <v>1555</v>
      </c>
      <c r="B730" s="44" t="s">
        <v>2152</v>
      </c>
      <c r="C730" s="4">
        <v>250728</v>
      </c>
      <c r="D730" s="13" t="s">
        <v>1555</v>
      </c>
      <c r="E730" s="13" t="str">
        <f t="shared" si="33"/>
        <v>FL2</v>
      </c>
      <c r="F730" s="13" t="str">
        <f t="shared" si="34"/>
        <v>50</v>
      </c>
      <c r="G730" s="13" t="str">
        <f t="shared" si="35"/>
        <v>728</v>
      </c>
    </row>
    <row r="731" spans="1:7" x14ac:dyDescent="0.3">
      <c r="A731" s="43" t="s">
        <v>1557</v>
      </c>
      <c r="B731" s="44" t="s">
        <v>2152</v>
      </c>
      <c r="C731" s="4">
        <v>250729</v>
      </c>
      <c r="D731" s="13" t="s">
        <v>1557</v>
      </c>
      <c r="E731" s="13" t="str">
        <f t="shared" si="33"/>
        <v>FL2</v>
      </c>
      <c r="F731" s="13" t="str">
        <f t="shared" si="34"/>
        <v>50</v>
      </c>
      <c r="G731" s="13" t="str">
        <f t="shared" si="35"/>
        <v>729</v>
      </c>
    </row>
    <row r="732" spans="1:7" x14ac:dyDescent="0.3">
      <c r="A732" s="13" t="s">
        <v>1559</v>
      </c>
      <c r="B732" s="44" t="s">
        <v>2152</v>
      </c>
      <c r="C732" s="4">
        <v>250730</v>
      </c>
      <c r="D732" s="13" t="s">
        <v>1559</v>
      </c>
      <c r="E732" s="13" t="str">
        <f t="shared" si="33"/>
        <v>FL2</v>
      </c>
      <c r="F732" s="13" t="str">
        <f t="shared" si="34"/>
        <v>50</v>
      </c>
      <c r="G732" s="13" t="str">
        <f t="shared" si="35"/>
        <v>730</v>
      </c>
    </row>
    <row r="733" spans="1:7" x14ac:dyDescent="0.3">
      <c r="A733" s="43" t="s">
        <v>1561</v>
      </c>
      <c r="B733" s="44" t="s">
        <v>2152</v>
      </c>
      <c r="C733" s="4">
        <v>250731</v>
      </c>
      <c r="D733" s="13" t="s">
        <v>1561</v>
      </c>
      <c r="E733" s="13" t="str">
        <f t="shared" si="33"/>
        <v>FL2</v>
      </c>
      <c r="F733" s="13" t="str">
        <f t="shared" si="34"/>
        <v>50</v>
      </c>
      <c r="G733" s="13" t="str">
        <f t="shared" si="35"/>
        <v>731</v>
      </c>
    </row>
    <row r="734" spans="1:7" x14ac:dyDescent="0.3">
      <c r="A734" s="13" t="s">
        <v>1563</v>
      </c>
      <c r="B734" s="44" t="s">
        <v>2152</v>
      </c>
      <c r="C734" s="4">
        <v>250732</v>
      </c>
      <c r="D734" s="13" t="s">
        <v>1563</v>
      </c>
      <c r="E734" s="13" t="str">
        <f t="shared" si="33"/>
        <v>FL2</v>
      </c>
      <c r="F734" s="13" t="str">
        <f t="shared" si="34"/>
        <v>50</v>
      </c>
      <c r="G734" s="13" t="str">
        <f t="shared" si="35"/>
        <v>732</v>
      </c>
    </row>
    <row r="735" spans="1:7" x14ac:dyDescent="0.3">
      <c r="A735" s="43" t="s">
        <v>1565</v>
      </c>
      <c r="B735" s="44" t="s">
        <v>2152</v>
      </c>
      <c r="C735" s="4">
        <v>250733</v>
      </c>
      <c r="D735" s="13" t="s">
        <v>1565</v>
      </c>
      <c r="E735" s="13" t="str">
        <f t="shared" si="33"/>
        <v>FL2</v>
      </c>
      <c r="F735" s="13" t="str">
        <f t="shared" si="34"/>
        <v>50</v>
      </c>
      <c r="G735" s="13" t="str">
        <f t="shared" si="35"/>
        <v>733</v>
      </c>
    </row>
    <row r="736" spans="1:7" x14ac:dyDescent="0.3">
      <c r="A736" s="13" t="s">
        <v>1567</v>
      </c>
      <c r="B736" s="44" t="s">
        <v>2152</v>
      </c>
      <c r="C736" s="4">
        <v>250734</v>
      </c>
      <c r="D736" s="13" t="s">
        <v>1567</v>
      </c>
      <c r="E736" s="13" t="str">
        <f t="shared" si="33"/>
        <v>FL2</v>
      </c>
      <c r="F736" s="13" t="str">
        <f t="shared" si="34"/>
        <v>50</v>
      </c>
      <c r="G736" s="13" t="str">
        <f t="shared" si="35"/>
        <v>734</v>
      </c>
    </row>
    <row r="737" spans="1:7" x14ac:dyDescent="0.3">
      <c r="A737" s="43" t="s">
        <v>1569</v>
      </c>
      <c r="B737" s="44" t="s">
        <v>2152</v>
      </c>
      <c r="C737" s="4">
        <v>250735</v>
      </c>
      <c r="D737" s="13" t="s">
        <v>1569</v>
      </c>
      <c r="E737" s="13" t="str">
        <f t="shared" si="33"/>
        <v>FL2</v>
      </c>
      <c r="F737" s="13" t="str">
        <f t="shared" si="34"/>
        <v>50</v>
      </c>
      <c r="G737" s="13" t="str">
        <f t="shared" si="35"/>
        <v>735</v>
      </c>
    </row>
    <row r="738" spans="1:7" x14ac:dyDescent="0.3">
      <c r="A738" s="13" t="s">
        <v>1571</v>
      </c>
      <c r="B738" s="44" t="s">
        <v>2152</v>
      </c>
      <c r="C738" s="4">
        <v>250736</v>
      </c>
      <c r="D738" s="13" t="s">
        <v>1571</v>
      </c>
      <c r="E738" s="13" t="str">
        <f t="shared" si="33"/>
        <v>FL2</v>
      </c>
      <c r="F738" s="13" t="str">
        <f t="shared" si="34"/>
        <v>50</v>
      </c>
      <c r="G738" s="13" t="str">
        <f t="shared" si="35"/>
        <v>736</v>
      </c>
    </row>
    <row r="739" spans="1:7" x14ac:dyDescent="0.3">
      <c r="A739" s="43" t="s">
        <v>1573</v>
      </c>
      <c r="B739" s="44" t="s">
        <v>2152</v>
      </c>
      <c r="C739" s="4">
        <v>250737</v>
      </c>
      <c r="D739" s="13" t="s">
        <v>1573</v>
      </c>
      <c r="E739" s="13" t="str">
        <f t="shared" si="33"/>
        <v>FL2</v>
      </c>
      <c r="F739" s="13" t="str">
        <f t="shared" si="34"/>
        <v>50</v>
      </c>
      <c r="G739" s="13" t="str">
        <f t="shared" si="35"/>
        <v>737</v>
      </c>
    </row>
    <row r="740" spans="1:7" x14ac:dyDescent="0.3">
      <c r="A740" s="13" t="s">
        <v>1575</v>
      </c>
      <c r="B740" s="44" t="s">
        <v>2152</v>
      </c>
      <c r="C740" s="4">
        <v>250738</v>
      </c>
      <c r="D740" s="13" t="s">
        <v>1575</v>
      </c>
      <c r="E740" s="13" t="str">
        <f t="shared" si="33"/>
        <v>FL2</v>
      </c>
      <c r="F740" s="13" t="str">
        <f t="shared" si="34"/>
        <v>50</v>
      </c>
      <c r="G740" s="13" t="str">
        <f t="shared" si="35"/>
        <v>738</v>
      </c>
    </row>
    <row r="741" spans="1:7" x14ac:dyDescent="0.3">
      <c r="A741" s="43" t="s">
        <v>1577</v>
      </c>
      <c r="B741" s="44" t="s">
        <v>2152</v>
      </c>
      <c r="C741" s="4">
        <v>250739</v>
      </c>
      <c r="D741" s="13" t="s">
        <v>1577</v>
      </c>
      <c r="E741" s="13" t="str">
        <f t="shared" si="33"/>
        <v>FL2</v>
      </c>
      <c r="F741" s="13" t="str">
        <f t="shared" si="34"/>
        <v>50</v>
      </c>
      <c r="G741" s="13" t="str">
        <f t="shared" si="35"/>
        <v>739</v>
      </c>
    </row>
    <row r="742" spans="1:7" x14ac:dyDescent="0.3">
      <c r="A742" s="13" t="s">
        <v>1579</v>
      </c>
      <c r="B742" s="44" t="s">
        <v>2152</v>
      </c>
      <c r="C742" s="4">
        <v>250740</v>
      </c>
      <c r="D742" s="13" t="s">
        <v>1579</v>
      </c>
      <c r="E742" s="13" t="str">
        <f t="shared" si="33"/>
        <v>FL2</v>
      </c>
      <c r="F742" s="13" t="str">
        <f t="shared" si="34"/>
        <v>50</v>
      </c>
      <c r="G742" s="13" t="str">
        <f t="shared" si="35"/>
        <v>740</v>
      </c>
    </row>
    <row r="743" spans="1:7" x14ac:dyDescent="0.3">
      <c r="A743" s="43" t="s">
        <v>1581</v>
      </c>
      <c r="B743" s="44" t="s">
        <v>2152</v>
      </c>
      <c r="C743" s="4">
        <v>250741</v>
      </c>
      <c r="D743" s="13" t="s">
        <v>1581</v>
      </c>
      <c r="E743" s="13" t="str">
        <f t="shared" si="33"/>
        <v>FL2</v>
      </c>
      <c r="F743" s="13" t="str">
        <f t="shared" si="34"/>
        <v>50</v>
      </c>
      <c r="G743" s="13" t="str">
        <f t="shared" si="35"/>
        <v>741</v>
      </c>
    </row>
    <row r="744" spans="1:7" x14ac:dyDescent="0.3">
      <c r="A744" s="13" t="s">
        <v>1583</v>
      </c>
      <c r="B744" s="44" t="s">
        <v>2152</v>
      </c>
      <c r="C744" s="4">
        <v>250742</v>
      </c>
      <c r="D744" s="13" t="s">
        <v>1583</v>
      </c>
      <c r="E744" s="13" t="str">
        <f t="shared" si="33"/>
        <v>FL2</v>
      </c>
      <c r="F744" s="13" t="str">
        <f t="shared" si="34"/>
        <v>50</v>
      </c>
      <c r="G744" s="13" t="str">
        <f t="shared" si="35"/>
        <v>742</v>
      </c>
    </row>
    <row r="745" spans="1:7" x14ac:dyDescent="0.3">
      <c r="A745" s="43" t="s">
        <v>1585</v>
      </c>
      <c r="B745" s="44" t="s">
        <v>2152</v>
      </c>
      <c r="C745" s="4">
        <v>250743</v>
      </c>
      <c r="D745" s="13" t="s">
        <v>1585</v>
      </c>
      <c r="E745" s="13" t="str">
        <f t="shared" si="33"/>
        <v>FL2</v>
      </c>
      <c r="F745" s="13" t="str">
        <f t="shared" si="34"/>
        <v>50</v>
      </c>
      <c r="G745" s="13" t="str">
        <f t="shared" si="35"/>
        <v>743</v>
      </c>
    </row>
    <row r="746" spans="1:7" x14ac:dyDescent="0.3">
      <c r="A746" s="13" t="s">
        <v>1587</v>
      </c>
      <c r="B746" s="44" t="s">
        <v>2152</v>
      </c>
      <c r="C746" s="4">
        <v>250744</v>
      </c>
      <c r="D746" s="13" t="s">
        <v>1587</v>
      </c>
      <c r="E746" s="13" t="str">
        <f t="shared" si="33"/>
        <v>FL2</v>
      </c>
      <c r="F746" s="13" t="str">
        <f t="shared" si="34"/>
        <v>50</v>
      </c>
      <c r="G746" s="13" t="str">
        <f t="shared" si="35"/>
        <v>744</v>
      </c>
    </row>
    <row r="747" spans="1:7" x14ac:dyDescent="0.3">
      <c r="A747" s="43" t="s">
        <v>1589</v>
      </c>
      <c r="B747" s="44" t="s">
        <v>2152</v>
      </c>
      <c r="C747" s="4">
        <v>250745</v>
      </c>
      <c r="D747" s="13" t="s">
        <v>1589</v>
      </c>
      <c r="E747" s="13" t="str">
        <f t="shared" si="33"/>
        <v>FL2</v>
      </c>
      <c r="F747" s="13" t="str">
        <f t="shared" si="34"/>
        <v>50</v>
      </c>
      <c r="G747" s="13" t="str">
        <f t="shared" si="35"/>
        <v>745</v>
      </c>
    </row>
    <row r="748" spans="1:7" x14ac:dyDescent="0.3">
      <c r="A748" s="13" t="s">
        <v>1591</v>
      </c>
      <c r="B748" s="44" t="s">
        <v>2152</v>
      </c>
      <c r="C748" s="4">
        <v>250746</v>
      </c>
      <c r="D748" s="13" t="s">
        <v>1591</v>
      </c>
      <c r="E748" s="13" t="str">
        <f t="shared" si="33"/>
        <v>FL2</v>
      </c>
      <c r="F748" s="13" t="str">
        <f t="shared" si="34"/>
        <v>50</v>
      </c>
      <c r="G748" s="13" t="str">
        <f t="shared" si="35"/>
        <v>746</v>
      </c>
    </row>
    <row r="749" spans="1:7" x14ac:dyDescent="0.3">
      <c r="A749" s="43" t="s">
        <v>1593</v>
      </c>
      <c r="B749" s="44" t="s">
        <v>2152</v>
      </c>
      <c r="C749" s="4">
        <v>250747</v>
      </c>
      <c r="D749" s="13" t="s">
        <v>1593</v>
      </c>
      <c r="E749" s="13" t="str">
        <f t="shared" si="33"/>
        <v>FL2</v>
      </c>
      <c r="F749" s="13" t="str">
        <f t="shared" si="34"/>
        <v>50</v>
      </c>
      <c r="G749" s="13" t="str">
        <f t="shared" si="35"/>
        <v>747</v>
      </c>
    </row>
    <row r="750" spans="1:7" x14ac:dyDescent="0.3">
      <c r="A750" s="13" t="s">
        <v>1595</v>
      </c>
      <c r="B750" s="44" t="s">
        <v>2152</v>
      </c>
      <c r="C750" s="4">
        <v>250748</v>
      </c>
      <c r="D750" s="13" t="s">
        <v>1595</v>
      </c>
      <c r="E750" s="13" t="str">
        <f t="shared" si="33"/>
        <v>FL2</v>
      </c>
      <c r="F750" s="13" t="str">
        <f t="shared" si="34"/>
        <v>50</v>
      </c>
      <c r="G750" s="13" t="str">
        <f t="shared" si="35"/>
        <v>748</v>
      </c>
    </row>
    <row r="751" spans="1:7" x14ac:dyDescent="0.3">
      <c r="A751" s="43" t="s">
        <v>1597</v>
      </c>
      <c r="B751" s="44" t="s">
        <v>2152</v>
      </c>
      <c r="C751" s="4">
        <v>250749</v>
      </c>
      <c r="D751" s="13" t="s">
        <v>1597</v>
      </c>
      <c r="E751" s="13" t="str">
        <f t="shared" si="33"/>
        <v>FL2</v>
      </c>
      <c r="F751" s="13" t="str">
        <f t="shared" si="34"/>
        <v>50</v>
      </c>
      <c r="G751" s="13" t="str">
        <f t="shared" si="35"/>
        <v>749</v>
      </c>
    </row>
    <row r="752" spans="1:7" x14ac:dyDescent="0.3">
      <c r="A752" s="13" t="s">
        <v>1599</v>
      </c>
      <c r="B752" s="44" t="s">
        <v>2152</v>
      </c>
      <c r="C752" s="4">
        <v>250750</v>
      </c>
      <c r="D752" s="13" t="s">
        <v>1599</v>
      </c>
      <c r="E752" s="13" t="str">
        <f t="shared" si="33"/>
        <v>FL2</v>
      </c>
      <c r="F752" s="13" t="str">
        <f t="shared" si="34"/>
        <v>50</v>
      </c>
      <c r="G752" s="13" t="str">
        <f t="shared" si="35"/>
        <v>750</v>
      </c>
    </row>
    <row r="753" spans="1:7" x14ac:dyDescent="0.3">
      <c r="A753" s="43" t="s">
        <v>1601</v>
      </c>
      <c r="B753" s="44" t="s">
        <v>2152</v>
      </c>
      <c r="C753" s="4">
        <v>250751</v>
      </c>
      <c r="D753" s="13" t="s">
        <v>1601</v>
      </c>
      <c r="E753" s="13" t="str">
        <f t="shared" si="33"/>
        <v>FL2</v>
      </c>
      <c r="F753" s="13" t="str">
        <f t="shared" si="34"/>
        <v>50</v>
      </c>
      <c r="G753" s="13" t="str">
        <f t="shared" si="35"/>
        <v>751</v>
      </c>
    </row>
    <row r="754" spans="1:7" x14ac:dyDescent="0.3">
      <c r="A754" s="13" t="s">
        <v>1603</v>
      </c>
      <c r="B754" s="44" t="s">
        <v>2152</v>
      </c>
      <c r="C754" s="4">
        <v>250752</v>
      </c>
      <c r="D754" s="13" t="s">
        <v>1603</v>
      </c>
      <c r="E754" s="13" t="str">
        <f t="shared" si="33"/>
        <v>FL2</v>
      </c>
      <c r="F754" s="13" t="str">
        <f t="shared" si="34"/>
        <v>50</v>
      </c>
      <c r="G754" s="13" t="str">
        <f t="shared" si="35"/>
        <v>752</v>
      </c>
    </row>
    <row r="755" spans="1:7" x14ac:dyDescent="0.3">
      <c r="A755" s="43" t="s">
        <v>1605</v>
      </c>
      <c r="B755" s="44" t="s">
        <v>2152</v>
      </c>
      <c r="C755" s="4">
        <v>250753</v>
      </c>
      <c r="D755" s="13" t="s">
        <v>1605</v>
      </c>
      <c r="E755" s="13" t="str">
        <f t="shared" si="33"/>
        <v>FL2</v>
      </c>
      <c r="F755" s="13" t="str">
        <f t="shared" si="34"/>
        <v>50</v>
      </c>
      <c r="G755" s="13" t="str">
        <f t="shared" si="35"/>
        <v>753</v>
      </c>
    </row>
    <row r="756" spans="1:7" x14ac:dyDescent="0.3">
      <c r="A756" s="13" t="s">
        <v>1607</v>
      </c>
      <c r="B756" s="44" t="s">
        <v>2152</v>
      </c>
      <c r="C756" s="4">
        <v>250754</v>
      </c>
      <c r="D756" s="13" t="s">
        <v>1607</v>
      </c>
      <c r="E756" s="13" t="str">
        <f t="shared" si="33"/>
        <v>FL2</v>
      </c>
      <c r="F756" s="13" t="str">
        <f t="shared" si="34"/>
        <v>50</v>
      </c>
      <c r="G756" s="13" t="str">
        <f t="shared" si="35"/>
        <v>754</v>
      </c>
    </row>
    <row r="757" spans="1:7" x14ac:dyDescent="0.3">
      <c r="A757" s="43" t="s">
        <v>1609</v>
      </c>
      <c r="B757" s="44" t="s">
        <v>2152</v>
      </c>
      <c r="C757" s="4">
        <v>250755</v>
      </c>
      <c r="D757" s="13" t="s">
        <v>1609</v>
      </c>
      <c r="E757" s="13" t="str">
        <f t="shared" si="33"/>
        <v>FL2</v>
      </c>
      <c r="F757" s="13" t="str">
        <f t="shared" si="34"/>
        <v>50</v>
      </c>
      <c r="G757" s="13" t="str">
        <f t="shared" si="35"/>
        <v>755</v>
      </c>
    </row>
    <row r="758" spans="1:7" x14ac:dyDescent="0.3">
      <c r="A758" s="13" t="s">
        <v>1611</v>
      </c>
      <c r="B758" s="44" t="s">
        <v>2152</v>
      </c>
      <c r="C758" s="4">
        <v>250756</v>
      </c>
      <c r="D758" s="13" t="s">
        <v>1611</v>
      </c>
      <c r="E758" s="13" t="str">
        <f t="shared" si="33"/>
        <v>FL2</v>
      </c>
      <c r="F758" s="13" t="str">
        <f t="shared" si="34"/>
        <v>50</v>
      </c>
      <c r="G758" s="13" t="str">
        <f t="shared" si="35"/>
        <v>756</v>
      </c>
    </row>
    <row r="759" spans="1:7" x14ac:dyDescent="0.3">
      <c r="A759" s="43" t="s">
        <v>1613</v>
      </c>
      <c r="B759" s="44" t="s">
        <v>2152</v>
      </c>
      <c r="C759" s="4">
        <v>250757</v>
      </c>
      <c r="D759" s="13" t="s">
        <v>1613</v>
      </c>
      <c r="E759" s="13" t="str">
        <f t="shared" si="33"/>
        <v>FL2</v>
      </c>
      <c r="F759" s="13" t="str">
        <f t="shared" si="34"/>
        <v>50</v>
      </c>
      <c r="G759" s="13" t="str">
        <f t="shared" si="35"/>
        <v>757</v>
      </c>
    </row>
    <row r="760" spans="1:7" x14ac:dyDescent="0.3">
      <c r="A760" s="13" t="s">
        <v>1615</v>
      </c>
      <c r="B760" s="44" t="s">
        <v>2152</v>
      </c>
      <c r="C760" s="4">
        <v>250758</v>
      </c>
      <c r="D760" s="13" t="s">
        <v>1615</v>
      </c>
      <c r="E760" s="13" t="str">
        <f t="shared" si="33"/>
        <v>FL2</v>
      </c>
      <c r="F760" s="13" t="str">
        <f t="shared" si="34"/>
        <v>50</v>
      </c>
      <c r="G760" s="13" t="str">
        <f t="shared" si="35"/>
        <v>758</v>
      </c>
    </row>
    <row r="761" spans="1:7" x14ac:dyDescent="0.3">
      <c r="A761" s="43" t="s">
        <v>1617</v>
      </c>
      <c r="B761" s="44" t="s">
        <v>2152</v>
      </c>
      <c r="C761" s="4">
        <v>250759</v>
      </c>
      <c r="D761" s="13" t="s">
        <v>1617</v>
      </c>
      <c r="E761" s="13" t="str">
        <f t="shared" si="33"/>
        <v>FL2</v>
      </c>
      <c r="F761" s="13" t="str">
        <f t="shared" si="34"/>
        <v>50</v>
      </c>
      <c r="G761" s="13" t="str">
        <f t="shared" si="35"/>
        <v>759</v>
      </c>
    </row>
    <row r="762" spans="1:7" x14ac:dyDescent="0.3">
      <c r="A762" s="13" t="s">
        <v>1619</v>
      </c>
      <c r="B762" s="44" t="s">
        <v>2152</v>
      </c>
      <c r="C762" s="4">
        <v>250760</v>
      </c>
      <c r="D762" s="13" t="s">
        <v>1619</v>
      </c>
      <c r="E762" s="13" t="str">
        <f t="shared" si="33"/>
        <v>FL2</v>
      </c>
      <c r="F762" s="13" t="str">
        <f t="shared" si="34"/>
        <v>50</v>
      </c>
      <c r="G762" s="13" t="str">
        <f t="shared" si="35"/>
        <v>760</v>
      </c>
    </row>
    <row r="763" spans="1:7" x14ac:dyDescent="0.3">
      <c r="A763" s="43" t="s">
        <v>1621</v>
      </c>
      <c r="B763" s="44" t="s">
        <v>2152</v>
      </c>
      <c r="C763" s="4">
        <v>250761</v>
      </c>
      <c r="D763" s="13" t="s">
        <v>1621</v>
      </c>
      <c r="E763" s="13" t="str">
        <f t="shared" si="33"/>
        <v>FL2</v>
      </c>
      <c r="F763" s="13" t="str">
        <f t="shared" si="34"/>
        <v>50</v>
      </c>
      <c r="G763" s="13" t="str">
        <f t="shared" si="35"/>
        <v>761</v>
      </c>
    </row>
    <row r="764" spans="1:7" x14ac:dyDescent="0.3">
      <c r="A764" s="13" t="s">
        <v>1623</v>
      </c>
      <c r="B764" s="44" t="s">
        <v>2152</v>
      </c>
      <c r="C764" s="4">
        <v>250762</v>
      </c>
      <c r="D764" s="13" t="s">
        <v>1623</v>
      </c>
      <c r="E764" s="13" t="str">
        <f t="shared" si="33"/>
        <v>FL2</v>
      </c>
      <c r="F764" s="13" t="str">
        <f t="shared" si="34"/>
        <v>50</v>
      </c>
      <c r="G764" s="13" t="str">
        <f t="shared" si="35"/>
        <v>762</v>
      </c>
    </row>
    <row r="765" spans="1:7" x14ac:dyDescent="0.3">
      <c r="A765" s="43" t="s">
        <v>1625</v>
      </c>
      <c r="B765" s="44" t="s">
        <v>2152</v>
      </c>
      <c r="C765" s="4">
        <v>250763</v>
      </c>
      <c r="D765" s="13" t="s">
        <v>1625</v>
      </c>
      <c r="E765" s="13" t="str">
        <f t="shared" si="33"/>
        <v>FL2</v>
      </c>
      <c r="F765" s="13" t="str">
        <f t="shared" si="34"/>
        <v>50</v>
      </c>
      <c r="G765" s="13" t="str">
        <f t="shared" si="35"/>
        <v>763</v>
      </c>
    </row>
    <row r="766" spans="1:7" x14ac:dyDescent="0.3">
      <c r="A766" s="13" t="s">
        <v>1627</v>
      </c>
      <c r="B766" s="44" t="s">
        <v>2152</v>
      </c>
      <c r="C766" s="4">
        <v>250764</v>
      </c>
      <c r="D766" s="13" t="s">
        <v>1627</v>
      </c>
      <c r="E766" s="13" t="str">
        <f t="shared" si="33"/>
        <v>FL2</v>
      </c>
      <c r="F766" s="13" t="str">
        <f t="shared" si="34"/>
        <v>50</v>
      </c>
      <c r="G766" s="13" t="str">
        <f t="shared" si="35"/>
        <v>764</v>
      </c>
    </row>
    <row r="767" spans="1:7" x14ac:dyDescent="0.3">
      <c r="A767" s="43" t="s">
        <v>1629</v>
      </c>
      <c r="B767" s="44" t="s">
        <v>2152</v>
      </c>
      <c r="C767" s="4">
        <v>250765</v>
      </c>
      <c r="D767" s="13" t="s">
        <v>1629</v>
      </c>
      <c r="E767" s="13" t="str">
        <f t="shared" si="33"/>
        <v>FL2</v>
      </c>
      <c r="F767" s="13" t="str">
        <f t="shared" si="34"/>
        <v>50</v>
      </c>
      <c r="G767" s="13" t="str">
        <f t="shared" si="35"/>
        <v>765</v>
      </c>
    </row>
    <row r="768" spans="1:7" x14ac:dyDescent="0.3">
      <c r="A768" s="13" t="s">
        <v>1631</v>
      </c>
      <c r="B768" s="44" t="s">
        <v>2152</v>
      </c>
      <c r="C768" s="4">
        <v>250766</v>
      </c>
      <c r="D768" s="13" t="s">
        <v>1631</v>
      </c>
      <c r="E768" s="13" t="str">
        <f t="shared" si="33"/>
        <v>FL2</v>
      </c>
      <c r="F768" s="13" t="str">
        <f t="shared" si="34"/>
        <v>50</v>
      </c>
      <c r="G768" s="13" t="str">
        <f t="shared" si="35"/>
        <v>766</v>
      </c>
    </row>
    <row r="769" spans="1:7" x14ac:dyDescent="0.3">
      <c r="A769" s="43" t="s">
        <v>1633</v>
      </c>
      <c r="B769" s="44" t="s">
        <v>2152</v>
      </c>
      <c r="C769" s="4">
        <v>250767</v>
      </c>
      <c r="D769" s="13" t="s">
        <v>1633</v>
      </c>
      <c r="E769" s="13" t="str">
        <f t="shared" si="33"/>
        <v>FL2</v>
      </c>
      <c r="F769" s="13" t="str">
        <f t="shared" si="34"/>
        <v>50</v>
      </c>
      <c r="G769" s="13" t="str">
        <f t="shared" si="35"/>
        <v>767</v>
      </c>
    </row>
    <row r="770" spans="1:7" x14ac:dyDescent="0.3">
      <c r="A770" s="13" t="s">
        <v>1635</v>
      </c>
      <c r="B770" s="44" t="s">
        <v>2152</v>
      </c>
      <c r="C770" s="4">
        <v>250768</v>
      </c>
      <c r="D770" s="13" t="s">
        <v>1635</v>
      </c>
      <c r="E770" s="13" t="str">
        <f t="shared" si="33"/>
        <v>FL2</v>
      </c>
      <c r="F770" s="13" t="str">
        <f t="shared" si="34"/>
        <v>50</v>
      </c>
      <c r="G770" s="13" t="str">
        <f t="shared" si="35"/>
        <v>768</v>
      </c>
    </row>
    <row r="771" spans="1:7" x14ac:dyDescent="0.3">
      <c r="A771" s="43" t="s">
        <v>1637</v>
      </c>
      <c r="B771" s="44" t="s">
        <v>2152</v>
      </c>
      <c r="C771" s="4">
        <v>250769</v>
      </c>
      <c r="D771" s="13" t="s">
        <v>1637</v>
      </c>
      <c r="E771" s="13" t="str">
        <f t="shared" si="33"/>
        <v>FL2</v>
      </c>
      <c r="F771" s="13" t="str">
        <f t="shared" si="34"/>
        <v>50</v>
      </c>
      <c r="G771" s="13" t="str">
        <f t="shared" si="35"/>
        <v>769</v>
      </c>
    </row>
    <row r="772" spans="1:7" x14ac:dyDescent="0.3">
      <c r="A772" s="13" t="s">
        <v>1639</v>
      </c>
      <c r="B772" s="44" t="s">
        <v>2152</v>
      </c>
      <c r="C772" s="4">
        <v>250770</v>
      </c>
      <c r="D772" s="13" t="s">
        <v>1639</v>
      </c>
      <c r="E772" s="13" t="str">
        <f t="shared" ref="E772:E835" si="36">LEFT(D772,3)</f>
        <v>FL2</v>
      </c>
      <c r="F772" s="13" t="str">
        <f t="shared" ref="F772:F835" si="37">MID(D772,4,2)</f>
        <v>50</v>
      </c>
      <c r="G772" s="13" t="str">
        <f t="shared" ref="G772:G835" si="38">RIGHT(D772,3)</f>
        <v>770</v>
      </c>
    </row>
    <row r="773" spans="1:7" x14ac:dyDescent="0.3">
      <c r="A773" s="43" t="s">
        <v>1641</v>
      </c>
      <c r="B773" s="44" t="s">
        <v>2152</v>
      </c>
      <c r="C773" s="4">
        <v>250771</v>
      </c>
      <c r="D773" s="13" t="s">
        <v>1641</v>
      </c>
      <c r="E773" s="13" t="str">
        <f t="shared" si="36"/>
        <v>FL2</v>
      </c>
      <c r="F773" s="13" t="str">
        <f t="shared" si="37"/>
        <v>50</v>
      </c>
      <c r="G773" s="13" t="str">
        <f t="shared" si="38"/>
        <v>771</v>
      </c>
    </row>
    <row r="774" spans="1:7" x14ac:dyDescent="0.3">
      <c r="A774" s="13" t="s">
        <v>1643</v>
      </c>
      <c r="B774" s="44" t="s">
        <v>2152</v>
      </c>
      <c r="C774" s="4">
        <v>250772</v>
      </c>
      <c r="D774" s="13" t="s">
        <v>1643</v>
      </c>
      <c r="E774" s="13" t="str">
        <f t="shared" si="36"/>
        <v>FL2</v>
      </c>
      <c r="F774" s="13" t="str">
        <f t="shared" si="37"/>
        <v>50</v>
      </c>
      <c r="G774" s="13" t="str">
        <f t="shared" si="38"/>
        <v>772</v>
      </c>
    </row>
    <row r="775" spans="1:7" x14ac:dyDescent="0.3">
      <c r="A775" s="43" t="s">
        <v>1645</v>
      </c>
      <c r="B775" s="44" t="s">
        <v>2152</v>
      </c>
      <c r="C775" s="4">
        <v>250773</v>
      </c>
      <c r="D775" s="13" t="s">
        <v>1645</v>
      </c>
      <c r="E775" s="13" t="str">
        <f t="shared" si="36"/>
        <v>FL2</v>
      </c>
      <c r="F775" s="13" t="str">
        <f t="shared" si="37"/>
        <v>50</v>
      </c>
      <c r="G775" s="13" t="str">
        <f t="shared" si="38"/>
        <v>773</v>
      </c>
    </row>
    <row r="776" spans="1:7" x14ac:dyDescent="0.3">
      <c r="A776" s="13" t="s">
        <v>1647</v>
      </c>
      <c r="B776" s="44" t="s">
        <v>2152</v>
      </c>
      <c r="C776" s="4">
        <v>250774</v>
      </c>
      <c r="D776" s="13" t="s">
        <v>1647</v>
      </c>
      <c r="E776" s="13" t="str">
        <f t="shared" si="36"/>
        <v>FL2</v>
      </c>
      <c r="F776" s="13" t="str">
        <f t="shared" si="37"/>
        <v>50</v>
      </c>
      <c r="G776" s="13" t="str">
        <f t="shared" si="38"/>
        <v>774</v>
      </c>
    </row>
    <row r="777" spans="1:7" x14ac:dyDescent="0.3">
      <c r="A777" s="43" t="s">
        <v>1649</v>
      </c>
      <c r="B777" s="44" t="s">
        <v>2152</v>
      </c>
      <c r="C777" s="4">
        <v>250775</v>
      </c>
      <c r="D777" s="13" t="s">
        <v>1649</v>
      </c>
      <c r="E777" s="13" t="str">
        <f t="shared" si="36"/>
        <v>FL2</v>
      </c>
      <c r="F777" s="13" t="str">
        <f t="shared" si="37"/>
        <v>50</v>
      </c>
      <c r="G777" s="13" t="str">
        <f t="shared" si="38"/>
        <v>775</v>
      </c>
    </row>
    <row r="778" spans="1:7" x14ac:dyDescent="0.3">
      <c r="A778" s="13" t="s">
        <v>1651</v>
      </c>
      <c r="B778" s="44" t="s">
        <v>2152</v>
      </c>
      <c r="C778" s="4">
        <v>250776</v>
      </c>
      <c r="D778" s="13" t="s">
        <v>1651</v>
      </c>
      <c r="E778" s="13" t="str">
        <f t="shared" si="36"/>
        <v>FL2</v>
      </c>
      <c r="F778" s="13" t="str">
        <f t="shared" si="37"/>
        <v>50</v>
      </c>
      <c r="G778" s="13" t="str">
        <f t="shared" si="38"/>
        <v>776</v>
      </c>
    </row>
    <row r="779" spans="1:7" x14ac:dyDescent="0.3">
      <c r="A779" s="43" t="s">
        <v>1653</v>
      </c>
      <c r="B779" s="44" t="s">
        <v>2152</v>
      </c>
      <c r="C779" s="4">
        <v>250777</v>
      </c>
      <c r="D779" s="13" t="s">
        <v>1653</v>
      </c>
      <c r="E779" s="13" t="str">
        <f t="shared" si="36"/>
        <v>FL2</v>
      </c>
      <c r="F779" s="13" t="str">
        <f t="shared" si="37"/>
        <v>50</v>
      </c>
      <c r="G779" s="13" t="str">
        <f t="shared" si="38"/>
        <v>777</v>
      </c>
    </row>
    <row r="780" spans="1:7" x14ac:dyDescent="0.3">
      <c r="A780" s="13" t="s">
        <v>1655</v>
      </c>
      <c r="B780" s="44" t="s">
        <v>2152</v>
      </c>
      <c r="C780" s="4">
        <v>250778</v>
      </c>
      <c r="D780" s="13" t="s">
        <v>1655</v>
      </c>
      <c r="E780" s="13" t="str">
        <f t="shared" si="36"/>
        <v>FL2</v>
      </c>
      <c r="F780" s="13" t="str">
        <f t="shared" si="37"/>
        <v>50</v>
      </c>
      <c r="G780" s="13" t="str">
        <f t="shared" si="38"/>
        <v>778</v>
      </c>
    </row>
    <row r="781" spans="1:7" x14ac:dyDescent="0.3">
      <c r="A781" s="43" t="s">
        <v>1657</v>
      </c>
      <c r="B781" s="44" t="s">
        <v>2152</v>
      </c>
      <c r="C781" s="4">
        <v>250779</v>
      </c>
      <c r="D781" s="13" t="s">
        <v>1657</v>
      </c>
      <c r="E781" s="13" t="str">
        <f t="shared" si="36"/>
        <v>FL2</v>
      </c>
      <c r="F781" s="13" t="str">
        <f t="shared" si="37"/>
        <v>50</v>
      </c>
      <c r="G781" s="13" t="str">
        <f t="shared" si="38"/>
        <v>779</v>
      </c>
    </row>
    <row r="782" spans="1:7" x14ac:dyDescent="0.3">
      <c r="A782" s="13" t="s">
        <v>1659</v>
      </c>
      <c r="B782" s="44" t="s">
        <v>2152</v>
      </c>
      <c r="C782" s="4">
        <v>250780</v>
      </c>
      <c r="D782" s="13" t="s">
        <v>1659</v>
      </c>
      <c r="E782" s="13" t="str">
        <f t="shared" si="36"/>
        <v>FL2</v>
      </c>
      <c r="F782" s="13" t="str">
        <f t="shared" si="37"/>
        <v>50</v>
      </c>
      <c r="G782" s="13" t="str">
        <f t="shared" si="38"/>
        <v>780</v>
      </c>
    </row>
    <row r="783" spans="1:7" x14ac:dyDescent="0.3">
      <c r="A783" s="43" t="s">
        <v>1661</v>
      </c>
      <c r="B783" s="44" t="s">
        <v>2152</v>
      </c>
      <c r="C783" s="4">
        <v>250781</v>
      </c>
      <c r="D783" s="13" t="s">
        <v>1661</v>
      </c>
      <c r="E783" s="13" t="str">
        <f t="shared" si="36"/>
        <v>FL2</v>
      </c>
      <c r="F783" s="13" t="str">
        <f t="shared" si="37"/>
        <v>50</v>
      </c>
      <c r="G783" s="13" t="str">
        <f t="shared" si="38"/>
        <v>781</v>
      </c>
    </row>
    <row r="784" spans="1:7" x14ac:dyDescent="0.3">
      <c r="A784" s="13" t="s">
        <v>1663</v>
      </c>
      <c r="B784" s="44" t="s">
        <v>2152</v>
      </c>
      <c r="C784" s="4">
        <v>250782</v>
      </c>
      <c r="D784" s="13" t="s">
        <v>1663</v>
      </c>
      <c r="E784" s="13" t="str">
        <f t="shared" si="36"/>
        <v>FL2</v>
      </c>
      <c r="F784" s="13" t="str">
        <f t="shared" si="37"/>
        <v>50</v>
      </c>
      <c r="G784" s="13" t="str">
        <f t="shared" si="38"/>
        <v>782</v>
      </c>
    </row>
    <row r="785" spans="1:7" x14ac:dyDescent="0.3">
      <c r="A785" s="43" t="s">
        <v>1665</v>
      </c>
      <c r="B785" s="44" t="s">
        <v>2152</v>
      </c>
      <c r="C785" s="4">
        <v>250783</v>
      </c>
      <c r="D785" s="13" t="s">
        <v>1665</v>
      </c>
      <c r="E785" s="13" t="str">
        <f t="shared" si="36"/>
        <v>FL2</v>
      </c>
      <c r="F785" s="13" t="str">
        <f t="shared" si="37"/>
        <v>50</v>
      </c>
      <c r="G785" s="13" t="str">
        <f t="shared" si="38"/>
        <v>783</v>
      </c>
    </row>
    <row r="786" spans="1:7" x14ac:dyDescent="0.3">
      <c r="A786" s="13" t="s">
        <v>1667</v>
      </c>
      <c r="B786" s="44" t="s">
        <v>2152</v>
      </c>
      <c r="C786" s="4">
        <v>250784</v>
      </c>
      <c r="D786" s="13" t="s">
        <v>1667</v>
      </c>
      <c r="E786" s="13" t="str">
        <f t="shared" si="36"/>
        <v>FL2</v>
      </c>
      <c r="F786" s="13" t="str">
        <f t="shared" si="37"/>
        <v>50</v>
      </c>
      <c r="G786" s="13" t="str">
        <f t="shared" si="38"/>
        <v>784</v>
      </c>
    </row>
    <row r="787" spans="1:7" x14ac:dyDescent="0.3">
      <c r="A787" s="43" t="s">
        <v>1669</v>
      </c>
      <c r="B787" s="44" t="s">
        <v>2152</v>
      </c>
      <c r="C787" s="4">
        <v>250785</v>
      </c>
      <c r="D787" s="13" t="s">
        <v>1669</v>
      </c>
      <c r="E787" s="13" t="str">
        <f t="shared" si="36"/>
        <v>FL2</v>
      </c>
      <c r="F787" s="13" t="str">
        <f t="shared" si="37"/>
        <v>50</v>
      </c>
      <c r="G787" s="13" t="str">
        <f t="shared" si="38"/>
        <v>785</v>
      </c>
    </row>
    <row r="788" spans="1:7" x14ac:dyDescent="0.3">
      <c r="A788" s="13" t="s">
        <v>1671</v>
      </c>
      <c r="B788" s="44" t="s">
        <v>2152</v>
      </c>
      <c r="C788" s="4">
        <v>250786</v>
      </c>
      <c r="D788" s="13" t="s">
        <v>1671</v>
      </c>
      <c r="E788" s="13" t="str">
        <f t="shared" si="36"/>
        <v>FL2</v>
      </c>
      <c r="F788" s="13" t="str">
        <f t="shared" si="37"/>
        <v>50</v>
      </c>
      <c r="G788" s="13" t="str">
        <f t="shared" si="38"/>
        <v>786</v>
      </c>
    </row>
    <row r="789" spans="1:7" x14ac:dyDescent="0.3">
      <c r="A789" s="43" t="s">
        <v>1673</v>
      </c>
      <c r="B789" s="44" t="s">
        <v>2152</v>
      </c>
      <c r="C789" s="4">
        <v>250787</v>
      </c>
      <c r="D789" s="13" t="s">
        <v>1673</v>
      </c>
      <c r="E789" s="13" t="str">
        <f t="shared" si="36"/>
        <v>FL2</v>
      </c>
      <c r="F789" s="13" t="str">
        <f t="shared" si="37"/>
        <v>50</v>
      </c>
      <c r="G789" s="13" t="str">
        <f t="shared" si="38"/>
        <v>787</v>
      </c>
    </row>
    <row r="790" spans="1:7" x14ac:dyDescent="0.3">
      <c r="A790" s="13" t="s">
        <v>1675</v>
      </c>
      <c r="B790" s="44" t="s">
        <v>2152</v>
      </c>
      <c r="C790" s="4">
        <v>250788</v>
      </c>
      <c r="D790" s="13" t="s">
        <v>1675</v>
      </c>
      <c r="E790" s="13" t="str">
        <f t="shared" si="36"/>
        <v>FL2</v>
      </c>
      <c r="F790" s="13" t="str">
        <f t="shared" si="37"/>
        <v>50</v>
      </c>
      <c r="G790" s="13" t="str">
        <f t="shared" si="38"/>
        <v>788</v>
      </c>
    </row>
    <row r="791" spans="1:7" x14ac:dyDescent="0.3">
      <c r="A791" s="43" t="s">
        <v>1677</v>
      </c>
      <c r="B791" s="44" t="s">
        <v>2152</v>
      </c>
      <c r="C791" s="4">
        <v>250789</v>
      </c>
      <c r="D791" s="13" t="s">
        <v>1677</v>
      </c>
      <c r="E791" s="13" t="str">
        <f t="shared" si="36"/>
        <v>FL2</v>
      </c>
      <c r="F791" s="13" t="str">
        <f t="shared" si="37"/>
        <v>50</v>
      </c>
      <c r="G791" s="13" t="str">
        <f t="shared" si="38"/>
        <v>789</v>
      </c>
    </row>
    <row r="792" spans="1:7" x14ac:dyDescent="0.3">
      <c r="A792" s="13" t="s">
        <v>1679</v>
      </c>
      <c r="B792" s="44" t="s">
        <v>2152</v>
      </c>
      <c r="C792" s="4">
        <v>250790</v>
      </c>
      <c r="D792" s="13" t="s">
        <v>1679</v>
      </c>
      <c r="E792" s="13" t="str">
        <f t="shared" si="36"/>
        <v>FL2</v>
      </c>
      <c r="F792" s="13" t="str">
        <f t="shared" si="37"/>
        <v>50</v>
      </c>
      <c r="G792" s="13" t="str">
        <f t="shared" si="38"/>
        <v>790</v>
      </c>
    </row>
    <row r="793" spans="1:7" x14ac:dyDescent="0.3">
      <c r="A793" s="43" t="s">
        <v>1681</v>
      </c>
      <c r="B793" s="44" t="s">
        <v>2152</v>
      </c>
      <c r="C793" s="4">
        <v>250791</v>
      </c>
      <c r="D793" s="13" t="s">
        <v>1681</v>
      </c>
      <c r="E793" s="13" t="str">
        <f t="shared" si="36"/>
        <v>FL2</v>
      </c>
      <c r="F793" s="13" t="str">
        <f t="shared" si="37"/>
        <v>50</v>
      </c>
      <c r="G793" s="13" t="str">
        <f t="shared" si="38"/>
        <v>791</v>
      </c>
    </row>
    <row r="794" spans="1:7" x14ac:dyDescent="0.3">
      <c r="A794" s="13" t="s">
        <v>1683</v>
      </c>
      <c r="B794" s="44" t="s">
        <v>2152</v>
      </c>
      <c r="C794" s="4">
        <v>250792</v>
      </c>
      <c r="D794" s="13" t="s">
        <v>1683</v>
      </c>
      <c r="E794" s="13" t="str">
        <f t="shared" si="36"/>
        <v>FL2</v>
      </c>
      <c r="F794" s="13" t="str">
        <f t="shared" si="37"/>
        <v>50</v>
      </c>
      <c r="G794" s="13" t="str">
        <f t="shared" si="38"/>
        <v>792</v>
      </c>
    </row>
    <row r="795" spans="1:7" x14ac:dyDescent="0.3">
      <c r="A795" s="43" t="s">
        <v>1685</v>
      </c>
      <c r="B795" s="44" t="s">
        <v>2152</v>
      </c>
      <c r="C795" s="4">
        <v>250793</v>
      </c>
      <c r="D795" s="13" t="s">
        <v>1685</v>
      </c>
      <c r="E795" s="13" t="str">
        <f t="shared" si="36"/>
        <v>FL2</v>
      </c>
      <c r="F795" s="13" t="str">
        <f t="shared" si="37"/>
        <v>50</v>
      </c>
      <c r="G795" s="13" t="str">
        <f t="shared" si="38"/>
        <v>793</v>
      </c>
    </row>
    <row r="796" spans="1:7" x14ac:dyDescent="0.3">
      <c r="A796" s="13" t="s">
        <v>1687</v>
      </c>
      <c r="B796" s="44" t="s">
        <v>2152</v>
      </c>
      <c r="C796" s="4">
        <v>250794</v>
      </c>
      <c r="D796" s="13" t="s">
        <v>1687</v>
      </c>
      <c r="E796" s="13" t="str">
        <f t="shared" si="36"/>
        <v>FL2</v>
      </c>
      <c r="F796" s="13" t="str">
        <f t="shared" si="37"/>
        <v>50</v>
      </c>
      <c r="G796" s="13" t="str">
        <f t="shared" si="38"/>
        <v>794</v>
      </c>
    </row>
    <row r="797" spans="1:7" x14ac:dyDescent="0.3">
      <c r="A797" s="43" t="s">
        <v>1689</v>
      </c>
      <c r="B797" s="44" t="s">
        <v>2152</v>
      </c>
      <c r="C797" s="4">
        <v>250795</v>
      </c>
      <c r="D797" s="13" t="s">
        <v>1689</v>
      </c>
      <c r="E797" s="13" t="str">
        <f t="shared" si="36"/>
        <v>FL2</v>
      </c>
      <c r="F797" s="13" t="str">
        <f t="shared" si="37"/>
        <v>50</v>
      </c>
      <c r="G797" s="13" t="str">
        <f t="shared" si="38"/>
        <v>795</v>
      </c>
    </row>
    <row r="798" spans="1:7" x14ac:dyDescent="0.3">
      <c r="A798" s="13" t="s">
        <v>1691</v>
      </c>
      <c r="B798" s="44" t="s">
        <v>2152</v>
      </c>
      <c r="C798" s="4">
        <v>250796</v>
      </c>
      <c r="D798" s="13" t="s">
        <v>1691</v>
      </c>
      <c r="E798" s="13" t="str">
        <f t="shared" si="36"/>
        <v>FL2</v>
      </c>
      <c r="F798" s="13" t="str">
        <f t="shared" si="37"/>
        <v>50</v>
      </c>
      <c r="G798" s="13" t="str">
        <f t="shared" si="38"/>
        <v>796</v>
      </c>
    </row>
    <row r="799" spans="1:7" x14ac:dyDescent="0.3">
      <c r="A799" s="43" t="s">
        <v>1693</v>
      </c>
      <c r="B799" s="44" t="s">
        <v>2152</v>
      </c>
      <c r="C799" s="4">
        <v>250797</v>
      </c>
      <c r="D799" s="13" t="s">
        <v>1693</v>
      </c>
      <c r="E799" s="13" t="str">
        <f t="shared" si="36"/>
        <v>FL2</v>
      </c>
      <c r="F799" s="13" t="str">
        <f t="shared" si="37"/>
        <v>50</v>
      </c>
      <c r="G799" s="13" t="str">
        <f t="shared" si="38"/>
        <v>797</v>
      </c>
    </row>
    <row r="800" spans="1:7" x14ac:dyDescent="0.3">
      <c r="A800" s="13" t="s">
        <v>1695</v>
      </c>
      <c r="B800" s="44" t="s">
        <v>2152</v>
      </c>
      <c r="C800" s="4">
        <v>250798</v>
      </c>
      <c r="D800" s="13" t="s">
        <v>1695</v>
      </c>
      <c r="E800" s="13" t="str">
        <f t="shared" si="36"/>
        <v>FL2</v>
      </c>
      <c r="F800" s="13" t="str">
        <f t="shared" si="37"/>
        <v>50</v>
      </c>
      <c r="G800" s="13" t="str">
        <f t="shared" si="38"/>
        <v>798</v>
      </c>
    </row>
    <row r="801" spans="1:7" x14ac:dyDescent="0.3">
      <c r="A801" s="43" t="s">
        <v>1697</v>
      </c>
      <c r="B801" s="44" t="s">
        <v>2152</v>
      </c>
      <c r="C801" s="4">
        <v>250799</v>
      </c>
      <c r="D801" s="13" t="s">
        <v>1697</v>
      </c>
      <c r="E801" s="13" t="str">
        <f t="shared" si="36"/>
        <v>FL2</v>
      </c>
      <c r="F801" s="13" t="str">
        <f t="shared" si="37"/>
        <v>50</v>
      </c>
      <c r="G801" s="13" t="str">
        <f t="shared" si="38"/>
        <v>799</v>
      </c>
    </row>
    <row r="802" spans="1:7" x14ac:dyDescent="0.3">
      <c r="A802" s="13" t="s">
        <v>1699</v>
      </c>
      <c r="B802" s="44" t="s">
        <v>2152</v>
      </c>
      <c r="C802" s="4">
        <v>250800</v>
      </c>
      <c r="D802" s="13" t="s">
        <v>1699</v>
      </c>
      <c r="E802" s="13" t="str">
        <f t="shared" si="36"/>
        <v>FL2</v>
      </c>
      <c r="F802" s="13" t="str">
        <f t="shared" si="37"/>
        <v>50</v>
      </c>
      <c r="G802" s="13" t="str">
        <f t="shared" si="38"/>
        <v>800</v>
      </c>
    </row>
    <row r="803" spans="1:7" x14ac:dyDescent="0.3">
      <c r="A803" s="43" t="s">
        <v>1701</v>
      </c>
      <c r="B803" s="44" t="s">
        <v>2152</v>
      </c>
      <c r="C803" s="4">
        <v>250801</v>
      </c>
      <c r="D803" s="13" t="s">
        <v>1701</v>
      </c>
      <c r="E803" s="13" t="str">
        <f t="shared" si="36"/>
        <v>FL2</v>
      </c>
      <c r="F803" s="13" t="str">
        <f t="shared" si="37"/>
        <v>50</v>
      </c>
      <c r="G803" s="13" t="str">
        <f t="shared" si="38"/>
        <v>801</v>
      </c>
    </row>
    <row r="804" spans="1:7" x14ac:dyDescent="0.3">
      <c r="A804" s="13" t="s">
        <v>1703</v>
      </c>
      <c r="B804" s="44" t="s">
        <v>2152</v>
      </c>
      <c r="C804" s="4">
        <v>250802</v>
      </c>
      <c r="D804" s="13" t="s">
        <v>1703</v>
      </c>
      <c r="E804" s="13" t="str">
        <f t="shared" si="36"/>
        <v>FL2</v>
      </c>
      <c r="F804" s="13" t="str">
        <f t="shared" si="37"/>
        <v>50</v>
      </c>
      <c r="G804" s="13" t="str">
        <f t="shared" si="38"/>
        <v>802</v>
      </c>
    </row>
    <row r="805" spans="1:7" x14ac:dyDescent="0.3">
      <c r="A805" s="43" t="s">
        <v>1705</v>
      </c>
      <c r="B805" s="44" t="s">
        <v>2152</v>
      </c>
      <c r="C805" s="4">
        <v>250803</v>
      </c>
      <c r="D805" s="13" t="s">
        <v>1705</v>
      </c>
      <c r="E805" s="13" t="str">
        <f t="shared" si="36"/>
        <v>FL2</v>
      </c>
      <c r="F805" s="13" t="str">
        <f t="shared" si="37"/>
        <v>50</v>
      </c>
      <c r="G805" s="13" t="str">
        <f t="shared" si="38"/>
        <v>803</v>
      </c>
    </row>
    <row r="806" spans="1:7" x14ac:dyDescent="0.3">
      <c r="A806" s="13" t="s">
        <v>1707</v>
      </c>
      <c r="B806" s="44" t="s">
        <v>2152</v>
      </c>
      <c r="C806" s="4">
        <v>250804</v>
      </c>
      <c r="D806" s="13" t="s">
        <v>1707</v>
      </c>
      <c r="E806" s="13" t="str">
        <f t="shared" si="36"/>
        <v>FL2</v>
      </c>
      <c r="F806" s="13" t="str">
        <f t="shared" si="37"/>
        <v>50</v>
      </c>
      <c r="G806" s="13" t="str">
        <f t="shared" si="38"/>
        <v>804</v>
      </c>
    </row>
    <row r="807" spans="1:7" x14ac:dyDescent="0.3">
      <c r="A807" s="43" t="s">
        <v>1709</v>
      </c>
      <c r="B807" s="44" t="s">
        <v>2152</v>
      </c>
      <c r="C807" s="4">
        <v>250805</v>
      </c>
      <c r="D807" s="13" t="s">
        <v>1709</v>
      </c>
      <c r="E807" s="13" t="str">
        <f t="shared" si="36"/>
        <v>FL2</v>
      </c>
      <c r="F807" s="13" t="str">
        <f t="shared" si="37"/>
        <v>50</v>
      </c>
      <c r="G807" s="13" t="str">
        <f t="shared" si="38"/>
        <v>805</v>
      </c>
    </row>
    <row r="808" spans="1:7" x14ac:dyDescent="0.3">
      <c r="A808" s="13" t="s">
        <v>1711</v>
      </c>
      <c r="B808" s="44" t="s">
        <v>2152</v>
      </c>
      <c r="C808" s="4">
        <v>250806</v>
      </c>
      <c r="D808" s="13" t="s">
        <v>1711</v>
      </c>
      <c r="E808" s="13" t="str">
        <f t="shared" si="36"/>
        <v>FL2</v>
      </c>
      <c r="F808" s="13" t="str">
        <f t="shared" si="37"/>
        <v>50</v>
      </c>
      <c r="G808" s="13" t="str">
        <f t="shared" si="38"/>
        <v>806</v>
      </c>
    </row>
    <row r="809" spans="1:7" x14ac:dyDescent="0.3">
      <c r="A809" s="43" t="s">
        <v>1713</v>
      </c>
      <c r="B809" s="44" t="s">
        <v>2152</v>
      </c>
      <c r="C809" s="4">
        <v>250807</v>
      </c>
      <c r="D809" s="13" t="s">
        <v>1713</v>
      </c>
      <c r="E809" s="13" t="str">
        <f t="shared" si="36"/>
        <v>FL2</v>
      </c>
      <c r="F809" s="13" t="str">
        <f t="shared" si="37"/>
        <v>50</v>
      </c>
      <c r="G809" s="13" t="str">
        <f t="shared" si="38"/>
        <v>807</v>
      </c>
    </row>
    <row r="810" spans="1:7" x14ac:dyDescent="0.3">
      <c r="A810" s="13" t="s">
        <v>1715</v>
      </c>
      <c r="B810" s="44" t="s">
        <v>2152</v>
      </c>
      <c r="C810" s="4">
        <v>250808</v>
      </c>
      <c r="D810" s="13" t="s">
        <v>1715</v>
      </c>
      <c r="E810" s="13" t="str">
        <f t="shared" si="36"/>
        <v>FL2</v>
      </c>
      <c r="F810" s="13" t="str">
        <f t="shared" si="37"/>
        <v>50</v>
      </c>
      <c r="G810" s="13" t="str">
        <f t="shared" si="38"/>
        <v>808</v>
      </c>
    </row>
    <row r="811" spans="1:7" x14ac:dyDescent="0.3">
      <c r="A811" s="43" t="s">
        <v>1717</v>
      </c>
      <c r="B811" s="44" t="s">
        <v>2152</v>
      </c>
      <c r="C811" s="4">
        <v>250809</v>
      </c>
      <c r="D811" s="13" t="s">
        <v>1717</v>
      </c>
      <c r="E811" s="13" t="str">
        <f t="shared" si="36"/>
        <v>FL2</v>
      </c>
      <c r="F811" s="13" t="str">
        <f t="shared" si="37"/>
        <v>50</v>
      </c>
      <c r="G811" s="13" t="str">
        <f t="shared" si="38"/>
        <v>809</v>
      </c>
    </row>
    <row r="812" spans="1:7" x14ac:dyDescent="0.3">
      <c r="A812" s="13" t="s">
        <v>1719</v>
      </c>
      <c r="B812" s="44" t="s">
        <v>2152</v>
      </c>
      <c r="C812" s="4">
        <v>250810</v>
      </c>
      <c r="D812" s="13" t="s">
        <v>1719</v>
      </c>
      <c r="E812" s="13" t="str">
        <f t="shared" si="36"/>
        <v>FL2</v>
      </c>
      <c r="F812" s="13" t="str">
        <f t="shared" si="37"/>
        <v>50</v>
      </c>
      <c r="G812" s="13" t="str">
        <f t="shared" si="38"/>
        <v>810</v>
      </c>
    </row>
    <row r="813" spans="1:7" x14ac:dyDescent="0.3">
      <c r="A813" s="43" t="s">
        <v>1721</v>
      </c>
      <c r="B813" s="44" t="s">
        <v>2152</v>
      </c>
      <c r="C813" s="4">
        <v>250811</v>
      </c>
      <c r="D813" s="13" t="s">
        <v>1721</v>
      </c>
      <c r="E813" s="13" t="str">
        <f t="shared" si="36"/>
        <v>FL2</v>
      </c>
      <c r="F813" s="13" t="str">
        <f t="shared" si="37"/>
        <v>50</v>
      </c>
      <c r="G813" s="13" t="str">
        <f t="shared" si="38"/>
        <v>811</v>
      </c>
    </row>
    <row r="814" spans="1:7" x14ac:dyDescent="0.3">
      <c r="A814" s="13" t="s">
        <v>1723</v>
      </c>
      <c r="B814" s="44" t="s">
        <v>2152</v>
      </c>
      <c r="C814" s="4">
        <v>250812</v>
      </c>
      <c r="D814" s="13" t="s">
        <v>1723</v>
      </c>
      <c r="E814" s="13" t="str">
        <f t="shared" si="36"/>
        <v>FL2</v>
      </c>
      <c r="F814" s="13" t="str">
        <f t="shared" si="37"/>
        <v>50</v>
      </c>
      <c r="G814" s="13" t="str">
        <f t="shared" si="38"/>
        <v>812</v>
      </c>
    </row>
    <row r="815" spans="1:7" x14ac:dyDescent="0.3">
      <c r="A815" s="43" t="s">
        <v>1725</v>
      </c>
      <c r="B815" s="44" t="s">
        <v>2152</v>
      </c>
      <c r="C815" s="4">
        <v>250813</v>
      </c>
      <c r="D815" s="13" t="s">
        <v>1725</v>
      </c>
      <c r="E815" s="13" t="str">
        <f t="shared" si="36"/>
        <v>FL2</v>
      </c>
      <c r="F815" s="13" t="str">
        <f t="shared" si="37"/>
        <v>50</v>
      </c>
      <c r="G815" s="13" t="str">
        <f t="shared" si="38"/>
        <v>813</v>
      </c>
    </row>
    <row r="816" spans="1:7" x14ac:dyDescent="0.3">
      <c r="A816" s="13" t="s">
        <v>1727</v>
      </c>
      <c r="B816" s="44" t="s">
        <v>2152</v>
      </c>
      <c r="C816" s="4">
        <v>250814</v>
      </c>
      <c r="D816" s="13" t="s">
        <v>1727</v>
      </c>
      <c r="E816" s="13" t="str">
        <f t="shared" si="36"/>
        <v>FL2</v>
      </c>
      <c r="F816" s="13" t="str">
        <f t="shared" si="37"/>
        <v>50</v>
      </c>
      <c r="G816" s="13" t="str">
        <f t="shared" si="38"/>
        <v>814</v>
      </c>
    </row>
    <row r="817" spans="1:7" x14ac:dyDescent="0.3">
      <c r="A817" s="43" t="s">
        <v>1729</v>
      </c>
      <c r="B817" s="44" t="s">
        <v>2152</v>
      </c>
      <c r="C817" s="4">
        <v>250815</v>
      </c>
      <c r="D817" s="13" t="s">
        <v>1729</v>
      </c>
      <c r="E817" s="13" t="str">
        <f t="shared" si="36"/>
        <v>FL2</v>
      </c>
      <c r="F817" s="13" t="str">
        <f t="shared" si="37"/>
        <v>50</v>
      </c>
      <c r="G817" s="13" t="str">
        <f t="shared" si="38"/>
        <v>815</v>
      </c>
    </row>
    <row r="818" spans="1:7" x14ac:dyDescent="0.3">
      <c r="A818" s="13" t="s">
        <v>1731</v>
      </c>
      <c r="B818" s="44" t="s">
        <v>2152</v>
      </c>
      <c r="C818" s="4">
        <v>250816</v>
      </c>
      <c r="D818" s="13" t="s">
        <v>1731</v>
      </c>
      <c r="E818" s="13" t="str">
        <f t="shared" si="36"/>
        <v>FL2</v>
      </c>
      <c r="F818" s="13" t="str">
        <f t="shared" si="37"/>
        <v>50</v>
      </c>
      <c r="G818" s="13" t="str">
        <f t="shared" si="38"/>
        <v>816</v>
      </c>
    </row>
    <row r="819" spans="1:7" x14ac:dyDescent="0.3">
      <c r="A819" s="43" t="s">
        <v>1733</v>
      </c>
      <c r="B819" s="44" t="s">
        <v>2152</v>
      </c>
      <c r="C819" s="4">
        <v>250817</v>
      </c>
      <c r="D819" s="13" t="s">
        <v>1733</v>
      </c>
      <c r="E819" s="13" t="str">
        <f t="shared" si="36"/>
        <v>FL2</v>
      </c>
      <c r="F819" s="13" t="str">
        <f t="shared" si="37"/>
        <v>50</v>
      </c>
      <c r="G819" s="13" t="str">
        <f t="shared" si="38"/>
        <v>817</v>
      </c>
    </row>
    <row r="820" spans="1:7" x14ac:dyDescent="0.3">
      <c r="A820" s="13" t="s">
        <v>1735</v>
      </c>
      <c r="B820" s="44" t="s">
        <v>2152</v>
      </c>
      <c r="C820" s="4">
        <v>250818</v>
      </c>
      <c r="D820" s="13" t="s">
        <v>1735</v>
      </c>
      <c r="E820" s="13" t="str">
        <f t="shared" si="36"/>
        <v>FL2</v>
      </c>
      <c r="F820" s="13" t="str">
        <f t="shared" si="37"/>
        <v>50</v>
      </c>
      <c r="G820" s="13" t="str">
        <f t="shared" si="38"/>
        <v>818</v>
      </c>
    </row>
    <row r="821" spans="1:7" x14ac:dyDescent="0.3">
      <c r="A821" s="43" t="s">
        <v>1737</v>
      </c>
      <c r="B821" s="44" t="s">
        <v>2152</v>
      </c>
      <c r="C821" s="4">
        <v>250819</v>
      </c>
      <c r="D821" s="13" t="s">
        <v>1737</v>
      </c>
      <c r="E821" s="13" t="str">
        <f t="shared" si="36"/>
        <v>FL2</v>
      </c>
      <c r="F821" s="13" t="str">
        <f t="shared" si="37"/>
        <v>50</v>
      </c>
      <c r="G821" s="13" t="str">
        <f t="shared" si="38"/>
        <v>819</v>
      </c>
    </row>
    <row r="822" spans="1:7" x14ac:dyDescent="0.3">
      <c r="A822" s="13" t="s">
        <v>1739</v>
      </c>
      <c r="B822" s="44" t="s">
        <v>2152</v>
      </c>
      <c r="C822" s="4">
        <v>250820</v>
      </c>
      <c r="D822" s="13" t="s">
        <v>1739</v>
      </c>
      <c r="E822" s="13" t="str">
        <f t="shared" si="36"/>
        <v>FL2</v>
      </c>
      <c r="F822" s="13" t="str">
        <f t="shared" si="37"/>
        <v>50</v>
      </c>
      <c r="G822" s="13" t="str">
        <f t="shared" si="38"/>
        <v>820</v>
      </c>
    </row>
    <row r="823" spans="1:7" x14ac:dyDescent="0.3">
      <c r="A823" s="43" t="s">
        <v>1741</v>
      </c>
      <c r="B823" s="44" t="s">
        <v>2152</v>
      </c>
      <c r="C823" s="4">
        <v>250821</v>
      </c>
      <c r="D823" s="13" t="s">
        <v>1741</v>
      </c>
      <c r="E823" s="13" t="str">
        <f t="shared" si="36"/>
        <v>FL2</v>
      </c>
      <c r="F823" s="13" t="str">
        <f t="shared" si="37"/>
        <v>50</v>
      </c>
      <c r="G823" s="13" t="str">
        <f t="shared" si="38"/>
        <v>821</v>
      </c>
    </row>
    <row r="824" spans="1:7" x14ac:dyDescent="0.3">
      <c r="A824" s="13" t="s">
        <v>1743</v>
      </c>
      <c r="B824" s="44" t="s">
        <v>2152</v>
      </c>
      <c r="C824" s="4">
        <v>250822</v>
      </c>
      <c r="D824" s="13" t="s">
        <v>1743</v>
      </c>
      <c r="E824" s="13" t="str">
        <f t="shared" si="36"/>
        <v>FL2</v>
      </c>
      <c r="F824" s="13" t="str">
        <f t="shared" si="37"/>
        <v>50</v>
      </c>
      <c r="G824" s="13" t="str">
        <f t="shared" si="38"/>
        <v>822</v>
      </c>
    </row>
    <row r="825" spans="1:7" x14ac:dyDescent="0.3">
      <c r="A825" s="43" t="s">
        <v>1745</v>
      </c>
      <c r="B825" s="44" t="s">
        <v>2152</v>
      </c>
      <c r="C825" s="4">
        <v>250823</v>
      </c>
      <c r="D825" s="13" t="s">
        <v>1745</v>
      </c>
      <c r="E825" s="13" t="str">
        <f t="shared" si="36"/>
        <v>FL2</v>
      </c>
      <c r="F825" s="13" t="str">
        <f t="shared" si="37"/>
        <v>50</v>
      </c>
      <c r="G825" s="13" t="str">
        <f t="shared" si="38"/>
        <v>823</v>
      </c>
    </row>
    <row r="826" spans="1:7" x14ac:dyDescent="0.3">
      <c r="A826" s="13" t="s">
        <v>1747</v>
      </c>
      <c r="B826" s="44" t="s">
        <v>2152</v>
      </c>
      <c r="C826" s="4">
        <v>250824</v>
      </c>
      <c r="D826" s="13" t="s">
        <v>1747</v>
      </c>
      <c r="E826" s="13" t="str">
        <f t="shared" si="36"/>
        <v>FL2</v>
      </c>
      <c r="F826" s="13" t="str">
        <f t="shared" si="37"/>
        <v>50</v>
      </c>
      <c r="G826" s="13" t="str">
        <f t="shared" si="38"/>
        <v>824</v>
      </c>
    </row>
    <row r="827" spans="1:7" x14ac:dyDescent="0.3">
      <c r="A827" s="43" t="s">
        <v>1749</v>
      </c>
      <c r="B827" s="44" t="s">
        <v>2152</v>
      </c>
      <c r="C827" s="4">
        <v>250825</v>
      </c>
      <c r="D827" s="13" t="s">
        <v>1749</v>
      </c>
      <c r="E827" s="13" t="str">
        <f t="shared" si="36"/>
        <v>FL2</v>
      </c>
      <c r="F827" s="13" t="str">
        <f t="shared" si="37"/>
        <v>50</v>
      </c>
      <c r="G827" s="13" t="str">
        <f t="shared" si="38"/>
        <v>825</v>
      </c>
    </row>
    <row r="828" spans="1:7" x14ac:dyDescent="0.3">
      <c r="A828" s="13" t="s">
        <v>1751</v>
      </c>
      <c r="B828" s="44" t="s">
        <v>2152</v>
      </c>
      <c r="C828" s="4">
        <v>250826</v>
      </c>
      <c r="D828" s="13" t="s">
        <v>1751</v>
      </c>
      <c r="E828" s="13" t="str">
        <f t="shared" si="36"/>
        <v>FL2</v>
      </c>
      <c r="F828" s="13" t="str">
        <f t="shared" si="37"/>
        <v>50</v>
      </c>
      <c r="G828" s="13" t="str">
        <f t="shared" si="38"/>
        <v>826</v>
      </c>
    </row>
    <row r="829" spans="1:7" x14ac:dyDescent="0.3">
      <c r="A829" s="43" t="s">
        <v>1753</v>
      </c>
      <c r="B829" s="44" t="s">
        <v>2152</v>
      </c>
      <c r="C829" s="4">
        <v>250827</v>
      </c>
      <c r="D829" s="13" t="s">
        <v>1753</v>
      </c>
      <c r="E829" s="13" t="str">
        <f t="shared" si="36"/>
        <v>FL2</v>
      </c>
      <c r="F829" s="13" t="str">
        <f t="shared" si="37"/>
        <v>50</v>
      </c>
      <c r="G829" s="13" t="str">
        <f t="shared" si="38"/>
        <v>827</v>
      </c>
    </row>
    <row r="830" spans="1:7" x14ac:dyDescent="0.3">
      <c r="A830" s="13" t="s">
        <v>1755</v>
      </c>
      <c r="B830" s="44" t="s">
        <v>2152</v>
      </c>
      <c r="C830" s="4">
        <v>250828</v>
      </c>
      <c r="D830" s="13" t="s">
        <v>1755</v>
      </c>
      <c r="E830" s="13" t="str">
        <f t="shared" si="36"/>
        <v>FL2</v>
      </c>
      <c r="F830" s="13" t="str">
        <f t="shared" si="37"/>
        <v>50</v>
      </c>
      <c r="G830" s="13" t="str">
        <f t="shared" si="38"/>
        <v>828</v>
      </c>
    </row>
    <row r="831" spans="1:7" x14ac:dyDescent="0.3">
      <c r="A831" s="43" t="s">
        <v>1757</v>
      </c>
      <c r="B831" s="44" t="s">
        <v>2152</v>
      </c>
      <c r="C831" s="4">
        <v>250829</v>
      </c>
      <c r="D831" s="13" t="s">
        <v>1757</v>
      </c>
      <c r="E831" s="13" t="str">
        <f t="shared" si="36"/>
        <v>FL2</v>
      </c>
      <c r="F831" s="13" t="str">
        <f t="shared" si="37"/>
        <v>50</v>
      </c>
      <c r="G831" s="13" t="str">
        <f t="shared" si="38"/>
        <v>829</v>
      </c>
    </row>
    <row r="832" spans="1:7" x14ac:dyDescent="0.3">
      <c r="A832" s="13" t="s">
        <v>1759</v>
      </c>
      <c r="B832" s="44" t="s">
        <v>2152</v>
      </c>
      <c r="C832" s="4">
        <v>250830</v>
      </c>
      <c r="D832" s="13" t="s">
        <v>1759</v>
      </c>
      <c r="E832" s="13" t="str">
        <f t="shared" si="36"/>
        <v>FL2</v>
      </c>
      <c r="F832" s="13" t="str">
        <f t="shared" si="37"/>
        <v>50</v>
      </c>
      <c r="G832" s="13" t="str">
        <f t="shared" si="38"/>
        <v>830</v>
      </c>
    </row>
    <row r="833" spans="1:7" x14ac:dyDescent="0.3">
      <c r="A833" s="43" t="s">
        <v>1761</v>
      </c>
      <c r="B833" s="44" t="s">
        <v>2152</v>
      </c>
      <c r="C833" s="4">
        <v>250831</v>
      </c>
      <c r="D833" s="13" t="s">
        <v>1761</v>
      </c>
      <c r="E833" s="13" t="str">
        <f t="shared" si="36"/>
        <v>FL2</v>
      </c>
      <c r="F833" s="13" t="str">
        <f t="shared" si="37"/>
        <v>50</v>
      </c>
      <c r="G833" s="13" t="str">
        <f t="shared" si="38"/>
        <v>831</v>
      </c>
    </row>
    <row r="834" spans="1:7" x14ac:dyDescent="0.3">
      <c r="A834" s="13" t="s">
        <v>1763</v>
      </c>
      <c r="B834" s="44" t="s">
        <v>2152</v>
      </c>
      <c r="C834" s="4">
        <v>250832</v>
      </c>
      <c r="D834" s="13" t="s">
        <v>1763</v>
      </c>
      <c r="E834" s="13" t="str">
        <f t="shared" si="36"/>
        <v>FL2</v>
      </c>
      <c r="F834" s="13" t="str">
        <f t="shared" si="37"/>
        <v>50</v>
      </c>
      <c r="G834" s="13" t="str">
        <f t="shared" si="38"/>
        <v>832</v>
      </c>
    </row>
    <row r="835" spans="1:7" x14ac:dyDescent="0.3">
      <c r="A835" s="43" t="s">
        <v>1765</v>
      </c>
      <c r="B835" s="44" t="s">
        <v>2152</v>
      </c>
      <c r="C835" s="4">
        <v>250833</v>
      </c>
      <c r="D835" s="13" t="s">
        <v>1765</v>
      </c>
      <c r="E835" s="13" t="str">
        <f t="shared" si="36"/>
        <v>FL2</v>
      </c>
      <c r="F835" s="13" t="str">
        <f t="shared" si="37"/>
        <v>50</v>
      </c>
      <c r="G835" s="13" t="str">
        <f t="shared" si="38"/>
        <v>833</v>
      </c>
    </row>
    <row r="836" spans="1:7" x14ac:dyDescent="0.3">
      <c r="A836" s="13" t="s">
        <v>1767</v>
      </c>
      <c r="B836" s="44" t="s">
        <v>2152</v>
      </c>
      <c r="C836" s="4">
        <v>250834</v>
      </c>
      <c r="D836" s="13" t="s">
        <v>1767</v>
      </c>
      <c r="E836" s="13" t="str">
        <f t="shared" ref="E836:E899" si="39">LEFT(D836,3)</f>
        <v>FL2</v>
      </c>
      <c r="F836" s="13" t="str">
        <f t="shared" ref="F836:F899" si="40">MID(D836,4,2)</f>
        <v>50</v>
      </c>
      <c r="G836" s="13" t="str">
        <f t="shared" ref="G836:G899" si="41">RIGHT(D836,3)</f>
        <v>834</v>
      </c>
    </row>
    <row r="837" spans="1:7" x14ac:dyDescent="0.3">
      <c r="A837" s="43" t="s">
        <v>1769</v>
      </c>
      <c r="B837" s="44" t="s">
        <v>2152</v>
      </c>
      <c r="C837" s="4">
        <v>250835</v>
      </c>
      <c r="D837" s="13" t="s">
        <v>1769</v>
      </c>
      <c r="E837" s="13" t="str">
        <f t="shared" si="39"/>
        <v>FL2</v>
      </c>
      <c r="F837" s="13" t="str">
        <f t="shared" si="40"/>
        <v>50</v>
      </c>
      <c r="G837" s="13" t="str">
        <f t="shared" si="41"/>
        <v>835</v>
      </c>
    </row>
    <row r="838" spans="1:7" x14ac:dyDescent="0.3">
      <c r="A838" s="13" t="s">
        <v>1771</v>
      </c>
      <c r="B838" s="44" t="s">
        <v>2152</v>
      </c>
      <c r="C838" s="4">
        <v>250836</v>
      </c>
      <c r="D838" s="13" t="s">
        <v>1771</v>
      </c>
      <c r="E838" s="13" t="str">
        <f t="shared" si="39"/>
        <v>FL2</v>
      </c>
      <c r="F838" s="13" t="str">
        <f t="shared" si="40"/>
        <v>50</v>
      </c>
      <c r="G838" s="13" t="str">
        <f t="shared" si="41"/>
        <v>836</v>
      </c>
    </row>
    <row r="839" spans="1:7" x14ac:dyDescent="0.3">
      <c r="A839" s="43" t="s">
        <v>1773</v>
      </c>
      <c r="B839" s="44" t="s">
        <v>2152</v>
      </c>
      <c r="C839" s="4">
        <v>250837</v>
      </c>
      <c r="D839" s="13" t="s">
        <v>1773</v>
      </c>
      <c r="E839" s="13" t="str">
        <f t="shared" si="39"/>
        <v>FL2</v>
      </c>
      <c r="F839" s="13" t="str">
        <f t="shared" si="40"/>
        <v>50</v>
      </c>
      <c r="G839" s="13" t="str">
        <f t="shared" si="41"/>
        <v>837</v>
      </c>
    </row>
    <row r="840" spans="1:7" x14ac:dyDescent="0.3">
      <c r="A840" s="13" t="s">
        <v>1775</v>
      </c>
      <c r="B840" s="44" t="s">
        <v>2152</v>
      </c>
      <c r="C840" s="4">
        <v>250838</v>
      </c>
      <c r="D840" s="13" t="s">
        <v>1775</v>
      </c>
      <c r="E840" s="13" t="str">
        <f t="shared" si="39"/>
        <v>FL2</v>
      </c>
      <c r="F840" s="13" t="str">
        <f t="shared" si="40"/>
        <v>50</v>
      </c>
      <c r="G840" s="13" t="str">
        <f t="shared" si="41"/>
        <v>838</v>
      </c>
    </row>
    <row r="841" spans="1:7" x14ac:dyDescent="0.3">
      <c r="A841" s="43" t="s">
        <v>1777</v>
      </c>
      <c r="B841" s="44" t="s">
        <v>2152</v>
      </c>
      <c r="C841" s="4">
        <v>250839</v>
      </c>
      <c r="D841" s="13" t="s">
        <v>1777</v>
      </c>
      <c r="E841" s="13" t="str">
        <f t="shared" si="39"/>
        <v>FL2</v>
      </c>
      <c r="F841" s="13" t="str">
        <f t="shared" si="40"/>
        <v>50</v>
      </c>
      <c r="G841" s="13" t="str">
        <f t="shared" si="41"/>
        <v>839</v>
      </c>
    </row>
    <row r="842" spans="1:7" x14ac:dyDescent="0.3">
      <c r="A842" s="13" t="s">
        <v>1779</v>
      </c>
      <c r="B842" s="44" t="s">
        <v>2152</v>
      </c>
      <c r="C842" s="4">
        <v>250840</v>
      </c>
      <c r="D842" s="13" t="s">
        <v>1779</v>
      </c>
      <c r="E842" s="13" t="str">
        <f t="shared" si="39"/>
        <v>FL2</v>
      </c>
      <c r="F842" s="13" t="str">
        <f t="shared" si="40"/>
        <v>50</v>
      </c>
      <c r="G842" s="13" t="str">
        <f t="shared" si="41"/>
        <v>840</v>
      </c>
    </row>
    <row r="843" spans="1:7" x14ac:dyDescent="0.3">
      <c r="A843" s="43" t="s">
        <v>1781</v>
      </c>
      <c r="B843" s="44" t="s">
        <v>2152</v>
      </c>
      <c r="C843" s="4">
        <v>250841</v>
      </c>
      <c r="D843" s="13" t="s">
        <v>1781</v>
      </c>
      <c r="E843" s="13" t="str">
        <f t="shared" si="39"/>
        <v>FL2</v>
      </c>
      <c r="F843" s="13" t="str">
        <f t="shared" si="40"/>
        <v>50</v>
      </c>
      <c r="G843" s="13" t="str">
        <f t="shared" si="41"/>
        <v>841</v>
      </c>
    </row>
    <row r="844" spans="1:7" x14ac:dyDescent="0.3">
      <c r="A844" s="13" t="s">
        <v>1783</v>
      </c>
      <c r="B844" s="44" t="s">
        <v>2152</v>
      </c>
      <c r="C844" s="4">
        <v>250842</v>
      </c>
      <c r="D844" s="13" t="s">
        <v>1783</v>
      </c>
      <c r="E844" s="13" t="str">
        <f t="shared" si="39"/>
        <v>FL2</v>
      </c>
      <c r="F844" s="13" t="str">
        <f t="shared" si="40"/>
        <v>50</v>
      </c>
      <c r="G844" s="13" t="str">
        <f t="shared" si="41"/>
        <v>842</v>
      </c>
    </row>
    <row r="845" spans="1:7" x14ac:dyDescent="0.3">
      <c r="A845" s="43" t="s">
        <v>1785</v>
      </c>
      <c r="B845" s="44" t="s">
        <v>2152</v>
      </c>
      <c r="C845" s="4">
        <v>250843</v>
      </c>
      <c r="D845" s="13" t="s">
        <v>1785</v>
      </c>
      <c r="E845" s="13" t="str">
        <f t="shared" si="39"/>
        <v>FL2</v>
      </c>
      <c r="F845" s="13" t="str">
        <f t="shared" si="40"/>
        <v>50</v>
      </c>
      <c r="G845" s="13" t="str">
        <f t="shared" si="41"/>
        <v>843</v>
      </c>
    </row>
    <row r="846" spans="1:7" x14ac:dyDescent="0.3">
      <c r="A846" s="13" t="s">
        <v>1787</v>
      </c>
      <c r="B846" s="44" t="s">
        <v>2152</v>
      </c>
      <c r="C846" s="4">
        <v>250844</v>
      </c>
      <c r="D846" s="13" t="s">
        <v>1787</v>
      </c>
      <c r="E846" s="13" t="str">
        <f t="shared" si="39"/>
        <v>FL2</v>
      </c>
      <c r="F846" s="13" t="str">
        <f t="shared" si="40"/>
        <v>50</v>
      </c>
      <c r="G846" s="13" t="str">
        <f t="shared" si="41"/>
        <v>844</v>
      </c>
    </row>
    <row r="847" spans="1:7" x14ac:dyDescent="0.3">
      <c r="A847" s="43" t="s">
        <v>1789</v>
      </c>
      <c r="B847" s="44" t="s">
        <v>2152</v>
      </c>
      <c r="C847" s="4">
        <v>250845</v>
      </c>
      <c r="D847" s="13" t="s">
        <v>1789</v>
      </c>
      <c r="E847" s="13" t="str">
        <f t="shared" si="39"/>
        <v>FL2</v>
      </c>
      <c r="F847" s="13" t="str">
        <f t="shared" si="40"/>
        <v>50</v>
      </c>
      <c r="G847" s="13" t="str">
        <f t="shared" si="41"/>
        <v>845</v>
      </c>
    </row>
    <row r="848" spans="1:7" x14ac:dyDescent="0.3">
      <c r="A848" s="13" t="s">
        <v>1791</v>
      </c>
      <c r="B848" s="44" t="s">
        <v>2152</v>
      </c>
      <c r="C848" s="4">
        <v>250846</v>
      </c>
      <c r="D848" s="13" t="s">
        <v>1791</v>
      </c>
      <c r="E848" s="13" t="str">
        <f t="shared" si="39"/>
        <v>FL2</v>
      </c>
      <c r="F848" s="13" t="str">
        <f t="shared" si="40"/>
        <v>50</v>
      </c>
      <c r="G848" s="13" t="str">
        <f t="shared" si="41"/>
        <v>846</v>
      </c>
    </row>
    <row r="849" spans="1:7" x14ac:dyDescent="0.3">
      <c r="A849" s="43" t="s">
        <v>1793</v>
      </c>
      <c r="B849" s="44" t="s">
        <v>2152</v>
      </c>
      <c r="C849" s="4">
        <v>250847</v>
      </c>
      <c r="D849" s="13" t="s">
        <v>1793</v>
      </c>
      <c r="E849" s="13" t="str">
        <f t="shared" si="39"/>
        <v>FL2</v>
      </c>
      <c r="F849" s="13" t="str">
        <f t="shared" si="40"/>
        <v>50</v>
      </c>
      <c r="G849" s="13" t="str">
        <f t="shared" si="41"/>
        <v>847</v>
      </c>
    </row>
    <row r="850" spans="1:7" x14ac:dyDescent="0.3">
      <c r="A850" s="13" t="s">
        <v>1795</v>
      </c>
      <c r="B850" s="44" t="s">
        <v>2152</v>
      </c>
      <c r="C850" s="4">
        <v>250848</v>
      </c>
      <c r="D850" s="13" t="s">
        <v>1795</v>
      </c>
      <c r="E850" s="13" t="str">
        <f t="shared" si="39"/>
        <v>FL2</v>
      </c>
      <c r="F850" s="13" t="str">
        <f t="shared" si="40"/>
        <v>50</v>
      </c>
      <c r="G850" s="13" t="str">
        <f t="shared" si="41"/>
        <v>848</v>
      </c>
    </row>
    <row r="851" spans="1:7" x14ac:dyDescent="0.3">
      <c r="A851" s="43" t="s">
        <v>1797</v>
      </c>
      <c r="B851" s="44" t="s">
        <v>2152</v>
      </c>
      <c r="C851" s="4">
        <v>250849</v>
      </c>
      <c r="D851" s="13" t="s">
        <v>1797</v>
      </c>
      <c r="E851" s="13" t="str">
        <f t="shared" si="39"/>
        <v>FL2</v>
      </c>
      <c r="F851" s="13" t="str">
        <f t="shared" si="40"/>
        <v>50</v>
      </c>
      <c r="G851" s="13" t="str">
        <f t="shared" si="41"/>
        <v>849</v>
      </c>
    </row>
    <row r="852" spans="1:7" x14ac:dyDescent="0.3">
      <c r="A852" s="13" t="s">
        <v>1799</v>
      </c>
      <c r="B852" s="44" t="s">
        <v>2152</v>
      </c>
      <c r="C852" s="4">
        <v>250850</v>
      </c>
      <c r="D852" s="13" t="s">
        <v>1799</v>
      </c>
      <c r="E852" s="13" t="str">
        <f t="shared" si="39"/>
        <v>FL2</v>
      </c>
      <c r="F852" s="13" t="str">
        <f t="shared" si="40"/>
        <v>50</v>
      </c>
      <c r="G852" s="13" t="str">
        <f t="shared" si="41"/>
        <v>850</v>
      </c>
    </row>
    <row r="853" spans="1:7" x14ac:dyDescent="0.3">
      <c r="A853" s="43" t="s">
        <v>1801</v>
      </c>
      <c r="B853" s="44" t="s">
        <v>2152</v>
      </c>
      <c r="C853" s="4">
        <v>250851</v>
      </c>
      <c r="D853" s="13" t="s">
        <v>1801</v>
      </c>
      <c r="E853" s="13" t="str">
        <f t="shared" si="39"/>
        <v>FL2</v>
      </c>
      <c r="F853" s="13" t="str">
        <f t="shared" si="40"/>
        <v>50</v>
      </c>
      <c r="G853" s="13" t="str">
        <f t="shared" si="41"/>
        <v>851</v>
      </c>
    </row>
    <row r="854" spans="1:7" x14ac:dyDescent="0.3">
      <c r="A854" s="13" t="s">
        <v>1803</v>
      </c>
      <c r="B854" s="44" t="s">
        <v>2152</v>
      </c>
      <c r="C854" s="4">
        <v>250852</v>
      </c>
      <c r="D854" s="13" t="s">
        <v>1803</v>
      </c>
      <c r="E854" s="13" t="str">
        <f t="shared" si="39"/>
        <v>FL2</v>
      </c>
      <c r="F854" s="13" t="str">
        <f t="shared" si="40"/>
        <v>50</v>
      </c>
      <c r="G854" s="13" t="str">
        <f t="shared" si="41"/>
        <v>852</v>
      </c>
    </row>
    <row r="855" spans="1:7" x14ac:dyDescent="0.3">
      <c r="A855" s="43" t="s">
        <v>1805</v>
      </c>
      <c r="B855" s="44" t="s">
        <v>2152</v>
      </c>
      <c r="C855" s="4">
        <v>250853</v>
      </c>
      <c r="D855" s="13" t="s">
        <v>1805</v>
      </c>
      <c r="E855" s="13" t="str">
        <f t="shared" si="39"/>
        <v>FL2</v>
      </c>
      <c r="F855" s="13" t="str">
        <f t="shared" si="40"/>
        <v>50</v>
      </c>
      <c r="G855" s="13" t="str">
        <f t="shared" si="41"/>
        <v>853</v>
      </c>
    </row>
    <row r="856" spans="1:7" x14ac:dyDescent="0.3">
      <c r="A856" s="13" t="s">
        <v>1807</v>
      </c>
      <c r="B856" s="44" t="s">
        <v>2152</v>
      </c>
      <c r="C856" s="4">
        <v>250854</v>
      </c>
      <c r="D856" s="13" t="s">
        <v>1807</v>
      </c>
      <c r="E856" s="13" t="str">
        <f t="shared" si="39"/>
        <v>FL2</v>
      </c>
      <c r="F856" s="13" t="str">
        <f t="shared" si="40"/>
        <v>50</v>
      </c>
      <c r="G856" s="13" t="str">
        <f t="shared" si="41"/>
        <v>854</v>
      </c>
    </row>
    <row r="857" spans="1:7" x14ac:dyDescent="0.3">
      <c r="A857" s="43" t="s">
        <v>1809</v>
      </c>
      <c r="B857" s="44" t="s">
        <v>2152</v>
      </c>
      <c r="C857" s="4">
        <v>250855</v>
      </c>
      <c r="D857" s="13" t="s">
        <v>1809</v>
      </c>
      <c r="E857" s="13" t="str">
        <f t="shared" si="39"/>
        <v>FL2</v>
      </c>
      <c r="F857" s="13" t="str">
        <f t="shared" si="40"/>
        <v>50</v>
      </c>
      <c r="G857" s="13" t="str">
        <f t="shared" si="41"/>
        <v>855</v>
      </c>
    </row>
    <row r="858" spans="1:7" x14ac:dyDescent="0.3">
      <c r="A858" s="13" t="s">
        <v>1811</v>
      </c>
      <c r="B858" s="44" t="s">
        <v>2152</v>
      </c>
      <c r="C858" s="4">
        <v>250856</v>
      </c>
      <c r="D858" s="13" t="s">
        <v>1811</v>
      </c>
      <c r="E858" s="13" t="str">
        <f t="shared" si="39"/>
        <v>FL2</v>
      </c>
      <c r="F858" s="13" t="str">
        <f t="shared" si="40"/>
        <v>50</v>
      </c>
      <c r="G858" s="13" t="str">
        <f t="shared" si="41"/>
        <v>856</v>
      </c>
    </row>
    <row r="859" spans="1:7" x14ac:dyDescent="0.3">
      <c r="A859" s="43" t="s">
        <v>1813</v>
      </c>
      <c r="B859" s="44" t="s">
        <v>2152</v>
      </c>
      <c r="C859" s="4">
        <v>250857</v>
      </c>
      <c r="D859" s="13" t="s">
        <v>1813</v>
      </c>
      <c r="E859" s="13" t="str">
        <f t="shared" si="39"/>
        <v>FL2</v>
      </c>
      <c r="F859" s="13" t="str">
        <f t="shared" si="40"/>
        <v>50</v>
      </c>
      <c r="G859" s="13" t="str">
        <f t="shared" si="41"/>
        <v>857</v>
      </c>
    </row>
    <row r="860" spans="1:7" x14ac:dyDescent="0.3">
      <c r="A860" s="13" t="s">
        <v>1815</v>
      </c>
      <c r="B860" s="44" t="s">
        <v>2152</v>
      </c>
      <c r="C860" s="4">
        <v>250858</v>
      </c>
      <c r="D860" s="13" t="s">
        <v>1815</v>
      </c>
      <c r="E860" s="13" t="str">
        <f t="shared" si="39"/>
        <v>FL2</v>
      </c>
      <c r="F860" s="13" t="str">
        <f t="shared" si="40"/>
        <v>50</v>
      </c>
      <c r="G860" s="13" t="str">
        <f t="shared" si="41"/>
        <v>858</v>
      </c>
    </row>
    <row r="861" spans="1:7" x14ac:dyDescent="0.3">
      <c r="A861" s="43" t="s">
        <v>1817</v>
      </c>
      <c r="B861" s="44" t="s">
        <v>2152</v>
      </c>
      <c r="C861" s="4">
        <v>250859</v>
      </c>
      <c r="D861" s="13" t="s">
        <v>1817</v>
      </c>
      <c r="E861" s="13" t="str">
        <f t="shared" si="39"/>
        <v>FL2</v>
      </c>
      <c r="F861" s="13" t="str">
        <f t="shared" si="40"/>
        <v>50</v>
      </c>
      <c r="G861" s="13" t="str">
        <f t="shared" si="41"/>
        <v>859</v>
      </c>
    </row>
    <row r="862" spans="1:7" x14ac:dyDescent="0.3">
      <c r="A862" s="13" t="s">
        <v>1819</v>
      </c>
      <c r="B862" s="44" t="s">
        <v>2152</v>
      </c>
      <c r="C862" s="4">
        <v>250860</v>
      </c>
      <c r="D862" s="13" t="s">
        <v>1819</v>
      </c>
      <c r="E862" s="13" t="str">
        <f t="shared" si="39"/>
        <v>FL2</v>
      </c>
      <c r="F862" s="13" t="str">
        <f t="shared" si="40"/>
        <v>50</v>
      </c>
      <c r="G862" s="13" t="str">
        <f t="shared" si="41"/>
        <v>860</v>
      </c>
    </row>
    <row r="863" spans="1:7" x14ac:dyDescent="0.3">
      <c r="A863" s="43" t="s">
        <v>1821</v>
      </c>
      <c r="B863" s="44" t="s">
        <v>2152</v>
      </c>
      <c r="C863" s="4">
        <v>250861</v>
      </c>
      <c r="D863" s="13" t="s">
        <v>1821</v>
      </c>
      <c r="E863" s="13" t="str">
        <f t="shared" si="39"/>
        <v>FL2</v>
      </c>
      <c r="F863" s="13" t="str">
        <f t="shared" si="40"/>
        <v>50</v>
      </c>
      <c r="G863" s="13" t="str">
        <f t="shared" si="41"/>
        <v>861</v>
      </c>
    </row>
    <row r="864" spans="1:7" x14ac:dyDescent="0.3">
      <c r="A864" s="13" t="s">
        <v>1823</v>
      </c>
      <c r="B864" s="44" t="s">
        <v>2152</v>
      </c>
      <c r="C864" s="4">
        <v>250862</v>
      </c>
      <c r="D864" s="13" t="s">
        <v>1823</v>
      </c>
      <c r="E864" s="13" t="str">
        <f t="shared" si="39"/>
        <v>FL2</v>
      </c>
      <c r="F864" s="13" t="str">
        <f t="shared" si="40"/>
        <v>50</v>
      </c>
      <c r="G864" s="13" t="str">
        <f t="shared" si="41"/>
        <v>862</v>
      </c>
    </row>
    <row r="865" spans="1:7" x14ac:dyDescent="0.3">
      <c r="A865" s="43" t="s">
        <v>1825</v>
      </c>
      <c r="B865" s="44" t="s">
        <v>2152</v>
      </c>
      <c r="C865" s="4">
        <v>250863</v>
      </c>
      <c r="D865" s="13" t="s">
        <v>1825</v>
      </c>
      <c r="E865" s="13" t="str">
        <f t="shared" si="39"/>
        <v>FL2</v>
      </c>
      <c r="F865" s="13" t="str">
        <f t="shared" si="40"/>
        <v>50</v>
      </c>
      <c r="G865" s="13" t="str">
        <f t="shared" si="41"/>
        <v>863</v>
      </c>
    </row>
    <row r="866" spans="1:7" x14ac:dyDescent="0.3">
      <c r="A866" s="13" t="s">
        <v>1827</v>
      </c>
      <c r="B866" s="44" t="s">
        <v>2152</v>
      </c>
      <c r="C866" s="4">
        <v>250864</v>
      </c>
      <c r="D866" s="13" t="s">
        <v>1827</v>
      </c>
      <c r="E866" s="13" t="str">
        <f t="shared" si="39"/>
        <v>FL2</v>
      </c>
      <c r="F866" s="13" t="str">
        <f t="shared" si="40"/>
        <v>50</v>
      </c>
      <c r="G866" s="13" t="str">
        <f t="shared" si="41"/>
        <v>864</v>
      </c>
    </row>
    <row r="867" spans="1:7" x14ac:dyDescent="0.3">
      <c r="A867" s="43" t="s">
        <v>1829</v>
      </c>
      <c r="B867" s="44" t="s">
        <v>2152</v>
      </c>
      <c r="C867" s="4">
        <v>250865</v>
      </c>
      <c r="D867" s="13" t="s">
        <v>1829</v>
      </c>
      <c r="E867" s="13" t="str">
        <f t="shared" si="39"/>
        <v>FL2</v>
      </c>
      <c r="F867" s="13" t="str">
        <f t="shared" si="40"/>
        <v>50</v>
      </c>
      <c r="G867" s="13" t="str">
        <f t="shared" si="41"/>
        <v>865</v>
      </c>
    </row>
    <row r="868" spans="1:7" x14ac:dyDescent="0.3">
      <c r="A868" s="13" t="s">
        <v>1831</v>
      </c>
      <c r="B868" s="44" t="s">
        <v>2152</v>
      </c>
      <c r="C868" s="4">
        <v>250866</v>
      </c>
      <c r="D868" s="13" t="s">
        <v>1831</v>
      </c>
      <c r="E868" s="13" t="str">
        <f t="shared" si="39"/>
        <v>FL2</v>
      </c>
      <c r="F868" s="13" t="str">
        <f t="shared" si="40"/>
        <v>50</v>
      </c>
      <c r="G868" s="13" t="str">
        <f t="shared" si="41"/>
        <v>866</v>
      </c>
    </row>
    <row r="869" spans="1:7" x14ac:dyDescent="0.3">
      <c r="A869" s="43" t="s">
        <v>1833</v>
      </c>
      <c r="B869" s="44" t="s">
        <v>2152</v>
      </c>
      <c r="C869" s="4">
        <v>250867</v>
      </c>
      <c r="D869" s="13" t="s">
        <v>1833</v>
      </c>
      <c r="E869" s="13" t="str">
        <f t="shared" si="39"/>
        <v>FL2</v>
      </c>
      <c r="F869" s="13" t="str">
        <f t="shared" si="40"/>
        <v>50</v>
      </c>
      <c r="G869" s="13" t="str">
        <f t="shared" si="41"/>
        <v>867</v>
      </c>
    </row>
    <row r="870" spans="1:7" x14ac:dyDescent="0.3">
      <c r="A870" s="13" t="s">
        <v>1835</v>
      </c>
      <c r="B870" s="44" t="s">
        <v>2152</v>
      </c>
      <c r="C870" s="4">
        <v>250868</v>
      </c>
      <c r="D870" s="13" t="s">
        <v>1835</v>
      </c>
      <c r="E870" s="13" t="str">
        <f t="shared" si="39"/>
        <v>FL2</v>
      </c>
      <c r="F870" s="13" t="str">
        <f t="shared" si="40"/>
        <v>50</v>
      </c>
      <c r="G870" s="13" t="str">
        <f t="shared" si="41"/>
        <v>868</v>
      </c>
    </row>
    <row r="871" spans="1:7" x14ac:dyDescent="0.3">
      <c r="A871" s="43" t="s">
        <v>1837</v>
      </c>
      <c r="B871" s="44" t="s">
        <v>2152</v>
      </c>
      <c r="C871" s="4">
        <v>250869</v>
      </c>
      <c r="D871" s="13" t="s">
        <v>1837</v>
      </c>
      <c r="E871" s="13" t="str">
        <f t="shared" si="39"/>
        <v>FL2</v>
      </c>
      <c r="F871" s="13" t="str">
        <f t="shared" si="40"/>
        <v>50</v>
      </c>
      <c r="G871" s="13" t="str">
        <f t="shared" si="41"/>
        <v>869</v>
      </c>
    </row>
    <row r="872" spans="1:7" x14ac:dyDescent="0.3">
      <c r="A872" s="13" t="s">
        <v>1839</v>
      </c>
      <c r="B872" s="44" t="s">
        <v>2152</v>
      </c>
      <c r="C872" s="4">
        <v>250870</v>
      </c>
      <c r="D872" s="13" t="s">
        <v>1839</v>
      </c>
      <c r="E872" s="13" t="str">
        <f t="shared" si="39"/>
        <v>FL2</v>
      </c>
      <c r="F872" s="13" t="str">
        <f t="shared" si="40"/>
        <v>50</v>
      </c>
      <c r="G872" s="13" t="str">
        <f t="shared" si="41"/>
        <v>870</v>
      </c>
    </row>
    <row r="873" spans="1:7" x14ac:dyDescent="0.3">
      <c r="A873" s="43" t="s">
        <v>1841</v>
      </c>
      <c r="B873" s="44" t="s">
        <v>2152</v>
      </c>
      <c r="C873" s="4">
        <v>250871</v>
      </c>
      <c r="D873" s="13" t="s">
        <v>1841</v>
      </c>
      <c r="E873" s="13" t="str">
        <f t="shared" si="39"/>
        <v>FL2</v>
      </c>
      <c r="F873" s="13" t="str">
        <f t="shared" si="40"/>
        <v>50</v>
      </c>
      <c r="G873" s="13" t="str">
        <f t="shared" si="41"/>
        <v>871</v>
      </c>
    </row>
    <row r="874" spans="1:7" x14ac:dyDescent="0.3">
      <c r="A874" s="13" t="s">
        <v>1843</v>
      </c>
      <c r="B874" s="44" t="s">
        <v>2152</v>
      </c>
      <c r="C874" s="4">
        <v>250872</v>
      </c>
      <c r="D874" s="13" t="s">
        <v>1843</v>
      </c>
      <c r="E874" s="13" t="str">
        <f t="shared" si="39"/>
        <v>FL2</v>
      </c>
      <c r="F874" s="13" t="str">
        <f t="shared" si="40"/>
        <v>50</v>
      </c>
      <c r="G874" s="13" t="str">
        <f t="shared" si="41"/>
        <v>872</v>
      </c>
    </row>
    <row r="875" spans="1:7" x14ac:dyDescent="0.3">
      <c r="A875" s="43" t="s">
        <v>1845</v>
      </c>
      <c r="B875" s="44" t="s">
        <v>2152</v>
      </c>
      <c r="C875" s="4">
        <v>250873</v>
      </c>
      <c r="D875" s="13" t="s">
        <v>1845</v>
      </c>
      <c r="E875" s="13" t="str">
        <f t="shared" si="39"/>
        <v>FL2</v>
      </c>
      <c r="F875" s="13" t="str">
        <f t="shared" si="40"/>
        <v>50</v>
      </c>
      <c r="G875" s="13" t="str">
        <f t="shared" si="41"/>
        <v>873</v>
      </c>
    </row>
    <row r="876" spans="1:7" x14ac:dyDescent="0.3">
      <c r="A876" s="13" t="s">
        <v>1847</v>
      </c>
      <c r="B876" s="44" t="s">
        <v>2152</v>
      </c>
      <c r="C876" s="4">
        <v>250874</v>
      </c>
      <c r="D876" s="13" t="s">
        <v>1847</v>
      </c>
      <c r="E876" s="13" t="str">
        <f t="shared" si="39"/>
        <v>FL2</v>
      </c>
      <c r="F876" s="13" t="str">
        <f t="shared" si="40"/>
        <v>50</v>
      </c>
      <c r="G876" s="13" t="str">
        <f t="shared" si="41"/>
        <v>874</v>
      </c>
    </row>
    <row r="877" spans="1:7" x14ac:dyDescent="0.3">
      <c r="A877" s="43" t="s">
        <v>1849</v>
      </c>
      <c r="B877" s="44" t="s">
        <v>2152</v>
      </c>
      <c r="C877" s="4">
        <v>250875</v>
      </c>
      <c r="D877" s="13" t="s">
        <v>1849</v>
      </c>
      <c r="E877" s="13" t="str">
        <f t="shared" si="39"/>
        <v>FL2</v>
      </c>
      <c r="F877" s="13" t="str">
        <f t="shared" si="40"/>
        <v>50</v>
      </c>
      <c r="G877" s="13" t="str">
        <f t="shared" si="41"/>
        <v>875</v>
      </c>
    </row>
    <row r="878" spans="1:7" x14ac:dyDescent="0.3">
      <c r="A878" s="13" t="s">
        <v>1851</v>
      </c>
      <c r="B878" s="44" t="s">
        <v>2152</v>
      </c>
      <c r="C878" s="4">
        <v>250876</v>
      </c>
      <c r="D878" s="13" t="s">
        <v>1851</v>
      </c>
      <c r="E878" s="13" t="str">
        <f t="shared" si="39"/>
        <v>FL2</v>
      </c>
      <c r="F878" s="13" t="str">
        <f t="shared" si="40"/>
        <v>50</v>
      </c>
      <c r="G878" s="13" t="str">
        <f t="shared" si="41"/>
        <v>876</v>
      </c>
    </row>
    <row r="879" spans="1:7" x14ac:dyDescent="0.3">
      <c r="A879" s="43" t="s">
        <v>1853</v>
      </c>
      <c r="B879" s="44" t="s">
        <v>2152</v>
      </c>
      <c r="C879" s="4">
        <v>250877</v>
      </c>
      <c r="D879" s="13" t="s">
        <v>1853</v>
      </c>
      <c r="E879" s="13" t="str">
        <f t="shared" si="39"/>
        <v>FL2</v>
      </c>
      <c r="F879" s="13" t="str">
        <f t="shared" si="40"/>
        <v>50</v>
      </c>
      <c r="G879" s="13" t="str">
        <f t="shared" si="41"/>
        <v>877</v>
      </c>
    </row>
    <row r="880" spans="1:7" x14ac:dyDescent="0.3">
      <c r="A880" s="13" t="s">
        <v>1855</v>
      </c>
      <c r="B880" s="44" t="s">
        <v>2152</v>
      </c>
      <c r="C880" s="4">
        <v>250878</v>
      </c>
      <c r="D880" s="13" t="s">
        <v>1855</v>
      </c>
      <c r="E880" s="13" t="str">
        <f t="shared" si="39"/>
        <v>FL2</v>
      </c>
      <c r="F880" s="13" t="str">
        <f t="shared" si="40"/>
        <v>50</v>
      </c>
      <c r="G880" s="13" t="str">
        <f t="shared" si="41"/>
        <v>878</v>
      </c>
    </row>
    <row r="881" spans="1:7" x14ac:dyDescent="0.3">
      <c r="A881" s="43" t="s">
        <v>1857</v>
      </c>
      <c r="B881" s="44" t="s">
        <v>2152</v>
      </c>
      <c r="C881" s="4">
        <v>250879</v>
      </c>
      <c r="D881" s="13" t="s">
        <v>1857</v>
      </c>
      <c r="E881" s="13" t="str">
        <f t="shared" si="39"/>
        <v>FL2</v>
      </c>
      <c r="F881" s="13" t="str">
        <f t="shared" si="40"/>
        <v>50</v>
      </c>
      <c r="G881" s="13" t="str">
        <f t="shared" si="41"/>
        <v>879</v>
      </c>
    </row>
    <row r="882" spans="1:7" x14ac:dyDescent="0.3">
      <c r="A882" s="13" t="s">
        <v>1859</v>
      </c>
      <c r="B882" s="44" t="s">
        <v>2152</v>
      </c>
      <c r="C882" s="4">
        <v>250880</v>
      </c>
      <c r="D882" s="13" t="s">
        <v>1859</v>
      </c>
      <c r="E882" s="13" t="str">
        <f t="shared" si="39"/>
        <v>FL2</v>
      </c>
      <c r="F882" s="13" t="str">
        <f t="shared" si="40"/>
        <v>50</v>
      </c>
      <c r="G882" s="13" t="str">
        <f t="shared" si="41"/>
        <v>880</v>
      </c>
    </row>
    <row r="883" spans="1:7" x14ac:dyDescent="0.3">
      <c r="A883" s="43" t="s">
        <v>1861</v>
      </c>
      <c r="B883" s="44" t="s">
        <v>2152</v>
      </c>
      <c r="C883" s="4">
        <v>250881</v>
      </c>
      <c r="D883" s="13" t="s">
        <v>1861</v>
      </c>
      <c r="E883" s="13" t="str">
        <f t="shared" si="39"/>
        <v>FL2</v>
      </c>
      <c r="F883" s="13" t="str">
        <f t="shared" si="40"/>
        <v>50</v>
      </c>
      <c r="G883" s="13" t="str">
        <f t="shared" si="41"/>
        <v>881</v>
      </c>
    </row>
    <row r="884" spans="1:7" x14ac:dyDescent="0.3">
      <c r="A884" s="13" t="s">
        <v>1863</v>
      </c>
      <c r="B884" s="44" t="s">
        <v>2152</v>
      </c>
      <c r="C884" s="4">
        <v>250882</v>
      </c>
      <c r="D884" s="13" t="s">
        <v>1863</v>
      </c>
      <c r="E884" s="13" t="str">
        <f t="shared" si="39"/>
        <v>FL2</v>
      </c>
      <c r="F884" s="13" t="str">
        <f t="shared" si="40"/>
        <v>50</v>
      </c>
      <c r="G884" s="13" t="str">
        <f t="shared" si="41"/>
        <v>882</v>
      </c>
    </row>
    <row r="885" spans="1:7" x14ac:dyDescent="0.3">
      <c r="A885" s="43" t="s">
        <v>1865</v>
      </c>
      <c r="B885" s="44" t="s">
        <v>2152</v>
      </c>
      <c r="C885" s="4">
        <v>250883</v>
      </c>
      <c r="D885" s="13" t="s">
        <v>1865</v>
      </c>
      <c r="E885" s="13" t="str">
        <f t="shared" si="39"/>
        <v>FL2</v>
      </c>
      <c r="F885" s="13" t="str">
        <f t="shared" si="40"/>
        <v>50</v>
      </c>
      <c r="G885" s="13" t="str">
        <f t="shared" si="41"/>
        <v>883</v>
      </c>
    </row>
    <row r="886" spans="1:7" x14ac:dyDescent="0.3">
      <c r="A886" s="13" t="s">
        <v>1867</v>
      </c>
      <c r="B886" s="44" t="s">
        <v>2152</v>
      </c>
      <c r="C886" s="4">
        <v>250884</v>
      </c>
      <c r="D886" s="13" t="s">
        <v>1867</v>
      </c>
      <c r="E886" s="13" t="str">
        <f t="shared" si="39"/>
        <v>FL2</v>
      </c>
      <c r="F886" s="13" t="str">
        <f t="shared" si="40"/>
        <v>50</v>
      </c>
      <c r="G886" s="13" t="str">
        <f t="shared" si="41"/>
        <v>884</v>
      </c>
    </row>
    <row r="887" spans="1:7" x14ac:dyDescent="0.3">
      <c r="A887" s="43" t="s">
        <v>1869</v>
      </c>
      <c r="B887" s="44" t="s">
        <v>2152</v>
      </c>
      <c r="C887" s="4">
        <v>250885</v>
      </c>
      <c r="D887" s="13" t="s">
        <v>1869</v>
      </c>
      <c r="E887" s="13" t="str">
        <f t="shared" si="39"/>
        <v>FL2</v>
      </c>
      <c r="F887" s="13" t="str">
        <f t="shared" si="40"/>
        <v>50</v>
      </c>
      <c r="G887" s="13" t="str">
        <f t="shared" si="41"/>
        <v>885</v>
      </c>
    </row>
    <row r="888" spans="1:7" x14ac:dyDescent="0.3">
      <c r="A888" s="13" t="s">
        <v>1871</v>
      </c>
      <c r="B888" s="44" t="s">
        <v>2152</v>
      </c>
      <c r="C888" s="4">
        <v>250886</v>
      </c>
      <c r="D888" s="13" t="s">
        <v>1871</v>
      </c>
      <c r="E888" s="13" t="str">
        <f t="shared" si="39"/>
        <v>FL2</v>
      </c>
      <c r="F888" s="13" t="str">
        <f t="shared" si="40"/>
        <v>50</v>
      </c>
      <c r="G888" s="13" t="str">
        <f t="shared" si="41"/>
        <v>886</v>
      </c>
    </row>
    <row r="889" spans="1:7" x14ac:dyDescent="0.3">
      <c r="A889" s="43" t="s">
        <v>1872</v>
      </c>
      <c r="B889" s="44" t="s">
        <v>2152</v>
      </c>
      <c r="C889" s="4">
        <v>250887</v>
      </c>
      <c r="D889" s="13" t="s">
        <v>1872</v>
      </c>
      <c r="E889" s="13" t="str">
        <f t="shared" si="39"/>
        <v>FL2</v>
      </c>
      <c r="F889" s="13" t="str">
        <f t="shared" si="40"/>
        <v>50</v>
      </c>
      <c r="G889" s="13" t="str">
        <f t="shared" si="41"/>
        <v>887</v>
      </c>
    </row>
    <row r="890" spans="1:7" x14ac:dyDescent="0.3">
      <c r="A890" s="13" t="s">
        <v>1874</v>
      </c>
      <c r="B890" s="44" t="s">
        <v>2152</v>
      </c>
      <c r="C890" s="4">
        <v>250888</v>
      </c>
      <c r="D890" s="13" t="s">
        <v>1874</v>
      </c>
      <c r="E890" s="13" t="str">
        <f t="shared" si="39"/>
        <v>FL2</v>
      </c>
      <c r="F890" s="13" t="str">
        <f t="shared" si="40"/>
        <v>50</v>
      </c>
      <c r="G890" s="13" t="str">
        <f t="shared" si="41"/>
        <v>888</v>
      </c>
    </row>
    <row r="891" spans="1:7" x14ac:dyDescent="0.3">
      <c r="A891" s="43" t="s">
        <v>1876</v>
      </c>
      <c r="B891" s="44" t="s">
        <v>2152</v>
      </c>
      <c r="C891" s="4">
        <v>250889</v>
      </c>
      <c r="D891" s="13" t="s">
        <v>1876</v>
      </c>
      <c r="E891" s="13" t="str">
        <f t="shared" si="39"/>
        <v>FL2</v>
      </c>
      <c r="F891" s="13" t="str">
        <f t="shared" si="40"/>
        <v>50</v>
      </c>
      <c r="G891" s="13" t="str">
        <f t="shared" si="41"/>
        <v>889</v>
      </c>
    </row>
    <row r="892" spans="1:7" x14ac:dyDescent="0.3">
      <c r="A892" s="13" t="s">
        <v>1878</v>
      </c>
      <c r="B892" s="44" t="s">
        <v>2152</v>
      </c>
      <c r="C892" s="4">
        <v>250890</v>
      </c>
      <c r="D892" s="13" t="s">
        <v>1878</v>
      </c>
      <c r="E892" s="13" t="str">
        <f t="shared" si="39"/>
        <v>FL2</v>
      </c>
      <c r="F892" s="13" t="str">
        <f t="shared" si="40"/>
        <v>50</v>
      </c>
      <c r="G892" s="13" t="str">
        <f t="shared" si="41"/>
        <v>890</v>
      </c>
    </row>
    <row r="893" spans="1:7" x14ac:dyDescent="0.3">
      <c r="A893" s="43" t="s">
        <v>1880</v>
      </c>
      <c r="B893" s="44" t="s">
        <v>2152</v>
      </c>
      <c r="C893" s="4">
        <v>250891</v>
      </c>
      <c r="D893" s="13" t="s">
        <v>1880</v>
      </c>
      <c r="E893" s="13" t="str">
        <f t="shared" si="39"/>
        <v>FL2</v>
      </c>
      <c r="F893" s="13" t="str">
        <f t="shared" si="40"/>
        <v>50</v>
      </c>
      <c r="G893" s="13" t="str">
        <f t="shared" si="41"/>
        <v>891</v>
      </c>
    </row>
    <row r="894" spans="1:7" x14ac:dyDescent="0.3">
      <c r="A894" s="13" t="s">
        <v>1882</v>
      </c>
      <c r="B894" s="44" t="s">
        <v>2152</v>
      </c>
      <c r="C894" s="4">
        <v>250892</v>
      </c>
      <c r="D894" s="13" t="s">
        <v>1882</v>
      </c>
      <c r="E894" s="13" t="str">
        <f t="shared" si="39"/>
        <v>FL2</v>
      </c>
      <c r="F894" s="13" t="str">
        <f t="shared" si="40"/>
        <v>50</v>
      </c>
      <c r="G894" s="13" t="str">
        <f t="shared" si="41"/>
        <v>892</v>
      </c>
    </row>
    <row r="895" spans="1:7" x14ac:dyDescent="0.3">
      <c r="A895" s="43" t="s">
        <v>1884</v>
      </c>
      <c r="B895" s="44" t="s">
        <v>2152</v>
      </c>
      <c r="C895" s="4">
        <v>250893</v>
      </c>
      <c r="D895" s="13" t="s">
        <v>1884</v>
      </c>
      <c r="E895" s="13" t="str">
        <f t="shared" si="39"/>
        <v>FL2</v>
      </c>
      <c r="F895" s="13" t="str">
        <f t="shared" si="40"/>
        <v>50</v>
      </c>
      <c r="G895" s="13" t="str">
        <f t="shared" si="41"/>
        <v>893</v>
      </c>
    </row>
    <row r="896" spans="1:7" x14ac:dyDescent="0.3">
      <c r="A896" s="13" t="s">
        <v>1886</v>
      </c>
      <c r="B896" s="44" t="s">
        <v>2152</v>
      </c>
      <c r="C896" s="4">
        <v>250894</v>
      </c>
      <c r="D896" s="13" t="s">
        <v>1886</v>
      </c>
      <c r="E896" s="13" t="str">
        <f t="shared" si="39"/>
        <v>FL2</v>
      </c>
      <c r="F896" s="13" t="str">
        <f t="shared" si="40"/>
        <v>50</v>
      </c>
      <c r="G896" s="13" t="str">
        <f t="shared" si="41"/>
        <v>894</v>
      </c>
    </row>
    <row r="897" spans="1:7" x14ac:dyDescent="0.3">
      <c r="A897" s="43" t="s">
        <v>1888</v>
      </c>
      <c r="B897" s="44" t="s">
        <v>2152</v>
      </c>
      <c r="C897" s="4">
        <v>250895</v>
      </c>
      <c r="D897" s="13" t="s">
        <v>1888</v>
      </c>
      <c r="E897" s="13" t="str">
        <f t="shared" si="39"/>
        <v>FL2</v>
      </c>
      <c r="F897" s="13" t="str">
        <f t="shared" si="40"/>
        <v>50</v>
      </c>
      <c r="G897" s="13" t="str">
        <f t="shared" si="41"/>
        <v>895</v>
      </c>
    </row>
    <row r="898" spans="1:7" x14ac:dyDescent="0.3">
      <c r="A898" s="13" t="s">
        <v>1890</v>
      </c>
      <c r="B898" s="44" t="s">
        <v>2152</v>
      </c>
      <c r="C898" s="4">
        <v>250896</v>
      </c>
      <c r="D898" s="13" t="s">
        <v>1890</v>
      </c>
      <c r="E898" s="13" t="str">
        <f t="shared" si="39"/>
        <v>FL2</v>
      </c>
      <c r="F898" s="13" t="str">
        <f t="shared" si="40"/>
        <v>50</v>
      </c>
      <c r="G898" s="13" t="str">
        <f t="shared" si="41"/>
        <v>896</v>
      </c>
    </row>
    <row r="899" spans="1:7" x14ac:dyDescent="0.3">
      <c r="A899" s="43" t="s">
        <v>1892</v>
      </c>
      <c r="B899" s="44" t="s">
        <v>2152</v>
      </c>
      <c r="C899" s="4">
        <v>250897</v>
      </c>
      <c r="D899" s="13" t="s">
        <v>1892</v>
      </c>
      <c r="E899" s="13" t="str">
        <f t="shared" si="39"/>
        <v>FL2</v>
      </c>
      <c r="F899" s="13" t="str">
        <f t="shared" si="40"/>
        <v>50</v>
      </c>
      <c r="G899" s="13" t="str">
        <f t="shared" si="41"/>
        <v>897</v>
      </c>
    </row>
    <row r="900" spans="1:7" x14ac:dyDescent="0.3">
      <c r="A900" s="13" t="s">
        <v>1894</v>
      </c>
      <c r="B900" s="44" t="s">
        <v>2152</v>
      </c>
      <c r="C900" s="4">
        <v>250898</v>
      </c>
      <c r="D900" s="13" t="s">
        <v>1894</v>
      </c>
      <c r="E900" s="13" t="str">
        <f t="shared" ref="E900:E963" si="42">LEFT(D900,3)</f>
        <v>FL2</v>
      </c>
      <c r="F900" s="13" t="str">
        <f t="shared" ref="F900:F963" si="43">MID(D900,4,2)</f>
        <v>50</v>
      </c>
      <c r="G900" s="13" t="str">
        <f t="shared" ref="G900:G963" si="44">RIGHT(D900,3)</f>
        <v>898</v>
      </c>
    </row>
    <row r="901" spans="1:7" x14ac:dyDescent="0.3">
      <c r="A901" s="43" t="s">
        <v>1896</v>
      </c>
      <c r="B901" s="44" t="s">
        <v>2152</v>
      </c>
      <c r="C901" s="4">
        <v>250899</v>
      </c>
      <c r="D901" s="13" t="s">
        <v>1896</v>
      </c>
      <c r="E901" s="13" t="str">
        <f t="shared" si="42"/>
        <v>FL2</v>
      </c>
      <c r="F901" s="13" t="str">
        <f t="shared" si="43"/>
        <v>50</v>
      </c>
      <c r="G901" s="13" t="str">
        <f t="shared" si="44"/>
        <v>899</v>
      </c>
    </row>
    <row r="902" spans="1:7" x14ac:dyDescent="0.3">
      <c r="A902" s="13" t="s">
        <v>1898</v>
      </c>
      <c r="B902" s="44" t="s">
        <v>2152</v>
      </c>
      <c r="C902" s="4">
        <v>250900</v>
      </c>
      <c r="D902" s="13" t="s">
        <v>1898</v>
      </c>
      <c r="E902" s="13" t="str">
        <f t="shared" si="42"/>
        <v>FL2</v>
      </c>
      <c r="F902" s="13" t="str">
        <f t="shared" si="43"/>
        <v>50</v>
      </c>
      <c r="G902" s="13" t="str">
        <f t="shared" si="44"/>
        <v>900</v>
      </c>
    </row>
    <row r="903" spans="1:7" x14ac:dyDescent="0.3">
      <c r="A903" s="43" t="s">
        <v>1900</v>
      </c>
      <c r="B903" s="44" t="s">
        <v>2152</v>
      </c>
      <c r="C903" s="4">
        <v>250901</v>
      </c>
      <c r="D903" s="13" t="s">
        <v>1900</v>
      </c>
      <c r="E903" s="13" t="str">
        <f t="shared" si="42"/>
        <v>FL2</v>
      </c>
      <c r="F903" s="13" t="str">
        <f t="shared" si="43"/>
        <v>50</v>
      </c>
      <c r="G903" s="13" t="str">
        <f t="shared" si="44"/>
        <v>901</v>
      </c>
    </row>
    <row r="904" spans="1:7" x14ac:dyDescent="0.3">
      <c r="A904" s="13" t="s">
        <v>1902</v>
      </c>
      <c r="B904" s="44" t="s">
        <v>2152</v>
      </c>
      <c r="C904" s="4">
        <v>250902</v>
      </c>
      <c r="D904" s="13" t="s">
        <v>1902</v>
      </c>
      <c r="E904" s="13" t="str">
        <f t="shared" si="42"/>
        <v>FL2</v>
      </c>
      <c r="F904" s="13" t="str">
        <f t="shared" si="43"/>
        <v>50</v>
      </c>
      <c r="G904" s="13" t="str">
        <f t="shared" si="44"/>
        <v>902</v>
      </c>
    </row>
    <row r="905" spans="1:7" x14ac:dyDescent="0.3">
      <c r="A905" s="43" t="s">
        <v>1904</v>
      </c>
      <c r="B905" s="44" t="s">
        <v>2152</v>
      </c>
      <c r="C905" s="4">
        <v>250903</v>
      </c>
      <c r="D905" s="13" t="s">
        <v>1904</v>
      </c>
      <c r="E905" s="13" t="str">
        <f t="shared" si="42"/>
        <v>FL2</v>
      </c>
      <c r="F905" s="13" t="str">
        <f t="shared" si="43"/>
        <v>50</v>
      </c>
      <c r="G905" s="13" t="str">
        <f t="shared" si="44"/>
        <v>903</v>
      </c>
    </row>
    <row r="906" spans="1:7" x14ac:dyDescent="0.3">
      <c r="A906" s="13" t="s">
        <v>1906</v>
      </c>
      <c r="B906" s="44" t="s">
        <v>2152</v>
      </c>
      <c r="C906" s="4">
        <v>250904</v>
      </c>
      <c r="D906" s="13" t="s">
        <v>1906</v>
      </c>
      <c r="E906" s="13" t="str">
        <f t="shared" si="42"/>
        <v>FL2</v>
      </c>
      <c r="F906" s="13" t="str">
        <f t="shared" si="43"/>
        <v>50</v>
      </c>
      <c r="G906" s="13" t="str">
        <f t="shared" si="44"/>
        <v>904</v>
      </c>
    </row>
    <row r="907" spans="1:7" x14ac:dyDescent="0.3">
      <c r="A907" s="43" t="s">
        <v>1908</v>
      </c>
      <c r="B907" s="44" t="s">
        <v>2152</v>
      </c>
      <c r="C907" s="4">
        <v>250905</v>
      </c>
      <c r="D907" s="13" t="s">
        <v>1908</v>
      </c>
      <c r="E907" s="13" t="str">
        <f t="shared" si="42"/>
        <v>FL2</v>
      </c>
      <c r="F907" s="13" t="str">
        <f t="shared" si="43"/>
        <v>50</v>
      </c>
      <c r="G907" s="13" t="str">
        <f t="shared" si="44"/>
        <v>905</v>
      </c>
    </row>
    <row r="908" spans="1:7" x14ac:dyDescent="0.3">
      <c r="A908" s="13" t="s">
        <v>1910</v>
      </c>
      <c r="B908" s="44" t="s">
        <v>2152</v>
      </c>
      <c r="C908" s="4">
        <v>250906</v>
      </c>
      <c r="D908" s="13" t="s">
        <v>1910</v>
      </c>
      <c r="E908" s="13" t="str">
        <f t="shared" si="42"/>
        <v>FL2</v>
      </c>
      <c r="F908" s="13" t="str">
        <f t="shared" si="43"/>
        <v>50</v>
      </c>
      <c r="G908" s="13" t="str">
        <f t="shared" si="44"/>
        <v>906</v>
      </c>
    </row>
    <row r="909" spans="1:7" x14ac:dyDescent="0.3">
      <c r="A909" s="43" t="s">
        <v>1912</v>
      </c>
      <c r="B909" s="44" t="s">
        <v>2152</v>
      </c>
      <c r="C909" s="4">
        <v>250907</v>
      </c>
      <c r="D909" s="13" t="s">
        <v>1912</v>
      </c>
      <c r="E909" s="13" t="str">
        <f t="shared" si="42"/>
        <v>FL2</v>
      </c>
      <c r="F909" s="13" t="str">
        <f t="shared" si="43"/>
        <v>50</v>
      </c>
      <c r="G909" s="13" t="str">
        <f t="shared" si="44"/>
        <v>907</v>
      </c>
    </row>
    <row r="910" spans="1:7" x14ac:dyDescent="0.3">
      <c r="A910" s="13" t="s">
        <v>1914</v>
      </c>
      <c r="B910" s="44" t="s">
        <v>2152</v>
      </c>
      <c r="C910" s="4">
        <v>250908</v>
      </c>
      <c r="D910" s="13" t="s">
        <v>1914</v>
      </c>
      <c r="E910" s="13" t="str">
        <f t="shared" si="42"/>
        <v>FL2</v>
      </c>
      <c r="F910" s="13" t="str">
        <f t="shared" si="43"/>
        <v>50</v>
      </c>
      <c r="G910" s="13" t="str">
        <f t="shared" si="44"/>
        <v>908</v>
      </c>
    </row>
    <row r="911" spans="1:7" x14ac:dyDescent="0.3">
      <c r="A911" s="43" t="s">
        <v>1916</v>
      </c>
      <c r="B911" s="44" t="s">
        <v>2152</v>
      </c>
      <c r="C911" s="4">
        <v>250909</v>
      </c>
      <c r="D911" s="13" t="s">
        <v>1916</v>
      </c>
      <c r="E911" s="13" t="str">
        <f t="shared" si="42"/>
        <v>FL2</v>
      </c>
      <c r="F911" s="13" t="str">
        <f t="shared" si="43"/>
        <v>50</v>
      </c>
      <c r="G911" s="13" t="str">
        <f t="shared" si="44"/>
        <v>909</v>
      </c>
    </row>
    <row r="912" spans="1:7" x14ac:dyDescent="0.3">
      <c r="A912" s="13" t="s">
        <v>1918</v>
      </c>
      <c r="B912" s="44" t="s">
        <v>2152</v>
      </c>
      <c r="C912" s="4">
        <v>250910</v>
      </c>
      <c r="D912" s="13" t="s">
        <v>1918</v>
      </c>
      <c r="E912" s="13" t="str">
        <f t="shared" si="42"/>
        <v>FL2</v>
      </c>
      <c r="F912" s="13" t="str">
        <f t="shared" si="43"/>
        <v>50</v>
      </c>
      <c r="G912" s="13" t="str">
        <f t="shared" si="44"/>
        <v>910</v>
      </c>
    </row>
    <row r="913" spans="1:7" x14ac:dyDescent="0.3">
      <c r="A913" s="43" t="s">
        <v>1920</v>
      </c>
      <c r="B913" s="44" t="s">
        <v>2152</v>
      </c>
      <c r="C913" s="4">
        <v>250911</v>
      </c>
      <c r="D913" s="13" t="s">
        <v>1920</v>
      </c>
      <c r="E913" s="13" t="str">
        <f t="shared" si="42"/>
        <v>FL2</v>
      </c>
      <c r="F913" s="13" t="str">
        <f t="shared" si="43"/>
        <v>50</v>
      </c>
      <c r="G913" s="13" t="str">
        <f t="shared" si="44"/>
        <v>911</v>
      </c>
    </row>
    <row r="914" spans="1:7" x14ac:dyDescent="0.3">
      <c r="A914" s="13" t="s">
        <v>1922</v>
      </c>
      <c r="B914" s="44" t="s">
        <v>2152</v>
      </c>
      <c r="C914" s="4">
        <v>250912</v>
      </c>
      <c r="D914" s="13" t="s">
        <v>1922</v>
      </c>
      <c r="E914" s="13" t="str">
        <f t="shared" si="42"/>
        <v>FL2</v>
      </c>
      <c r="F914" s="13" t="str">
        <f t="shared" si="43"/>
        <v>50</v>
      </c>
      <c r="G914" s="13" t="str">
        <f t="shared" si="44"/>
        <v>912</v>
      </c>
    </row>
    <row r="915" spans="1:7" x14ac:dyDescent="0.3">
      <c r="A915" s="43" t="s">
        <v>1924</v>
      </c>
      <c r="B915" s="44" t="s">
        <v>2152</v>
      </c>
      <c r="C915" s="4">
        <v>250913</v>
      </c>
      <c r="D915" s="13" t="s">
        <v>1924</v>
      </c>
      <c r="E915" s="13" t="str">
        <f t="shared" si="42"/>
        <v>FL2</v>
      </c>
      <c r="F915" s="13" t="str">
        <f t="shared" si="43"/>
        <v>50</v>
      </c>
      <c r="G915" s="13" t="str">
        <f t="shared" si="44"/>
        <v>913</v>
      </c>
    </row>
    <row r="916" spans="1:7" x14ac:dyDescent="0.3">
      <c r="A916" s="13" t="s">
        <v>1925</v>
      </c>
      <c r="B916" s="44" t="s">
        <v>2152</v>
      </c>
      <c r="C916" s="4">
        <v>250914</v>
      </c>
      <c r="D916" s="13" t="s">
        <v>1925</v>
      </c>
      <c r="E916" s="13" t="str">
        <f t="shared" si="42"/>
        <v>FL2</v>
      </c>
      <c r="F916" s="13" t="str">
        <f t="shared" si="43"/>
        <v>50</v>
      </c>
      <c r="G916" s="13" t="str">
        <f t="shared" si="44"/>
        <v>914</v>
      </c>
    </row>
    <row r="917" spans="1:7" x14ac:dyDescent="0.3">
      <c r="A917" s="43" t="s">
        <v>1927</v>
      </c>
      <c r="B917" s="44" t="s">
        <v>2152</v>
      </c>
      <c r="C917" s="4">
        <v>250915</v>
      </c>
      <c r="D917" s="13" t="s">
        <v>1927</v>
      </c>
      <c r="E917" s="13" t="str">
        <f t="shared" si="42"/>
        <v>FL2</v>
      </c>
      <c r="F917" s="13" t="str">
        <f t="shared" si="43"/>
        <v>50</v>
      </c>
      <c r="G917" s="13" t="str">
        <f t="shared" si="44"/>
        <v>915</v>
      </c>
    </row>
    <row r="918" spans="1:7" x14ac:dyDescent="0.3">
      <c r="A918" s="13" t="s">
        <v>1929</v>
      </c>
      <c r="B918" s="44" t="s">
        <v>2152</v>
      </c>
      <c r="C918" s="4">
        <v>250916</v>
      </c>
      <c r="D918" s="13" t="s">
        <v>1929</v>
      </c>
      <c r="E918" s="13" t="str">
        <f t="shared" si="42"/>
        <v>FL2</v>
      </c>
      <c r="F918" s="13" t="str">
        <f t="shared" si="43"/>
        <v>50</v>
      </c>
      <c r="G918" s="13" t="str">
        <f t="shared" si="44"/>
        <v>916</v>
      </c>
    </row>
    <row r="919" spans="1:7" x14ac:dyDescent="0.3">
      <c r="A919" s="43" t="s">
        <v>1931</v>
      </c>
      <c r="B919" s="44" t="s">
        <v>2152</v>
      </c>
      <c r="C919" s="4">
        <v>250917</v>
      </c>
      <c r="D919" s="13" t="s">
        <v>1931</v>
      </c>
      <c r="E919" s="13" t="str">
        <f t="shared" si="42"/>
        <v>FL2</v>
      </c>
      <c r="F919" s="13" t="str">
        <f t="shared" si="43"/>
        <v>50</v>
      </c>
      <c r="G919" s="13" t="str">
        <f t="shared" si="44"/>
        <v>917</v>
      </c>
    </row>
    <row r="920" spans="1:7" x14ac:dyDescent="0.3">
      <c r="A920" s="13" t="s">
        <v>1933</v>
      </c>
      <c r="B920" s="44" t="s">
        <v>2152</v>
      </c>
      <c r="C920" s="4">
        <v>250918</v>
      </c>
      <c r="D920" s="13" t="s">
        <v>1933</v>
      </c>
      <c r="E920" s="13" t="str">
        <f t="shared" si="42"/>
        <v>FL2</v>
      </c>
      <c r="F920" s="13" t="str">
        <f t="shared" si="43"/>
        <v>50</v>
      </c>
      <c r="G920" s="13" t="str">
        <f t="shared" si="44"/>
        <v>918</v>
      </c>
    </row>
    <row r="921" spans="1:7" x14ac:dyDescent="0.3">
      <c r="A921" s="43" t="s">
        <v>1935</v>
      </c>
      <c r="B921" s="44" t="s">
        <v>2152</v>
      </c>
      <c r="C921" s="4">
        <v>250919</v>
      </c>
      <c r="D921" s="13" t="s">
        <v>1935</v>
      </c>
      <c r="E921" s="13" t="str">
        <f t="shared" si="42"/>
        <v>FL2</v>
      </c>
      <c r="F921" s="13" t="str">
        <f t="shared" si="43"/>
        <v>50</v>
      </c>
      <c r="G921" s="13" t="str">
        <f t="shared" si="44"/>
        <v>919</v>
      </c>
    </row>
    <row r="922" spans="1:7" x14ac:dyDescent="0.3">
      <c r="A922" s="13" t="s">
        <v>1937</v>
      </c>
      <c r="B922" s="44" t="s">
        <v>2152</v>
      </c>
      <c r="C922" s="4">
        <v>250920</v>
      </c>
      <c r="D922" s="13" t="s">
        <v>1937</v>
      </c>
      <c r="E922" s="13" t="str">
        <f t="shared" si="42"/>
        <v>FL2</v>
      </c>
      <c r="F922" s="13" t="str">
        <f t="shared" si="43"/>
        <v>50</v>
      </c>
      <c r="G922" s="13" t="str">
        <f t="shared" si="44"/>
        <v>920</v>
      </c>
    </row>
    <row r="923" spans="1:7" x14ac:dyDescent="0.3">
      <c r="A923" s="43" t="s">
        <v>1939</v>
      </c>
      <c r="B923" s="44" t="s">
        <v>2152</v>
      </c>
      <c r="C923" s="4">
        <v>250921</v>
      </c>
      <c r="D923" s="13" t="s">
        <v>1939</v>
      </c>
      <c r="E923" s="13" t="str">
        <f t="shared" si="42"/>
        <v>FL2</v>
      </c>
      <c r="F923" s="13" t="str">
        <f t="shared" si="43"/>
        <v>50</v>
      </c>
      <c r="G923" s="13" t="str">
        <f t="shared" si="44"/>
        <v>921</v>
      </c>
    </row>
    <row r="924" spans="1:7" x14ac:dyDescent="0.3">
      <c r="A924" s="13" t="s">
        <v>1941</v>
      </c>
      <c r="B924" s="44" t="s">
        <v>2152</v>
      </c>
      <c r="C924" s="4">
        <v>250922</v>
      </c>
      <c r="D924" s="13" t="s">
        <v>1941</v>
      </c>
      <c r="E924" s="13" t="str">
        <f t="shared" si="42"/>
        <v>FL2</v>
      </c>
      <c r="F924" s="13" t="str">
        <f t="shared" si="43"/>
        <v>50</v>
      </c>
      <c r="G924" s="13" t="str">
        <f t="shared" si="44"/>
        <v>922</v>
      </c>
    </row>
    <row r="925" spans="1:7" x14ac:dyDescent="0.3">
      <c r="A925" s="43" t="s">
        <v>1943</v>
      </c>
      <c r="B925" s="44" t="s">
        <v>2152</v>
      </c>
      <c r="C925" s="4">
        <v>250923</v>
      </c>
      <c r="D925" s="13" t="s">
        <v>1943</v>
      </c>
      <c r="E925" s="13" t="str">
        <f t="shared" si="42"/>
        <v>FL2</v>
      </c>
      <c r="F925" s="13" t="str">
        <f t="shared" si="43"/>
        <v>50</v>
      </c>
      <c r="G925" s="13" t="str">
        <f t="shared" si="44"/>
        <v>923</v>
      </c>
    </row>
    <row r="926" spans="1:7" x14ac:dyDescent="0.3">
      <c r="A926" s="13" t="s">
        <v>1945</v>
      </c>
      <c r="B926" s="44" t="s">
        <v>2152</v>
      </c>
      <c r="C926" s="4">
        <v>250924</v>
      </c>
      <c r="D926" s="13" t="s">
        <v>1945</v>
      </c>
      <c r="E926" s="13" t="str">
        <f t="shared" si="42"/>
        <v>FL2</v>
      </c>
      <c r="F926" s="13" t="str">
        <f t="shared" si="43"/>
        <v>50</v>
      </c>
      <c r="G926" s="13" t="str">
        <f t="shared" si="44"/>
        <v>924</v>
      </c>
    </row>
    <row r="927" spans="1:7" x14ac:dyDescent="0.3">
      <c r="A927" s="43" t="s">
        <v>1947</v>
      </c>
      <c r="B927" s="44" t="s">
        <v>2152</v>
      </c>
      <c r="C927" s="4">
        <v>250925</v>
      </c>
      <c r="D927" s="13" t="s">
        <v>1947</v>
      </c>
      <c r="E927" s="13" t="str">
        <f t="shared" si="42"/>
        <v>FL2</v>
      </c>
      <c r="F927" s="13" t="str">
        <f t="shared" si="43"/>
        <v>50</v>
      </c>
      <c r="G927" s="13" t="str">
        <f t="shared" si="44"/>
        <v>925</v>
      </c>
    </row>
    <row r="928" spans="1:7" x14ac:dyDescent="0.3">
      <c r="A928" s="13" t="s">
        <v>1949</v>
      </c>
      <c r="B928" s="44" t="s">
        <v>2152</v>
      </c>
      <c r="C928" s="4">
        <v>250926</v>
      </c>
      <c r="D928" s="13" t="s">
        <v>1949</v>
      </c>
      <c r="E928" s="13" t="str">
        <f t="shared" si="42"/>
        <v>FL2</v>
      </c>
      <c r="F928" s="13" t="str">
        <f t="shared" si="43"/>
        <v>50</v>
      </c>
      <c r="G928" s="13" t="str">
        <f t="shared" si="44"/>
        <v>926</v>
      </c>
    </row>
    <row r="929" spans="1:7" x14ac:dyDescent="0.3">
      <c r="A929" s="43" t="s">
        <v>1951</v>
      </c>
      <c r="B929" s="44" t="s">
        <v>2152</v>
      </c>
      <c r="C929" s="4">
        <v>250927</v>
      </c>
      <c r="D929" s="13" t="s">
        <v>1951</v>
      </c>
      <c r="E929" s="13" t="str">
        <f t="shared" si="42"/>
        <v>FL2</v>
      </c>
      <c r="F929" s="13" t="str">
        <f t="shared" si="43"/>
        <v>50</v>
      </c>
      <c r="G929" s="13" t="str">
        <f t="shared" si="44"/>
        <v>927</v>
      </c>
    </row>
    <row r="930" spans="1:7" x14ac:dyDescent="0.3">
      <c r="A930" s="13" t="s">
        <v>1953</v>
      </c>
      <c r="B930" s="44" t="s">
        <v>2152</v>
      </c>
      <c r="C930" s="4">
        <v>250928</v>
      </c>
      <c r="D930" s="13" t="s">
        <v>1953</v>
      </c>
      <c r="E930" s="13" t="str">
        <f t="shared" si="42"/>
        <v>FL2</v>
      </c>
      <c r="F930" s="13" t="str">
        <f t="shared" si="43"/>
        <v>50</v>
      </c>
      <c r="G930" s="13" t="str">
        <f t="shared" si="44"/>
        <v>928</v>
      </c>
    </row>
    <row r="931" spans="1:7" x14ac:dyDescent="0.3">
      <c r="A931" s="43" t="s">
        <v>1955</v>
      </c>
      <c r="B931" s="44" t="s">
        <v>2152</v>
      </c>
      <c r="C931" s="4">
        <v>250929</v>
      </c>
      <c r="D931" s="13" t="s">
        <v>1955</v>
      </c>
      <c r="E931" s="13" t="str">
        <f t="shared" si="42"/>
        <v>FL2</v>
      </c>
      <c r="F931" s="13" t="str">
        <f t="shared" si="43"/>
        <v>50</v>
      </c>
      <c r="G931" s="13" t="str">
        <f t="shared" si="44"/>
        <v>929</v>
      </c>
    </row>
    <row r="932" spans="1:7" x14ac:dyDescent="0.3">
      <c r="A932" s="13" t="s">
        <v>1957</v>
      </c>
      <c r="B932" s="44" t="s">
        <v>2152</v>
      </c>
      <c r="C932" s="4">
        <v>250930</v>
      </c>
      <c r="D932" s="13" t="s">
        <v>1957</v>
      </c>
      <c r="E932" s="13" t="str">
        <f t="shared" si="42"/>
        <v>FL2</v>
      </c>
      <c r="F932" s="13" t="str">
        <f t="shared" si="43"/>
        <v>50</v>
      </c>
      <c r="G932" s="13" t="str">
        <f t="shared" si="44"/>
        <v>930</v>
      </c>
    </row>
    <row r="933" spans="1:7" x14ac:dyDescent="0.3">
      <c r="A933" s="43" t="s">
        <v>1959</v>
      </c>
      <c r="B933" s="44" t="s">
        <v>2152</v>
      </c>
      <c r="C933" s="4">
        <v>250931</v>
      </c>
      <c r="D933" s="13" t="s">
        <v>1959</v>
      </c>
      <c r="E933" s="13" t="str">
        <f t="shared" si="42"/>
        <v>FL2</v>
      </c>
      <c r="F933" s="13" t="str">
        <f t="shared" si="43"/>
        <v>50</v>
      </c>
      <c r="G933" s="13" t="str">
        <f t="shared" si="44"/>
        <v>931</v>
      </c>
    </row>
    <row r="934" spans="1:7" x14ac:dyDescent="0.3">
      <c r="A934" s="13" t="s">
        <v>1961</v>
      </c>
      <c r="B934" s="44" t="s">
        <v>2152</v>
      </c>
      <c r="C934" s="4">
        <v>250932</v>
      </c>
      <c r="D934" s="13" t="s">
        <v>1961</v>
      </c>
      <c r="E934" s="13" t="str">
        <f t="shared" si="42"/>
        <v>FL2</v>
      </c>
      <c r="F934" s="13" t="str">
        <f t="shared" si="43"/>
        <v>50</v>
      </c>
      <c r="G934" s="13" t="str">
        <f t="shared" si="44"/>
        <v>932</v>
      </c>
    </row>
    <row r="935" spans="1:7" x14ac:dyDescent="0.3">
      <c r="A935" s="43" t="s">
        <v>1963</v>
      </c>
      <c r="B935" s="44" t="s">
        <v>2152</v>
      </c>
      <c r="C935" s="4">
        <v>250933</v>
      </c>
      <c r="D935" s="13" t="s">
        <v>1963</v>
      </c>
      <c r="E935" s="13" t="str">
        <f t="shared" si="42"/>
        <v>FL2</v>
      </c>
      <c r="F935" s="13" t="str">
        <f t="shared" si="43"/>
        <v>50</v>
      </c>
      <c r="G935" s="13" t="str">
        <f t="shared" si="44"/>
        <v>933</v>
      </c>
    </row>
    <row r="936" spans="1:7" x14ac:dyDescent="0.3">
      <c r="A936" s="13" t="s">
        <v>1965</v>
      </c>
      <c r="B936" s="44" t="s">
        <v>2152</v>
      </c>
      <c r="C936" s="4">
        <v>250934</v>
      </c>
      <c r="D936" s="13" t="s">
        <v>1965</v>
      </c>
      <c r="E936" s="13" t="str">
        <f t="shared" si="42"/>
        <v>FL2</v>
      </c>
      <c r="F936" s="13" t="str">
        <f t="shared" si="43"/>
        <v>50</v>
      </c>
      <c r="G936" s="13" t="str">
        <f t="shared" si="44"/>
        <v>934</v>
      </c>
    </row>
    <row r="937" spans="1:7" x14ac:dyDescent="0.3">
      <c r="A937" s="43" t="s">
        <v>1967</v>
      </c>
      <c r="B937" s="44" t="s">
        <v>2152</v>
      </c>
      <c r="C937" s="4">
        <v>250935</v>
      </c>
      <c r="D937" s="13" t="s">
        <v>1967</v>
      </c>
      <c r="E937" s="13" t="str">
        <f t="shared" si="42"/>
        <v>FL2</v>
      </c>
      <c r="F937" s="13" t="str">
        <f t="shared" si="43"/>
        <v>50</v>
      </c>
      <c r="G937" s="13" t="str">
        <f t="shared" si="44"/>
        <v>935</v>
      </c>
    </row>
    <row r="938" spans="1:7" x14ac:dyDescent="0.3">
      <c r="A938" s="13" t="s">
        <v>1969</v>
      </c>
      <c r="B938" s="44" t="s">
        <v>2152</v>
      </c>
      <c r="C938" s="4">
        <v>250936</v>
      </c>
      <c r="D938" s="13" t="s">
        <v>1969</v>
      </c>
      <c r="E938" s="13" t="str">
        <f t="shared" si="42"/>
        <v>FL2</v>
      </c>
      <c r="F938" s="13" t="str">
        <f t="shared" si="43"/>
        <v>50</v>
      </c>
      <c r="G938" s="13" t="str">
        <f t="shared" si="44"/>
        <v>936</v>
      </c>
    </row>
    <row r="939" spans="1:7" x14ac:dyDescent="0.3">
      <c r="A939" s="43" t="s">
        <v>1971</v>
      </c>
      <c r="B939" s="44" t="s">
        <v>2152</v>
      </c>
      <c r="C939" s="4">
        <v>250937</v>
      </c>
      <c r="D939" s="13" t="s">
        <v>1971</v>
      </c>
      <c r="E939" s="13" t="str">
        <f t="shared" si="42"/>
        <v>FL2</v>
      </c>
      <c r="F939" s="13" t="str">
        <f t="shared" si="43"/>
        <v>50</v>
      </c>
      <c r="G939" s="13" t="str">
        <f t="shared" si="44"/>
        <v>937</v>
      </c>
    </row>
    <row r="940" spans="1:7" x14ac:dyDescent="0.3">
      <c r="A940" s="13" t="s">
        <v>1973</v>
      </c>
      <c r="B940" s="44" t="s">
        <v>2152</v>
      </c>
      <c r="C940" s="4">
        <v>250938</v>
      </c>
      <c r="D940" s="13" t="s">
        <v>1973</v>
      </c>
      <c r="E940" s="13" t="str">
        <f t="shared" si="42"/>
        <v>FL2</v>
      </c>
      <c r="F940" s="13" t="str">
        <f t="shared" si="43"/>
        <v>50</v>
      </c>
      <c r="G940" s="13" t="str">
        <f t="shared" si="44"/>
        <v>938</v>
      </c>
    </row>
    <row r="941" spans="1:7" x14ac:dyDescent="0.3">
      <c r="A941" s="43" t="s">
        <v>1975</v>
      </c>
      <c r="B941" s="44" t="s">
        <v>2152</v>
      </c>
      <c r="C941" s="4">
        <v>250939</v>
      </c>
      <c r="D941" s="13" t="s">
        <v>1975</v>
      </c>
      <c r="E941" s="13" t="str">
        <f t="shared" si="42"/>
        <v>FL2</v>
      </c>
      <c r="F941" s="13" t="str">
        <f t="shared" si="43"/>
        <v>50</v>
      </c>
      <c r="G941" s="13" t="str">
        <f t="shared" si="44"/>
        <v>939</v>
      </c>
    </row>
    <row r="942" spans="1:7" x14ac:dyDescent="0.3">
      <c r="A942" s="13" t="s">
        <v>1977</v>
      </c>
      <c r="B942" s="44" t="s">
        <v>2152</v>
      </c>
      <c r="C942" s="4">
        <v>250940</v>
      </c>
      <c r="D942" s="13" t="s">
        <v>1977</v>
      </c>
      <c r="E942" s="13" t="str">
        <f t="shared" si="42"/>
        <v>FL2</v>
      </c>
      <c r="F942" s="13" t="str">
        <f t="shared" si="43"/>
        <v>50</v>
      </c>
      <c r="G942" s="13" t="str">
        <f t="shared" si="44"/>
        <v>940</v>
      </c>
    </row>
    <row r="943" spans="1:7" x14ac:dyDescent="0.3">
      <c r="A943" s="43" t="s">
        <v>1979</v>
      </c>
      <c r="B943" s="44" t="s">
        <v>2152</v>
      </c>
      <c r="C943" s="4">
        <v>250941</v>
      </c>
      <c r="D943" s="13" t="s">
        <v>1979</v>
      </c>
      <c r="E943" s="13" t="str">
        <f t="shared" si="42"/>
        <v>FL2</v>
      </c>
      <c r="F943" s="13" t="str">
        <f t="shared" si="43"/>
        <v>50</v>
      </c>
      <c r="G943" s="13" t="str">
        <f t="shared" si="44"/>
        <v>941</v>
      </c>
    </row>
    <row r="944" spans="1:7" x14ac:dyDescent="0.3">
      <c r="A944" s="13" t="s">
        <v>1981</v>
      </c>
      <c r="B944" s="44" t="s">
        <v>2152</v>
      </c>
      <c r="C944" s="4">
        <v>250942</v>
      </c>
      <c r="D944" s="13" t="s">
        <v>1981</v>
      </c>
      <c r="E944" s="13" t="str">
        <f t="shared" si="42"/>
        <v>FL2</v>
      </c>
      <c r="F944" s="13" t="str">
        <f t="shared" si="43"/>
        <v>50</v>
      </c>
      <c r="G944" s="13" t="str">
        <f t="shared" si="44"/>
        <v>942</v>
      </c>
    </row>
    <row r="945" spans="1:7" x14ac:dyDescent="0.3">
      <c r="A945" s="43" t="s">
        <v>1983</v>
      </c>
      <c r="B945" s="44" t="s">
        <v>2152</v>
      </c>
      <c r="C945" s="4">
        <v>250943</v>
      </c>
      <c r="D945" s="13" t="s">
        <v>1983</v>
      </c>
      <c r="E945" s="13" t="str">
        <f t="shared" si="42"/>
        <v>FL2</v>
      </c>
      <c r="F945" s="13" t="str">
        <f t="shared" si="43"/>
        <v>50</v>
      </c>
      <c r="G945" s="13" t="str">
        <f t="shared" si="44"/>
        <v>943</v>
      </c>
    </row>
    <row r="946" spans="1:7" x14ac:dyDescent="0.3">
      <c r="A946" s="13" t="s">
        <v>1985</v>
      </c>
      <c r="B946" s="44" t="s">
        <v>2152</v>
      </c>
      <c r="C946" s="4">
        <v>250944</v>
      </c>
      <c r="D946" s="13" t="s">
        <v>1985</v>
      </c>
      <c r="E946" s="13" t="str">
        <f t="shared" si="42"/>
        <v>FL2</v>
      </c>
      <c r="F946" s="13" t="str">
        <f t="shared" si="43"/>
        <v>50</v>
      </c>
      <c r="G946" s="13" t="str">
        <f t="shared" si="44"/>
        <v>944</v>
      </c>
    </row>
    <row r="947" spans="1:7" x14ac:dyDescent="0.3">
      <c r="A947" s="43" t="s">
        <v>1987</v>
      </c>
      <c r="B947" s="44" t="s">
        <v>2152</v>
      </c>
      <c r="C947" s="4">
        <v>250945</v>
      </c>
      <c r="D947" s="13" t="s">
        <v>1987</v>
      </c>
      <c r="E947" s="13" t="str">
        <f t="shared" si="42"/>
        <v>FL2</v>
      </c>
      <c r="F947" s="13" t="str">
        <f t="shared" si="43"/>
        <v>50</v>
      </c>
      <c r="G947" s="13" t="str">
        <f t="shared" si="44"/>
        <v>945</v>
      </c>
    </row>
    <row r="948" spans="1:7" x14ac:dyDescent="0.3">
      <c r="A948" s="13" t="s">
        <v>1989</v>
      </c>
      <c r="B948" s="44" t="s">
        <v>2152</v>
      </c>
      <c r="C948" s="4">
        <v>250946</v>
      </c>
      <c r="D948" s="13" t="s">
        <v>1989</v>
      </c>
      <c r="E948" s="13" t="str">
        <f t="shared" si="42"/>
        <v>FL2</v>
      </c>
      <c r="F948" s="13" t="str">
        <f t="shared" si="43"/>
        <v>50</v>
      </c>
      <c r="G948" s="13" t="str">
        <f t="shared" si="44"/>
        <v>946</v>
      </c>
    </row>
    <row r="949" spans="1:7" x14ac:dyDescent="0.3">
      <c r="A949" s="43" t="s">
        <v>1991</v>
      </c>
      <c r="B949" s="44" t="s">
        <v>2152</v>
      </c>
      <c r="C949" s="4">
        <v>250947</v>
      </c>
      <c r="D949" s="13" t="s">
        <v>1991</v>
      </c>
      <c r="E949" s="13" t="str">
        <f t="shared" si="42"/>
        <v>FL2</v>
      </c>
      <c r="F949" s="13" t="str">
        <f t="shared" si="43"/>
        <v>50</v>
      </c>
      <c r="G949" s="13" t="str">
        <f t="shared" si="44"/>
        <v>947</v>
      </c>
    </row>
    <row r="950" spans="1:7" x14ac:dyDescent="0.3">
      <c r="A950" s="13" t="s">
        <v>1993</v>
      </c>
      <c r="B950" s="44" t="s">
        <v>2152</v>
      </c>
      <c r="C950" s="4">
        <v>250948</v>
      </c>
      <c r="D950" s="13" t="s">
        <v>1993</v>
      </c>
      <c r="E950" s="13" t="str">
        <f t="shared" si="42"/>
        <v>FL2</v>
      </c>
      <c r="F950" s="13" t="str">
        <f t="shared" si="43"/>
        <v>50</v>
      </c>
      <c r="G950" s="13" t="str">
        <f t="shared" si="44"/>
        <v>948</v>
      </c>
    </row>
    <row r="951" spans="1:7" x14ac:dyDescent="0.3">
      <c r="A951" s="43" t="s">
        <v>1995</v>
      </c>
      <c r="B951" s="44" t="s">
        <v>2152</v>
      </c>
      <c r="C951" s="4">
        <v>250949</v>
      </c>
      <c r="D951" s="13" t="s">
        <v>1995</v>
      </c>
      <c r="E951" s="13" t="str">
        <f t="shared" si="42"/>
        <v>FL2</v>
      </c>
      <c r="F951" s="13" t="str">
        <f t="shared" si="43"/>
        <v>50</v>
      </c>
      <c r="G951" s="13" t="str">
        <f t="shared" si="44"/>
        <v>949</v>
      </c>
    </row>
    <row r="952" spans="1:7" x14ac:dyDescent="0.3">
      <c r="A952" s="13" t="s">
        <v>1997</v>
      </c>
      <c r="B952" s="44" t="s">
        <v>2152</v>
      </c>
      <c r="C952" s="4">
        <v>250950</v>
      </c>
      <c r="D952" s="13" t="s">
        <v>1997</v>
      </c>
      <c r="E952" s="13" t="str">
        <f t="shared" si="42"/>
        <v>FL2</v>
      </c>
      <c r="F952" s="13" t="str">
        <f t="shared" si="43"/>
        <v>50</v>
      </c>
      <c r="G952" s="13" t="str">
        <f t="shared" si="44"/>
        <v>950</v>
      </c>
    </row>
    <row r="953" spans="1:7" x14ac:dyDescent="0.3">
      <c r="A953" s="43" t="s">
        <v>1999</v>
      </c>
      <c r="B953" s="44" t="s">
        <v>2152</v>
      </c>
      <c r="C953" s="4">
        <v>250951</v>
      </c>
      <c r="D953" s="13" t="s">
        <v>1999</v>
      </c>
      <c r="E953" s="13" t="str">
        <f t="shared" si="42"/>
        <v>FL2</v>
      </c>
      <c r="F953" s="13" t="str">
        <f t="shared" si="43"/>
        <v>50</v>
      </c>
      <c r="G953" s="13" t="str">
        <f t="shared" si="44"/>
        <v>951</v>
      </c>
    </row>
    <row r="954" spans="1:7" x14ac:dyDescent="0.3">
      <c r="A954" s="13" t="s">
        <v>2001</v>
      </c>
      <c r="B954" s="44" t="s">
        <v>2152</v>
      </c>
      <c r="C954" s="4">
        <v>250952</v>
      </c>
      <c r="D954" s="13" t="s">
        <v>2001</v>
      </c>
      <c r="E954" s="13" t="str">
        <f t="shared" si="42"/>
        <v>FL2</v>
      </c>
      <c r="F954" s="13" t="str">
        <f t="shared" si="43"/>
        <v>50</v>
      </c>
      <c r="G954" s="13" t="str">
        <f t="shared" si="44"/>
        <v>952</v>
      </c>
    </row>
    <row r="955" spans="1:7" x14ac:dyDescent="0.3">
      <c r="A955" s="43" t="s">
        <v>2003</v>
      </c>
      <c r="B955" s="44" t="s">
        <v>2152</v>
      </c>
      <c r="C955" s="4">
        <v>250953</v>
      </c>
      <c r="D955" s="13" t="s">
        <v>2003</v>
      </c>
      <c r="E955" s="13" t="str">
        <f t="shared" si="42"/>
        <v>FL2</v>
      </c>
      <c r="F955" s="13" t="str">
        <f t="shared" si="43"/>
        <v>50</v>
      </c>
      <c r="G955" s="13" t="str">
        <f t="shared" si="44"/>
        <v>953</v>
      </c>
    </row>
    <row r="956" spans="1:7" x14ac:dyDescent="0.3">
      <c r="A956" s="13" t="s">
        <v>2005</v>
      </c>
      <c r="B956" s="44" t="s">
        <v>2152</v>
      </c>
      <c r="C956" s="4">
        <v>250954</v>
      </c>
      <c r="D956" s="13" t="s">
        <v>2005</v>
      </c>
      <c r="E956" s="13" t="str">
        <f t="shared" si="42"/>
        <v>FL2</v>
      </c>
      <c r="F956" s="13" t="str">
        <f t="shared" si="43"/>
        <v>50</v>
      </c>
      <c r="G956" s="13" t="str">
        <f t="shared" si="44"/>
        <v>954</v>
      </c>
    </row>
    <row r="957" spans="1:7" x14ac:dyDescent="0.3">
      <c r="A957" s="43" t="s">
        <v>2007</v>
      </c>
      <c r="B957" s="44" t="s">
        <v>2152</v>
      </c>
      <c r="C957" s="4">
        <v>250955</v>
      </c>
      <c r="D957" s="13" t="s">
        <v>2007</v>
      </c>
      <c r="E957" s="13" t="str">
        <f t="shared" si="42"/>
        <v>FL2</v>
      </c>
      <c r="F957" s="13" t="str">
        <f t="shared" si="43"/>
        <v>50</v>
      </c>
      <c r="G957" s="13" t="str">
        <f t="shared" si="44"/>
        <v>955</v>
      </c>
    </row>
    <row r="958" spans="1:7" x14ac:dyDescent="0.3">
      <c r="A958" s="13" t="s">
        <v>2009</v>
      </c>
      <c r="B958" s="44" t="s">
        <v>2152</v>
      </c>
      <c r="C958" s="4">
        <v>250956</v>
      </c>
      <c r="D958" s="13" t="s">
        <v>2009</v>
      </c>
      <c r="E958" s="13" t="str">
        <f t="shared" si="42"/>
        <v>FL2</v>
      </c>
      <c r="F958" s="13" t="str">
        <f t="shared" si="43"/>
        <v>50</v>
      </c>
      <c r="G958" s="13" t="str">
        <f t="shared" si="44"/>
        <v>956</v>
      </c>
    </row>
    <row r="959" spans="1:7" x14ac:dyDescent="0.3">
      <c r="A959" s="43" t="s">
        <v>2011</v>
      </c>
      <c r="B959" s="44" t="s">
        <v>2152</v>
      </c>
      <c r="C959" s="4">
        <v>250957</v>
      </c>
      <c r="D959" s="13" t="s">
        <v>2011</v>
      </c>
      <c r="E959" s="13" t="str">
        <f t="shared" si="42"/>
        <v>FL2</v>
      </c>
      <c r="F959" s="13" t="str">
        <f t="shared" si="43"/>
        <v>50</v>
      </c>
      <c r="G959" s="13" t="str">
        <f t="shared" si="44"/>
        <v>957</v>
      </c>
    </row>
    <row r="960" spans="1:7" x14ac:dyDescent="0.3">
      <c r="A960" s="13" t="s">
        <v>2013</v>
      </c>
      <c r="B960" s="44" t="s">
        <v>2152</v>
      </c>
      <c r="C960" s="4">
        <v>250958</v>
      </c>
      <c r="D960" s="13" t="s">
        <v>2013</v>
      </c>
      <c r="E960" s="13" t="str">
        <f t="shared" si="42"/>
        <v>FL2</v>
      </c>
      <c r="F960" s="13" t="str">
        <f t="shared" si="43"/>
        <v>50</v>
      </c>
      <c r="G960" s="13" t="str">
        <f t="shared" si="44"/>
        <v>958</v>
      </c>
    </row>
    <row r="961" spans="1:7" x14ac:dyDescent="0.3">
      <c r="A961" s="43" t="s">
        <v>2015</v>
      </c>
      <c r="B961" s="44" t="s">
        <v>2152</v>
      </c>
      <c r="C961" s="4">
        <v>250959</v>
      </c>
      <c r="D961" s="13" t="s">
        <v>2015</v>
      </c>
      <c r="E961" s="13" t="str">
        <f t="shared" si="42"/>
        <v>FL2</v>
      </c>
      <c r="F961" s="13" t="str">
        <f t="shared" si="43"/>
        <v>50</v>
      </c>
      <c r="G961" s="13" t="str">
        <f t="shared" si="44"/>
        <v>959</v>
      </c>
    </row>
    <row r="962" spans="1:7" x14ac:dyDescent="0.3">
      <c r="A962" s="13" t="s">
        <v>2017</v>
      </c>
      <c r="B962" s="44" t="s">
        <v>2152</v>
      </c>
      <c r="C962" s="4">
        <v>250960</v>
      </c>
      <c r="D962" s="13" t="s">
        <v>2017</v>
      </c>
      <c r="E962" s="13" t="str">
        <f t="shared" si="42"/>
        <v>FL2</v>
      </c>
      <c r="F962" s="13" t="str">
        <f t="shared" si="43"/>
        <v>50</v>
      </c>
      <c r="G962" s="13" t="str">
        <f t="shared" si="44"/>
        <v>960</v>
      </c>
    </row>
    <row r="963" spans="1:7" x14ac:dyDescent="0.3">
      <c r="A963" s="43" t="s">
        <v>2019</v>
      </c>
      <c r="B963" s="44" t="s">
        <v>2152</v>
      </c>
      <c r="C963" s="4">
        <v>250961</v>
      </c>
      <c r="D963" s="13" t="s">
        <v>2019</v>
      </c>
      <c r="E963" s="13" t="str">
        <f t="shared" si="42"/>
        <v>FL2</v>
      </c>
      <c r="F963" s="13" t="str">
        <f t="shared" si="43"/>
        <v>50</v>
      </c>
      <c r="G963" s="13" t="str">
        <f t="shared" si="44"/>
        <v>961</v>
      </c>
    </row>
    <row r="964" spans="1:7" x14ac:dyDescent="0.3">
      <c r="A964" s="13" t="s">
        <v>2021</v>
      </c>
      <c r="B964" s="44" t="s">
        <v>2152</v>
      </c>
      <c r="C964" s="4">
        <v>250962</v>
      </c>
      <c r="D964" s="13" t="s">
        <v>2021</v>
      </c>
      <c r="E964" s="13" t="str">
        <f t="shared" ref="E964:E1002" si="45">LEFT(D964,3)</f>
        <v>FL2</v>
      </c>
      <c r="F964" s="13" t="str">
        <f t="shared" ref="F964:F1002" si="46">MID(D964,4,2)</f>
        <v>50</v>
      </c>
      <c r="G964" s="13" t="str">
        <f t="shared" ref="G964:G1002" si="47">RIGHT(D964,3)</f>
        <v>962</v>
      </c>
    </row>
    <row r="965" spans="1:7" x14ac:dyDescent="0.3">
      <c r="A965" s="43" t="s">
        <v>2023</v>
      </c>
      <c r="B965" s="44" t="s">
        <v>2152</v>
      </c>
      <c r="C965" s="4">
        <v>250963</v>
      </c>
      <c r="D965" s="13" t="s">
        <v>2023</v>
      </c>
      <c r="E965" s="13" t="str">
        <f t="shared" si="45"/>
        <v>FL2</v>
      </c>
      <c r="F965" s="13" t="str">
        <f t="shared" si="46"/>
        <v>50</v>
      </c>
      <c r="G965" s="13" t="str">
        <f t="shared" si="47"/>
        <v>963</v>
      </c>
    </row>
    <row r="966" spans="1:7" x14ac:dyDescent="0.3">
      <c r="A966" s="13" t="s">
        <v>2025</v>
      </c>
      <c r="B966" s="44" t="s">
        <v>2152</v>
      </c>
      <c r="C966" s="4">
        <v>250964</v>
      </c>
      <c r="D966" s="13" t="s">
        <v>2025</v>
      </c>
      <c r="E966" s="13" t="str">
        <f t="shared" si="45"/>
        <v>FL2</v>
      </c>
      <c r="F966" s="13" t="str">
        <f t="shared" si="46"/>
        <v>50</v>
      </c>
      <c r="G966" s="13" t="str">
        <f t="shared" si="47"/>
        <v>964</v>
      </c>
    </row>
    <row r="967" spans="1:7" x14ac:dyDescent="0.3">
      <c r="A967" s="43" t="s">
        <v>2027</v>
      </c>
      <c r="B967" s="44" t="s">
        <v>2152</v>
      </c>
      <c r="C967" s="4">
        <v>250965</v>
      </c>
      <c r="D967" s="13" t="s">
        <v>2027</v>
      </c>
      <c r="E967" s="13" t="str">
        <f t="shared" si="45"/>
        <v>FL2</v>
      </c>
      <c r="F967" s="13" t="str">
        <f t="shared" si="46"/>
        <v>50</v>
      </c>
      <c r="G967" s="13" t="str">
        <f t="shared" si="47"/>
        <v>965</v>
      </c>
    </row>
    <row r="968" spans="1:7" x14ac:dyDescent="0.3">
      <c r="A968" s="13" t="s">
        <v>2029</v>
      </c>
      <c r="B968" s="44" t="s">
        <v>2152</v>
      </c>
      <c r="C968" s="4">
        <v>250966</v>
      </c>
      <c r="D968" s="13" t="s">
        <v>2029</v>
      </c>
      <c r="E968" s="13" t="str">
        <f t="shared" si="45"/>
        <v>FL2</v>
      </c>
      <c r="F968" s="13" t="str">
        <f t="shared" si="46"/>
        <v>50</v>
      </c>
      <c r="G968" s="13" t="str">
        <f t="shared" si="47"/>
        <v>966</v>
      </c>
    </row>
    <row r="969" spans="1:7" x14ac:dyDescent="0.3">
      <c r="A969" s="43" t="s">
        <v>2031</v>
      </c>
      <c r="B969" s="44" t="s">
        <v>2152</v>
      </c>
      <c r="C969" s="4">
        <v>250967</v>
      </c>
      <c r="D969" s="13" t="s">
        <v>2031</v>
      </c>
      <c r="E969" s="13" t="str">
        <f t="shared" si="45"/>
        <v>FL2</v>
      </c>
      <c r="F969" s="13" t="str">
        <f t="shared" si="46"/>
        <v>50</v>
      </c>
      <c r="G969" s="13" t="str">
        <f t="shared" si="47"/>
        <v>967</v>
      </c>
    </row>
    <row r="970" spans="1:7" x14ac:dyDescent="0.3">
      <c r="A970" s="13" t="s">
        <v>2033</v>
      </c>
      <c r="B970" s="44" t="s">
        <v>2152</v>
      </c>
      <c r="C970" s="4">
        <v>250968</v>
      </c>
      <c r="D970" s="13" t="s">
        <v>2033</v>
      </c>
      <c r="E970" s="13" t="str">
        <f t="shared" si="45"/>
        <v>FL2</v>
      </c>
      <c r="F970" s="13" t="str">
        <f t="shared" si="46"/>
        <v>50</v>
      </c>
      <c r="G970" s="13" t="str">
        <f t="shared" si="47"/>
        <v>968</v>
      </c>
    </row>
    <row r="971" spans="1:7" x14ac:dyDescent="0.3">
      <c r="A971" s="43" t="s">
        <v>2035</v>
      </c>
      <c r="B971" s="44" t="s">
        <v>2152</v>
      </c>
      <c r="C971" s="4">
        <v>250969</v>
      </c>
      <c r="D971" s="13" t="s">
        <v>2035</v>
      </c>
      <c r="E971" s="13" t="str">
        <f t="shared" si="45"/>
        <v>FL2</v>
      </c>
      <c r="F971" s="13" t="str">
        <f t="shared" si="46"/>
        <v>50</v>
      </c>
      <c r="G971" s="13" t="str">
        <f t="shared" si="47"/>
        <v>969</v>
      </c>
    </row>
    <row r="972" spans="1:7" x14ac:dyDescent="0.3">
      <c r="A972" s="13" t="s">
        <v>2037</v>
      </c>
      <c r="B972" s="44" t="s">
        <v>2152</v>
      </c>
      <c r="C972" s="4">
        <v>250970</v>
      </c>
      <c r="D972" s="13" t="s">
        <v>2037</v>
      </c>
      <c r="E972" s="13" t="str">
        <f t="shared" si="45"/>
        <v>FL2</v>
      </c>
      <c r="F972" s="13" t="str">
        <f t="shared" si="46"/>
        <v>50</v>
      </c>
      <c r="G972" s="13" t="str">
        <f t="shared" si="47"/>
        <v>970</v>
      </c>
    </row>
    <row r="973" spans="1:7" x14ac:dyDescent="0.3">
      <c r="A973" s="43" t="s">
        <v>2039</v>
      </c>
      <c r="B973" s="44" t="s">
        <v>2152</v>
      </c>
      <c r="C973" s="4">
        <v>250971</v>
      </c>
      <c r="D973" s="13" t="s">
        <v>2039</v>
      </c>
      <c r="E973" s="13" t="str">
        <f t="shared" si="45"/>
        <v>FL2</v>
      </c>
      <c r="F973" s="13" t="str">
        <f t="shared" si="46"/>
        <v>50</v>
      </c>
      <c r="G973" s="13" t="str">
        <f t="shared" si="47"/>
        <v>971</v>
      </c>
    </row>
    <row r="974" spans="1:7" x14ac:dyDescent="0.3">
      <c r="A974" s="13" t="s">
        <v>2041</v>
      </c>
      <c r="B974" s="44" t="s">
        <v>2152</v>
      </c>
      <c r="C974" s="4">
        <v>250972</v>
      </c>
      <c r="D974" s="13" t="s">
        <v>2041</v>
      </c>
      <c r="E974" s="13" t="str">
        <f t="shared" si="45"/>
        <v>FL2</v>
      </c>
      <c r="F974" s="13" t="str">
        <f t="shared" si="46"/>
        <v>50</v>
      </c>
      <c r="G974" s="13" t="str">
        <f t="shared" si="47"/>
        <v>972</v>
      </c>
    </row>
    <row r="975" spans="1:7" x14ac:dyDescent="0.3">
      <c r="A975" s="43" t="s">
        <v>2043</v>
      </c>
      <c r="B975" s="44" t="s">
        <v>2152</v>
      </c>
      <c r="C975" s="4">
        <v>250973</v>
      </c>
      <c r="D975" s="13" t="s">
        <v>2043</v>
      </c>
      <c r="E975" s="13" t="str">
        <f t="shared" si="45"/>
        <v>FL2</v>
      </c>
      <c r="F975" s="13" t="str">
        <f t="shared" si="46"/>
        <v>50</v>
      </c>
      <c r="G975" s="13" t="str">
        <f t="shared" si="47"/>
        <v>973</v>
      </c>
    </row>
    <row r="976" spans="1:7" x14ac:dyDescent="0.3">
      <c r="A976" s="13" t="s">
        <v>2045</v>
      </c>
      <c r="B976" s="44" t="s">
        <v>2152</v>
      </c>
      <c r="C976" s="4">
        <v>250974</v>
      </c>
      <c r="D976" s="13" t="s">
        <v>2045</v>
      </c>
      <c r="E976" s="13" t="str">
        <f t="shared" si="45"/>
        <v>FL2</v>
      </c>
      <c r="F976" s="13" t="str">
        <f t="shared" si="46"/>
        <v>50</v>
      </c>
      <c r="G976" s="13" t="str">
        <f t="shared" si="47"/>
        <v>974</v>
      </c>
    </row>
    <row r="977" spans="1:7" x14ac:dyDescent="0.3">
      <c r="A977" s="43" t="s">
        <v>2047</v>
      </c>
      <c r="B977" s="44" t="s">
        <v>2152</v>
      </c>
      <c r="C977" s="4">
        <v>250975</v>
      </c>
      <c r="D977" s="13" t="s">
        <v>2047</v>
      </c>
      <c r="E977" s="13" t="str">
        <f t="shared" si="45"/>
        <v>FL2</v>
      </c>
      <c r="F977" s="13" t="str">
        <f t="shared" si="46"/>
        <v>50</v>
      </c>
      <c r="G977" s="13" t="str">
        <f t="shared" si="47"/>
        <v>975</v>
      </c>
    </row>
    <row r="978" spans="1:7" x14ac:dyDescent="0.3">
      <c r="A978" s="13" t="s">
        <v>2049</v>
      </c>
      <c r="B978" s="44" t="s">
        <v>2152</v>
      </c>
      <c r="C978" s="4">
        <v>250976</v>
      </c>
      <c r="D978" s="13" t="s">
        <v>2049</v>
      </c>
      <c r="E978" s="13" t="str">
        <f t="shared" si="45"/>
        <v>FL2</v>
      </c>
      <c r="F978" s="13" t="str">
        <f t="shared" si="46"/>
        <v>50</v>
      </c>
      <c r="G978" s="13" t="str">
        <f t="shared" si="47"/>
        <v>976</v>
      </c>
    </row>
    <row r="979" spans="1:7" x14ac:dyDescent="0.3">
      <c r="A979" s="43" t="s">
        <v>2051</v>
      </c>
      <c r="B979" s="44" t="s">
        <v>2152</v>
      </c>
      <c r="C979" s="4">
        <v>250977</v>
      </c>
      <c r="D979" s="13" t="s">
        <v>2051</v>
      </c>
      <c r="E979" s="13" t="str">
        <f t="shared" si="45"/>
        <v>FL2</v>
      </c>
      <c r="F979" s="13" t="str">
        <f t="shared" si="46"/>
        <v>50</v>
      </c>
      <c r="G979" s="13" t="str">
        <f t="shared" si="47"/>
        <v>977</v>
      </c>
    </row>
    <row r="980" spans="1:7" x14ac:dyDescent="0.3">
      <c r="A980" s="13" t="s">
        <v>2053</v>
      </c>
      <c r="B980" s="44" t="s">
        <v>2152</v>
      </c>
      <c r="C980" s="4">
        <v>250978</v>
      </c>
      <c r="D980" s="13" t="s">
        <v>2053</v>
      </c>
      <c r="E980" s="13" t="str">
        <f t="shared" si="45"/>
        <v>FL2</v>
      </c>
      <c r="F980" s="13" t="str">
        <f t="shared" si="46"/>
        <v>50</v>
      </c>
      <c r="G980" s="13" t="str">
        <f t="shared" si="47"/>
        <v>978</v>
      </c>
    </row>
    <row r="981" spans="1:7" x14ac:dyDescent="0.3">
      <c r="A981" s="43" t="s">
        <v>2055</v>
      </c>
      <c r="B981" s="44" t="s">
        <v>2152</v>
      </c>
      <c r="C981" s="4">
        <v>250979</v>
      </c>
      <c r="D981" s="13" t="s">
        <v>2055</v>
      </c>
      <c r="E981" s="13" t="str">
        <f t="shared" si="45"/>
        <v>FL2</v>
      </c>
      <c r="F981" s="13" t="str">
        <f t="shared" si="46"/>
        <v>50</v>
      </c>
      <c r="G981" s="13" t="str">
        <f t="shared" si="47"/>
        <v>979</v>
      </c>
    </row>
    <row r="982" spans="1:7" x14ac:dyDescent="0.3">
      <c r="A982" s="13" t="s">
        <v>2057</v>
      </c>
      <c r="B982" s="44" t="s">
        <v>2152</v>
      </c>
      <c r="C982" s="4">
        <v>250980</v>
      </c>
      <c r="D982" s="13" t="s">
        <v>2057</v>
      </c>
      <c r="E982" s="13" t="str">
        <f t="shared" si="45"/>
        <v>FL2</v>
      </c>
      <c r="F982" s="13" t="str">
        <f t="shared" si="46"/>
        <v>50</v>
      </c>
      <c r="G982" s="13" t="str">
        <f t="shared" si="47"/>
        <v>980</v>
      </c>
    </row>
    <row r="983" spans="1:7" x14ac:dyDescent="0.3">
      <c r="A983" s="43" t="s">
        <v>2059</v>
      </c>
      <c r="B983" s="44" t="s">
        <v>2152</v>
      </c>
      <c r="C983" s="4">
        <v>250981</v>
      </c>
      <c r="D983" s="13" t="s">
        <v>2059</v>
      </c>
      <c r="E983" s="13" t="str">
        <f t="shared" si="45"/>
        <v>FL2</v>
      </c>
      <c r="F983" s="13" t="str">
        <f t="shared" si="46"/>
        <v>50</v>
      </c>
      <c r="G983" s="13" t="str">
        <f t="shared" si="47"/>
        <v>981</v>
      </c>
    </row>
    <row r="984" spans="1:7" x14ac:dyDescent="0.3">
      <c r="A984" s="13" t="s">
        <v>2061</v>
      </c>
      <c r="B984" s="44" t="s">
        <v>2152</v>
      </c>
      <c r="C984" s="4">
        <v>250982</v>
      </c>
      <c r="D984" s="13" t="s">
        <v>2061</v>
      </c>
      <c r="E984" s="13" t="str">
        <f t="shared" si="45"/>
        <v>FL2</v>
      </c>
      <c r="F984" s="13" t="str">
        <f t="shared" si="46"/>
        <v>50</v>
      </c>
      <c r="G984" s="13" t="str">
        <f t="shared" si="47"/>
        <v>982</v>
      </c>
    </row>
    <row r="985" spans="1:7" x14ac:dyDescent="0.3">
      <c r="A985" s="43" t="s">
        <v>2063</v>
      </c>
      <c r="B985" s="44" t="s">
        <v>2152</v>
      </c>
      <c r="C985" s="4">
        <v>250983</v>
      </c>
      <c r="D985" s="13" t="s">
        <v>2063</v>
      </c>
      <c r="E985" s="13" t="str">
        <f t="shared" si="45"/>
        <v>FL2</v>
      </c>
      <c r="F985" s="13" t="str">
        <f t="shared" si="46"/>
        <v>50</v>
      </c>
      <c r="G985" s="13" t="str">
        <f t="shared" si="47"/>
        <v>983</v>
      </c>
    </row>
    <row r="986" spans="1:7" x14ac:dyDescent="0.3">
      <c r="A986" s="13" t="s">
        <v>2065</v>
      </c>
      <c r="B986" s="44" t="s">
        <v>2152</v>
      </c>
      <c r="C986" s="4">
        <v>250984</v>
      </c>
      <c r="D986" s="13" t="s">
        <v>2065</v>
      </c>
      <c r="E986" s="13" t="str">
        <f t="shared" si="45"/>
        <v>FL2</v>
      </c>
      <c r="F986" s="13" t="str">
        <f t="shared" si="46"/>
        <v>50</v>
      </c>
      <c r="G986" s="13" t="str">
        <f t="shared" si="47"/>
        <v>984</v>
      </c>
    </row>
    <row r="987" spans="1:7" x14ac:dyDescent="0.3">
      <c r="A987" s="43" t="s">
        <v>2067</v>
      </c>
      <c r="B987" s="44" t="s">
        <v>2152</v>
      </c>
      <c r="C987" s="4">
        <v>250985</v>
      </c>
      <c r="D987" s="13" t="s">
        <v>2067</v>
      </c>
      <c r="E987" s="13" t="str">
        <f t="shared" si="45"/>
        <v>FL2</v>
      </c>
      <c r="F987" s="13" t="str">
        <f t="shared" si="46"/>
        <v>50</v>
      </c>
      <c r="G987" s="13" t="str">
        <f t="shared" si="47"/>
        <v>985</v>
      </c>
    </row>
    <row r="988" spans="1:7" x14ac:dyDescent="0.3">
      <c r="A988" s="13" t="s">
        <v>2069</v>
      </c>
      <c r="B988" s="44" t="s">
        <v>2152</v>
      </c>
      <c r="C988" s="4">
        <v>250986</v>
      </c>
      <c r="D988" s="13" t="s">
        <v>2069</v>
      </c>
      <c r="E988" s="13" t="str">
        <f t="shared" si="45"/>
        <v>FL2</v>
      </c>
      <c r="F988" s="13" t="str">
        <f t="shared" si="46"/>
        <v>50</v>
      </c>
      <c r="G988" s="13" t="str">
        <f t="shared" si="47"/>
        <v>986</v>
      </c>
    </row>
    <row r="989" spans="1:7" x14ac:dyDescent="0.3">
      <c r="A989" s="43" t="s">
        <v>2071</v>
      </c>
      <c r="B989" s="44" t="s">
        <v>2152</v>
      </c>
      <c r="C989" s="4">
        <v>250987</v>
      </c>
      <c r="D989" s="13" t="s">
        <v>2071</v>
      </c>
      <c r="E989" s="13" t="str">
        <f t="shared" si="45"/>
        <v>FL2</v>
      </c>
      <c r="F989" s="13" t="str">
        <f t="shared" si="46"/>
        <v>50</v>
      </c>
      <c r="G989" s="13" t="str">
        <f t="shared" si="47"/>
        <v>987</v>
      </c>
    </row>
    <row r="990" spans="1:7" x14ac:dyDescent="0.3">
      <c r="A990" s="13" t="s">
        <v>2073</v>
      </c>
      <c r="B990" s="44" t="s">
        <v>2152</v>
      </c>
      <c r="C990" s="4">
        <v>250988</v>
      </c>
      <c r="D990" s="13" t="s">
        <v>2073</v>
      </c>
      <c r="E990" s="13" t="str">
        <f t="shared" si="45"/>
        <v>FL2</v>
      </c>
      <c r="F990" s="13" t="str">
        <f t="shared" si="46"/>
        <v>50</v>
      </c>
      <c r="G990" s="13" t="str">
        <f t="shared" si="47"/>
        <v>988</v>
      </c>
    </row>
    <row r="991" spans="1:7" x14ac:dyDescent="0.3">
      <c r="A991" s="43" t="s">
        <v>2075</v>
      </c>
      <c r="B991" s="44" t="s">
        <v>2152</v>
      </c>
      <c r="C991" s="4">
        <v>250989</v>
      </c>
      <c r="D991" s="13" t="s">
        <v>2075</v>
      </c>
      <c r="E991" s="13" t="str">
        <f t="shared" si="45"/>
        <v>FL2</v>
      </c>
      <c r="F991" s="13" t="str">
        <f t="shared" si="46"/>
        <v>50</v>
      </c>
      <c r="G991" s="13" t="str">
        <f t="shared" si="47"/>
        <v>989</v>
      </c>
    </row>
    <row r="992" spans="1:7" x14ac:dyDescent="0.3">
      <c r="A992" s="13" t="s">
        <v>2077</v>
      </c>
      <c r="B992" s="44" t="s">
        <v>2152</v>
      </c>
      <c r="C992" s="4">
        <v>250990</v>
      </c>
      <c r="D992" s="13" t="s">
        <v>2077</v>
      </c>
      <c r="E992" s="13" t="str">
        <f t="shared" si="45"/>
        <v>FL2</v>
      </c>
      <c r="F992" s="13" t="str">
        <f t="shared" si="46"/>
        <v>50</v>
      </c>
      <c r="G992" s="13" t="str">
        <f t="shared" si="47"/>
        <v>990</v>
      </c>
    </row>
    <row r="993" spans="1:7" x14ac:dyDescent="0.3">
      <c r="A993" s="43" t="s">
        <v>2079</v>
      </c>
      <c r="B993" s="44" t="s">
        <v>2152</v>
      </c>
      <c r="C993" s="4">
        <v>250991</v>
      </c>
      <c r="D993" s="13" t="s">
        <v>2079</v>
      </c>
      <c r="E993" s="13" t="str">
        <f t="shared" si="45"/>
        <v>FL2</v>
      </c>
      <c r="F993" s="13" t="str">
        <f t="shared" si="46"/>
        <v>50</v>
      </c>
      <c r="G993" s="13" t="str">
        <f t="shared" si="47"/>
        <v>991</v>
      </c>
    </row>
    <row r="994" spans="1:7" x14ac:dyDescent="0.3">
      <c r="A994" s="13" t="s">
        <v>2081</v>
      </c>
      <c r="B994" s="44" t="s">
        <v>2152</v>
      </c>
      <c r="C994" s="4">
        <v>250992</v>
      </c>
      <c r="D994" s="13" t="s">
        <v>2081</v>
      </c>
      <c r="E994" s="13" t="str">
        <f t="shared" si="45"/>
        <v>FL2</v>
      </c>
      <c r="F994" s="13" t="str">
        <f t="shared" si="46"/>
        <v>50</v>
      </c>
      <c r="G994" s="13" t="str">
        <f t="shared" si="47"/>
        <v>992</v>
      </c>
    </row>
    <row r="995" spans="1:7" x14ac:dyDescent="0.3">
      <c r="A995" s="43" t="s">
        <v>2083</v>
      </c>
      <c r="B995" s="44" t="s">
        <v>2152</v>
      </c>
      <c r="C995" s="4">
        <v>250993</v>
      </c>
      <c r="D995" s="13" t="s">
        <v>2083</v>
      </c>
      <c r="E995" s="13" t="str">
        <f t="shared" si="45"/>
        <v>FL2</v>
      </c>
      <c r="F995" s="13" t="str">
        <f t="shared" si="46"/>
        <v>50</v>
      </c>
      <c r="G995" s="13" t="str">
        <f t="shared" si="47"/>
        <v>993</v>
      </c>
    </row>
    <row r="996" spans="1:7" x14ac:dyDescent="0.3">
      <c r="A996" s="13" t="s">
        <v>2085</v>
      </c>
      <c r="B996" s="44" t="s">
        <v>2152</v>
      </c>
      <c r="C996" s="4">
        <v>250994</v>
      </c>
      <c r="D996" s="13" t="s">
        <v>2085</v>
      </c>
      <c r="E996" s="13" t="str">
        <f t="shared" si="45"/>
        <v>FL2</v>
      </c>
      <c r="F996" s="13" t="str">
        <f t="shared" si="46"/>
        <v>50</v>
      </c>
      <c r="G996" s="13" t="str">
        <f t="shared" si="47"/>
        <v>994</v>
      </c>
    </row>
    <row r="997" spans="1:7" x14ac:dyDescent="0.3">
      <c r="A997" s="43" t="s">
        <v>2087</v>
      </c>
      <c r="B997" s="44" t="s">
        <v>2152</v>
      </c>
      <c r="C997" s="4">
        <v>250995</v>
      </c>
      <c r="D997" s="13" t="s">
        <v>2087</v>
      </c>
      <c r="E997" s="13" t="str">
        <f t="shared" si="45"/>
        <v>FL2</v>
      </c>
      <c r="F997" s="13" t="str">
        <f t="shared" si="46"/>
        <v>50</v>
      </c>
      <c r="G997" s="13" t="str">
        <f t="shared" si="47"/>
        <v>995</v>
      </c>
    </row>
    <row r="998" spans="1:7" x14ac:dyDescent="0.3">
      <c r="A998" s="13" t="s">
        <v>2089</v>
      </c>
      <c r="B998" s="44" t="s">
        <v>2152</v>
      </c>
      <c r="C998" s="4">
        <v>250996</v>
      </c>
      <c r="D998" s="13" t="s">
        <v>2089</v>
      </c>
      <c r="E998" s="13" t="str">
        <f t="shared" si="45"/>
        <v>FL2</v>
      </c>
      <c r="F998" s="13" t="str">
        <f t="shared" si="46"/>
        <v>50</v>
      </c>
      <c r="G998" s="13" t="str">
        <f t="shared" si="47"/>
        <v>996</v>
      </c>
    </row>
    <row r="999" spans="1:7" x14ac:dyDescent="0.3">
      <c r="A999" s="43" t="s">
        <v>2091</v>
      </c>
      <c r="B999" s="44" t="s">
        <v>2152</v>
      </c>
      <c r="C999" s="4">
        <v>250997</v>
      </c>
      <c r="D999" s="13" t="s">
        <v>2091</v>
      </c>
      <c r="E999" s="13" t="str">
        <f t="shared" si="45"/>
        <v>FL2</v>
      </c>
      <c r="F999" s="13" t="str">
        <f t="shared" si="46"/>
        <v>50</v>
      </c>
      <c r="G999" s="13" t="str">
        <f t="shared" si="47"/>
        <v>997</v>
      </c>
    </row>
    <row r="1000" spans="1:7" x14ac:dyDescent="0.3">
      <c r="A1000" s="13" t="s">
        <v>2093</v>
      </c>
      <c r="B1000" s="44" t="s">
        <v>2152</v>
      </c>
      <c r="C1000" s="4">
        <v>250998</v>
      </c>
      <c r="D1000" s="13" t="s">
        <v>2093</v>
      </c>
      <c r="E1000" s="13" t="str">
        <f t="shared" si="45"/>
        <v>FL2</v>
      </c>
      <c r="F1000" s="13" t="str">
        <f t="shared" si="46"/>
        <v>50</v>
      </c>
      <c r="G1000" s="13" t="str">
        <f t="shared" si="47"/>
        <v>998</v>
      </c>
    </row>
    <row r="1001" spans="1:7" x14ac:dyDescent="0.3">
      <c r="A1001" s="43" t="s">
        <v>2095</v>
      </c>
      <c r="B1001" s="44" t="s">
        <v>2152</v>
      </c>
      <c r="C1001" s="4">
        <v>250999</v>
      </c>
      <c r="D1001" s="13" t="s">
        <v>2095</v>
      </c>
      <c r="E1001" s="13" t="str">
        <f t="shared" si="45"/>
        <v>FL2</v>
      </c>
      <c r="F1001" s="13" t="str">
        <f t="shared" si="46"/>
        <v>50</v>
      </c>
      <c r="G1001" s="13" t="str">
        <f t="shared" si="47"/>
        <v>999</v>
      </c>
    </row>
    <row r="1002" spans="1:7" x14ac:dyDescent="0.3">
      <c r="A1002" s="13" t="s">
        <v>2097</v>
      </c>
      <c r="B1002" s="44" t="s">
        <v>2152</v>
      </c>
      <c r="C1002" s="4">
        <v>251000</v>
      </c>
      <c r="D1002" s="13" t="s">
        <v>2097</v>
      </c>
      <c r="E1002" s="13" t="str">
        <f t="shared" si="45"/>
        <v>FL2</v>
      </c>
      <c r="F1002" s="13" t="str">
        <f t="shared" si="46"/>
        <v>51</v>
      </c>
      <c r="G1002" s="13" t="str">
        <f t="shared" si="47"/>
        <v>000</v>
      </c>
    </row>
  </sheetData>
  <mergeCells count="2">
    <mergeCell ref="B1:C1"/>
    <mergeCell ref="E1:G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8239C-10C9-4BC9-95B9-E9A734AD01C2}">
  <dimension ref="A1:F3"/>
  <sheetViews>
    <sheetView showGridLines="0" workbookViewId="0">
      <selection activeCell="A2" sqref="A2:F2"/>
    </sheetView>
  </sheetViews>
  <sheetFormatPr defaultRowHeight="14.4" x14ac:dyDescent="0.3"/>
  <cols>
    <col min="6" max="6" width="12.33203125" customWidth="1"/>
  </cols>
  <sheetData>
    <row r="1" spans="1:6" ht="23.4" x14ac:dyDescent="0.45">
      <c r="A1" s="67" t="s">
        <v>2162</v>
      </c>
      <c r="B1" s="67"/>
      <c r="C1" s="67"/>
      <c r="D1" s="67"/>
      <c r="E1" s="67"/>
      <c r="F1" s="67"/>
    </row>
    <row r="2" spans="1:6" ht="21" x14ac:dyDescent="0.3">
      <c r="A2" s="68" t="s">
        <v>2163</v>
      </c>
      <c r="B2" s="68"/>
      <c r="C2" s="68"/>
      <c r="D2" s="68"/>
      <c r="E2" s="68"/>
      <c r="F2" s="68"/>
    </row>
    <row r="3" spans="1:6" ht="23.4" x14ac:dyDescent="0.45">
      <c r="A3" s="37"/>
      <c r="B3" s="37"/>
      <c r="C3" s="37"/>
      <c r="D3" s="37"/>
    </row>
  </sheetData>
  <mergeCells count="2">
    <mergeCell ref="A1:F1"/>
    <mergeCell ref="A2:F2"/>
  </mergeCells>
  <hyperlinks>
    <hyperlink ref="A2:F2" location="'Day 6 – Data Validation &amp; Clean'!A1" display="Refer Day6 worksheet" xr:uid="{38BCB66A-EC47-4687-8692-DB5F94088A01}"/>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882C4-60A3-4CC5-BBAD-1C5533FA2F3E}">
  <dimension ref="A1:D1001"/>
  <sheetViews>
    <sheetView showGridLines="0" workbookViewId="0">
      <selection sqref="A1:A1048576"/>
    </sheetView>
  </sheetViews>
  <sheetFormatPr defaultRowHeight="14.4" x14ac:dyDescent="0.3"/>
  <cols>
    <col min="1" max="1" width="14.33203125" bestFit="1" customWidth="1"/>
    <col min="3" max="3" width="16.5546875" bestFit="1" customWidth="1"/>
    <col min="4" max="4" width="12.6640625" style="1" bestFit="1" customWidth="1"/>
  </cols>
  <sheetData>
    <row r="1" spans="1:4" ht="18" x14ac:dyDescent="0.3">
      <c r="A1" s="52" t="s">
        <v>2117</v>
      </c>
      <c r="B1" s="2"/>
      <c r="C1" s="69" t="s">
        <v>2176</v>
      </c>
      <c r="D1" s="70"/>
    </row>
    <row r="2" spans="1:4" x14ac:dyDescent="0.3">
      <c r="A2" s="46">
        <v>13</v>
      </c>
      <c r="B2" s="2"/>
      <c r="C2" s="47" t="s">
        <v>2164</v>
      </c>
      <c r="D2" s="48">
        <v>8.7149999999999999</v>
      </c>
    </row>
    <row r="3" spans="1:4" x14ac:dyDescent="0.3">
      <c r="A3" s="46">
        <v>10</v>
      </c>
      <c r="B3" s="2"/>
      <c r="C3" s="13" t="s">
        <v>2165</v>
      </c>
      <c r="D3" s="45">
        <v>0.1739828872189591</v>
      </c>
    </row>
    <row r="4" spans="1:4" x14ac:dyDescent="0.3">
      <c r="A4" s="46">
        <v>16</v>
      </c>
      <c r="B4" s="2"/>
      <c r="C4" s="47" t="s">
        <v>2166</v>
      </c>
      <c r="D4" s="49">
        <v>8</v>
      </c>
    </row>
    <row r="5" spans="1:4" x14ac:dyDescent="0.3">
      <c r="A5" s="46">
        <v>5</v>
      </c>
      <c r="B5" s="2"/>
      <c r="C5" s="13" t="s">
        <v>2167</v>
      </c>
      <c r="D5" s="46">
        <v>1</v>
      </c>
    </row>
    <row r="6" spans="1:4" x14ac:dyDescent="0.3">
      <c r="A6" s="46">
        <v>13</v>
      </c>
      <c r="B6" s="2"/>
      <c r="C6" s="47" t="s">
        <v>2168</v>
      </c>
      <c r="D6" s="48">
        <v>5.5018219750410902</v>
      </c>
    </row>
    <row r="7" spans="1:4" x14ac:dyDescent="0.3">
      <c r="A7" s="46">
        <v>8</v>
      </c>
      <c r="B7" s="2"/>
      <c r="C7" s="13" t="s">
        <v>2169</v>
      </c>
      <c r="D7" s="45">
        <v>30.270045045045038</v>
      </c>
    </row>
    <row r="8" spans="1:4" x14ac:dyDescent="0.3">
      <c r="A8" s="46">
        <v>10</v>
      </c>
      <c r="B8" s="2"/>
      <c r="C8" s="13" t="s">
        <v>2170</v>
      </c>
      <c r="D8" s="45">
        <v>-1.1352763723155606</v>
      </c>
    </row>
    <row r="9" spans="1:4" x14ac:dyDescent="0.3">
      <c r="A9" s="46">
        <v>7</v>
      </c>
      <c r="B9" s="2"/>
      <c r="C9" s="13" t="s">
        <v>2171</v>
      </c>
      <c r="D9" s="45">
        <v>0.24552447601381674</v>
      </c>
    </row>
    <row r="10" spans="1:4" x14ac:dyDescent="0.3">
      <c r="A10" s="46">
        <v>2</v>
      </c>
      <c r="B10" s="2"/>
      <c r="C10" s="13" t="s">
        <v>2172</v>
      </c>
      <c r="D10" s="46">
        <v>19</v>
      </c>
    </row>
    <row r="11" spans="1:4" x14ac:dyDescent="0.3">
      <c r="A11" s="46">
        <v>16</v>
      </c>
      <c r="B11" s="2"/>
      <c r="C11" s="13" t="s">
        <v>2173</v>
      </c>
      <c r="D11" s="46">
        <v>1</v>
      </c>
    </row>
    <row r="12" spans="1:4" x14ac:dyDescent="0.3">
      <c r="A12" s="46">
        <v>20</v>
      </c>
      <c r="B12" s="2"/>
      <c r="C12" s="13" t="s">
        <v>2174</v>
      </c>
      <c r="D12" s="46">
        <v>20</v>
      </c>
    </row>
    <row r="13" spans="1:4" x14ac:dyDescent="0.3">
      <c r="A13" s="46">
        <v>13</v>
      </c>
      <c r="B13" s="2"/>
      <c r="C13" s="13" t="s">
        <v>2175</v>
      </c>
      <c r="D13" s="46">
        <v>8715</v>
      </c>
    </row>
    <row r="14" spans="1:4" x14ac:dyDescent="0.3">
      <c r="A14" s="46">
        <v>16</v>
      </c>
      <c r="B14" s="2"/>
      <c r="C14" s="13" t="s">
        <v>2130</v>
      </c>
      <c r="D14" s="46">
        <v>1000</v>
      </c>
    </row>
    <row r="15" spans="1:4" x14ac:dyDescent="0.3">
      <c r="A15" s="46">
        <v>17</v>
      </c>
      <c r="B15" s="2"/>
    </row>
    <row r="16" spans="1:4" x14ac:dyDescent="0.3">
      <c r="A16" s="46">
        <v>14</v>
      </c>
      <c r="B16" s="2"/>
    </row>
    <row r="17" spans="1:2" x14ac:dyDescent="0.3">
      <c r="A17" s="46">
        <v>5</v>
      </c>
      <c r="B17" s="2"/>
    </row>
    <row r="18" spans="1:2" x14ac:dyDescent="0.3">
      <c r="A18" s="46">
        <v>7</v>
      </c>
      <c r="B18" s="2"/>
    </row>
    <row r="19" spans="1:2" x14ac:dyDescent="0.3">
      <c r="A19" s="46">
        <v>1</v>
      </c>
      <c r="B19" s="2"/>
    </row>
    <row r="20" spans="1:2" x14ac:dyDescent="0.3">
      <c r="A20" s="46">
        <v>13</v>
      </c>
      <c r="B20" s="2"/>
    </row>
    <row r="21" spans="1:2" x14ac:dyDescent="0.3">
      <c r="A21" s="46">
        <v>1</v>
      </c>
      <c r="B21" s="2"/>
    </row>
    <row r="22" spans="1:2" x14ac:dyDescent="0.3">
      <c r="A22" s="46">
        <v>15</v>
      </c>
      <c r="B22" s="2"/>
    </row>
    <row r="23" spans="1:2" x14ac:dyDescent="0.3">
      <c r="A23" s="46">
        <v>3</v>
      </c>
      <c r="B23" s="2"/>
    </row>
    <row r="24" spans="1:2" x14ac:dyDescent="0.3">
      <c r="A24" s="46">
        <v>14</v>
      </c>
      <c r="B24" s="2"/>
    </row>
    <row r="25" spans="1:2" x14ac:dyDescent="0.3">
      <c r="A25" s="46">
        <v>9</v>
      </c>
      <c r="B25" s="2"/>
    </row>
    <row r="26" spans="1:2" x14ac:dyDescent="0.3">
      <c r="A26" s="46">
        <v>15</v>
      </c>
      <c r="B26" s="2"/>
    </row>
    <row r="27" spans="1:2" x14ac:dyDescent="0.3">
      <c r="A27" s="46">
        <v>5</v>
      </c>
      <c r="B27" s="2"/>
    </row>
    <row r="28" spans="1:2" x14ac:dyDescent="0.3">
      <c r="A28" s="46">
        <v>6</v>
      </c>
      <c r="B28" s="2"/>
    </row>
    <row r="29" spans="1:2" x14ac:dyDescent="0.3">
      <c r="A29" s="46">
        <v>12</v>
      </c>
      <c r="B29" s="2"/>
    </row>
    <row r="30" spans="1:2" x14ac:dyDescent="0.3">
      <c r="A30" s="46">
        <v>14</v>
      </c>
      <c r="B30" s="2"/>
    </row>
    <row r="31" spans="1:2" x14ac:dyDescent="0.3">
      <c r="A31" s="46">
        <v>6</v>
      </c>
      <c r="B31" s="2"/>
    </row>
    <row r="32" spans="1:2" x14ac:dyDescent="0.3">
      <c r="A32" s="46">
        <v>3</v>
      </c>
      <c r="B32" s="2"/>
    </row>
    <row r="33" spans="1:2" x14ac:dyDescent="0.3">
      <c r="A33" s="46">
        <v>10</v>
      </c>
      <c r="B33" s="2"/>
    </row>
    <row r="34" spans="1:2" x14ac:dyDescent="0.3">
      <c r="A34" s="46">
        <v>13</v>
      </c>
      <c r="B34" s="2"/>
    </row>
    <row r="35" spans="1:2" x14ac:dyDescent="0.3">
      <c r="A35" s="46">
        <v>15</v>
      </c>
      <c r="B35" s="2"/>
    </row>
    <row r="36" spans="1:2" x14ac:dyDescent="0.3">
      <c r="A36" s="46">
        <v>18</v>
      </c>
      <c r="B36" s="2"/>
    </row>
    <row r="37" spans="1:2" x14ac:dyDescent="0.3">
      <c r="A37" s="46">
        <v>18</v>
      </c>
      <c r="B37" s="2"/>
    </row>
    <row r="38" spans="1:2" x14ac:dyDescent="0.3">
      <c r="A38" s="46">
        <v>15</v>
      </c>
      <c r="B38" s="2"/>
    </row>
    <row r="39" spans="1:2" x14ac:dyDescent="0.3">
      <c r="A39" s="46">
        <v>10</v>
      </c>
      <c r="B39" s="2"/>
    </row>
    <row r="40" spans="1:2" x14ac:dyDescent="0.3">
      <c r="A40" s="46">
        <v>13</v>
      </c>
      <c r="B40" s="2"/>
    </row>
    <row r="41" spans="1:2" x14ac:dyDescent="0.3">
      <c r="A41" s="46">
        <v>9</v>
      </c>
      <c r="B41" s="2"/>
    </row>
    <row r="42" spans="1:2" x14ac:dyDescent="0.3">
      <c r="A42" s="46">
        <v>3</v>
      </c>
      <c r="B42" s="2"/>
    </row>
    <row r="43" spans="1:2" x14ac:dyDescent="0.3">
      <c r="A43" s="46">
        <v>5</v>
      </c>
      <c r="B43" s="2"/>
    </row>
    <row r="44" spans="1:2" x14ac:dyDescent="0.3">
      <c r="A44" s="46">
        <v>7</v>
      </c>
      <c r="B44" s="2"/>
    </row>
    <row r="45" spans="1:2" x14ac:dyDescent="0.3">
      <c r="A45" s="46">
        <v>1</v>
      </c>
      <c r="B45" s="2"/>
    </row>
    <row r="46" spans="1:2" x14ac:dyDescent="0.3">
      <c r="A46" s="46">
        <v>17</v>
      </c>
      <c r="B46" s="2"/>
    </row>
    <row r="47" spans="1:2" x14ac:dyDescent="0.3">
      <c r="A47" s="46">
        <v>13</v>
      </c>
      <c r="B47" s="2"/>
    </row>
    <row r="48" spans="1:2" x14ac:dyDescent="0.3">
      <c r="A48" s="46">
        <v>12</v>
      </c>
      <c r="B48" s="2"/>
    </row>
    <row r="49" spans="1:2" x14ac:dyDescent="0.3">
      <c r="A49" s="46">
        <v>4</v>
      </c>
      <c r="B49" s="2"/>
    </row>
    <row r="50" spans="1:2" x14ac:dyDescent="0.3">
      <c r="A50" s="46">
        <v>12</v>
      </c>
      <c r="B50" s="2"/>
    </row>
    <row r="51" spans="1:2" x14ac:dyDescent="0.3">
      <c r="A51" s="46">
        <v>2</v>
      </c>
      <c r="B51" s="2"/>
    </row>
    <row r="52" spans="1:2" x14ac:dyDescent="0.3">
      <c r="A52" s="46">
        <v>2</v>
      </c>
      <c r="B52" s="2"/>
    </row>
    <row r="53" spans="1:2" x14ac:dyDescent="0.3">
      <c r="A53" s="46">
        <v>11</v>
      </c>
      <c r="B53" s="2"/>
    </row>
    <row r="54" spans="1:2" x14ac:dyDescent="0.3">
      <c r="A54" s="46">
        <v>17</v>
      </c>
      <c r="B54" s="2"/>
    </row>
    <row r="55" spans="1:2" x14ac:dyDescent="0.3">
      <c r="A55" s="46">
        <v>1</v>
      </c>
      <c r="B55" s="2"/>
    </row>
    <row r="56" spans="1:2" x14ac:dyDescent="0.3">
      <c r="A56" s="46">
        <v>7</v>
      </c>
      <c r="B56" s="2"/>
    </row>
    <row r="57" spans="1:2" x14ac:dyDescent="0.3">
      <c r="A57" s="46">
        <v>7</v>
      </c>
      <c r="B57" s="2"/>
    </row>
    <row r="58" spans="1:2" x14ac:dyDescent="0.3">
      <c r="A58" s="46">
        <v>7</v>
      </c>
      <c r="B58" s="2"/>
    </row>
    <row r="59" spans="1:2" x14ac:dyDescent="0.3">
      <c r="A59" s="46">
        <v>16</v>
      </c>
      <c r="B59" s="2"/>
    </row>
    <row r="60" spans="1:2" x14ac:dyDescent="0.3">
      <c r="A60" s="46">
        <v>2</v>
      </c>
      <c r="B60" s="2"/>
    </row>
    <row r="61" spans="1:2" x14ac:dyDescent="0.3">
      <c r="A61" s="46">
        <v>13</v>
      </c>
      <c r="B61" s="2"/>
    </row>
    <row r="62" spans="1:2" x14ac:dyDescent="0.3">
      <c r="A62" s="46">
        <v>14</v>
      </c>
      <c r="B62" s="2"/>
    </row>
    <row r="63" spans="1:2" x14ac:dyDescent="0.3">
      <c r="A63" s="46">
        <v>11</v>
      </c>
      <c r="B63" s="2"/>
    </row>
    <row r="64" spans="1:2" x14ac:dyDescent="0.3">
      <c r="A64" s="46">
        <v>15</v>
      </c>
      <c r="B64" s="2"/>
    </row>
    <row r="65" spans="1:2" x14ac:dyDescent="0.3">
      <c r="A65" s="46">
        <v>17</v>
      </c>
      <c r="B65" s="2"/>
    </row>
    <row r="66" spans="1:2" x14ac:dyDescent="0.3">
      <c r="A66" s="46">
        <v>13</v>
      </c>
      <c r="B66" s="2"/>
    </row>
    <row r="67" spans="1:2" x14ac:dyDescent="0.3">
      <c r="A67" s="46">
        <v>14</v>
      </c>
      <c r="B67" s="2"/>
    </row>
    <row r="68" spans="1:2" x14ac:dyDescent="0.3">
      <c r="A68" s="46">
        <v>9</v>
      </c>
      <c r="B68" s="2"/>
    </row>
    <row r="69" spans="1:2" x14ac:dyDescent="0.3">
      <c r="A69" s="46">
        <v>5</v>
      </c>
      <c r="B69" s="2"/>
    </row>
    <row r="70" spans="1:2" x14ac:dyDescent="0.3">
      <c r="A70" s="46">
        <v>8</v>
      </c>
      <c r="B70" s="2"/>
    </row>
    <row r="71" spans="1:2" x14ac:dyDescent="0.3">
      <c r="A71" s="46">
        <v>19</v>
      </c>
      <c r="B71" s="2"/>
    </row>
    <row r="72" spans="1:2" x14ac:dyDescent="0.3">
      <c r="A72" s="46">
        <v>6</v>
      </c>
      <c r="B72" s="2"/>
    </row>
    <row r="73" spans="1:2" x14ac:dyDescent="0.3">
      <c r="A73" s="46">
        <v>15</v>
      </c>
      <c r="B73" s="2"/>
    </row>
    <row r="74" spans="1:2" x14ac:dyDescent="0.3">
      <c r="A74" s="46">
        <v>11</v>
      </c>
      <c r="B74" s="2"/>
    </row>
    <row r="75" spans="1:2" x14ac:dyDescent="0.3">
      <c r="A75" s="46">
        <v>5</v>
      </c>
      <c r="B75" s="2"/>
    </row>
    <row r="76" spans="1:2" x14ac:dyDescent="0.3">
      <c r="A76" s="46">
        <v>9</v>
      </c>
      <c r="B76" s="2"/>
    </row>
    <row r="77" spans="1:2" x14ac:dyDescent="0.3">
      <c r="A77" s="46">
        <v>2</v>
      </c>
      <c r="B77" s="2"/>
    </row>
    <row r="78" spans="1:2" x14ac:dyDescent="0.3">
      <c r="A78" s="46">
        <v>14</v>
      </c>
      <c r="B78" s="2"/>
    </row>
    <row r="79" spans="1:2" x14ac:dyDescent="0.3">
      <c r="A79" s="46">
        <v>10</v>
      </c>
      <c r="B79" s="2"/>
    </row>
    <row r="80" spans="1:2" x14ac:dyDescent="0.3">
      <c r="A80" s="46">
        <v>14</v>
      </c>
      <c r="B80" s="2"/>
    </row>
    <row r="81" spans="1:2" x14ac:dyDescent="0.3">
      <c r="A81" s="46">
        <v>20</v>
      </c>
      <c r="B81" s="2"/>
    </row>
    <row r="82" spans="1:2" x14ac:dyDescent="0.3">
      <c r="A82" s="46">
        <v>10</v>
      </c>
      <c r="B82" s="2"/>
    </row>
    <row r="83" spans="1:2" x14ac:dyDescent="0.3">
      <c r="A83" s="46">
        <v>11</v>
      </c>
      <c r="B83" s="2"/>
    </row>
    <row r="84" spans="1:2" x14ac:dyDescent="0.3">
      <c r="A84" s="46">
        <v>1</v>
      </c>
      <c r="B84" s="2"/>
    </row>
    <row r="85" spans="1:2" x14ac:dyDescent="0.3">
      <c r="A85" s="46">
        <v>2</v>
      </c>
      <c r="B85" s="2"/>
    </row>
    <row r="86" spans="1:2" x14ac:dyDescent="0.3">
      <c r="A86" s="46">
        <v>13</v>
      </c>
      <c r="B86" s="2"/>
    </row>
    <row r="87" spans="1:2" x14ac:dyDescent="0.3">
      <c r="A87" s="46">
        <v>5</v>
      </c>
      <c r="B87" s="2"/>
    </row>
    <row r="88" spans="1:2" x14ac:dyDescent="0.3">
      <c r="A88" s="46">
        <v>1</v>
      </c>
      <c r="B88" s="2"/>
    </row>
    <row r="89" spans="1:2" x14ac:dyDescent="0.3">
      <c r="A89" s="46">
        <v>20</v>
      </c>
      <c r="B89" s="2"/>
    </row>
    <row r="90" spans="1:2" x14ac:dyDescent="0.3">
      <c r="A90" s="46">
        <v>18</v>
      </c>
      <c r="B90" s="2"/>
    </row>
    <row r="91" spans="1:2" x14ac:dyDescent="0.3">
      <c r="A91" s="46">
        <v>9</v>
      </c>
      <c r="B91" s="2"/>
    </row>
    <row r="92" spans="1:2" x14ac:dyDescent="0.3">
      <c r="A92" s="46">
        <v>4</v>
      </c>
      <c r="B92" s="2"/>
    </row>
    <row r="93" spans="1:2" x14ac:dyDescent="0.3">
      <c r="A93" s="46">
        <v>11</v>
      </c>
      <c r="B93" s="2"/>
    </row>
    <row r="94" spans="1:2" x14ac:dyDescent="0.3">
      <c r="A94" s="46">
        <v>20</v>
      </c>
      <c r="B94" s="2"/>
    </row>
    <row r="95" spans="1:2" x14ac:dyDescent="0.3">
      <c r="A95" s="46">
        <v>3</v>
      </c>
      <c r="B95" s="2"/>
    </row>
    <row r="96" spans="1:2" x14ac:dyDescent="0.3">
      <c r="A96" s="46">
        <v>17</v>
      </c>
      <c r="B96" s="2"/>
    </row>
    <row r="97" spans="1:2" x14ac:dyDescent="0.3">
      <c r="A97" s="46">
        <v>2</v>
      </c>
      <c r="B97" s="2"/>
    </row>
    <row r="98" spans="1:2" x14ac:dyDescent="0.3">
      <c r="A98" s="46">
        <v>14</v>
      </c>
      <c r="B98" s="2"/>
    </row>
    <row r="99" spans="1:2" x14ac:dyDescent="0.3">
      <c r="A99" s="46">
        <v>20</v>
      </c>
      <c r="B99" s="2"/>
    </row>
    <row r="100" spans="1:2" x14ac:dyDescent="0.3">
      <c r="A100" s="46">
        <v>2</v>
      </c>
      <c r="B100" s="2"/>
    </row>
    <row r="101" spans="1:2" x14ac:dyDescent="0.3">
      <c r="A101" s="46">
        <v>8</v>
      </c>
      <c r="B101" s="2"/>
    </row>
    <row r="102" spans="1:2" x14ac:dyDescent="0.3">
      <c r="A102" s="46">
        <v>4</v>
      </c>
      <c r="B102" s="2"/>
    </row>
    <row r="103" spans="1:2" x14ac:dyDescent="0.3">
      <c r="A103" s="46">
        <v>5</v>
      </c>
      <c r="B103" s="2"/>
    </row>
    <row r="104" spans="1:2" x14ac:dyDescent="0.3">
      <c r="A104" s="46">
        <v>13</v>
      </c>
      <c r="B104" s="2"/>
    </row>
    <row r="105" spans="1:2" x14ac:dyDescent="0.3">
      <c r="A105" s="46">
        <v>2</v>
      </c>
      <c r="B105" s="2"/>
    </row>
    <row r="106" spans="1:2" x14ac:dyDescent="0.3">
      <c r="A106" s="46">
        <v>2</v>
      </c>
      <c r="B106" s="2"/>
    </row>
    <row r="107" spans="1:2" x14ac:dyDescent="0.3">
      <c r="A107" s="46">
        <v>13</v>
      </c>
      <c r="B107" s="2"/>
    </row>
    <row r="108" spans="1:2" x14ac:dyDescent="0.3">
      <c r="A108" s="46">
        <v>3</v>
      </c>
      <c r="B108" s="2"/>
    </row>
    <row r="109" spans="1:2" x14ac:dyDescent="0.3">
      <c r="A109" s="46">
        <v>12</v>
      </c>
      <c r="B109" s="2"/>
    </row>
    <row r="110" spans="1:2" x14ac:dyDescent="0.3">
      <c r="A110" s="46">
        <v>2</v>
      </c>
      <c r="B110" s="2"/>
    </row>
    <row r="111" spans="1:2" x14ac:dyDescent="0.3">
      <c r="A111" s="46">
        <v>15</v>
      </c>
      <c r="B111" s="2"/>
    </row>
    <row r="112" spans="1:2" x14ac:dyDescent="0.3">
      <c r="A112" s="46">
        <v>3</v>
      </c>
      <c r="B112" s="2"/>
    </row>
    <row r="113" spans="1:2" x14ac:dyDescent="0.3">
      <c r="A113" s="46">
        <v>11</v>
      </c>
      <c r="B113" s="2"/>
    </row>
    <row r="114" spans="1:2" x14ac:dyDescent="0.3">
      <c r="A114" s="46">
        <v>13</v>
      </c>
      <c r="B114" s="2"/>
    </row>
    <row r="115" spans="1:2" x14ac:dyDescent="0.3">
      <c r="A115" s="46">
        <v>2</v>
      </c>
      <c r="B115" s="2"/>
    </row>
    <row r="116" spans="1:2" x14ac:dyDescent="0.3">
      <c r="A116" s="46">
        <v>7</v>
      </c>
      <c r="B116" s="2"/>
    </row>
    <row r="117" spans="1:2" x14ac:dyDescent="0.3">
      <c r="A117" s="46">
        <v>3</v>
      </c>
      <c r="B117" s="2"/>
    </row>
    <row r="118" spans="1:2" x14ac:dyDescent="0.3">
      <c r="A118" s="46">
        <v>1</v>
      </c>
      <c r="B118" s="2"/>
    </row>
    <row r="119" spans="1:2" x14ac:dyDescent="0.3">
      <c r="A119" s="46">
        <v>9</v>
      </c>
      <c r="B119" s="2"/>
    </row>
    <row r="120" spans="1:2" x14ac:dyDescent="0.3">
      <c r="A120" s="46">
        <v>8</v>
      </c>
      <c r="B120" s="2"/>
    </row>
    <row r="121" spans="1:2" x14ac:dyDescent="0.3">
      <c r="A121" s="46">
        <v>5</v>
      </c>
      <c r="B121" s="2"/>
    </row>
    <row r="122" spans="1:2" x14ac:dyDescent="0.3">
      <c r="A122" s="46">
        <v>14</v>
      </c>
      <c r="B122" s="2"/>
    </row>
    <row r="123" spans="1:2" x14ac:dyDescent="0.3">
      <c r="A123" s="46">
        <v>3</v>
      </c>
      <c r="B123" s="2"/>
    </row>
    <row r="124" spans="1:2" x14ac:dyDescent="0.3">
      <c r="A124" s="46">
        <v>14</v>
      </c>
      <c r="B124" s="2"/>
    </row>
    <row r="125" spans="1:2" x14ac:dyDescent="0.3">
      <c r="A125" s="46">
        <v>14</v>
      </c>
      <c r="B125" s="2"/>
    </row>
    <row r="126" spans="1:2" x14ac:dyDescent="0.3">
      <c r="A126" s="46">
        <v>7</v>
      </c>
      <c r="B126" s="2"/>
    </row>
    <row r="127" spans="1:2" x14ac:dyDescent="0.3">
      <c r="A127" s="46">
        <v>11</v>
      </c>
      <c r="B127" s="2"/>
    </row>
    <row r="128" spans="1:2" x14ac:dyDescent="0.3">
      <c r="A128" s="46">
        <v>14</v>
      </c>
      <c r="B128" s="2"/>
    </row>
    <row r="129" spans="1:2" x14ac:dyDescent="0.3">
      <c r="A129" s="46">
        <v>15</v>
      </c>
      <c r="B129" s="2"/>
    </row>
    <row r="130" spans="1:2" x14ac:dyDescent="0.3">
      <c r="A130" s="46">
        <v>15</v>
      </c>
      <c r="B130" s="2"/>
    </row>
    <row r="131" spans="1:2" x14ac:dyDescent="0.3">
      <c r="A131" s="46">
        <v>7</v>
      </c>
      <c r="B131" s="2"/>
    </row>
    <row r="132" spans="1:2" x14ac:dyDescent="0.3">
      <c r="A132" s="46">
        <v>12</v>
      </c>
      <c r="B132" s="2"/>
    </row>
    <row r="133" spans="1:2" x14ac:dyDescent="0.3">
      <c r="A133" s="46">
        <v>3</v>
      </c>
      <c r="B133" s="2"/>
    </row>
    <row r="134" spans="1:2" x14ac:dyDescent="0.3">
      <c r="A134" s="46">
        <v>17</v>
      </c>
      <c r="B134" s="2"/>
    </row>
    <row r="135" spans="1:2" x14ac:dyDescent="0.3">
      <c r="A135" s="46">
        <v>2</v>
      </c>
      <c r="B135" s="2"/>
    </row>
    <row r="136" spans="1:2" x14ac:dyDescent="0.3">
      <c r="A136" s="46">
        <v>16</v>
      </c>
      <c r="B136" s="2"/>
    </row>
    <row r="137" spans="1:2" x14ac:dyDescent="0.3">
      <c r="A137" s="46">
        <v>10</v>
      </c>
      <c r="B137" s="2"/>
    </row>
    <row r="138" spans="1:2" x14ac:dyDescent="0.3">
      <c r="A138" s="46">
        <v>1</v>
      </c>
      <c r="B138" s="2"/>
    </row>
    <row r="139" spans="1:2" x14ac:dyDescent="0.3">
      <c r="A139" s="46">
        <v>4</v>
      </c>
      <c r="B139" s="2"/>
    </row>
    <row r="140" spans="1:2" x14ac:dyDescent="0.3">
      <c r="A140" s="46">
        <v>3</v>
      </c>
      <c r="B140" s="2"/>
    </row>
    <row r="141" spans="1:2" x14ac:dyDescent="0.3">
      <c r="A141" s="46">
        <v>14</v>
      </c>
      <c r="B141" s="2"/>
    </row>
    <row r="142" spans="1:2" x14ac:dyDescent="0.3">
      <c r="A142" s="46">
        <v>10</v>
      </c>
      <c r="B142" s="2"/>
    </row>
    <row r="143" spans="1:2" x14ac:dyDescent="0.3">
      <c r="A143" s="46">
        <v>3</v>
      </c>
      <c r="B143" s="2"/>
    </row>
    <row r="144" spans="1:2" x14ac:dyDescent="0.3">
      <c r="A144" s="46">
        <v>7</v>
      </c>
      <c r="B144" s="2"/>
    </row>
    <row r="145" spans="1:2" x14ac:dyDescent="0.3">
      <c r="A145" s="46">
        <v>14</v>
      </c>
      <c r="B145" s="2"/>
    </row>
    <row r="146" spans="1:2" x14ac:dyDescent="0.3">
      <c r="A146" s="46">
        <v>18</v>
      </c>
      <c r="B146" s="2"/>
    </row>
    <row r="147" spans="1:2" x14ac:dyDescent="0.3">
      <c r="A147" s="46">
        <v>9</v>
      </c>
      <c r="B147" s="2"/>
    </row>
    <row r="148" spans="1:2" x14ac:dyDescent="0.3">
      <c r="A148" s="46">
        <v>5</v>
      </c>
      <c r="B148" s="2"/>
    </row>
    <row r="149" spans="1:2" x14ac:dyDescent="0.3">
      <c r="A149" s="46">
        <v>7</v>
      </c>
      <c r="B149" s="2"/>
    </row>
    <row r="150" spans="1:2" x14ac:dyDescent="0.3">
      <c r="A150" s="46">
        <v>1</v>
      </c>
      <c r="B150" s="2"/>
    </row>
    <row r="151" spans="1:2" x14ac:dyDescent="0.3">
      <c r="A151" s="46">
        <v>6</v>
      </c>
      <c r="B151" s="2"/>
    </row>
    <row r="152" spans="1:2" x14ac:dyDescent="0.3">
      <c r="A152" s="46">
        <v>6</v>
      </c>
      <c r="B152" s="2"/>
    </row>
    <row r="153" spans="1:2" x14ac:dyDescent="0.3">
      <c r="A153" s="46">
        <v>13</v>
      </c>
      <c r="B153" s="2"/>
    </row>
    <row r="154" spans="1:2" x14ac:dyDescent="0.3">
      <c r="A154" s="46">
        <v>11</v>
      </c>
      <c r="B154" s="2"/>
    </row>
    <row r="155" spans="1:2" x14ac:dyDescent="0.3">
      <c r="A155" s="46">
        <v>19</v>
      </c>
      <c r="B155" s="2"/>
    </row>
    <row r="156" spans="1:2" x14ac:dyDescent="0.3">
      <c r="A156" s="46">
        <v>11</v>
      </c>
      <c r="B156" s="2"/>
    </row>
    <row r="157" spans="1:2" x14ac:dyDescent="0.3">
      <c r="A157" s="46">
        <v>8</v>
      </c>
      <c r="B157" s="2"/>
    </row>
    <row r="158" spans="1:2" x14ac:dyDescent="0.3">
      <c r="A158" s="46">
        <v>12</v>
      </c>
      <c r="B158" s="2"/>
    </row>
    <row r="159" spans="1:2" x14ac:dyDescent="0.3">
      <c r="A159" s="46">
        <v>4</v>
      </c>
      <c r="B159" s="2"/>
    </row>
    <row r="160" spans="1:2" x14ac:dyDescent="0.3">
      <c r="A160" s="46">
        <v>2</v>
      </c>
      <c r="B160" s="2"/>
    </row>
    <row r="161" spans="1:2" x14ac:dyDescent="0.3">
      <c r="A161" s="46">
        <v>4</v>
      </c>
      <c r="B161" s="2"/>
    </row>
    <row r="162" spans="1:2" x14ac:dyDescent="0.3">
      <c r="A162" s="46">
        <v>15</v>
      </c>
      <c r="B162" s="2"/>
    </row>
    <row r="163" spans="1:2" x14ac:dyDescent="0.3">
      <c r="A163" s="46">
        <v>15</v>
      </c>
      <c r="B163" s="2"/>
    </row>
    <row r="164" spans="1:2" x14ac:dyDescent="0.3">
      <c r="A164" s="46">
        <v>9</v>
      </c>
      <c r="B164" s="2"/>
    </row>
    <row r="165" spans="1:2" x14ac:dyDescent="0.3">
      <c r="A165" s="46">
        <v>19</v>
      </c>
      <c r="B165" s="2"/>
    </row>
    <row r="166" spans="1:2" x14ac:dyDescent="0.3">
      <c r="A166" s="46">
        <v>14</v>
      </c>
      <c r="B166" s="2"/>
    </row>
    <row r="167" spans="1:2" x14ac:dyDescent="0.3">
      <c r="A167" s="46">
        <v>1</v>
      </c>
      <c r="B167" s="2"/>
    </row>
    <row r="168" spans="1:2" x14ac:dyDescent="0.3">
      <c r="A168" s="46">
        <v>13</v>
      </c>
      <c r="B168" s="2"/>
    </row>
    <row r="169" spans="1:2" x14ac:dyDescent="0.3">
      <c r="A169" s="46">
        <v>11</v>
      </c>
      <c r="B169" s="2"/>
    </row>
    <row r="170" spans="1:2" x14ac:dyDescent="0.3">
      <c r="A170" s="46">
        <v>18</v>
      </c>
      <c r="B170" s="2"/>
    </row>
    <row r="171" spans="1:2" x14ac:dyDescent="0.3">
      <c r="A171" s="46">
        <v>19</v>
      </c>
      <c r="B171" s="2"/>
    </row>
    <row r="172" spans="1:2" x14ac:dyDescent="0.3">
      <c r="A172" s="46">
        <v>4</v>
      </c>
      <c r="B172" s="2"/>
    </row>
    <row r="173" spans="1:2" x14ac:dyDescent="0.3">
      <c r="A173" s="46">
        <v>1</v>
      </c>
      <c r="B173" s="2"/>
    </row>
    <row r="174" spans="1:2" x14ac:dyDescent="0.3">
      <c r="A174" s="46">
        <v>14</v>
      </c>
      <c r="B174" s="2"/>
    </row>
    <row r="175" spans="1:2" x14ac:dyDescent="0.3">
      <c r="A175" s="46">
        <v>4</v>
      </c>
      <c r="B175" s="2"/>
    </row>
    <row r="176" spans="1:2" x14ac:dyDescent="0.3">
      <c r="A176" s="46">
        <v>11</v>
      </c>
      <c r="B176" s="2"/>
    </row>
    <row r="177" spans="1:2" x14ac:dyDescent="0.3">
      <c r="A177" s="46">
        <v>10</v>
      </c>
      <c r="B177" s="2"/>
    </row>
    <row r="178" spans="1:2" x14ac:dyDescent="0.3">
      <c r="A178" s="46">
        <v>12</v>
      </c>
      <c r="B178" s="2"/>
    </row>
    <row r="179" spans="1:2" x14ac:dyDescent="0.3">
      <c r="A179" s="46">
        <v>14</v>
      </c>
      <c r="B179" s="2"/>
    </row>
    <row r="180" spans="1:2" x14ac:dyDescent="0.3">
      <c r="A180" s="46">
        <v>15</v>
      </c>
      <c r="B180" s="2"/>
    </row>
    <row r="181" spans="1:2" x14ac:dyDescent="0.3">
      <c r="A181" s="46">
        <v>3</v>
      </c>
      <c r="B181" s="2"/>
    </row>
    <row r="182" spans="1:2" x14ac:dyDescent="0.3">
      <c r="A182" s="46">
        <v>11</v>
      </c>
      <c r="B182" s="2"/>
    </row>
    <row r="183" spans="1:2" x14ac:dyDescent="0.3">
      <c r="A183" s="46">
        <v>5</v>
      </c>
      <c r="B183" s="2"/>
    </row>
    <row r="184" spans="1:2" x14ac:dyDescent="0.3">
      <c r="A184" s="46">
        <v>3</v>
      </c>
      <c r="B184" s="2"/>
    </row>
    <row r="185" spans="1:2" x14ac:dyDescent="0.3">
      <c r="A185" s="46">
        <v>12</v>
      </c>
      <c r="B185" s="2"/>
    </row>
    <row r="186" spans="1:2" x14ac:dyDescent="0.3">
      <c r="A186" s="46">
        <v>4</v>
      </c>
      <c r="B186" s="2"/>
    </row>
    <row r="187" spans="1:2" x14ac:dyDescent="0.3">
      <c r="A187" s="46">
        <v>20</v>
      </c>
      <c r="B187" s="2"/>
    </row>
    <row r="188" spans="1:2" x14ac:dyDescent="0.3">
      <c r="A188" s="46">
        <v>2</v>
      </c>
      <c r="B188" s="2"/>
    </row>
    <row r="189" spans="1:2" x14ac:dyDescent="0.3">
      <c r="A189" s="46">
        <v>13</v>
      </c>
      <c r="B189" s="2"/>
    </row>
    <row r="190" spans="1:2" x14ac:dyDescent="0.3">
      <c r="A190" s="46">
        <v>14</v>
      </c>
      <c r="B190" s="2"/>
    </row>
    <row r="191" spans="1:2" x14ac:dyDescent="0.3">
      <c r="A191" s="46">
        <v>5</v>
      </c>
      <c r="B191" s="2"/>
    </row>
    <row r="192" spans="1:2" x14ac:dyDescent="0.3">
      <c r="A192" s="46">
        <v>2</v>
      </c>
      <c r="B192" s="2"/>
    </row>
    <row r="193" spans="1:2" x14ac:dyDescent="0.3">
      <c r="A193" s="46">
        <v>13</v>
      </c>
      <c r="B193" s="2"/>
    </row>
    <row r="194" spans="1:2" x14ac:dyDescent="0.3">
      <c r="A194" s="46">
        <v>2</v>
      </c>
      <c r="B194" s="2"/>
    </row>
    <row r="195" spans="1:2" x14ac:dyDescent="0.3">
      <c r="A195" s="46">
        <v>11</v>
      </c>
      <c r="B195" s="2"/>
    </row>
    <row r="196" spans="1:2" x14ac:dyDescent="0.3">
      <c r="A196" s="46">
        <v>17</v>
      </c>
      <c r="B196" s="2"/>
    </row>
    <row r="197" spans="1:2" x14ac:dyDescent="0.3">
      <c r="A197" s="46">
        <v>14</v>
      </c>
      <c r="B197" s="2"/>
    </row>
    <row r="198" spans="1:2" x14ac:dyDescent="0.3">
      <c r="A198" s="46">
        <v>13</v>
      </c>
      <c r="B198" s="2"/>
    </row>
    <row r="199" spans="1:2" x14ac:dyDescent="0.3">
      <c r="A199" s="46">
        <v>9</v>
      </c>
      <c r="B199" s="2"/>
    </row>
    <row r="200" spans="1:2" x14ac:dyDescent="0.3">
      <c r="A200" s="46">
        <v>12</v>
      </c>
      <c r="B200" s="2"/>
    </row>
    <row r="201" spans="1:2" x14ac:dyDescent="0.3">
      <c r="A201" s="46">
        <v>12</v>
      </c>
      <c r="B201" s="2"/>
    </row>
    <row r="202" spans="1:2" x14ac:dyDescent="0.3">
      <c r="A202" s="46">
        <v>1</v>
      </c>
      <c r="B202" s="2"/>
    </row>
    <row r="203" spans="1:2" x14ac:dyDescent="0.3">
      <c r="A203" s="46">
        <v>14</v>
      </c>
      <c r="B203" s="2"/>
    </row>
    <row r="204" spans="1:2" x14ac:dyDescent="0.3">
      <c r="A204" s="46">
        <v>15</v>
      </c>
      <c r="B204" s="2"/>
    </row>
    <row r="205" spans="1:2" x14ac:dyDescent="0.3">
      <c r="A205" s="46">
        <v>6</v>
      </c>
      <c r="B205" s="2"/>
    </row>
    <row r="206" spans="1:2" x14ac:dyDescent="0.3">
      <c r="A206" s="46">
        <v>19</v>
      </c>
      <c r="B206" s="2"/>
    </row>
    <row r="207" spans="1:2" x14ac:dyDescent="0.3">
      <c r="A207" s="46">
        <v>4</v>
      </c>
      <c r="B207" s="2"/>
    </row>
    <row r="208" spans="1:2" x14ac:dyDescent="0.3">
      <c r="A208" s="46">
        <v>1</v>
      </c>
      <c r="B208" s="2"/>
    </row>
    <row r="209" spans="1:2" x14ac:dyDescent="0.3">
      <c r="A209" s="46">
        <v>11</v>
      </c>
      <c r="B209" s="2"/>
    </row>
    <row r="210" spans="1:2" x14ac:dyDescent="0.3">
      <c r="A210" s="46">
        <v>10</v>
      </c>
      <c r="B210" s="2"/>
    </row>
    <row r="211" spans="1:2" x14ac:dyDescent="0.3">
      <c r="A211" s="46">
        <v>8</v>
      </c>
      <c r="B211" s="2"/>
    </row>
    <row r="212" spans="1:2" x14ac:dyDescent="0.3">
      <c r="A212" s="46">
        <v>4</v>
      </c>
      <c r="B212" s="2"/>
    </row>
    <row r="213" spans="1:2" x14ac:dyDescent="0.3">
      <c r="A213" s="46">
        <v>8</v>
      </c>
      <c r="B213" s="2"/>
    </row>
    <row r="214" spans="1:2" x14ac:dyDescent="0.3">
      <c r="A214" s="46">
        <v>12</v>
      </c>
      <c r="B214" s="2"/>
    </row>
    <row r="215" spans="1:2" x14ac:dyDescent="0.3">
      <c r="A215" s="46">
        <v>14</v>
      </c>
      <c r="B215" s="2"/>
    </row>
    <row r="216" spans="1:2" x14ac:dyDescent="0.3">
      <c r="A216" s="46">
        <v>1</v>
      </c>
      <c r="B216" s="2"/>
    </row>
    <row r="217" spans="1:2" x14ac:dyDescent="0.3">
      <c r="A217" s="46">
        <v>8</v>
      </c>
      <c r="B217" s="2"/>
    </row>
    <row r="218" spans="1:2" x14ac:dyDescent="0.3">
      <c r="A218" s="46">
        <v>2</v>
      </c>
      <c r="B218" s="2"/>
    </row>
    <row r="219" spans="1:2" x14ac:dyDescent="0.3">
      <c r="A219" s="46">
        <v>7</v>
      </c>
      <c r="B219" s="2"/>
    </row>
    <row r="220" spans="1:2" x14ac:dyDescent="0.3">
      <c r="A220" s="46">
        <v>14</v>
      </c>
      <c r="B220" s="2"/>
    </row>
    <row r="221" spans="1:2" x14ac:dyDescent="0.3">
      <c r="A221" s="46">
        <v>4</v>
      </c>
      <c r="B221" s="2"/>
    </row>
    <row r="222" spans="1:2" x14ac:dyDescent="0.3">
      <c r="A222" s="46">
        <v>3</v>
      </c>
      <c r="B222" s="2"/>
    </row>
    <row r="223" spans="1:2" x14ac:dyDescent="0.3">
      <c r="A223" s="46">
        <v>4</v>
      </c>
      <c r="B223" s="2"/>
    </row>
    <row r="224" spans="1:2" x14ac:dyDescent="0.3">
      <c r="A224" s="46">
        <v>5</v>
      </c>
      <c r="B224" s="2"/>
    </row>
    <row r="225" spans="1:2" x14ac:dyDescent="0.3">
      <c r="A225" s="46">
        <v>15</v>
      </c>
      <c r="B225" s="2"/>
    </row>
    <row r="226" spans="1:2" x14ac:dyDescent="0.3">
      <c r="A226" s="46">
        <v>1</v>
      </c>
      <c r="B226" s="2"/>
    </row>
    <row r="227" spans="1:2" x14ac:dyDescent="0.3">
      <c r="A227" s="46">
        <v>1</v>
      </c>
      <c r="B227" s="2"/>
    </row>
    <row r="228" spans="1:2" x14ac:dyDescent="0.3">
      <c r="A228" s="46">
        <v>7</v>
      </c>
      <c r="B228" s="2"/>
    </row>
    <row r="229" spans="1:2" x14ac:dyDescent="0.3">
      <c r="A229" s="46">
        <v>18</v>
      </c>
      <c r="B229" s="2"/>
    </row>
    <row r="230" spans="1:2" x14ac:dyDescent="0.3">
      <c r="A230" s="46">
        <v>14</v>
      </c>
      <c r="B230" s="2"/>
    </row>
    <row r="231" spans="1:2" x14ac:dyDescent="0.3">
      <c r="A231" s="46">
        <v>12</v>
      </c>
      <c r="B231" s="2"/>
    </row>
    <row r="232" spans="1:2" x14ac:dyDescent="0.3">
      <c r="A232" s="46">
        <v>3</v>
      </c>
      <c r="B232" s="2"/>
    </row>
    <row r="233" spans="1:2" x14ac:dyDescent="0.3">
      <c r="A233" s="46">
        <v>13</v>
      </c>
      <c r="B233" s="2"/>
    </row>
    <row r="234" spans="1:2" x14ac:dyDescent="0.3">
      <c r="A234" s="46">
        <v>4</v>
      </c>
      <c r="B234" s="2"/>
    </row>
    <row r="235" spans="1:2" x14ac:dyDescent="0.3">
      <c r="A235" s="46">
        <v>5</v>
      </c>
      <c r="B235" s="2"/>
    </row>
    <row r="236" spans="1:2" x14ac:dyDescent="0.3">
      <c r="A236" s="46">
        <v>2</v>
      </c>
      <c r="B236" s="2"/>
    </row>
    <row r="237" spans="1:2" x14ac:dyDescent="0.3">
      <c r="A237" s="46">
        <v>14</v>
      </c>
      <c r="B237" s="2"/>
    </row>
    <row r="238" spans="1:2" x14ac:dyDescent="0.3">
      <c r="A238" s="46">
        <v>19</v>
      </c>
      <c r="B238" s="2"/>
    </row>
    <row r="239" spans="1:2" x14ac:dyDescent="0.3">
      <c r="A239" s="46">
        <v>5</v>
      </c>
      <c r="B239" s="2"/>
    </row>
    <row r="240" spans="1:2" x14ac:dyDescent="0.3">
      <c r="A240" s="46">
        <v>13</v>
      </c>
      <c r="B240" s="2"/>
    </row>
    <row r="241" spans="1:2" x14ac:dyDescent="0.3">
      <c r="A241" s="46">
        <v>3</v>
      </c>
      <c r="B241" s="2"/>
    </row>
    <row r="242" spans="1:2" x14ac:dyDescent="0.3">
      <c r="A242" s="46">
        <v>11</v>
      </c>
      <c r="B242" s="2"/>
    </row>
    <row r="243" spans="1:2" x14ac:dyDescent="0.3">
      <c r="A243" s="46">
        <v>5</v>
      </c>
      <c r="B243" s="2"/>
    </row>
    <row r="244" spans="1:2" x14ac:dyDescent="0.3">
      <c r="A244" s="46">
        <v>4</v>
      </c>
      <c r="B244" s="2"/>
    </row>
    <row r="245" spans="1:2" x14ac:dyDescent="0.3">
      <c r="A245" s="46">
        <v>3</v>
      </c>
      <c r="B245" s="2"/>
    </row>
    <row r="246" spans="1:2" x14ac:dyDescent="0.3">
      <c r="A246" s="46">
        <v>8</v>
      </c>
      <c r="B246" s="2"/>
    </row>
    <row r="247" spans="1:2" x14ac:dyDescent="0.3">
      <c r="A247" s="46">
        <v>11</v>
      </c>
      <c r="B247" s="2"/>
    </row>
    <row r="248" spans="1:2" x14ac:dyDescent="0.3">
      <c r="A248" s="46">
        <v>2</v>
      </c>
      <c r="B248" s="2"/>
    </row>
    <row r="249" spans="1:2" x14ac:dyDescent="0.3">
      <c r="A249" s="46">
        <v>19</v>
      </c>
      <c r="B249" s="2"/>
    </row>
    <row r="250" spans="1:2" x14ac:dyDescent="0.3">
      <c r="A250" s="46">
        <v>9</v>
      </c>
      <c r="B250" s="2"/>
    </row>
    <row r="251" spans="1:2" x14ac:dyDescent="0.3">
      <c r="A251" s="46">
        <v>4</v>
      </c>
      <c r="B251" s="2"/>
    </row>
    <row r="252" spans="1:2" x14ac:dyDescent="0.3">
      <c r="A252" s="46">
        <v>18</v>
      </c>
      <c r="B252" s="2"/>
    </row>
    <row r="253" spans="1:2" x14ac:dyDescent="0.3">
      <c r="A253" s="46">
        <v>8</v>
      </c>
      <c r="B253" s="2"/>
    </row>
    <row r="254" spans="1:2" x14ac:dyDescent="0.3">
      <c r="A254" s="46">
        <v>8</v>
      </c>
      <c r="B254" s="2"/>
    </row>
    <row r="255" spans="1:2" x14ac:dyDescent="0.3">
      <c r="A255" s="46">
        <v>2</v>
      </c>
      <c r="B255" s="2"/>
    </row>
    <row r="256" spans="1:2" x14ac:dyDescent="0.3">
      <c r="A256" s="46">
        <v>6</v>
      </c>
      <c r="B256" s="2"/>
    </row>
    <row r="257" spans="1:2" x14ac:dyDescent="0.3">
      <c r="A257" s="46">
        <v>15</v>
      </c>
      <c r="B257" s="2"/>
    </row>
    <row r="258" spans="1:2" x14ac:dyDescent="0.3">
      <c r="A258" s="46">
        <v>13</v>
      </c>
      <c r="B258" s="2"/>
    </row>
    <row r="259" spans="1:2" x14ac:dyDescent="0.3">
      <c r="A259" s="46">
        <v>17</v>
      </c>
      <c r="B259" s="2"/>
    </row>
    <row r="260" spans="1:2" x14ac:dyDescent="0.3">
      <c r="A260" s="46">
        <v>16</v>
      </c>
      <c r="B260" s="2"/>
    </row>
    <row r="261" spans="1:2" x14ac:dyDescent="0.3">
      <c r="A261" s="46">
        <v>15</v>
      </c>
      <c r="B261" s="2"/>
    </row>
    <row r="262" spans="1:2" x14ac:dyDescent="0.3">
      <c r="A262" s="46">
        <v>3</v>
      </c>
      <c r="B262" s="2"/>
    </row>
    <row r="263" spans="1:2" x14ac:dyDescent="0.3">
      <c r="A263" s="46">
        <v>3</v>
      </c>
      <c r="B263" s="2"/>
    </row>
    <row r="264" spans="1:2" x14ac:dyDescent="0.3">
      <c r="A264" s="46">
        <v>14</v>
      </c>
      <c r="B264" s="2"/>
    </row>
    <row r="265" spans="1:2" x14ac:dyDescent="0.3">
      <c r="A265" s="46">
        <v>9</v>
      </c>
      <c r="B265" s="2"/>
    </row>
    <row r="266" spans="1:2" x14ac:dyDescent="0.3">
      <c r="A266" s="46">
        <v>6</v>
      </c>
      <c r="B266" s="2"/>
    </row>
    <row r="267" spans="1:2" x14ac:dyDescent="0.3">
      <c r="A267" s="46">
        <v>5</v>
      </c>
      <c r="B267" s="2"/>
    </row>
    <row r="268" spans="1:2" x14ac:dyDescent="0.3">
      <c r="A268" s="46">
        <v>15</v>
      </c>
      <c r="B268" s="2"/>
    </row>
    <row r="269" spans="1:2" x14ac:dyDescent="0.3">
      <c r="A269" s="46">
        <v>2</v>
      </c>
      <c r="B269" s="2"/>
    </row>
    <row r="270" spans="1:2" x14ac:dyDescent="0.3">
      <c r="A270" s="46">
        <v>17</v>
      </c>
      <c r="B270" s="2"/>
    </row>
    <row r="271" spans="1:2" x14ac:dyDescent="0.3">
      <c r="A271" s="46">
        <v>3</v>
      </c>
      <c r="B271" s="2"/>
    </row>
    <row r="272" spans="1:2" x14ac:dyDescent="0.3">
      <c r="A272" s="46">
        <v>12</v>
      </c>
      <c r="B272" s="2"/>
    </row>
    <row r="273" spans="1:2" x14ac:dyDescent="0.3">
      <c r="A273" s="46">
        <v>7</v>
      </c>
      <c r="B273" s="2"/>
    </row>
    <row r="274" spans="1:2" x14ac:dyDescent="0.3">
      <c r="A274" s="46">
        <v>5</v>
      </c>
      <c r="B274" s="2"/>
    </row>
    <row r="275" spans="1:2" x14ac:dyDescent="0.3">
      <c r="A275" s="46">
        <v>13</v>
      </c>
      <c r="B275" s="2"/>
    </row>
    <row r="276" spans="1:2" x14ac:dyDescent="0.3">
      <c r="A276" s="46">
        <v>17</v>
      </c>
      <c r="B276" s="2"/>
    </row>
    <row r="277" spans="1:2" x14ac:dyDescent="0.3">
      <c r="A277" s="46">
        <v>5</v>
      </c>
      <c r="B277" s="2"/>
    </row>
    <row r="278" spans="1:2" x14ac:dyDescent="0.3">
      <c r="A278" s="46">
        <v>15</v>
      </c>
      <c r="B278" s="2"/>
    </row>
    <row r="279" spans="1:2" x14ac:dyDescent="0.3">
      <c r="A279" s="46">
        <v>15</v>
      </c>
      <c r="B279" s="2"/>
    </row>
    <row r="280" spans="1:2" x14ac:dyDescent="0.3">
      <c r="A280" s="46">
        <v>10</v>
      </c>
      <c r="B280" s="2"/>
    </row>
    <row r="281" spans="1:2" x14ac:dyDescent="0.3">
      <c r="A281" s="46">
        <v>3</v>
      </c>
      <c r="B281" s="2"/>
    </row>
    <row r="282" spans="1:2" x14ac:dyDescent="0.3">
      <c r="A282" s="46">
        <v>9</v>
      </c>
      <c r="B282" s="2"/>
    </row>
    <row r="283" spans="1:2" x14ac:dyDescent="0.3">
      <c r="A283" s="46">
        <v>11</v>
      </c>
      <c r="B283" s="2"/>
    </row>
    <row r="284" spans="1:2" x14ac:dyDescent="0.3">
      <c r="A284" s="46">
        <v>11</v>
      </c>
      <c r="B284" s="2"/>
    </row>
    <row r="285" spans="1:2" x14ac:dyDescent="0.3">
      <c r="A285" s="46">
        <v>14</v>
      </c>
      <c r="B285" s="2"/>
    </row>
    <row r="286" spans="1:2" x14ac:dyDescent="0.3">
      <c r="A286" s="46">
        <v>12</v>
      </c>
      <c r="B286" s="2"/>
    </row>
    <row r="287" spans="1:2" x14ac:dyDescent="0.3">
      <c r="A287" s="46">
        <v>8</v>
      </c>
      <c r="B287" s="2"/>
    </row>
    <row r="288" spans="1:2" x14ac:dyDescent="0.3">
      <c r="A288" s="46">
        <v>10</v>
      </c>
      <c r="B288" s="2"/>
    </row>
    <row r="289" spans="1:2" x14ac:dyDescent="0.3">
      <c r="A289" s="46">
        <v>4</v>
      </c>
      <c r="B289" s="2"/>
    </row>
    <row r="290" spans="1:2" x14ac:dyDescent="0.3">
      <c r="A290" s="46">
        <v>1</v>
      </c>
      <c r="B290" s="2"/>
    </row>
    <row r="291" spans="1:2" x14ac:dyDescent="0.3">
      <c r="A291" s="46">
        <v>10</v>
      </c>
      <c r="B291" s="2"/>
    </row>
    <row r="292" spans="1:2" x14ac:dyDescent="0.3">
      <c r="A292" s="46">
        <v>3</v>
      </c>
      <c r="B292" s="2"/>
    </row>
    <row r="293" spans="1:2" x14ac:dyDescent="0.3">
      <c r="A293" s="46">
        <v>12</v>
      </c>
      <c r="B293" s="2"/>
    </row>
    <row r="294" spans="1:2" x14ac:dyDescent="0.3">
      <c r="A294" s="46">
        <v>7</v>
      </c>
      <c r="B294" s="2"/>
    </row>
    <row r="295" spans="1:2" x14ac:dyDescent="0.3">
      <c r="A295" s="46">
        <v>20</v>
      </c>
      <c r="B295" s="2"/>
    </row>
    <row r="296" spans="1:2" x14ac:dyDescent="0.3">
      <c r="A296" s="46">
        <v>11</v>
      </c>
      <c r="B296" s="2"/>
    </row>
    <row r="297" spans="1:2" x14ac:dyDescent="0.3">
      <c r="A297" s="46">
        <v>17</v>
      </c>
      <c r="B297" s="2"/>
    </row>
    <row r="298" spans="1:2" x14ac:dyDescent="0.3">
      <c r="A298" s="46">
        <v>3</v>
      </c>
      <c r="B298" s="2"/>
    </row>
    <row r="299" spans="1:2" x14ac:dyDescent="0.3">
      <c r="A299" s="46">
        <v>5</v>
      </c>
      <c r="B299" s="2"/>
    </row>
    <row r="300" spans="1:2" x14ac:dyDescent="0.3">
      <c r="A300" s="46">
        <v>10</v>
      </c>
      <c r="B300" s="2"/>
    </row>
    <row r="301" spans="1:2" x14ac:dyDescent="0.3">
      <c r="A301" s="46">
        <v>15</v>
      </c>
      <c r="B301" s="2"/>
    </row>
    <row r="302" spans="1:2" x14ac:dyDescent="0.3">
      <c r="A302" s="46">
        <v>9</v>
      </c>
      <c r="B302" s="2"/>
    </row>
    <row r="303" spans="1:2" x14ac:dyDescent="0.3">
      <c r="A303" s="46">
        <v>11</v>
      </c>
      <c r="B303" s="2"/>
    </row>
    <row r="304" spans="1:2" x14ac:dyDescent="0.3">
      <c r="A304" s="46">
        <v>4</v>
      </c>
      <c r="B304" s="2"/>
    </row>
    <row r="305" spans="1:2" x14ac:dyDescent="0.3">
      <c r="A305" s="46">
        <v>3</v>
      </c>
      <c r="B305" s="2"/>
    </row>
    <row r="306" spans="1:2" x14ac:dyDescent="0.3">
      <c r="A306" s="46">
        <v>1</v>
      </c>
      <c r="B306" s="2"/>
    </row>
    <row r="307" spans="1:2" x14ac:dyDescent="0.3">
      <c r="A307" s="46">
        <v>5</v>
      </c>
      <c r="B307" s="2"/>
    </row>
    <row r="308" spans="1:2" x14ac:dyDescent="0.3">
      <c r="A308" s="46">
        <v>2</v>
      </c>
      <c r="B308" s="2"/>
    </row>
    <row r="309" spans="1:2" x14ac:dyDescent="0.3">
      <c r="A309" s="46">
        <v>2</v>
      </c>
      <c r="B309" s="2"/>
    </row>
    <row r="310" spans="1:2" x14ac:dyDescent="0.3">
      <c r="A310" s="46">
        <v>7</v>
      </c>
      <c r="B310" s="2"/>
    </row>
    <row r="311" spans="1:2" x14ac:dyDescent="0.3">
      <c r="A311" s="46">
        <v>13</v>
      </c>
      <c r="B311" s="2"/>
    </row>
    <row r="312" spans="1:2" x14ac:dyDescent="0.3">
      <c r="A312" s="46">
        <v>4</v>
      </c>
      <c r="B312" s="2"/>
    </row>
    <row r="313" spans="1:2" x14ac:dyDescent="0.3">
      <c r="A313" s="46">
        <v>4</v>
      </c>
      <c r="B313" s="2"/>
    </row>
    <row r="314" spans="1:2" x14ac:dyDescent="0.3">
      <c r="A314" s="46">
        <v>7</v>
      </c>
      <c r="B314" s="2"/>
    </row>
    <row r="315" spans="1:2" x14ac:dyDescent="0.3">
      <c r="A315" s="46">
        <v>12</v>
      </c>
      <c r="B315" s="2"/>
    </row>
    <row r="316" spans="1:2" x14ac:dyDescent="0.3">
      <c r="A316" s="46">
        <v>5</v>
      </c>
      <c r="B316" s="2"/>
    </row>
    <row r="317" spans="1:2" x14ac:dyDescent="0.3">
      <c r="A317" s="46">
        <v>1</v>
      </c>
      <c r="B317" s="2"/>
    </row>
    <row r="318" spans="1:2" x14ac:dyDescent="0.3">
      <c r="A318" s="46">
        <v>1</v>
      </c>
      <c r="B318" s="2"/>
    </row>
    <row r="319" spans="1:2" x14ac:dyDescent="0.3">
      <c r="A319" s="46">
        <v>2</v>
      </c>
      <c r="B319" s="2"/>
    </row>
    <row r="320" spans="1:2" x14ac:dyDescent="0.3">
      <c r="A320" s="46">
        <v>18</v>
      </c>
      <c r="B320" s="2"/>
    </row>
    <row r="321" spans="1:2" x14ac:dyDescent="0.3">
      <c r="A321" s="46">
        <v>9</v>
      </c>
      <c r="B321" s="2"/>
    </row>
    <row r="322" spans="1:2" x14ac:dyDescent="0.3">
      <c r="A322" s="46">
        <v>4</v>
      </c>
      <c r="B322" s="2"/>
    </row>
    <row r="323" spans="1:2" x14ac:dyDescent="0.3">
      <c r="A323" s="46">
        <v>3</v>
      </c>
      <c r="B323" s="2"/>
    </row>
    <row r="324" spans="1:2" x14ac:dyDescent="0.3">
      <c r="A324" s="46">
        <v>13</v>
      </c>
      <c r="B324" s="2"/>
    </row>
    <row r="325" spans="1:2" x14ac:dyDescent="0.3">
      <c r="A325" s="46">
        <v>11</v>
      </c>
      <c r="B325" s="2"/>
    </row>
    <row r="326" spans="1:2" x14ac:dyDescent="0.3">
      <c r="A326" s="46">
        <v>14</v>
      </c>
      <c r="B326" s="2"/>
    </row>
    <row r="327" spans="1:2" x14ac:dyDescent="0.3">
      <c r="A327" s="46">
        <v>11</v>
      </c>
      <c r="B327" s="2"/>
    </row>
    <row r="328" spans="1:2" x14ac:dyDescent="0.3">
      <c r="A328" s="46">
        <v>4</v>
      </c>
      <c r="B328" s="2"/>
    </row>
    <row r="329" spans="1:2" x14ac:dyDescent="0.3">
      <c r="A329" s="46">
        <v>5</v>
      </c>
      <c r="B329" s="2"/>
    </row>
    <row r="330" spans="1:2" x14ac:dyDescent="0.3">
      <c r="A330" s="46">
        <v>5</v>
      </c>
      <c r="B330" s="2"/>
    </row>
    <row r="331" spans="1:2" x14ac:dyDescent="0.3">
      <c r="A331" s="46">
        <v>9</v>
      </c>
      <c r="B331" s="2"/>
    </row>
    <row r="332" spans="1:2" x14ac:dyDescent="0.3">
      <c r="A332" s="46">
        <v>12</v>
      </c>
      <c r="B332" s="2"/>
    </row>
    <row r="333" spans="1:2" x14ac:dyDescent="0.3">
      <c r="A333" s="46">
        <v>10</v>
      </c>
      <c r="B333" s="2"/>
    </row>
    <row r="334" spans="1:2" x14ac:dyDescent="0.3">
      <c r="A334" s="46">
        <v>20</v>
      </c>
      <c r="B334" s="2"/>
    </row>
    <row r="335" spans="1:2" x14ac:dyDescent="0.3">
      <c r="A335" s="46">
        <v>8</v>
      </c>
      <c r="B335" s="2"/>
    </row>
    <row r="336" spans="1:2" x14ac:dyDescent="0.3">
      <c r="A336" s="46">
        <v>4</v>
      </c>
      <c r="B336" s="2"/>
    </row>
    <row r="337" spans="1:2" x14ac:dyDescent="0.3">
      <c r="A337" s="46">
        <v>20</v>
      </c>
      <c r="B337" s="2"/>
    </row>
    <row r="338" spans="1:2" x14ac:dyDescent="0.3">
      <c r="A338" s="46">
        <v>7</v>
      </c>
      <c r="B338" s="2"/>
    </row>
    <row r="339" spans="1:2" x14ac:dyDescent="0.3">
      <c r="A339" s="46">
        <v>5</v>
      </c>
      <c r="B339" s="2"/>
    </row>
    <row r="340" spans="1:2" x14ac:dyDescent="0.3">
      <c r="A340" s="46">
        <v>15</v>
      </c>
      <c r="B340" s="2"/>
    </row>
    <row r="341" spans="1:2" x14ac:dyDescent="0.3">
      <c r="A341" s="46">
        <v>18</v>
      </c>
      <c r="B341" s="2"/>
    </row>
    <row r="342" spans="1:2" x14ac:dyDescent="0.3">
      <c r="A342" s="46">
        <v>5</v>
      </c>
      <c r="B342" s="2"/>
    </row>
    <row r="343" spans="1:2" x14ac:dyDescent="0.3">
      <c r="A343" s="46">
        <v>2</v>
      </c>
      <c r="B343" s="2"/>
    </row>
    <row r="344" spans="1:2" x14ac:dyDescent="0.3">
      <c r="A344" s="46">
        <v>4</v>
      </c>
      <c r="B344" s="2"/>
    </row>
    <row r="345" spans="1:2" x14ac:dyDescent="0.3">
      <c r="A345" s="46">
        <v>10</v>
      </c>
      <c r="B345" s="2"/>
    </row>
    <row r="346" spans="1:2" x14ac:dyDescent="0.3">
      <c r="A346" s="46">
        <v>5</v>
      </c>
      <c r="B346" s="2"/>
    </row>
    <row r="347" spans="1:2" x14ac:dyDescent="0.3">
      <c r="A347" s="46">
        <v>10</v>
      </c>
      <c r="B347" s="2"/>
    </row>
    <row r="348" spans="1:2" x14ac:dyDescent="0.3">
      <c r="A348" s="46">
        <v>15</v>
      </c>
      <c r="B348" s="2"/>
    </row>
    <row r="349" spans="1:2" x14ac:dyDescent="0.3">
      <c r="A349" s="46">
        <v>1</v>
      </c>
      <c r="B349" s="2"/>
    </row>
    <row r="350" spans="1:2" x14ac:dyDescent="0.3">
      <c r="A350" s="46">
        <v>9</v>
      </c>
      <c r="B350" s="2"/>
    </row>
    <row r="351" spans="1:2" x14ac:dyDescent="0.3">
      <c r="A351" s="46">
        <v>14</v>
      </c>
      <c r="B351" s="2"/>
    </row>
    <row r="352" spans="1:2" x14ac:dyDescent="0.3">
      <c r="A352" s="46">
        <v>20</v>
      </c>
      <c r="B352" s="2"/>
    </row>
    <row r="353" spans="1:2" x14ac:dyDescent="0.3">
      <c r="A353" s="46">
        <v>3</v>
      </c>
      <c r="B353" s="2"/>
    </row>
    <row r="354" spans="1:2" x14ac:dyDescent="0.3">
      <c r="A354" s="46">
        <v>15</v>
      </c>
      <c r="B354" s="2"/>
    </row>
    <row r="355" spans="1:2" x14ac:dyDescent="0.3">
      <c r="A355" s="46">
        <v>14</v>
      </c>
      <c r="B355" s="2"/>
    </row>
    <row r="356" spans="1:2" x14ac:dyDescent="0.3">
      <c r="A356" s="46">
        <v>15</v>
      </c>
      <c r="B356" s="2"/>
    </row>
    <row r="357" spans="1:2" x14ac:dyDescent="0.3">
      <c r="A357" s="46">
        <v>3</v>
      </c>
      <c r="B357" s="2"/>
    </row>
    <row r="358" spans="1:2" x14ac:dyDescent="0.3">
      <c r="A358" s="46">
        <v>11</v>
      </c>
      <c r="B358" s="2"/>
    </row>
    <row r="359" spans="1:2" x14ac:dyDescent="0.3">
      <c r="A359" s="46">
        <v>1</v>
      </c>
      <c r="B359" s="2"/>
    </row>
    <row r="360" spans="1:2" x14ac:dyDescent="0.3">
      <c r="A360" s="46">
        <v>4</v>
      </c>
      <c r="B360" s="2"/>
    </row>
    <row r="361" spans="1:2" x14ac:dyDescent="0.3">
      <c r="A361" s="46">
        <v>3</v>
      </c>
      <c r="B361" s="2"/>
    </row>
    <row r="362" spans="1:2" x14ac:dyDescent="0.3">
      <c r="A362" s="46">
        <v>10</v>
      </c>
      <c r="B362" s="2"/>
    </row>
    <row r="363" spans="1:2" x14ac:dyDescent="0.3">
      <c r="A363" s="46">
        <v>10</v>
      </c>
      <c r="B363" s="2"/>
    </row>
    <row r="364" spans="1:2" x14ac:dyDescent="0.3">
      <c r="A364" s="46">
        <v>2</v>
      </c>
      <c r="B364" s="2"/>
    </row>
    <row r="365" spans="1:2" x14ac:dyDescent="0.3">
      <c r="A365" s="46">
        <v>13</v>
      </c>
      <c r="B365" s="2"/>
    </row>
    <row r="366" spans="1:2" x14ac:dyDescent="0.3">
      <c r="A366" s="46">
        <v>15</v>
      </c>
      <c r="B366" s="2"/>
    </row>
    <row r="367" spans="1:2" x14ac:dyDescent="0.3">
      <c r="A367" s="46">
        <v>4</v>
      </c>
      <c r="B367" s="2"/>
    </row>
    <row r="368" spans="1:2" x14ac:dyDescent="0.3">
      <c r="A368" s="46">
        <v>9</v>
      </c>
      <c r="B368" s="2"/>
    </row>
    <row r="369" spans="1:2" x14ac:dyDescent="0.3">
      <c r="A369" s="46">
        <v>15</v>
      </c>
      <c r="B369" s="2"/>
    </row>
    <row r="370" spans="1:2" x14ac:dyDescent="0.3">
      <c r="A370" s="46">
        <v>2</v>
      </c>
      <c r="B370" s="2"/>
    </row>
    <row r="371" spans="1:2" x14ac:dyDescent="0.3">
      <c r="A371" s="46">
        <v>1</v>
      </c>
      <c r="B371" s="2"/>
    </row>
    <row r="372" spans="1:2" x14ac:dyDescent="0.3">
      <c r="A372" s="46">
        <v>13</v>
      </c>
      <c r="B372" s="2"/>
    </row>
    <row r="373" spans="1:2" x14ac:dyDescent="0.3">
      <c r="A373" s="46">
        <v>8</v>
      </c>
      <c r="B373" s="2"/>
    </row>
    <row r="374" spans="1:2" x14ac:dyDescent="0.3">
      <c r="A374" s="46">
        <v>10</v>
      </c>
      <c r="B374" s="2"/>
    </row>
    <row r="375" spans="1:2" x14ac:dyDescent="0.3">
      <c r="A375" s="46">
        <v>8</v>
      </c>
      <c r="B375" s="2"/>
    </row>
    <row r="376" spans="1:2" x14ac:dyDescent="0.3">
      <c r="A376" s="46">
        <v>1</v>
      </c>
      <c r="B376" s="2"/>
    </row>
    <row r="377" spans="1:2" x14ac:dyDescent="0.3">
      <c r="A377" s="46">
        <v>4</v>
      </c>
      <c r="B377" s="2"/>
    </row>
    <row r="378" spans="1:2" x14ac:dyDescent="0.3">
      <c r="A378" s="46">
        <v>11</v>
      </c>
      <c r="B378" s="2"/>
    </row>
    <row r="379" spans="1:2" x14ac:dyDescent="0.3">
      <c r="A379" s="46">
        <v>4</v>
      </c>
      <c r="B379" s="2"/>
    </row>
    <row r="380" spans="1:2" x14ac:dyDescent="0.3">
      <c r="A380" s="46">
        <v>6</v>
      </c>
      <c r="B380" s="2"/>
    </row>
    <row r="381" spans="1:2" x14ac:dyDescent="0.3">
      <c r="A381" s="46">
        <v>7</v>
      </c>
      <c r="B381" s="2"/>
    </row>
    <row r="382" spans="1:2" x14ac:dyDescent="0.3">
      <c r="A382" s="46">
        <v>2</v>
      </c>
      <c r="B382" s="2"/>
    </row>
    <row r="383" spans="1:2" x14ac:dyDescent="0.3">
      <c r="A383" s="46">
        <v>10</v>
      </c>
      <c r="B383" s="2"/>
    </row>
    <row r="384" spans="1:2" x14ac:dyDescent="0.3">
      <c r="A384" s="46">
        <v>13</v>
      </c>
      <c r="B384" s="2"/>
    </row>
    <row r="385" spans="1:2" x14ac:dyDescent="0.3">
      <c r="A385" s="46">
        <v>2</v>
      </c>
      <c r="B385" s="2"/>
    </row>
    <row r="386" spans="1:2" x14ac:dyDescent="0.3">
      <c r="A386" s="46">
        <v>15</v>
      </c>
      <c r="B386" s="2"/>
    </row>
    <row r="387" spans="1:2" x14ac:dyDescent="0.3">
      <c r="A387" s="46">
        <v>15</v>
      </c>
      <c r="B387" s="2"/>
    </row>
    <row r="388" spans="1:2" x14ac:dyDescent="0.3">
      <c r="A388" s="46">
        <v>4</v>
      </c>
      <c r="B388" s="2"/>
    </row>
    <row r="389" spans="1:2" x14ac:dyDescent="0.3">
      <c r="A389" s="46">
        <v>5</v>
      </c>
      <c r="B389" s="2"/>
    </row>
    <row r="390" spans="1:2" x14ac:dyDescent="0.3">
      <c r="A390" s="46">
        <v>4</v>
      </c>
      <c r="B390" s="2"/>
    </row>
    <row r="391" spans="1:2" x14ac:dyDescent="0.3">
      <c r="A391" s="46">
        <v>4</v>
      </c>
      <c r="B391" s="2"/>
    </row>
    <row r="392" spans="1:2" x14ac:dyDescent="0.3">
      <c r="A392" s="46">
        <v>14</v>
      </c>
      <c r="B392" s="2"/>
    </row>
    <row r="393" spans="1:2" x14ac:dyDescent="0.3">
      <c r="A393" s="46">
        <v>4</v>
      </c>
      <c r="B393" s="2"/>
    </row>
    <row r="394" spans="1:2" x14ac:dyDescent="0.3">
      <c r="A394" s="46">
        <v>1</v>
      </c>
      <c r="B394" s="2"/>
    </row>
    <row r="395" spans="1:2" x14ac:dyDescent="0.3">
      <c r="A395" s="46">
        <v>10</v>
      </c>
      <c r="B395" s="2"/>
    </row>
    <row r="396" spans="1:2" x14ac:dyDescent="0.3">
      <c r="A396" s="46">
        <v>10</v>
      </c>
      <c r="B396" s="2"/>
    </row>
    <row r="397" spans="1:2" x14ac:dyDescent="0.3">
      <c r="A397" s="46">
        <v>5</v>
      </c>
      <c r="B397" s="2"/>
    </row>
    <row r="398" spans="1:2" x14ac:dyDescent="0.3">
      <c r="A398" s="46">
        <v>5</v>
      </c>
      <c r="B398" s="2"/>
    </row>
    <row r="399" spans="1:2" x14ac:dyDescent="0.3">
      <c r="A399" s="46">
        <v>15</v>
      </c>
      <c r="B399" s="2"/>
    </row>
    <row r="400" spans="1:2" x14ac:dyDescent="0.3">
      <c r="A400" s="46">
        <v>2</v>
      </c>
      <c r="B400" s="2"/>
    </row>
    <row r="401" spans="1:2" x14ac:dyDescent="0.3">
      <c r="A401" s="46">
        <v>2</v>
      </c>
      <c r="B401" s="2"/>
    </row>
    <row r="402" spans="1:2" x14ac:dyDescent="0.3">
      <c r="A402" s="46">
        <v>1</v>
      </c>
      <c r="B402" s="2"/>
    </row>
    <row r="403" spans="1:2" x14ac:dyDescent="0.3">
      <c r="A403" s="46">
        <v>5</v>
      </c>
      <c r="B403" s="2"/>
    </row>
    <row r="404" spans="1:2" x14ac:dyDescent="0.3">
      <c r="A404" s="46">
        <v>12</v>
      </c>
      <c r="B404" s="2"/>
    </row>
    <row r="405" spans="1:2" x14ac:dyDescent="0.3">
      <c r="A405" s="46">
        <v>7</v>
      </c>
      <c r="B405" s="2"/>
    </row>
    <row r="406" spans="1:2" x14ac:dyDescent="0.3">
      <c r="A406" s="46">
        <v>6</v>
      </c>
      <c r="B406" s="2"/>
    </row>
    <row r="407" spans="1:2" x14ac:dyDescent="0.3">
      <c r="A407" s="46">
        <v>14</v>
      </c>
      <c r="B407" s="2"/>
    </row>
    <row r="408" spans="1:2" x14ac:dyDescent="0.3">
      <c r="A408" s="46">
        <v>2</v>
      </c>
      <c r="B408" s="2"/>
    </row>
    <row r="409" spans="1:2" x14ac:dyDescent="0.3">
      <c r="A409" s="46">
        <v>16</v>
      </c>
      <c r="B409" s="2"/>
    </row>
    <row r="410" spans="1:2" x14ac:dyDescent="0.3">
      <c r="A410" s="46">
        <v>14</v>
      </c>
      <c r="B410" s="2"/>
    </row>
    <row r="411" spans="1:2" x14ac:dyDescent="0.3">
      <c r="A411" s="46">
        <v>2</v>
      </c>
      <c r="B411" s="2"/>
    </row>
    <row r="412" spans="1:2" x14ac:dyDescent="0.3">
      <c r="A412" s="46">
        <v>11</v>
      </c>
      <c r="B412" s="2"/>
    </row>
    <row r="413" spans="1:2" x14ac:dyDescent="0.3">
      <c r="A413" s="46">
        <v>20</v>
      </c>
      <c r="B413" s="2"/>
    </row>
    <row r="414" spans="1:2" x14ac:dyDescent="0.3">
      <c r="A414" s="46">
        <v>3</v>
      </c>
      <c r="B414" s="2"/>
    </row>
    <row r="415" spans="1:2" x14ac:dyDescent="0.3">
      <c r="A415" s="46">
        <v>1</v>
      </c>
      <c r="B415" s="2"/>
    </row>
    <row r="416" spans="1:2" x14ac:dyDescent="0.3">
      <c r="A416" s="46">
        <v>15</v>
      </c>
      <c r="B416" s="2"/>
    </row>
    <row r="417" spans="1:2" x14ac:dyDescent="0.3">
      <c r="A417" s="46">
        <v>7</v>
      </c>
      <c r="B417" s="2"/>
    </row>
    <row r="418" spans="1:2" x14ac:dyDescent="0.3">
      <c r="A418" s="46">
        <v>9</v>
      </c>
      <c r="B418" s="2"/>
    </row>
    <row r="419" spans="1:2" x14ac:dyDescent="0.3">
      <c r="A419" s="46">
        <v>14</v>
      </c>
      <c r="B419" s="2"/>
    </row>
    <row r="420" spans="1:2" x14ac:dyDescent="0.3">
      <c r="A420" s="46">
        <v>10</v>
      </c>
      <c r="B420" s="2"/>
    </row>
    <row r="421" spans="1:2" x14ac:dyDescent="0.3">
      <c r="A421" s="46">
        <v>15</v>
      </c>
      <c r="B421" s="2"/>
    </row>
    <row r="422" spans="1:2" x14ac:dyDescent="0.3">
      <c r="A422" s="46">
        <v>2</v>
      </c>
      <c r="B422" s="2"/>
    </row>
    <row r="423" spans="1:2" x14ac:dyDescent="0.3">
      <c r="A423" s="46">
        <v>19</v>
      </c>
      <c r="B423" s="2"/>
    </row>
    <row r="424" spans="1:2" x14ac:dyDescent="0.3">
      <c r="A424" s="46">
        <v>19</v>
      </c>
      <c r="B424" s="2"/>
    </row>
    <row r="425" spans="1:2" x14ac:dyDescent="0.3">
      <c r="A425" s="46">
        <v>4</v>
      </c>
      <c r="B425" s="2"/>
    </row>
    <row r="426" spans="1:2" x14ac:dyDescent="0.3">
      <c r="A426" s="46">
        <v>2</v>
      </c>
      <c r="B426" s="2"/>
    </row>
    <row r="427" spans="1:2" x14ac:dyDescent="0.3">
      <c r="A427" s="46">
        <v>8</v>
      </c>
      <c r="B427" s="2"/>
    </row>
    <row r="428" spans="1:2" x14ac:dyDescent="0.3">
      <c r="A428" s="46">
        <v>2</v>
      </c>
      <c r="B428" s="2"/>
    </row>
    <row r="429" spans="1:2" x14ac:dyDescent="0.3">
      <c r="A429" s="46">
        <v>14</v>
      </c>
      <c r="B429" s="2"/>
    </row>
    <row r="430" spans="1:2" x14ac:dyDescent="0.3">
      <c r="A430" s="46">
        <v>4</v>
      </c>
      <c r="B430" s="2"/>
    </row>
    <row r="431" spans="1:2" x14ac:dyDescent="0.3">
      <c r="A431" s="46">
        <v>4</v>
      </c>
      <c r="B431" s="2"/>
    </row>
    <row r="432" spans="1:2" x14ac:dyDescent="0.3">
      <c r="A432" s="46">
        <v>3</v>
      </c>
      <c r="B432" s="2"/>
    </row>
    <row r="433" spans="1:2" x14ac:dyDescent="0.3">
      <c r="A433" s="46">
        <v>13</v>
      </c>
      <c r="B433" s="2"/>
    </row>
    <row r="434" spans="1:2" x14ac:dyDescent="0.3">
      <c r="A434" s="46">
        <v>10</v>
      </c>
      <c r="B434" s="2"/>
    </row>
    <row r="435" spans="1:2" x14ac:dyDescent="0.3">
      <c r="A435" s="46">
        <v>1</v>
      </c>
      <c r="B435" s="2"/>
    </row>
    <row r="436" spans="1:2" x14ac:dyDescent="0.3">
      <c r="A436" s="46">
        <v>7</v>
      </c>
      <c r="B436" s="2"/>
    </row>
    <row r="437" spans="1:2" x14ac:dyDescent="0.3">
      <c r="A437" s="46">
        <v>8</v>
      </c>
      <c r="B437" s="2"/>
    </row>
    <row r="438" spans="1:2" x14ac:dyDescent="0.3">
      <c r="A438" s="46">
        <v>1</v>
      </c>
      <c r="B438" s="2"/>
    </row>
    <row r="439" spans="1:2" x14ac:dyDescent="0.3">
      <c r="A439" s="46">
        <v>13</v>
      </c>
      <c r="B439" s="2"/>
    </row>
    <row r="440" spans="1:2" x14ac:dyDescent="0.3">
      <c r="A440" s="46">
        <v>7</v>
      </c>
      <c r="B440" s="2"/>
    </row>
    <row r="441" spans="1:2" x14ac:dyDescent="0.3">
      <c r="A441" s="46">
        <v>14</v>
      </c>
      <c r="B441" s="2"/>
    </row>
    <row r="442" spans="1:2" x14ac:dyDescent="0.3">
      <c r="A442" s="46">
        <v>14</v>
      </c>
      <c r="B442" s="2"/>
    </row>
    <row r="443" spans="1:2" x14ac:dyDescent="0.3">
      <c r="A443" s="46">
        <v>4</v>
      </c>
      <c r="B443" s="2"/>
    </row>
    <row r="444" spans="1:2" x14ac:dyDescent="0.3">
      <c r="A444" s="46">
        <v>4</v>
      </c>
      <c r="B444" s="2"/>
    </row>
    <row r="445" spans="1:2" x14ac:dyDescent="0.3">
      <c r="A445" s="46">
        <v>5</v>
      </c>
      <c r="B445" s="2"/>
    </row>
    <row r="446" spans="1:2" x14ac:dyDescent="0.3">
      <c r="A446" s="46">
        <v>12</v>
      </c>
      <c r="B446" s="2"/>
    </row>
    <row r="447" spans="1:2" x14ac:dyDescent="0.3">
      <c r="A447" s="46">
        <v>14</v>
      </c>
      <c r="B447" s="2"/>
    </row>
    <row r="448" spans="1:2" x14ac:dyDescent="0.3">
      <c r="A448" s="46">
        <v>6</v>
      </c>
      <c r="B448" s="2"/>
    </row>
    <row r="449" spans="1:2" x14ac:dyDescent="0.3">
      <c r="A449" s="46">
        <v>1</v>
      </c>
      <c r="B449" s="2"/>
    </row>
    <row r="450" spans="1:2" x14ac:dyDescent="0.3">
      <c r="A450" s="46">
        <v>1</v>
      </c>
      <c r="B450" s="2"/>
    </row>
    <row r="451" spans="1:2" x14ac:dyDescent="0.3">
      <c r="A451" s="46">
        <v>3</v>
      </c>
      <c r="B451" s="2"/>
    </row>
    <row r="452" spans="1:2" x14ac:dyDescent="0.3">
      <c r="A452" s="46">
        <v>9</v>
      </c>
      <c r="B452" s="2"/>
    </row>
    <row r="453" spans="1:2" x14ac:dyDescent="0.3">
      <c r="A453" s="46">
        <v>18</v>
      </c>
      <c r="B453" s="2"/>
    </row>
    <row r="454" spans="1:2" x14ac:dyDescent="0.3">
      <c r="A454" s="46">
        <v>2</v>
      </c>
      <c r="B454" s="2"/>
    </row>
    <row r="455" spans="1:2" x14ac:dyDescent="0.3">
      <c r="A455" s="46">
        <v>12</v>
      </c>
      <c r="B455" s="2"/>
    </row>
    <row r="456" spans="1:2" x14ac:dyDescent="0.3">
      <c r="A456" s="46">
        <v>9</v>
      </c>
      <c r="B456" s="2"/>
    </row>
    <row r="457" spans="1:2" x14ac:dyDescent="0.3">
      <c r="A457" s="46">
        <v>2</v>
      </c>
      <c r="B457" s="2"/>
    </row>
    <row r="458" spans="1:2" x14ac:dyDescent="0.3">
      <c r="A458" s="46">
        <v>4</v>
      </c>
      <c r="B458" s="2"/>
    </row>
    <row r="459" spans="1:2" x14ac:dyDescent="0.3">
      <c r="A459" s="46">
        <v>4</v>
      </c>
      <c r="B459" s="2"/>
    </row>
    <row r="460" spans="1:2" x14ac:dyDescent="0.3">
      <c r="A460" s="46">
        <v>4</v>
      </c>
      <c r="B460" s="2"/>
    </row>
    <row r="461" spans="1:2" x14ac:dyDescent="0.3">
      <c r="A461" s="46">
        <v>5</v>
      </c>
      <c r="B461" s="2"/>
    </row>
    <row r="462" spans="1:2" x14ac:dyDescent="0.3">
      <c r="A462" s="46">
        <v>14</v>
      </c>
      <c r="B462" s="2"/>
    </row>
    <row r="463" spans="1:2" x14ac:dyDescent="0.3">
      <c r="A463" s="46">
        <v>1</v>
      </c>
      <c r="B463" s="2"/>
    </row>
    <row r="464" spans="1:2" x14ac:dyDescent="0.3">
      <c r="A464" s="46">
        <v>7</v>
      </c>
      <c r="B464" s="2"/>
    </row>
    <row r="465" spans="1:2" x14ac:dyDescent="0.3">
      <c r="A465" s="46">
        <v>9</v>
      </c>
      <c r="B465" s="2"/>
    </row>
    <row r="466" spans="1:2" x14ac:dyDescent="0.3">
      <c r="A466" s="46">
        <v>6</v>
      </c>
      <c r="B466" s="2"/>
    </row>
    <row r="467" spans="1:2" x14ac:dyDescent="0.3">
      <c r="A467" s="46">
        <v>5</v>
      </c>
      <c r="B467" s="2"/>
    </row>
    <row r="468" spans="1:2" x14ac:dyDescent="0.3">
      <c r="A468" s="46">
        <v>9</v>
      </c>
      <c r="B468" s="2"/>
    </row>
    <row r="469" spans="1:2" x14ac:dyDescent="0.3">
      <c r="A469" s="46">
        <v>16</v>
      </c>
      <c r="B469" s="2"/>
    </row>
    <row r="470" spans="1:2" x14ac:dyDescent="0.3">
      <c r="A470" s="46">
        <v>11</v>
      </c>
      <c r="B470" s="2"/>
    </row>
    <row r="471" spans="1:2" x14ac:dyDescent="0.3">
      <c r="A471" s="46">
        <v>7</v>
      </c>
      <c r="B471" s="2"/>
    </row>
    <row r="472" spans="1:2" x14ac:dyDescent="0.3">
      <c r="A472" s="46">
        <v>2</v>
      </c>
      <c r="B472" s="2"/>
    </row>
    <row r="473" spans="1:2" x14ac:dyDescent="0.3">
      <c r="A473" s="46">
        <v>13</v>
      </c>
      <c r="B473" s="2"/>
    </row>
    <row r="474" spans="1:2" x14ac:dyDescent="0.3">
      <c r="A474" s="46">
        <v>15</v>
      </c>
      <c r="B474" s="2"/>
    </row>
    <row r="475" spans="1:2" x14ac:dyDescent="0.3">
      <c r="A475" s="46">
        <v>1</v>
      </c>
      <c r="B475" s="2"/>
    </row>
    <row r="476" spans="1:2" x14ac:dyDescent="0.3">
      <c r="A476" s="46">
        <v>6</v>
      </c>
      <c r="B476" s="2"/>
    </row>
    <row r="477" spans="1:2" x14ac:dyDescent="0.3">
      <c r="A477" s="46">
        <v>7</v>
      </c>
      <c r="B477" s="2"/>
    </row>
    <row r="478" spans="1:2" x14ac:dyDescent="0.3">
      <c r="A478" s="46">
        <v>14</v>
      </c>
      <c r="B478" s="2"/>
    </row>
    <row r="479" spans="1:2" x14ac:dyDescent="0.3">
      <c r="A479" s="46">
        <v>12</v>
      </c>
      <c r="B479" s="2"/>
    </row>
    <row r="480" spans="1:2" x14ac:dyDescent="0.3">
      <c r="A480" s="46">
        <v>6</v>
      </c>
      <c r="B480" s="2"/>
    </row>
    <row r="481" spans="1:2" x14ac:dyDescent="0.3">
      <c r="A481" s="46">
        <v>17</v>
      </c>
      <c r="B481" s="2"/>
    </row>
    <row r="482" spans="1:2" x14ac:dyDescent="0.3">
      <c r="A482" s="46">
        <v>13</v>
      </c>
      <c r="B482" s="2"/>
    </row>
    <row r="483" spans="1:2" x14ac:dyDescent="0.3">
      <c r="A483" s="46">
        <v>4</v>
      </c>
      <c r="B483" s="2"/>
    </row>
    <row r="484" spans="1:2" x14ac:dyDescent="0.3">
      <c r="A484" s="46">
        <v>15</v>
      </c>
      <c r="B484" s="2"/>
    </row>
    <row r="485" spans="1:2" x14ac:dyDescent="0.3">
      <c r="A485" s="46">
        <v>2</v>
      </c>
      <c r="B485" s="2"/>
    </row>
    <row r="486" spans="1:2" x14ac:dyDescent="0.3">
      <c r="A486" s="46">
        <v>5</v>
      </c>
      <c r="B486" s="2"/>
    </row>
    <row r="487" spans="1:2" x14ac:dyDescent="0.3">
      <c r="A487" s="46">
        <v>13</v>
      </c>
      <c r="B487" s="2"/>
    </row>
    <row r="488" spans="1:2" x14ac:dyDescent="0.3">
      <c r="A488" s="46">
        <v>8</v>
      </c>
      <c r="B488" s="2"/>
    </row>
    <row r="489" spans="1:2" x14ac:dyDescent="0.3">
      <c r="A489" s="46">
        <v>9</v>
      </c>
      <c r="B489" s="2"/>
    </row>
    <row r="490" spans="1:2" x14ac:dyDescent="0.3">
      <c r="A490" s="46">
        <v>11</v>
      </c>
      <c r="B490" s="2"/>
    </row>
    <row r="491" spans="1:2" x14ac:dyDescent="0.3">
      <c r="A491" s="46">
        <v>5</v>
      </c>
      <c r="B491" s="2"/>
    </row>
    <row r="492" spans="1:2" x14ac:dyDescent="0.3">
      <c r="A492" s="46">
        <v>2</v>
      </c>
      <c r="B492" s="2"/>
    </row>
    <row r="493" spans="1:2" x14ac:dyDescent="0.3">
      <c r="A493" s="46">
        <v>15</v>
      </c>
      <c r="B493" s="2"/>
    </row>
    <row r="494" spans="1:2" x14ac:dyDescent="0.3">
      <c r="A494" s="46">
        <v>15</v>
      </c>
      <c r="B494" s="2"/>
    </row>
    <row r="495" spans="1:2" x14ac:dyDescent="0.3">
      <c r="A495" s="46">
        <v>7</v>
      </c>
      <c r="B495" s="2"/>
    </row>
    <row r="496" spans="1:2" x14ac:dyDescent="0.3">
      <c r="A496" s="46">
        <v>4</v>
      </c>
      <c r="B496" s="2"/>
    </row>
    <row r="497" spans="1:2" x14ac:dyDescent="0.3">
      <c r="A497" s="46">
        <v>5</v>
      </c>
      <c r="B497" s="2"/>
    </row>
    <row r="498" spans="1:2" x14ac:dyDescent="0.3">
      <c r="A498" s="46">
        <v>19</v>
      </c>
      <c r="B498" s="2"/>
    </row>
    <row r="499" spans="1:2" x14ac:dyDescent="0.3">
      <c r="A499" s="46">
        <v>20</v>
      </c>
      <c r="B499" s="2"/>
    </row>
    <row r="500" spans="1:2" x14ac:dyDescent="0.3">
      <c r="A500" s="46">
        <v>3</v>
      </c>
      <c r="B500" s="2"/>
    </row>
    <row r="501" spans="1:2" x14ac:dyDescent="0.3">
      <c r="A501" s="46">
        <v>13</v>
      </c>
      <c r="B501" s="2"/>
    </row>
    <row r="502" spans="1:2" x14ac:dyDescent="0.3">
      <c r="A502" s="46">
        <v>8</v>
      </c>
      <c r="B502" s="2"/>
    </row>
    <row r="503" spans="1:2" x14ac:dyDescent="0.3">
      <c r="A503" s="46">
        <v>4</v>
      </c>
      <c r="B503" s="2"/>
    </row>
    <row r="504" spans="1:2" x14ac:dyDescent="0.3">
      <c r="A504" s="46">
        <v>3</v>
      </c>
      <c r="B504" s="2"/>
    </row>
    <row r="505" spans="1:2" x14ac:dyDescent="0.3">
      <c r="A505" s="46">
        <v>2</v>
      </c>
      <c r="B505" s="2"/>
    </row>
    <row r="506" spans="1:2" x14ac:dyDescent="0.3">
      <c r="A506" s="46">
        <v>1</v>
      </c>
      <c r="B506" s="2"/>
    </row>
    <row r="507" spans="1:2" x14ac:dyDescent="0.3">
      <c r="A507" s="46">
        <v>12</v>
      </c>
      <c r="B507" s="2"/>
    </row>
    <row r="508" spans="1:2" x14ac:dyDescent="0.3">
      <c r="A508" s="46">
        <v>2</v>
      </c>
      <c r="B508" s="2"/>
    </row>
    <row r="509" spans="1:2" x14ac:dyDescent="0.3">
      <c r="A509" s="46">
        <v>15</v>
      </c>
      <c r="B509" s="2"/>
    </row>
    <row r="510" spans="1:2" x14ac:dyDescent="0.3">
      <c r="A510" s="46">
        <v>2</v>
      </c>
      <c r="B510" s="2"/>
    </row>
    <row r="511" spans="1:2" x14ac:dyDescent="0.3">
      <c r="A511" s="46">
        <v>18</v>
      </c>
      <c r="B511" s="2"/>
    </row>
    <row r="512" spans="1:2" x14ac:dyDescent="0.3">
      <c r="A512" s="46">
        <v>5</v>
      </c>
      <c r="B512" s="2"/>
    </row>
    <row r="513" spans="1:2" x14ac:dyDescent="0.3">
      <c r="A513" s="46">
        <v>9</v>
      </c>
      <c r="B513" s="2"/>
    </row>
    <row r="514" spans="1:2" x14ac:dyDescent="0.3">
      <c r="A514" s="46">
        <v>8</v>
      </c>
      <c r="B514" s="2"/>
    </row>
    <row r="515" spans="1:2" x14ac:dyDescent="0.3">
      <c r="A515" s="46">
        <v>14</v>
      </c>
      <c r="B515" s="2"/>
    </row>
    <row r="516" spans="1:2" x14ac:dyDescent="0.3">
      <c r="A516" s="46">
        <v>1</v>
      </c>
      <c r="B516" s="2"/>
    </row>
    <row r="517" spans="1:2" x14ac:dyDescent="0.3">
      <c r="A517" s="46">
        <v>12</v>
      </c>
      <c r="B517" s="2"/>
    </row>
    <row r="518" spans="1:2" x14ac:dyDescent="0.3">
      <c r="A518" s="46">
        <v>2</v>
      </c>
      <c r="B518" s="2"/>
    </row>
    <row r="519" spans="1:2" x14ac:dyDescent="0.3">
      <c r="A519" s="46">
        <v>6</v>
      </c>
      <c r="B519" s="2"/>
    </row>
    <row r="520" spans="1:2" x14ac:dyDescent="0.3">
      <c r="A520" s="46">
        <v>20</v>
      </c>
      <c r="B520" s="2"/>
    </row>
    <row r="521" spans="1:2" x14ac:dyDescent="0.3">
      <c r="A521" s="46">
        <v>4</v>
      </c>
      <c r="B521" s="2"/>
    </row>
    <row r="522" spans="1:2" x14ac:dyDescent="0.3">
      <c r="A522" s="46">
        <v>18</v>
      </c>
      <c r="B522" s="2"/>
    </row>
    <row r="523" spans="1:2" x14ac:dyDescent="0.3">
      <c r="A523" s="46">
        <v>3</v>
      </c>
      <c r="B523" s="2"/>
    </row>
    <row r="524" spans="1:2" x14ac:dyDescent="0.3">
      <c r="A524" s="46">
        <v>2</v>
      </c>
      <c r="B524" s="2"/>
    </row>
    <row r="525" spans="1:2" x14ac:dyDescent="0.3">
      <c r="A525" s="46">
        <v>14</v>
      </c>
      <c r="B525" s="2"/>
    </row>
    <row r="526" spans="1:2" x14ac:dyDescent="0.3">
      <c r="A526" s="46">
        <v>17</v>
      </c>
      <c r="B526" s="2"/>
    </row>
    <row r="527" spans="1:2" x14ac:dyDescent="0.3">
      <c r="A527" s="46">
        <v>6</v>
      </c>
      <c r="B527" s="2"/>
    </row>
    <row r="528" spans="1:2" x14ac:dyDescent="0.3">
      <c r="A528" s="46">
        <v>11</v>
      </c>
      <c r="B528" s="2"/>
    </row>
    <row r="529" spans="1:2" x14ac:dyDescent="0.3">
      <c r="A529" s="46">
        <v>1</v>
      </c>
      <c r="B529" s="2"/>
    </row>
    <row r="530" spans="1:2" x14ac:dyDescent="0.3">
      <c r="A530" s="46">
        <v>12</v>
      </c>
      <c r="B530" s="2"/>
    </row>
    <row r="531" spans="1:2" x14ac:dyDescent="0.3">
      <c r="A531" s="46">
        <v>2</v>
      </c>
      <c r="B531" s="2"/>
    </row>
    <row r="532" spans="1:2" x14ac:dyDescent="0.3">
      <c r="A532" s="46">
        <v>2</v>
      </c>
      <c r="B532" s="2"/>
    </row>
    <row r="533" spans="1:2" x14ac:dyDescent="0.3">
      <c r="A533" s="46">
        <v>18</v>
      </c>
      <c r="B533" s="2"/>
    </row>
    <row r="534" spans="1:2" x14ac:dyDescent="0.3">
      <c r="A534" s="46">
        <v>4</v>
      </c>
      <c r="B534" s="2"/>
    </row>
    <row r="535" spans="1:2" x14ac:dyDescent="0.3">
      <c r="A535" s="46">
        <v>7</v>
      </c>
      <c r="B535" s="2"/>
    </row>
    <row r="536" spans="1:2" x14ac:dyDescent="0.3">
      <c r="A536" s="46">
        <v>15</v>
      </c>
      <c r="B536" s="2"/>
    </row>
    <row r="537" spans="1:2" x14ac:dyDescent="0.3">
      <c r="A537" s="46">
        <v>10</v>
      </c>
      <c r="B537" s="2"/>
    </row>
    <row r="538" spans="1:2" x14ac:dyDescent="0.3">
      <c r="A538" s="46">
        <v>15</v>
      </c>
      <c r="B538" s="2"/>
    </row>
    <row r="539" spans="1:2" x14ac:dyDescent="0.3">
      <c r="A539" s="46">
        <v>15</v>
      </c>
      <c r="B539" s="2"/>
    </row>
    <row r="540" spans="1:2" x14ac:dyDescent="0.3">
      <c r="A540" s="46">
        <v>2</v>
      </c>
      <c r="B540" s="2"/>
    </row>
    <row r="541" spans="1:2" x14ac:dyDescent="0.3">
      <c r="A541" s="46">
        <v>1</v>
      </c>
      <c r="B541" s="2"/>
    </row>
    <row r="542" spans="1:2" x14ac:dyDescent="0.3">
      <c r="A542" s="46">
        <v>1</v>
      </c>
      <c r="B542" s="2"/>
    </row>
    <row r="543" spans="1:2" x14ac:dyDescent="0.3">
      <c r="A543" s="46">
        <v>3</v>
      </c>
      <c r="B543" s="2"/>
    </row>
    <row r="544" spans="1:2" x14ac:dyDescent="0.3">
      <c r="A544" s="46">
        <v>5</v>
      </c>
      <c r="B544" s="2"/>
    </row>
    <row r="545" spans="1:2" x14ac:dyDescent="0.3">
      <c r="A545" s="46">
        <v>14</v>
      </c>
      <c r="B545" s="2"/>
    </row>
    <row r="546" spans="1:2" x14ac:dyDescent="0.3">
      <c r="A546" s="46">
        <v>4</v>
      </c>
      <c r="B546" s="2"/>
    </row>
    <row r="547" spans="1:2" x14ac:dyDescent="0.3">
      <c r="A547" s="46">
        <v>1</v>
      </c>
      <c r="B547" s="2"/>
    </row>
    <row r="548" spans="1:2" x14ac:dyDescent="0.3">
      <c r="A548" s="46">
        <v>1</v>
      </c>
      <c r="B548" s="2"/>
    </row>
    <row r="549" spans="1:2" x14ac:dyDescent="0.3">
      <c r="A549" s="46">
        <v>1</v>
      </c>
      <c r="B549" s="2"/>
    </row>
    <row r="550" spans="1:2" x14ac:dyDescent="0.3">
      <c r="A550" s="46">
        <v>5</v>
      </c>
      <c r="B550" s="2"/>
    </row>
    <row r="551" spans="1:2" x14ac:dyDescent="0.3">
      <c r="A551" s="46">
        <v>2</v>
      </c>
      <c r="B551" s="2"/>
    </row>
    <row r="552" spans="1:2" x14ac:dyDescent="0.3">
      <c r="A552" s="46">
        <v>2</v>
      </c>
      <c r="B552" s="2"/>
    </row>
    <row r="553" spans="1:2" x14ac:dyDescent="0.3">
      <c r="A553" s="46">
        <v>1</v>
      </c>
      <c r="B553" s="2"/>
    </row>
    <row r="554" spans="1:2" x14ac:dyDescent="0.3">
      <c r="A554" s="46">
        <v>1</v>
      </c>
      <c r="B554" s="2"/>
    </row>
    <row r="555" spans="1:2" x14ac:dyDescent="0.3">
      <c r="A555" s="46">
        <v>13</v>
      </c>
      <c r="B555" s="2"/>
    </row>
    <row r="556" spans="1:2" x14ac:dyDescent="0.3">
      <c r="A556" s="46">
        <v>5</v>
      </c>
      <c r="B556" s="2"/>
    </row>
    <row r="557" spans="1:2" x14ac:dyDescent="0.3">
      <c r="A557" s="46">
        <v>15</v>
      </c>
      <c r="B557" s="2"/>
    </row>
    <row r="558" spans="1:2" x14ac:dyDescent="0.3">
      <c r="A558" s="46">
        <v>5</v>
      </c>
      <c r="B558" s="2"/>
    </row>
    <row r="559" spans="1:2" x14ac:dyDescent="0.3">
      <c r="A559" s="46">
        <v>13</v>
      </c>
      <c r="B559" s="2"/>
    </row>
    <row r="560" spans="1:2" x14ac:dyDescent="0.3">
      <c r="A560" s="46">
        <v>19</v>
      </c>
      <c r="B560" s="2"/>
    </row>
    <row r="561" spans="1:2" x14ac:dyDescent="0.3">
      <c r="A561" s="46">
        <v>15</v>
      </c>
      <c r="B561" s="2"/>
    </row>
    <row r="562" spans="1:2" x14ac:dyDescent="0.3">
      <c r="A562" s="46">
        <v>15</v>
      </c>
      <c r="B562" s="2"/>
    </row>
    <row r="563" spans="1:2" x14ac:dyDescent="0.3">
      <c r="A563" s="46">
        <v>1</v>
      </c>
      <c r="B563" s="2"/>
    </row>
    <row r="564" spans="1:2" x14ac:dyDescent="0.3">
      <c r="A564" s="46">
        <v>8</v>
      </c>
      <c r="B564" s="2"/>
    </row>
    <row r="565" spans="1:2" x14ac:dyDescent="0.3">
      <c r="A565" s="46">
        <v>5</v>
      </c>
      <c r="B565" s="2"/>
    </row>
    <row r="566" spans="1:2" x14ac:dyDescent="0.3">
      <c r="A566" s="46">
        <v>7</v>
      </c>
      <c r="B566" s="2"/>
    </row>
    <row r="567" spans="1:2" x14ac:dyDescent="0.3">
      <c r="A567" s="46">
        <v>14</v>
      </c>
      <c r="B567" s="2"/>
    </row>
    <row r="568" spans="1:2" x14ac:dyDescent="0.3">
      <c r="A568" s="46">
        <v>1</v>
      </c>
      <c r="B568" s="2"/>
    </row>
    <row r="569" spans="1:2" x14ac:dyDescent="0.3">
      <c r="A569" s="46">
        <v>12</v>
      </c>
      <c r="B569" s="2"/>
    </row>
    <row r="570" spans="1:2" x14ac:dyDescent="0.3">
      <c r="A570" s="46">
        <v>4</v>
      </c>
      <c r="B570" s="2"/>
    </row>
    <row r="571" spans="1:2" x14ac:dyDescent="0.3">
      <c r="A571" s="46">
        <v>4</v>
      </c>
      <c r="B571" s="2"/>
    </row>
    <row r="572" spans="1:2" x14ac:dyDescent="0.3">
      <c r="A572" s="46">
        <v>5</v>
      </c>
      <c r="B572" s="2"/>
    </row>
    <row r="573" spans="1:2" x14ac:dyDescent="0.3">
      <c r="A573" s="46">
        <v>4</v>
      </c>
      <c r="B573" s="2"/>
    </row>
    <row r="574" spans="1:2" x14ac:dyDescent="0.3">
      <c r="A574" s="46">
        <v>5</v>
      </c>
      <c r="B574" s="2"/>
    </row>
    <row r="575" spans="1:2" x14ac:dyDescent="0.3">
      <c r="A575" s="46">
        <v>4</v>
      </c>
      <c r="B575" s="2"/>
    </row>
    <row r="576" spans="1:2" x14ac:dyDescent="0.3">
      <c r="A576" s="46">
        <v>8</v>
      </c>
      <c r="B576" s="2"/>
    </row>
    <row r="577" spans="1:2" x14ac:dyDescent="0.3">
      <c r="A577" s="46">
        <v>5</v>
      </c>
      <c r="B577" s="2"/>
    </row>
    <row r="578" spans="1:2" x14ac:dyDescent="0.3">
      <c r="A578" s="46">
        <v>3</v>
      </c>
      <c r="B578" s="2"/>
    </row>
    <row r="579" spans="1:2" x14ac:dyDescent="0.3">
      <c r="A579" s="46">
        <v>14</v>
      </c>
      <c r="B579" s="2"/>
    </row>
    <row r="580" spans="1:2" x14ac:dyDescent="0.3">
      <c r="A580" s="46">
        <v>10</v>
      </c>
      <c r="B580" s="2"/>
    </row>
    <row r="581" spans="1:2" x14ac:dyDescent="0.3">
      <c r="A581" s="46">
        <v>4</v>
      </c>
      <c r="B581" s="2"/>
    </row>
    <row r="582" spans="1:2" x14ac:dyDescent="0.3">
      <c r="A582" s="46">
        <v>14</v>
      </c>
      <c r="B582" s="2"/>
    </row>
    <row r="583" spans="1:2" x14ac:dyDescent="0.3">
      <c r="A583" s="46">
        <v>5</v>
      </c>
      <c r="B583" s="2"/>
    </row>
    <row r="584" spans="1:2" x14ac:dyDescent="0.3">
      <c r="A584" s="46">
        <v>18</v>
      </c>
      <c r="B584" s="2"/>
    </row>
    <row r="585" spans="1:2" x14ac:dyDescent="0.3">
      <c r="A585" s="46">
        <v>1</v>
      </c>
      <c r="B585" s="2"/>
    </row>
    <row r="586" spans="1:2" x14ac:dyDescent="0.3">
      <c r="A586" s="46">
        <v>5</v>
      </c>
      <c r="B586" s="2"/>
    </row>
    <row r="587" spans="1:2" x14ac:dyDescent="0.3">
      <c r="A587" s="46">
        <v>10</v>
      </c>
      <c r="B587" s="2"/>
    </row>
    <row r="588" spans="1:2" x14ac:dyDescent="0.3">
      <c r="A588" s="46">
        <v>5</v>
      </c>
      <c r="B588" s="2"/>
    </row>
    <row r="589" spans="1:2" x14ac:dyDescent="0.3">
      <c r="A589" s="46">
        <v>3</v>
      </c>
      <c r="B589" s="2"/>
    </row>
    <row r="590" spans="1:2" x14ac:dyDescent="0.3">
      <c r="A590" s="46">
        <v>5</v>
      </c>
      <c r="B590" s="2"/>
    </row>
    <row r="591" spans="1:2" x14ac:dyDescent="0.3">
      <c r="A591" s="46">
        <v>18</v>
      </c>
      <c r="B591" s="2"/>
    </row>
    <row r="592" spans="1:2" x14ac:dyDescent="0.3">
      <c r="A592" s="46">
        <v>16</v>
      </c>
      <c r="B592" s="2"/>
    </row>
    <row r="593" spans="1:2" x14ac:dyDescent="0.3">
      <c r="A593" s="46">
        <v>14</v>
      </c>
      <c r="B593" s="2"/>
    </row>
    <row r="594" spans="1:2" x14ac:dyDescent="0.3">
      <c r="A594" s="46">
        <v>4</v>
      </c>
      <c r="B594" s="2"/>
    </row>
    <row r="595" spans="1:2" x14ac:dyDescent="0.3">
      <c r="A595" s="46">
        <v>5</v>
      </c>
      <c r="B595" s="2"/>
    </row>
    <row r="596" spans="1:2" x14ac:dyDescent="0.3">
      <c r="A596" s="46">
        <v>15</v>
      </c>
      <c r="B596" s="2"/>
    </row>
    <row r="597" spans="1:2" x14ac:dyDescent="0.3">
      <c r="A597" s="46">
        <v>11</v>
      </c>
      <c r="B597" s="2"/>
    </row>
    <row r="598" spans="1:2" x14ac:dyDescent="0.3">
      <c r="A598" s="46">
        <v>2</v>
      </c>
      <c r="B598" s="2"/>
    </row>
    <row r="599" spans="1:2" x14ac:dyDescent="0.3">
      <c r="A599" s="46">
        <v>20</v>
      </c>
      <c r="B599" s="2"/>
    </row>
    <row r="600" spans="1:2" x14ac:dyDescent="0.3">
      <c r="A600" s="46">
        <v>13</v>
      </c>
      <c r="B600" s="2"/>
    </row>
    <row r="601" spans="1:2" x14ac:dyDescent="0.3">
      <c r="A601" s="46">
        <v>12</v>
      </c>
      <c r="B601" s="2"/>
    </row>
    <row r="602" spans="1:2" x14ac:dyDescent="0.3">
      <c r="A602" s="46">
        <v>1</v>
      </c>
      <c r="B602" s="2"/>
    </row>
    <row r="603" spans="1:2" x14ac:dyDescent="0.3">
      <c r="A603" s="46">
        <v>19</v>
      </c>
      <c r="B603" s="2"/>
    </row>
    <row r="604" spans="1:2" x14ac:dyDescent="0.3">
      <c r="A604" s="46">
        <v>13</v>
      </c>
      <c r="B604" s="2"/>
    </row>
    <row r="605" spans="1:2" x14ac:dyDescent="0.3">
      <c r="A605" s="46">
        <v>13</v>
      </c>
      <c r="B605" s="2"/>
    </row>
    <row r="606" spans="1:2" x14ac:dyDescent="0.3">
      <c r="A606" s="46">
        <v>13</v>
      </c>
      <c r="B606" s="2"/>
    </row>
    <row r="607" spans="1:2" x14ac:dyDescent="0.3">
      <c r="A607" s="46">
        <v>1</v>
      </c>
      <c r="B607" s="2"/>
    </row>
    <row r="608" spans="1:2" x14ac:dyDescent="0.3">
      <c r="A608" s="46">
        <v>12</v>
      </c>
      <c r="B608" s="2"/>
    </row>
    <row r="609" spans="1:2" x14ac:dyDescent="0.3">
      <c r="A609" s="46">
        <v>13</v>
      </c>
      <c r="B609" s="2"/>
    </row>
    <row r="610" spans="1:2" x14ac:dyDescent="0.3">
      <c r="A610" s="46">
        <v>10</v>
      </c>
      <c r="B610" s="2"/>
    </row>
    <row r="611" spans="1:2" x14ac:dyDescent="0.3">
      <c r="A611" s="46">
        <v>14</v>
      </c>
      <c r="B611" s="2"/>
    </row>
    <row r="612" spans="1:2" x14ac:dyDescent="0.3">
      <c r="A612" s="46">
        <v>19</v>
      </c>
      <c r="B612" s="2"/>
    </row>
    <row r="613" spans="1:2" x14ac:dyDescent="0.3">
      <c r="A613" s="46">
        <v>13</v>
      </c>
      <c r="B613" s="2"/>
    </row>
    <row r="614" spans="1:2" x14ac:dyDescent="0.3">
      <c r="A614" s="46">
        <v>4</v>
      </c>
      <c r="B614" s="2"/>
    </row>
    <row r="615" spans="1:2" x14ac:dyDescent="0.3">
      <c r="A615" s="46">
        <v>1</v>
      </c>
      <c r="B615" s="2"/>
    </row>
    <row r="616" spans="1:2" x14ac:dyDescent="0.3">
      <c r="A616" s="46">
        <v>20</v>
      </c>
      <c r="B616" s="2"/>
    </row>
    <row r="617" spans="1:2" x14ac:dyDescent="0.3">
      <c r="A617" s="46">
        <v>13</v>
      </c>
      <c r="B617" s="2"/>
    </row>
    <row r="618" spans="1:2" x14ac:dyDescent="0.3">
      <c r="A618" s="46">
        <v>17</v>
      </c>
      <c r="B618" s="2"/>
    </row>
    <row r="619" spans="1:2" x14ac:dyDescent="0.3">
      <c r="A619" s="46">
        <v>12</v>
      </c>
      <c r="B619" s="2"/>
    </row>
    <row r="620" spans="1:2" x14ac:dyDescent="0.3">
      <c r="A620" s="46">
        <v>8</v>
      </c>
      <c r="B620" s="2"/>
    </row>
    <row r="621" spans="1:2" x14ac:dyDescent="0.3">
      <c r="A621" s="46">
        <v>7</v>
      </c>
      <c r="B621" s="2"/>
    </row>
    <row r="622" spans="1:2" x14ac:dyDescent="0.3">
      <c r="A622" s="46">
        <v>5</v>
      </c>
      <c r="B622" s="2"/>
    </row>
    <row r="623" spans="1:2" x14ac:dyDescent="0.3">
      <c r="A623" s="46">
        <v>10</v>
      </c>
      <c r="B623" s="2"/>
    </row>
    <row r="624" spans="1:2" x14ac:dyDescent="0.3">
      <c r="A624" s="46">
        <v>1</v>
      </c>
      <c r="B624" s="2"/>
    </row>
    <row r="625" spans="1:2" x14ac:dyDescent="0.3">
      <c r="A625" s="46">
        <v>3</v>
      </c>
      <c r="B625" s="2"/>
    </row>
    <row r="626" spans="1:2" x14ac:dyDescent="0.3">
      <c r="A626" s="46">
        <v>3</v>
      </c>
      <c r="B626" s="2"/>
    </row>
    <row r="627" spans="1:2" x14ac:dyDescent="0.3">
      <c r="A627" s="46">
        <v>5</v>
      </c>
      <c r="B627" s="2"/>
    </row>
    <row r="628" spans="1:2" x14ac:dyDescent="0.3">
      <c r="A628" s="46">
        <v>2</v>
      </c>
      <c r="B628" s="2"/>
    </row>
    <row r="629" spans="1:2" x14ac:dyDescent="0.3">
      <c r="A629" s="46">
        <v>3</v>
      </c>
      <c r="B629" s="2"/>
    </row>
    <row r="630" spans="1:2" x14ac:dyDescent="0.3">
      <c r="A630" s="46">
        <v>4</v>
      </c>
      <c r="B630" s="2"/>
    </row>
    <row r="631" spans="1:2" x14ac:dyDescent="0.3">
      <c r="A631" s="46">
        <v>20</v>
      </c>
      <c r="B631" s="2"/>
    </row>
    <row r="632" spans="1:2" x14ac:dyDescent="0.3">
      <c r="A632" s="46">
        <v>1</v>
      </c>
      <c r="B632" s="2"/>
    </row>
    <row r="633" spans="1:2" x14ac:dyDescent="0.3">
      <c r="A633" s="46">
        <v>11</v>
      </c>
      <c r="B633" s="2"/>
    </row>
    <row r="634" spans="1:2" x14ac:dyDescent="0.3">
      <c r="A634" s="46">
        <v>5</v>
      </c>
      <c r="B634" s="2"/>
    </row>
    <row r="635" spans="1:2" x14ac:dyDescent="0.3">
      <c r="A635" s="46">
        <v>3</v>
      </c>
      <c r="B635" s="2"/>
    </row>
    <row r="636" spans="1:2" x14ac:dyDescent="0.3">
      <c r="A636" s="46">
        <v>1</v>
      </c>
      <c r="B636" s="2"/>
    </row>
    <row r="637" spans="1:2" x14ac:dyDescent="0.3">
      <c r="A637" s="46">
        <v>14</v>
      </c>
      <c r="B637" s="2"/>
    </row>
    <row r="638" spans="1:2" x14ac:dyDescent="0.3">
      <c r="A638" s="46">
        <v>4</v>
      </c>
      <c r="B638" s="2"/>
    </row>
    <row r="639" spans="1:2" x14ac:dyDescent="0.3">
      <c r="A639" s="46">
        <v>18</v>
      </c>
      <c r="B639" s="2"/>
    </row>
    <row r="640" spans="1:2" x14ac:dyDescent="0.3">
      <c r="A640" s="46">
        <v>13</v>
      </c>
      <c r="B640" s="2"/>
    </row>
    <row r="641" spans="1:2" x14ac:dyDescent="0.3">
      <c r="A641" s="46">
        <v>14</v>
      </c>
      <c r="B641" s="2"/>
    </row>
    <row r="642" spans="1:2" x14ac:dyDescent="0.3">
      <c r="A642" s="46">
        <v>14</v>
      </c>
      <c r="B642" s="2"/>
    </row>
    <row r="643" spans="1:2" x14ac:dyDescent="0.3">
      <c r="A643" s="46">
        <v>1</v>
      </c>
      <c r="B643" s="2"/>
    </row>
    <row r="644" spans="1:2" x14ac:dyDescent="0.3">
      <c r="A644" s="46">
        <v>15</v>
      </c>
      <c r="B644" s="2"/>
    </row>
    <row r="645" spans="1:2" x14ac:dyDescent="0.3">
      <c r="A645" s="46">
        <v>5</v>
      </c>
      <c r="B645" s="2"/>
    </row>
    <row r="646" spans="1:2" x14ac:dyDescent="0.3">
      <c r="A646" s="46">
        <v>14</v>
      </c>
      <c r="B646" s="2"/>
    </row>
    <row r="647" spans="1:2" x14ac:dyDescent="0.3">
      <c r="A647" s="46">
        <v>5</v>
      </c>
      <c r="B647" s="2"/>
    </row>
    <row r="648" spans="1:2" x14ac:dyDescent="0.3">
      <c r="A648" s="46">
        <v>12</v>
      </c>
      <c r="B648" s="2"/>
    </row>
    <row r="649" spans="1:2" x14ac:dyDescent="0.3">
      <c r="A649" s="46">
        <v>8</v>
      </c>
      <c r="B649" s="2"/>
    </row>
    <row r="650" spans="1:2" x14ac:dyDescent="0.3">
      <c r="A650" s="46">
        <v>10</v>
      </c>
      <c r="B650" s="2"/>
    </row>
    <row r="651" spans="1:2" x14ac:dyDescent="0.3">
      <c r="A651" s="46">
        <v>12</v>
      </c>
      <c r="B651" s="2"/>
    </row>
    <row r="652" spans="1:2" x14ac:dyDescent="0.3">
      <c r="A652" s="46">
        <v>15</v>
      </c>
      <c r="B652" s="2"/>
    </row>
    <row r="653" spans="1:2" x14ac:dyDescent="0.3">
      <c r="A653" s="46">
        <v>1</v>
      </c>
      <c r="B653" s="2"/>
    </row>
    <row r="654" spans="1:2" x14ac:dyDescent="0.3">
      <c r="A654" s="46">
        <v>12</v>
      </c>
      <c r="B654" s="2"/>
    </row>
    <row r="655" spans="1:2" x14ac:dyDescent="0.3">
      <c r="A655" s="46">
        <v>1</v>
      </c>
      <c r="B655" s="2"/>
    </row>
    <row r="656" spans="1:2" x14ac:dyDescent="0.3">
      <c r="A656" s="46">
        <v>11</v>
      </c>
      <c r="B656" s="2"/>
    </row>
    <row r="657" spans="1:2" x14ac:dyDescent="0.3">
      <c r="A657" s="46">
        <v>8</v>
      </c>
      <c r="B657" s="2"/>
    </row>
    <row r="658" spans="1:2" x14ac:dyDescent="0.3">
      <c r="A658" s="46">
        <v>20</v>
      </c>
      <c r="B658" s="2"/>
    </row>
    <row r="659" spans="1:2" x14ac:dyDescent="0.3">
      <c r="A659" s="46">
        <v>5</v>
      </c>
      <c r="B659" s="2"/>
    </row>
    <row r="660" spans="1:2" x14ac:dyDescent="0.3">
      <c r="A660" s="46">
        <v>6</v>
      </c>
      <c r="B660" s="2"/>
    </row>
    <row r="661" spans="1:2" x14ac:dyDescent="0.3">
      <c r="A661" s="46">
        <v>16</v>
      </c>
      <c r="B661" s="2"/>
    </row>
    <row r="662" spans="1:2" x14ac:dyDescent="0.3">
      <c r="A662" s="46">
        <v>9</v>
      </c>
      <c r="B662" s="2"/>
    </row>
    <row r="663" spans="1:2" x14ac:dyDescent="0.3">
      <c r="A663" s="46">
        <v>10</v>
      </c>
      <c r="B663" s="2"/>
    </row>
    <row r="664" spans="1:2" x14ac:dyDescent="0.3">
      <c r="A664" s="46">
        <v>6</v>
      </c>
      <c r="B664" s="2"/>
    </row>
    <row r="665" spans="1:2" x14ac:dyDescent="0.3">
      <c r="A665" s="46">
        <v>18</v>
      </c>
      <c r="B665" s="2"/>
    </row>
    <row r="666" spans="1:2" x14ac:dyDescent="0.3">
      <c r="A666" s="46">
        <v>4</v>
      </c>
      <c r="B666" s="2"/>
    </row>
    <row r="667" spans="1:2" x14ac:dyDescent="0.3">
      <c r="A667" s="46">
        <v>9</v>
      </c>
      <c r="B667" s="2"/>
    </row>
    <row r="668" spans="1:2" x14ac:dyDescent="0.3">
      <c r="A668" s="46">
        <v>14</v>
      </c>
      <c r="B668" s="2"/>
    </row>
    <row r="669" spans="1:2" x14ac:dyDescent="0.3">
      <c r="A669" s="46">
        <v>15</v>
      </c>
      <c r="B669" s="2"/>
    </row>
    <row r="670" spans="1:2" x14ac:dyDescent="0.3">
      <c r="A670" s="46">
        <v>14</v>
      </c>
      <c r="B670" s="2"/>
    </row>
    <row r="671" spans="1:2" x14ac:dyDescent="0.3">
      <c r="A671" s="46">
        <v>3</v>
      </c>
      <c r="B671" s="2"/>
    </row>
    <row r="672" spans="1:2" x14ac:dyDescent="0.3">
      <c r="A672" s="46">
        <v>12</v>
      </c>
      <c r="B672" s="2"/>
    </row>
    <row r="673" spans="1:2" x14ac:dyDescent="0.3">
      <c r="A673" s="46">
        <v>5</v>
      </c>
      <c r="B673" s="2"/>
    </row>
    <row r="674" spans="1:2" x14ac:dyDescent="0.3">
      <c r="A674" s="46">
        <v>4</v>
      </c>
      <c r="B674" s="2"/>
    </row>
    <row r="675" spans="1:2" x14ac:dyDescent="0.3">
      <c r="A675" s="46">
        <v>4</v>
      </c>
      <c r="B675" s="2"/>
    </row>
    <row r="676" spans="1:2" x14ac:dyDescent="0.3">
      <c r="A676" s="46">
        <v>12</v>
      </c>
      <c r="B676" s="2"/>
    </row>
    <row r="677" spans="1:2" x14ac:dyDescent="0.3">
      <c r="A677" s="46">
        <v>15</v>
      </c>
      <c r="B677" s="2"/>
    </row>
    <row r="678" spans="1:2" x14ac:dyDescent="0.3">
      <c r="A678" s="46">
        <v>19</v>
      </c>
      <c r="B678" s="2"/>
    </row>
    <row r="679" spans="1:2" x14ac:dyDescent="0.3">
      <c r="A679" s="46">
        <v>15</v>
      </c>
      <c r="B679" s="2"/>
    </row>
    <row r="680" spans="1:2" x14ac:dyDescent="0.3">
      <c r="A680" s="46">
        <v>13</v>
      </c>
      <c r="B680" s="2"/>
    </row>
    <row r="681" spans="1:2" x14ac:dyDescent="0.3">
      <c r="A681" s="46">
        <v>3</v>
      </c>
      <c r="B681" s="2"/>
    </row>
    <row r="682" spans="1:2" x14ac:dyDescent="0.3">
      <c r="A682" s="46">
        <v>13</v>
      </c>
      <c r="B682" s="2"/>
    </row>
    <row r="683" spans="1:2" x14ac:dyDescent="0.3">
      <c r="A683" s="46">
        <v>1</v>
      </c>
      <c r="B683" s="2"/>
    </row>
    <row r="684" spans="1:2" x14ac:dyDescent="0.3">
      <c r="A684" s="46">
        <v>19</v>
      </c>
      <c r="B684" s="2"/>
    </row>
    <row r="685" spans="1:2" x14ac:dyDescent="0.3">
      <c r="A685" s="46">
        <v>9</v>
      </c>
      <c r="B685" s="2"/>
    </row>
    <row r="686" spans="1:2" x14ac:dyDescent="0.3">
      <c r="A686" s="46">
        <v>4</v>
      </c>
      <c r="B686" s="2"/>
    </row>
    <row r="687" spans="1:2" x14ac:dyDescent="0.3">
      <c r="A687" s="46">
        <v>14</v>
      </c>
      <c r="B687" s="2"/>
    </row>
    <row r="688" spans="1:2" x14ac:dyDescent="0.3">
      <c r="A688" s="46">
        <v>11</v>
      </c>
      <c r="B688" s="2"/>
    </row>
    <row r="689" spans="1:2" x14ac:dyDescent="0.3">
      <c r="A689" s="46">
        <v>1</v>
      </c>
      <c r="B689" s="2"/>
    </row>
    <row r="690" spans="1:2" x14ac:dyDescent="0.3">
      <c r="A690" s="46">
        <v>1</v>
      </c>
      <c r="B690" s="2"/>
    </row>
    <row r="691" spans="1:2" x14ac:dyDescent="0.3">
      <c r="A691" s="46">
        <v>10</v>
      </c>
      <c r="B691" s="2"/>
    </row>
    <row r="692" spans="1:2" x14ac:dyDescent="0.3">
      <c r="A692" s="46">
        <v>1</v>
      </c>
      <c r="B692" s="2"/>
    </row>
    <row r="693" spans="1:2" x14ac:dyDescent="0.3">
      <c r="A693" s="46">
        <v>11</v>
      </c>
      <c r="B693" s="2"/>
    </row>
    <row r="694" spans="1:2" x14ac:dyDescent="0.3">
      <c r="A694" s="46">
        <v>5</v>
      </c>
      <c r="B694" s="2"/>
    </row>
    <row r="695" spans="1:2" x14ac:dyDescent="0.3">
      <c r="A695" s="46">
        <v>6</v>
      </c>
      <c r="B695" s="2"/>
    </row>
    <row r="696" spans="1:2" x14ac:dyDescent="0.3">
      <c r="A696" s="46">
        <v>18</v>
      </c>
      <c r="B696" s="2"/>
    </row>
    <row r="697" spans="1:2" x14ac:dyDescent="0.3">
      <c r="A697" s="46">
        <v>2</v>
      </c>
      <c r="B697" s="2"/>
    </row>
    <row r="698" spans="1:2" x14ac:dyDescent="0.3">
      <c r="A698" s="46">
        <v>3</v>
      </c>
      <c r="B698" s="2"/>
    </row>
    <row r="699" spans="1:2" x14ac:dyDescent="0.3">
      <c r="A699" s="46">
        <v>5</v>
      </c>
      <c r="B699" s="2"/>
    </row>
    <row r="700" spans="1:2" x14ac:dyDescent="0.3">
      <c r="A700" s="46">
        <v>13</v>
      </c>
      <c r="B700" s="2"/>
    </row>
    <row r="701" spans="1:2" x14ac:dyDescent="0.3">
      <c r="A701" s="46">
        <v>18</v>
      </c>
      <c r="B701" s="2"/>
    </row>
    <row r="702" spans="1:2" x14ac:dyDescent="0.3">
      <c r="A702" s="46">
        <v>17</v>
      </c>
      <c r="B702" s="2"/>
    </row>
    <row r="703" spans="1:2" x14ac:dyDescent="0.3">
      <c r="A703" s="46">
        <v>17</v>
      </c>
      <c r="B703" s="2"/>
    </row>
    <row r="704" spans="1:2" x14ac:dyDescent="0.3">
      <c r="A704" s="46">
        <v>6</v>
      </c>
      <c r="B704" s="2"/>
    </row>
    <row r="705" spans="1:2" x14ac:dyDescent="0.3">
      <c r="A705" s="46">
        <v>6</v>
      </c>
      <c r="B705" s="2"/>
    </row>
    <row r="706" spans="1:2" x14ac:dyDescent="0.3">
      <c r="A706" s="46">
        <v>2</v>
      </c>
      <c r="B706" s="2"/>
    </row>
    <row r="707" spans="1:2" x14ac:dyDescent="0.3">
      <c r="A707" s="46">
        <v>9</v>
      </c>
      <c r="B707" s="2"/>
    </row>
    <row r="708" spans="1:2" x14ac:dyDescent="0.3">
      <c r="A708" s="46">
        <v>1</v>
      </c>
      <c r="B708" s="2"/>
    </row>
    <row r="709" spans="1:2" x14ac:dyDescent="0.3">
      <c r="A709" s="46">
        <v>16</v>
      </c>
      <c r="B709" s="2"/>
    </row>
    <row r="710" spans="1:2" x14ac:dyDescent="0.3">
      <c r="A710" s="46">
        <v>12</v>
      </c>
      <c r="B710" s="2"/>
    </row>
    <row r="711" spans="1:2" x14ac:dyDescent="0.3">
      <c r="A711" s="46">
        <v>6</v>
      </c>
      <c r="B711" s="2"/>
    </row>
    <row r="712" spans="1:2" x14ac:dyDescent="0.3">
      <c r="A712" s="46">
        <v>12</v>
      </c>
      <c r="B712" s="2"/>
    </row>
    <row r="713" spans="1:2" x14ac:dyDescent="0.3">
      <c r="A713" s="46">
        <v>11</v>
      </c>
      <c r="B713" s="2"/>
    </row>
    <row r="714" spans="1:2" x14ac:dyDescent="0.3">
      <c r="A714" s="46">
        <v>13</v>
      </c>
      <c r="B714" s="2"/>
    </row>
    <row r="715" spans="1:2" x14ac:dyDescent="0.3">
      <c r="A715" s="46">
        <v>11</v>
      </c>
      <c r="B715" s="2"/>
    </row>
    <row r="716" spans="1:2" x14ac:dyDescent="0.3">
      <c r="A716" s="46">
        <v>14</v>
      </c>
      <c r="B716" s="2"/>
    </row>
    <row r="717" spans="1:2" x14ac:dyDescent="0.3">
      <c r="A717" s="46">
        <v>16</v>
      </c>
      <c r="B717" s="2"/>
    </row>
    <row r="718" spans="1:2" x14ac:dyDescent="0.3">
      <c r="A718" s="46">
        <v>1</v>
      </c>
      <c r="B718" s="2"/>
    </row>
    <row r="719" spans="1:2" x14ac:dyDescent="0.3">
      <c r="A719" s="46">
        <v>3</v>
      </c>
      <c r="B719" s="2"/>
    </row>
    <row r="720" spans="1:2" x14ac:dyDescent="0.3">
      <c r="A720" s="46">
        <v>15</v>
      </c>
      <c r="B720" s="2"/>
    </row>
    <row r="721" spans="1:2" x14ac:dyDescent="0.3">
      <c r="A721" s="46">
        <v>2</v>
      </c>
      <c r="B721" s="2"/>
    </row>
    <row r="722" spans="1:2" x14ac:dyDescent="0.3">
      <c r="A722" s="46">
        <v>10</v>
      </c>
      <c r="B722" s="2"/>
    </row>
    <row r="723" spans="1:2" x14ac:dyDescent="0.3">
      <c r="A723" s="46">
        <v>11</v>
      </c>
      <c r="B723" s="2"/>
    </row>
    <row r="724" spans="1:2" x14ac:dyDescent="0.3">
      <c r="A724" s="46">
        <v>9</v>
      </c>
      <c r="B724" s="2"/>
    </row>
    <row r="725" spans="1:2" x14ac:dyDescent="0.3">
      <c r="A725" s="46">
        <v>7</v>
      </c>
      <c r="B725" s="2"/>
    </row>
    <row r="726" spans="1:2" x14ac:dyDescent="0.3">
      <c r="A726" s="46">
        <v>7</v>
      </c>
      <c r="B726" s="2"/>
    </row>
    <row r="727" spans="1:2" x14ac:dyDescent="0.3">
      <c r="A727" s="46">
        <v>15</v>
      </c>
      <c r="B727" s="2"/>
    </row>
    <row r="728" spans="1:2" x14ac:dyDescent="0.3">
      <c r="A728" s="46">
        <v>18</v>
      </c>
      <c r="B728" s="2"/>
    </row>
    <row r="729" spans="1:2" x14ac:dyDescent="0.3">
      <c r="A729" s="46">
        <v>5</v>
      </c>
      <c r="B729" s="2"/>
    </row>
    <row r="730" spans="1:2" x14ac:dyDescent="0.3">
      <c r="A730" s="46">
        <v>10</v>
      </c>
      <c r="B730" s="2"/>
    </row>
    <row r="731" spans="1:2" x14ac:dyDescent="0.3">
      <c r="A731" s="46">
        <v>2</v>
      </c>
      <c r="B731" s="2"/>
    </row>
    <row r="732" spans="1:2" x14ac:dyDescent="0.3">
      <c r="A732" s="46">
        <v>15</v>
      </c>
      <c r="B732" s="2"/>
    </row>
    <row r="733" spans="1:2" x14ac:dyDescent="0.3">
      <c r="A733" s="46">
        <v>1</v>
      </c>
      <c r="B733" s="2"/>
    </row>
    <row r="734" spans="1:2" x14ac:dyDescent="0.3">
      <c r="A734" s="46">
        <v>12</v>
      </c>
      <c r="B734" s="2"/>
    </row>
    <row r="735" spans="1:2" x14ac:dyDescent="0.3">
      <c r="A735" s="46">
        <v>4</v>
      </c>
      <c r="B735" s="2"/>
    </row>
    <row r="736" spans="1:2" x14ac:dyDescent="0.3">
      <c r="A736" s="46">
        <v>1</v>
      </c>
      <c r="B736" s="2"/>
    </row>
    <row r="737" spans="1:2" x14ac:dyDescent="0.3">
      <c r="A737" s="46">
        <v>10</v>
      </c>
      <c r="B737" s="2"/>
    </row>
    <row r="738" spans="1:2" x14ac:dyDescent="0.3">
      <c r="A738" s="46">
        <v>1</v>
      </c>
      <c r="B738" s="2"/>
    </row>
    <row r="739" spans="1:2" x14ac:dyDescent="0.3">
      <c r="A739" s="46">
        <v>8</v>
      </c>
      <c r="B739" s="2"/>
    </row>
    <row r="740" spans="1:2" x14ac:dyDescent="0.3">
      <c r="A740" s="46">
        <v>2</v>
      </c>
      <c r="B740" s="2"/>
    </row>
    <row r="741" spans="1:2" x14ac:dyDescent="0.3">
      <c r="A741" s="46">
        <v>2</v>
      </c>
      <c r="B741" s="2"/>
    </row>
    <row r="742" spans="1:2" x14ac:dyDescent="0.3">
      <c r="A742" s="46">
        <v>15</v>
      </c>
      <c r="B742" s="2"/>
    </row>
    <row r="743" spans="1:2" x14ac:dyDescent="0.3">
      <c r="A743" s="46">
        <v>2</v>
      </c>
      <c r="B743" s="2"/>
    </row>
    <row r="744" spans="1:2" x14ac:dyDescent="0.3">
      <c r="A744" s="46">
        <v>16</v>
      </c>
      <c r="B744" s="2"/>
    </row>
    <row r="745" spans="1:2" x14ac:dyDescent="0.3">
      <c r="A745" s="46">
        <v>15</v>
      </c>
      <c r="B745" s="2"/>
    </row>
    <row r="746" spans="1:2" x14ac:dyDescent="0.3">
      <c r="A746" s="46">
        <v>10</v>
      </c>
      <c r="B746" s="2"/>
    </row>
    <row r="747" spans="1:2" x14ac:dyDescent="0.3">
      <c r="A747" s="46">
        <v>4</v>
      </c>
      <c r="B747" s="2"/>
    </row>
    <row r="748" spans="1:2" x14ac:dyDescent="0.3">
      <c r="A748" s="46">
        <v>17</v>
      </c>
      <c r="B748" s="2"/>
    </row>
    <row r="749" spans="1:2" x14ac:dyDescent="0.3">
      <c r="A749" s="46">
        <v>6</v>
      </c>
      <c r="B749" s="2"/>
    </row>
    <row r="750" spans="1:2" x14ac:dyDescent="0.3">
      <c r="A750" s="46">
        <v>1</v>
      </c>
      <c r="B750" s="2"/>
    </row>
    <row r="751" spans="1:2" x14ac:dyDescent="0.3">
      <c r="A751" s="46">
        <v>4</v>
      </c>
      <c r="B751" s="2"/>
    </row>
    <row r="752" spans="1:2" x14ac:dyDescent="0.3">
      <c r="A752" s="46">
        <v>17</v>
      </c>
      <c r="B752" s="2"/>
    </row>
    <row r="753" spans="1:2" x14ac:dyDescent="0.3">
      <c r="A753" s="46">
        <v>1</v>
      </c>
      <c r="B753" s="2"/>
    </row>
    <row r="754" spans="1:2" x14ac:dyDescent="0.3">
      <c r="A754" s="46">
        <v>4</v>
      </c>
      <c r="B754" s="2"/>
    </row>
    <row r="755" spans="1:2" x14ac:dyDescent="0.3">
      <c r="A755" s="46">
        <v>11</v>
      </c>
      <c r="B755" s="2"/>
    </row>
    <row r="756" spans="1:2" x14ac:dyDescent="0.3">
      <c r="A756" s="46">
        <v>10</v>
      </c>
      <c r="B756" s="2"/>
    </row>
    <row r="757" spans="1:2" x14ac:dyDescent="0.3">
      <c r="A757" s="46">
        <v>15</v>
      </c>
      <c r="B757" s="2"/>
    </row>
    <row r="758" spans="1:2" x14ac:dyDescent="0.3">
      <c r="A758" s="46">
        <v>16</v>
      </c>
      <c r="B758" s="2"/>
    </row>
    <row r="759" spans="1:2" x14ac:dyDescent="0.3">
      <c r="A759" s="46">
        <v>2</v>
      </c>
      <c r="B759" s="2"/>
    </row>
    <row r="760" spans="1:2" x14ac:dyDescent="0.3">
      <c r="A760" s="46">
        <v>1</v>
      </c>
      <c r="B760" s="2"/>
    </row>
    <row r="761" spans="1:2" x14ac:dyDescent="0.3">
      <c r="A761" s="46">
        <v>3</v>
      </c>
      <c r="B761" s="2"/>
    </row>
    <row r="762" spans="1:2" x14ac:dyDescent="0.3">
      <c r="A762" s="46">
        <v>13</v>
      </c>
      <c r="B762" s="2"/>
    </row>
    <row r="763" spans="1:2" x14ac:dyDescent="0.3">
      <c r="A763" s="46">
        <v>17</v>
      </c>
      <c r="B763" s="2"/>
    </row>
    <row r="764" spans="1:2" x14ac:dyDescent="0.3">
      <c r="A764" s="46">
        <v>7</v>
      </c>
      <c r="B764" s="2"/>
    </row>
    <row r="765" spans="1:2" x14ac:dyDescent="0.3">
      <c r="A765" s="46">
        <v>8</v>
      </c>
      <c r="B765" s="2"/>
    </row>
    <row r="766" spans="1:2" x14ac:dyDescent="0.3">
      <c r="A766" s="46">
        <v>3</v>
      </c>
      <c r="B766" s="2"/>
    </row>
    <row r="767" spans="1:2" x14ac:dyDescent="0.3">
      <c r="A767" s="46">
        <v>12</v>
      </c>
      <c r="B767" s="2"/>
    </row>
    <row r="768" spans="1:2" x14ac:dyDescent="0.3">
      <c r="A768" s="46">
        <v>3</v>
      </c>
      <c r="B768" s="2"/>
    </row>
    <row r="769" spans="1:2" x14ac:dyDescent="0.3">
      <c r="A769" s="46">
        <v>19</v>
      </c>
      <c r="B769" s="2"/>
    </row>
    <row r="770" spans="1:2" x14ac:dyDescent="0.3">
      <c r="A770" s="46">
        <v>14</v>
      </c>
      <c r="B770" s="2"/>
    </row>
    <row r="771" spans="1:2" x14ac:dyDescent="0.3">
      <c r="A771" s="46">
        <v>5</v>
      </c>
      <c r="B771" s="2"/>
    </row>
    <row r="772" spans="1:2" x14ac:dyDescent="0.3">
      <c r="A772" s="46">
        <v>13</v>
      </c>
      <c r="B772" s="2"/>
    </row>
    <row r="773" spans="1:2" x14ac:dyDescent="0.3">
      <c r="A773" s="46">
        <v>14</v>
      </c>
      <c r="B773" s="2"/>
    </row>
    <row r="774" spans="1:2" x14ac:dyDescent="0.3">
      <c r="A774" s="46">
        <v>3</v>
      </c>
      <c r="B774" s="2"/>
    </row>
    <row r="775" spans="1:2" x14ac:dyDescent="0.3">
      <c r="A775" s="46">
        <v>11</v>
      </c>
      <c r="B775" s="2"/>
    </row>
    <row r="776" spans="1:2" x14ac:dyDescent="0.3">
      <c r="A776" s="46">
        <v>1</v>
      </c>
      <c r="B776" s="2"/>
    </row>
    <row r="777" spans="1:2" x14ac:dyDescent="0.3">
      <c r="A777" s="46">
        <v>13</v>
      </c>
      <c r="B777" s="2"/>
    </row>
    <row r="778" spans="1:2" x14ac:dyDescent="0.3">
      <c r="A778" s="46">
        <v>5</v>
      </c>
      <c r="B778" s="2"/>
    </row>
    <row r="779" spans="1:2" x14ac:dyDescent="0.3">
      <c r="A779" s="46">
        <v>14</v>
      </c>
      <c r="B779" s="2"/>
    </row>
    <row r="780" spans="1:2" x14ac:dyDescent="0.3">
      <c r="A780" s="46">
        <v>6</v>
      </c>
      <c r="B780" s="2"/>
    </row>
    <row r="781" spans="1:2" x14ac:dyDescent="0.3">
      <c r="A781" s="46">
        <v>20</v>
      </c>
      <c r="B781" s="2"/>
    </row>
    <row r="782" spans="1:2" x14ac:dyDescent="0.3">
      <c r="A782" s="46">
        <v>8</v>
      </c>
      <c r="B782" s="2"/>
    </row>
    <row r="783" spans="1:2" x14ac:dyDescent="0.3">
      <c r="A783" s="46">
        <v>20</v>
      </c>
      <c r="B783" s="2"/>
    </row>
    <row r="784" spans="1:2" x14ac:dyDescent="0.3">
      <c r="A784" s="46">
        <v>15</v>
      </c>
      <c r="B784" s="2"/>
    </row>
    <row r="785" spans="1:2" x14ac:dyDescent="0.3">
      <c r="A785" s="46">
        <v>1</v>
      </c>
      <c r="B785" s="2"/>
    </row>
    <row r="786" spans="1:2" x14ac:dyDescent="0.3">
      <c r="A786" s="46">
        <v>1</v>
      </c>
      <c r="B786" s="2"/>
    </row>
    <row r="787" spans="1:2" x14ac:dyDescent="0.3">
      <c r="A787" s="46">
        <v>8</v>
      </c>
      <c r="B787" s="2"/>
    </row>
    <row r="788" spans="1:2" x14ac:dyDescent="0.3">
      <c r="A788" s="46">
        <v>2</v>
      </c>
      <c r="B788" s="2"/>
    </row>
    <row r="789" spans="1:2" x14ac:dyDescent="0.3">
      <c r="A789" s="46">
        <v>2</v>
      </c>
      <c r="B789" s="2"/>
    </row>
    <row r="790" spans="1:2" x14ac:dyDescent="0.3">
      <c r="A790" s="46">
        <v>6</v>
      </c>
      <c r="B790" s="2"/>
    </row>
    <row r="791" spans="1:2" x14ac:dyDescent="0.3">
      <c r="A791" s="46">
        <v>12</v>
      </c>
      <c r="B791" s="2"/>
    </row>
    <row r="792" spans="1:2" x14ac:dyDescent="0.3">
      <c r="A792" s="46">
        <v>5</v>
      </c>
      <c r="B792" s="2"/>
    </row>
    <row r="793" spans="1:2" x14ac:dyDescent="0.3">
      <c r="A793" s="46">
        <v>6</v>
      </c>
      <c r="B793" s="2"/>
    </row>
    <row r="794" spans="1:2" x14ac:dyDescent="0.3">
      <c r="A794" s="46">
        <v>3</v>
      </c>
      <c r="B794" s="2"/>
    </row>
    <row r="795" spans="1:2" x14ac:dyDescent="0.3">
      <c r="A795" s="46">
        <v>1</v>
      </c>
      <c r="B795" s="2"/>
    </row>
    <row r="796" spans="1:2" x14ac:dyDescent="0.3">
      <c r="A796" s="46">
        <v>14</v>
      </c>
      <c r="B796" s="2"/>
    </row>
    <row r="797" spans="1:2" x14ac:dyDescent="0.3">
      <c r="A797" s="46">
        <v>10</v>
      </c>
      <c r="B797" s="2"/>
    </row>
    <row r="798" spans="1:2" x14ac:dyDescent="0.3">
      <c r="A798" s="46">
        <v>2</v>
      </c>
      <c r="B798" s="2"/>
    </row>
    <row r="799" spans="1:2" x14ac:dyDescent="0.3">
      <c r="A799" s="46">
        <v>6</v>
      </c>
      <c r="B799" s="2"/>
    </row>
    <row r="800" spans="1:2" x14ac:dyDescent="0.3">
      <c r="A800" s="46">
        <v>3</v>
      </c>
      <c r="B800" s="2"/>
    </row>
    <row r="801" spans="1:2" x14ac:dyDescent="0.3">
      <c r="A801" s="46">
        <v>9</v>
      </c>
      <c r="B801" s="2"/>
    </row>
    <row r="802" spans="1:2" x14ac:dyDescent="0.3">
      <c r="A802" s="46">
        <v>15</v>
      </c>
      <c r="B802" s="2"/>
    </row>
    <row r="803" spans="1:2" x14ac:dyDescent="0.3">
      <c r="A803" s="46">
        <v>14</v>
      </c>
      <c r="B803" s="2"/>
    </row>
    <row r="804" spans="1:2" x14ac:dyDescent="0.3">
      <c r="A804" s="46">
        <v>11</v>
      </c>
      <c r="B804" s="2"/>
    </row>
    <row r="805" spans="1:2" x14ac:dyDescent="0.3">
      <c r="A805" s="46">
        <v>20</v>
      </c>
      <c r="B805" s="2"/>
    </row>
    <row r="806" spans="1:2" x14ac:dyDescent="0.3">
      <c r="A806" s="46">
        <v>1</v>
      </c>
      <c r="B806" s="2"/>
    </row>
    <row r="807" spans="1:2" x14ac:dyDescent="0.3">
      <c r="A807" s="46">
        <v>5</v>
      </c>
      <c r="B807" s="2"/>
    </row>
    <row r="808" spans="1:2" x14ac:dyDescent="0.3">
      <c r="A808" s="46">
        <v>4</v>
      </c>
      <c r="B808" s="2"/>
    </row>
    <row r="809" spans="1:2" x14ac:dyDescent="0.3">
      <c r="A809" s="46">
        <v>14</v>
      </c>
      <c r="B809" s="2"/>
    </row>
    <row r="810" spans="1:2" x14ac:dyDescent="0.3">
      <c r="A810" s="46">
        <v>3</v>
      </c>
      <c r="B810" s="2"/>
    </row>
    <row r="811" spans="1:2" x14ac:dyDescent="0.3">
      <c r="A811" s="46">
        <v>16</v>
      </c>
      <c r="B811" s="2"/>
    </row>
    <row r="812" spans="1:2" x14ac:dyDescent="0.3">
      <c r="A812" s="46">
        <v>3</v>
      </c>
      <c r="B812" s="2"/>
    </row>
    <row r="813" spans="1:2" x14ac:dyDescent="0.3">
      <c r="A813" s="46">
        <v>10</v>
      </c>
      <c r="B813" s="2"/>
    </row>
    <row r="814" spans="1:2" x14ac:dyDescent="0.3">
      <c r="A814" s="46">
        <v>12</v>
      </c>
      <c r="B814" s="2"/>
    </row>
    <row r="815" spans="1:2" x14ac:dyDescent="0.3">
      <c r="A815" s="46">
        <v>2</v>
      </c>
      <c r="B815" s="2"/>
    </row>
    <row r="816" spans="1:2" x14ac:dyDescent="0.3">
      <c r="A816" s="46">
        <v>2</v>
      </c>
      <c r="B816" s="2"/>
    </row>
    <row r="817" spans="1:2" x14ac:dyDescent="0.3">
      <c r="A817" s="46">
        <v>11</v>
      </c>
      <c r="B817" s="2"/>
    </row>
    <row r="818" spans="1:2" x14ac:dyDescent="0.3">
      <c r="A818" s="46">
        <v>19</v>
      </c>
      <c r="B818" s="2"/>
    </row>
    <row r="819" spans="1:2" x14ac:dyDescent="0.3">
      <c r="A819" s="46">
        <v>17</v>
      </c>
      <c r="B819" s="2"/>
    </row>
    <row r="820" spans="1:2" x14ac:dyDescent="0.3">
      <c r="A820" s="46">
        <v>5</v>
      </c>
      <c r="B820" s="2"/>
    </row>
    <row r="821" spans="1:2" x14ac:dyDescent="0.3">
      <c r="A821" s="46">
        <v>14</v>
      </c>
      <c r="B821" s="2"/>
    </row>
    <row r="822" spans="1:2" x14ac:dyDescent="0.3">
      <c r="A822" s="46">
        <v>15</v>
      </c>
      <c r="B822" s="2"/>
    </row>
    <row r="823" spans="1:2" x14ac:dyDescent="0.3">
      <c r="A823" s="46">
        <v>13</v>
      </c>
      <c r="B823" s="2"/>
    </row>
    <row r="824" spans="1:2" x14ac:dyDescent="0.3">
      <c r="A824" s="46">
        <v>14</v>
      </c>
      <c r="B824" s="2"/>
    </row>
    <row r="825" spans="1:2" x14ac:dyDescent="0.3">
      <c r="A825" s="46">
        <v>3</v>
      </c>
      <c r="B825" s="2"/>
    </row>
    <row r="826" spans="1:2" x14ac:dyDescent="0.3">
      <c r="A826" s="46">
        <v>5</v>
      </c>
      <c r="B826" s="2"/>
    </row>
    <row r="827" spans="1:2" x14ac:dyDescent="0.3">
      <c r="A827" s="46">
        <v>1</v>
      </c>
      <c r="B827" s="2"/>
    </row>
    <row r="828" spans="1:2" x14ac:dyDescent="0.3">
      <c r="A828" s="46">
        <v>5</v>
      </c>
      <c r="B828" s="2"/>
    </row>
    <row r="829" spans="1:2" x14ac:dyDescent="0.3">
      <c r="A829" s="46">
        <v>4</v>
      </c>
      <c r="B829" s="2"/>
    </row>
    <row r="830" spans="1:2" x14ac:dyDescent="0.3">
      <c r="A830" s="46">
        <v>12</v>
      </c>
      <c r="B830" s="2"/>
    </row>
    <row r="831" spans="1:2" x14ac:dyDescent="0.3">
      <c r="A831" s="46">
        <v>15</v>
      </c>
      <c r="B831" s="2"/>
    </row>
    <row r="832" spans="1:2" x14ac:dyDescent="0.3">
      <c r="A832" s="46">
        <v>3</v>
      </c>
      <c r="B832" s="2"/>
    </row>
    <row r="833" spans="1:2" x14ac:dyDescent="0.3">
      <c r="A833" s="46">
        <v>1</v>
      </c>
      <c r="B833" s="2"/>
    </row>
    <row r="834" spans="1:2" x14ac:dyDescent="0.3">
      <c r="A834" s="46">
        <v>1</v>
      </c>
      <c r="B834" s="2"/>
    </row>
    <row r="835" spans="1:2" x14ac:dyDescent="0.3">
      <c r="A835" s="46">
        <v>2</v>
      </c>
      <c r="B835" s="2"/>
    </row>
    <row r="836" spans="1:2" x14ac:dyDescent="0.3">
      <c r="A836" s="46">
        <v>7</v>
      </c>
      <c r="B836" s="2"/>
    </row>
    <row r="837" spans="1:2" x14ac:dyDescent="0.3">
      <c r="A837" s="46">
        <v>8</v>
      </c>
      <c r="B837" s="2"/>
    </row>
    <row r="838" spans="1:2" x14ac:dyDescent="0.3">
      <c r="A838" s="46">
        <v>7</v>
      </c>
      <c r="B838" s="2"/>
    </row>
    <row r="839" spans="1:2" x14ac:dyDescent="0.3">
      <c r="A839" s="46">
        <v>19</v>
      </c>
      <c r="B839" s="2"/>
    </row>
    <row r="840" spans="1:2" x14ac:dyDescent="0.3">
      <c r="A840" s="46">
        <v>4</v>
      </c>
      <c r="B840" s="2"/>
    </row>
    <row r="841" spans="1:2" x14ac:dyDescent="0.3">
      <c r="A841" s="46">
        <v>10</v>
      </c>
      <c r="B841" s="2"/>
    </row>
    <row r="842" spans="1:2" x14ac:dyDescent="0.3">
      <c r="A842" s="46">
        <v>9</v>
      </c>
      <c r="B842" s="2"/>
    </row>
    <row r="843" spans="1:2" x14ac:dyDescent="0.3">
      <c r="A843" s="46">
        <v>10</v>
      </c>
      <c r="B843" s="2"/>
    </row>
    <row r="844" spans="1:2" x14ac:dyDescent="0.3">
      <c r="A844" s="46">
        <v>3</v>
      </c>
      <c r="B844" s="2"/>
    </row>
    <row r="845" spans="1:2" x14ac:dyDescent="0.3">
      <c r="A845" s="46">
        <v>5</v>
      </c>
      <c r="B845" s="2"/>
    </row>
    <row r="846" spans="1:2" x14ac:dyDescent="0.3">
      <c r="A846" s="46">
        <v>17</v>
      </c>
      <c r="B846" s="2"/>
    </row>
    <row r="847" spans="1:2" x14ac:dyDescent="0.3">
      <c r="A847" s="46">
        <v>7</v>
      </c>
      <c r="B847" s="2"/>
    </row>
    <row r="848" spans="1:2" x14ac:dyDescent="0.3">
      <c r="A848" s="46">
        <v>10</v>
      </c>
      <c r="B848" s="2"/>
    </row>
    <row r="849" spans="1:2" x14ac:dyDescent="0.3">
      <c r="A849" s="46">
        <v>4</v>
      </c>
      <c r="B849" s="2"/>
    </row>
    <row r="850" spans="1:2" x14ac:dyDescent="0.3">
      <c r="A850" s="46">
        <v>1</v>
      </c>
      <c r="B850" s="2"/>
    </row>
    <row r="851" spans="1:2" x14ac:dyDescent="0.3">
      <c r="A851" s="46">
        <v>18</v>
      </c>
      <c r="B851" s="2"/>
    </row>
    <row r="852" spans="1:2" x14ac:dyDescent="0.3">
      <c r="A852" s="46">
        <v>15</v>
      </c>
      <c r="B852" s="2"/>
    </row>
    <row r="853" spans="1:2" x14ac:dyDescent="0.3">
      <c r="A853" s="46">
        <v>13</v>
      </c>
      <c r="B853" s="2"/>
    </row>
    <row r="854" spans="1:2" x14ac:dyDescent="0.3">
      <c r="A854" s="46">
        <v>11</v>
      </c>
      <c r="B854" s="2"/>
    </row>
    <row r="855" spans="1:2" x14ac:dyDescent="0.3">
      <c r="A855" s="46">
        <v>4</v>
      </c>
      <c r="B855" s="2"/>
    </row>
    <row r="856" spans="1:2" x14ac:dyDescent="0.3">
      <c r="A856" s="46">
        <v>10</v>
      </c>
      <c r="B856" s="2"/>
    </row>
    <row r="857" spans="1:2" x14ac:dyDescent="0.3">
      <c r="A857" s="46">
        <v>7</v>
      </c>
      <c r="B857" s="2"/>
    </row>
    <row r="858" spans="1:2" x14ac:dyDescent="0.3">
      <c r="A858" s="46">
        <v>14</v>
      </c>
      <c r="B858" s="2"/>
    </row>
    <row r="859" spans="1:2" x14ac:dyDescent="0.3">
      <c r="A859" s="46">
        <v>14</v>
      </c>
      <c r="B859" s="2"/>
    </row>
    <row r="860" spans="1:2" x14ac:dyDescent="0.3">
      <c r="A860" s="46">
        <v>3</v>
      </c>
      <c r="B860" s="2"/>
    </row>
    <row r="861" spans="1:2" x14ac:dyDescent="0.3">
      <c r="A861" s="46">
        <v>1</v>
      </c>
      <c r="B861" s="2"/>
    </row>
    <row r="862" spans="1:2" x14ac:dyDescent="0.3">
      <c r="A862" s="46">
        <v>15</v>
      </c>
      <c r="B862" s="2"/>
    </row>
    <row r="863" spans="1:2" x14ac:dyDescent="0.3">
      <c r="A863" s="46">
        <v>4</v>
      </c>
      <c r="B863" s="2"/>
    </row>
    <row r="864" spans="1:2" x14ac:dyDescent="0.3">
      <c r="A864" s="46">
        <v>9</v>
      </c>
      <c r="B864" s="2"/>
    </row>
    <row r="865" spans="1:2" x14ac:dyDescent="0.3">
      <c r="A865" s="46">
        <v>2</v>
      </c>
      <c r="B865" s="2"/>
    </row>
    <row r="866" spans="1:2" x14ac:dyDescent="0.3">
      <c r="A866" s="46">
        <v>16</v>
      </c>
      <c r="B866" s="2"/>
    </row>
    <row r="867" spans="1:2" x14ac:dyDescent="0.3">
      <c r="A867" s="46">
        <v>1</v>
      </c>
      <c r="B867" s="2"/>
    </row>
    <row r="868" spans="1:2" x14ac:dyDescent="0.3">
      <c r="A868" s="46">
        <v>5</v>
      </c>
      <c r="B868" s="2"/>
    </row>
    <row r="869" spans="1:2" x14ac:dyDescent="0.3">
      <c r="A869" s="46">
        <v>2</v>
      </c>
      <c r="B869" s="2"/>
    </row>
    <row r="870" spans="1:2" x14ac:dyDescent="0.3">
      <c r="A870" s="46">
        <v>15</v>
      </c>
      <c r="B870" s="2"/>
    </row>
    <row r="871" spans="1:2" x14ac:dyDescent="0.3">
      <c r="A871" s="46">
        <v>15</v>
      </c>
      <c r="B871" s="2"/>
    </row>
    <row r="872" spans="1:2" x14ac:dyDescent="0.3">
      <c r="A872" s="46">
        <v>4</v>
      </c>
      <c r="B872" s="2"/>
    </row>
    <row r="873" spans="1:2" x14ac:dyDescent="0.3">
      <c r="A873" s="46">
        <v>18</v>
      </c>
      <c r="B873" s="2"/>
    </row>
    <row r="874" spans="1:2" x14ac:dyDescent="0.3">
      <c r="A874" s="46">
        <v>1</v>
      </c>
      <c r="B874" s="2"/>
    </row>
    <row r="875" spans="1:2" x14ac:dyDescent="0.3">
      <c r="A875" s="46">
        <v>2</v>
      </c>
      <c r="B875" s="2"/>
    </row>
    <row r="876" spans="1:2" x14ac:dyDescent="0.3">
      <c r="A876" s="46">
        <v>4</v>
      </c>
      <c r="B876" s="2"/>
    </row>
    <row r="877" spans="1:2" x14ac:dyDescent="0.3">
      <c r="A877" s="46">
        <v>3</v>
      </c>
      <c r="B877" s="2"/>
    </row>
    <row r="878" spans="1:2" x14ac:dyDescent="0.3">
      <c r="A878" s="46">
        <v>7</v>
      </c>
      <c r="B878" s="2"/>
    </row>
    <row r="879" spans="1:2" x14ac:dyDescent="0.3">
      <c r="A879" s="46">
        <v>14</v>
      </c>
      <c r="B879" s="2"/>
    </row>
    <row r="880" spans="1:2" x14ac:dyDescent="0.3">
      <c r="A880" s="46">
        <v>19</v>
      </c>
      <c r="B880" s="2"/>
    </row>
    <row r="881" spans="1:2" x14ac:dyDescent="0.3">
      <c r="A881" s="46">
        <v>9</v>
      </c>
      <c r="B881" s="2"/>
    </row>
    <row r="882" spans="1:2" x14ac:dyDescent="0.3">
      <c r="A882" s="46">
        <v>14</v>
      </c>
      <c r="B882" s="2"/>
    </row>
    <row r="883" spans="1:2" x14ac:dyDescent="0.3">
      <c r="A883" s="46">
        <v>17</v>
      </c>
      <c r="B883" s="2"/>
    </row>
    <row r="884" spans="1:2" x14ac:dyDescent="0.3">
      <c r="A884" s="46">
        <v>4</v>
      </c>
      <c r="B884" s="2"/>
    </row>
    <row r="885" spans="1:2" x14ac:dyDescent="0.3">
      <c r="A885" s="46">
        <v>12</v>
      </c>
      <c r="B885" s="2"/>
    </row>
    <row r="886" spans="1:2" x14ac:dyDescent="0.3">
      <c r="A886" s="46">
        <v>5</v>
      </c>
      <c r="B886" s="2"/>
    </row>
    <row r="887" spans="1:2" x14ac:dyDescent="0.3">
      <c r="A887" s="46">
        <v>8</v>
      </c>
      <c r="B887" s="2"/>
    </row>
    <row r="888" spans="1:2" x14ac:dyDescent="0.3">
      <c r="A888" s="46">
        <v>6</v>
      </c>
      <c r="B888" s="2"/>
    </row>
    <row r="889" spans="1:2" x14ac:dyDescent="0.3">
      <c r="A889" s="46">
        <v>3</v>
      </c>
      <c r="B889" s="2"/>
    </row>
    <row r="890" spans="1:2" x14ac:dyDescent="0.3">
      <c r="A890" s="46">
        <v>11</v>
      </c>
      <c r="B890" s="2"/>
    </row>
    <row r="891" spans="1:2" x14ac:dyDescent="0.3">
      <c r="A891" s="46">
        <v>3</v>
      </c>
      <c r="B891" s="2"/>
    </row>
    <row r="892" spans="1:2" x14ac:dyDescent="0.3">
      <c r="A892" s="46">
        <v>2</v>
      </c>
      <c r="B892" s="2"/>
    </row>
    <row r="893" spans="1:2" x14ac:dyDescent="0.3">
      <c r="A893" s="46">
        <v>13</v>
      </c>
      <c r="B893" s="2"/>
    </row>
    <row r="894" spans="1:2" x14ac:dyDescent="0.3">
      <c r="A894" s="46">
        <v>10</v>
      </c>
      <c r="B894" s="2"/>
    </row>
    <row r="895" spans="1:2" x14ac:dyDescent="0.3">
      <c r="A895" s="46">
        <v>11</v>
      </c>
      <c r="B895" s="2"/>
    </row>
    <row r="896" spans="1:2" x14ac:dyDescent="0.3">
      <c r="A896" s="46">
        <v>15</v>
      </c>
      <c r="B896" s="2"/>
    </row>
    <row r="897" spans="1:2" x14ac:dyDescent="0.3">
      <c r="A897" s="46">
        <v>12</v>
      </c>
      <c r="B897" s="2"/>
    </row>
    <row r="898" spans="1:2" x14ac:dyDescent="0.3">
      <c r="A898" s="46">
        <v>15</v>
      </c>
      <c r="B898" s="2"/>
    </row>
    <row r="899" spans="1:2" x14ac:dyDescent="0.3">
      <c r="A899" s="46">
        <v>8</v>
      </c>
      <c r="B899" s="2"/>
    </row>
    <row r="900" spans="1:2" x14ac:dyDescent="0.3">
      <c r="A900" s="46">
        <v>5</v>
      </c>
      <c r="B900" s="2"/>
    </row>
    <row r="901" spans="1:2" x14ac:dyDescent="0.3">
      <c r="A901" s="46">
        <v>10</v>
      </c>
      <c r="B901" s="2"/>
    </row>
    <row r="902" spans="1:2" x14ac:dyDescent="0.3">
      <c r="A902" s="46">
        <v>14</v>
      </c>
      <c r="B902" s="2"/>
    </row>
    <row r="903" spans="1:2" x14ac:dyDescent="0.3">
      <c r="A903" s="46">
        <v>5</v>
      </c>
      <c r="B903" s="2"/>
    </row>
    <row r="904" spans="1:2" x14ac:dyDescent="0.3">
      <c r="A904" s="46">
        <v>17</v>
      </c>
      <c r="B904" s="2"/>
    </row>
    <row r="905" spans="1:2" x14ac:dyDescent="0.3">
      <c r="A905" s="46">
        <v>11</v>
      </c>
      <c r="B905" s="2"/>
    </row>
    <row r="906" spans="1:2" x14ac:dyDescent="0.3">
      <c r="A906" s="46">
        <v>5</v>
      </c>
      <c r="B906" s="2"/>
    </row>
    <row r="907" spans="1:2" x14ac:dyDescent="0.3">
      <c r="A907" s="46">
        <v>3</v>
      </c>
      <c r="B907" s="2"/>
    </row>
    <row r="908" spans="1:2" x14ac:dyDescent="0.3">
      <c r="A908" s="46">
        <v>7</v>
      </c>
      <c r="B908" s="2"/>
    </row>
    <row r="909" spans="1:2" x14ac:dyDescent="0.3">
      <c r="A909" s="46">
        <v>4</v>
      </c>
      <c r="B909" s="2"/>
    </row>
    <row r="910" spans="1:2" x14ac:dyDescent="0.3">
      <c r="A910" s="46">
        <v>12</v>
      </c>
      <c r="B910" s="2"/>
    </row>
    <row r="911" spans="1:2" x14ac:dyDescent="0.3">
      <c r="A911" s="46">
        <v>13</v>
      </c>
      <c r="B911" s="2"/>
    </row>
    <row r="912" spans="1:2" x14ac:dyDescent="0.3">
      <c r="A912" s="46">
        <v>8</v>
      </c>
      <c r="B912" s="2"/>
    </row>
    <row r="913" spans="1:2" x14ac:dyDescent="0.3">
      <c r="A913" s="46">
        <v>14</v>
      </c>
      <c r="B913" s="2"/>
    </row>
    <row r="914" spans="1:2" x14ac:dyDescent="0.3">
      <c r="A914" s="46">
        <v>4</v>
      </c>
      <c r="B914" s="2"/>
    </row>
    <row r="915" spans="1:2" x14ac:dyDescent="0.3">
      <c r="A915" s="46">
        <v>15</v>
      </c>
      <c r="B915" s="2"/>
    </row>
    <row r="916" spans="1:2" x14ac:dyDescent="0.3">
      <c r="A916" s="46">
        <v>12</v>
      </c>
      <c r="B916" s="2"/>
    </row>
    <row r="917" spans="1:2" x14ac:dyDescent="0.3">
      <c r="A917" s="46">
        <v>8</v>
      </c>
      <c r="B917" s="2"/>
    </row>
    <row r="918" spans="1:2" x14ac:dyDescent="0.3">
      <c r="A918" s="46">
        <v>20</v>
      </c>
      <c r="B918" s="2"/>
    </row>
    <row r="919" spans="1:2" x14ac:dyDescent="0.3">
      <c r="A919" s="46">
        <v>14</v>
      </c>
      <c r="B919" s="2"/>
    </row>
    <row r="920" spans="1:2" x14ac:dyDescent="0.3">
      <c r="A920" s="46">
        <v>12</v>
      </c>
      <c r="B920" s="2"/>
    </row>
    <row r="921" spans="1:2" x14ac:dyDescent="0.3">
      <c r="A921" s="46">
        <v>15</v>
      </c>
      <c r="B921" s="2"/>
    </row>
    <row r="922" spans="1:2" x14ac:dyDescent="0.3">
      <c r="A922" s="46">
        <v>3</v>
      </c>
      <c r="B922" s="2"/>
    </row>
    <row r="923" spans="1:2" x14ac:dyDescent="0.3">
      <c r="A923" s="46">
        <v>5</v>
      </c>
      <c r="B923" s="2"/>
    </row>
    <row r="924" spans="1:2" x14ac:dyDescent="0.3">
      <c r="A924" s="46">
        <v>1</v>
      </c>
      <c r="B924" s="2"/>
    </row>
    <row r="925" spans="1:2" x14ac:dyDescent="0.3">
      <c r="A925" s="46">
        <v>11</v>
      </c>
      <c r="B925" s="2"/>
    </row>
    <row r="926" spans="1:2" x14ac:dyDescent="0.3">
      <c r="A926" s="46">
        <v>12</v>
      </c>
      <c r="B926" s="2"/>
    </row>
    <row r="927" spans="1:2" x14ac:dyDescent="0.3">
      <c r="A927" s="46">
        <v>6</v>
      </c>
      <c r="B927" s="2"/>
    </row>
    <row r="928" spans="1:2" x14ac:dyDescent="0.3">
      <c r="A928" s="46">
        <v>5</v>
      </c>
      <c r="B928" s="2"/>
    </row>
    <row r="929" spans="1:2" x14ac:dyDescent="0.3">
      <c r="A929" s="46">
        <v>1</v>
      </c>
      <c r="B929" s="2"/>
    </row>
    <row r="930" spans="1:2" x14ac:dyDescent="0.3">
      <c r="A930" s="46">
        <v>9</v>
      </c>
      <c r="B930" s="2"/>
    </row>
    <row r="931" spans="1:2" x14ac:dyDescent="0.3">
      <c r="A931" s="46">
        <v>2</v>
      </c>
      <c r="B931" s="2"/>
    </row>
    <row r="932" spans="1:2" x14ac:dyDescent="0.3">
      <c r="A932" s="46">
        <v>7</v>
      </c>
      <c r="B932" s="2"/>
    </row>
    <row r="933" spans="1:2" x14ac:dyDescent="0.3">
      <c r="A933" s="46">
        <v>1</v>
      </c>
      <c r="B933" s="2"/>
    </row>
    <row r="934" spans="1:2" x14ac:dyDescent="0.3">
      <c r="A934" s="46">
        <v>8</v>
      </c>
      <c r="B934" s="2"/>
    </row>
    <row r="935" spans="1:2" x14ac:dyDescent="0.3">
      <c r="A935" s="46">
        <v>15</v>
      </c>
      <c r="B935" s="2"/>
    </row>
    <row r="936" spans="1:2" x14ac:dyDescent="0.3">
      <c r="A936" s="46">
        <v>9</v>
      </c>
      <c r="B936" s="2"/>
    </row>
    <row r="937" spans="1:2" x14ac:dyDescent="0.3">
      <c r="A937" s="46">
        <v>12</v>
      </c>
      <c r="B937" s="2"/>
    </row>
    <row r="938" spans="1:2" x14ac:dyDescent="0.3">
      <c r="A938" s="46">
        <v>3</v>
      </c>
      <c r="B938" s="2"/>
    </row>
    <row r="939" spans="1:2" x14ac:dyDescent="0.3">
      <c r="A939" s="46">
        <v>5</v>
      </c>
      <c r="B939" s="2"/>
    </row>
    <row r="940" spans="1:2" x14ac:dyDescent="0.3">
      <c r="A940" s="46">
        <v>7</v>
      </c>
      <c r="B940" s="2"/>
    </row>
    <row r="941" spans="1:2" x14ac:dyDescent="0.3">
      <c r="A941" s="46">
        <v>10</v>
      </c>
      <c r="B941" s="2"/>
    </row>
    <row r="942" spans="1:2" x14ac:dyDescent="0.3">
      <c r="A942" s="46">
        <v>8</v>
      </c>
      <c r="B942" s="2"/>
    </row>
    <row r="943" spans="1:2" x14ac:dyDescent="0.3">
      <c r="A943" s="46">
        <v>7</v>
      </c>
      <c r="B943" s="2"/>
    </row>
    <row r="944" spans="1:2" x14ac:dyDescent="0.3">
      <c r="A944" s="46">
        <v>10</v>
      </c>
      <c r="B944" s="2"/>
    </row>
    <row r="945" spans="1:2" x14ac:dyDescent="0.3">
      <c r="A945" s="46">
        <v>13</v>
      </c>
      <c r="B945" s="2"/>
    </row>
    <row r="946" spans="1:2" x14ac:dyDescent="0.3">
      <c r="A946" s="46">
        <v>13</v>
      </c>
      <c r="B946" s="2"/>
    </row>
    <row r="947" spans="1:2" x14ac:dyDescent="0.3">
      <c r="A947" s="46">
        <v>2</v>
      </c>
      <c r="B947" s="2"/>
    </row>
    <row r="948" spans="1:2" x14ac:dyDescent="0.3">
      <c r="A948" s="46">
        <v>5</v>
      </c>
      <c r="B948" s="2"/>
    </row>
    <row r="949" spans="1:2" x14ac:dyDescent="0.3">
      <c r="A949" s="46">
        <v>8</v>
      </c>
      <c r="B949" s="2"/>
    </row>
    <row r="950" spans="1:2" x14ac:dyDescent="0.3">
      <c r="A950" s="46">
        <v>9</v>
      </c>
      <c r="B950" s="2"/>
    </row>
    <row r="951" spans="1:2" x14ac:dyDescent="0.3">
      <c r="A951" s="46">
        <v>8</v>
      </c>
      <c r="B951" s="2"/>
    </row>
    <row r="952" spans="1:2" x14ac:dyDescent="0.3">
      <c r="A952" s="46">
        <v>14</v>
      </c>
      <c r="B952" s="2"/>
    </row>
    <row r="953" spans="1:2" x14ac:dyDescent="0.3">
      <c r="A953" s="46">
        <v>13</v>
      </c>
      <c r="B953" s="2"/>
    </row>
    <row r="954" spans="1:2" x14ac:dyDescent="0.3">
      <c r="A954" s="46">
        <v>10</v>
      </c>
      <c r="B954" s="2"/>
    </row>
    <row r="955" spans="1:2" x14ac:dyDescent="0.3">
      <c r="A955" s="46">
        <v>19</v>
      </c>
      <c r="B955" s="2"/>
    </row>
    <row r="956" spans="1:2" x14ac:dyDescent="0.3">
      <c r="A956" s="46">
        <v>10</v>
      </c>
      <c r="B956" s="2"/>
    </row>
    <row r="957" spans="1:2" x14ac:dyDescent="0.3">
      <c r="A957" s="46">
        <v>1</v>
      </c>
      <c r="B957" s="2"/>
    </row>
    <row r="958" spans="1:2" x14ac:dyDescent="0.3">
      <c r="A958" s="46">
        <v>4</v>
      </c>
      <c r="B958" s="2"/>
    </row>
    <row r="959" spans="1:2" x14ac:dyDescent="0.3">
      <c r="A959" s="46">
        <v>12</v>
      </c>
      <c r="B959" s="2"/>
    </row>
    <row r="960" spans="1:2" x14ac:dyDescent="0.3">
      <c r="A960" s="46">
        <v>19</v>
      </c>
      <c r="B960" s="2"/>
    </row>
    <row r="961" spans="1:2" x14ac:dyDescent="0.3">
      <c r="A961" s="46">
        <v>3</v>
      </c>
      <c r="B961" s="2"/>
    </row>
    <row r="962" spans="1:2" x14ac:dyDescent="0.3">
      <c r="A962" s="46">
        <v>11</v>
      </c>
      <c r="B962" s="2"/>
    </row>
    <row r="963" spans="1:2" x14ac:dyDescent="0.3">
      <c r="A963" s="46">
        <v>5</v>
      </c>
      <c r="B963" s="2"/>
    </row>
    <row r="964" spans="1:2" x14ac:dyDescent="0.3">
      <c r="A964" s="46">
        <v>4</v>
      </c>
      <c r="B964" s="2"/>
    </row>
    <row r="965" spans="1:2" x14ac:dyDescent="0.3">
      <c r="A965" s="46">
        <v>4</v>
      </c>
      <c r="B965" s="2"/>
    </row>
    <row r="966" spans="1:2" x14ac:dyDescent="0.3">
      <c r="A966" s="46">
        <v>16</v>
      </c>
      <c r="B966" s="2"/>
    </row>
    <row r="967" spans="1:2" x14ac:dyDescent="0.3">
      <c r="A967" s="46">
        <v>5</v>
      </c>
      <c r="B967" s="2"/>
    </row>
    <row r="968" spans="1:2" x14ac:dyDescent="0.3">
      <c r="A968" s="46">
        <v>9</v>
      </c>
      <c r="B968" s="2"/>
    </row>
    <row r="969" spans="1:2" x14ac:dyDescent="0.3">
      <c r="A969" s="46">
        <v>8</v>
      </c>
      <c r="B969" s="2"/>
    </row>
    <row r="970" spans="1:2" x14ac:dyDescent="0.3">
      <c r="A970" s="46">
        <v>4</v>
      </c>
      <c r="B970" s="2"/>
    </row>
    <row r="971" spans="1:2" x14ac:dyDescent="0.3">
      <c r="A971" s="46">
        <v>1</v>
      </c>
      <c r="B971" s="2"/>
    </row>
    <row r="972" spans="1:2" x14ac:dyDescent="0.3">
      <c r="A972" s="46">
        <v>5</v>
      </c>
      <c r="B972" s="2"/>
    </row>
    <row r="973" spans="1:2" x14ac:dyDescent="0.3">
      <c r="A973" s="46">
        <v>1</v>
      </c>
      <c r="B973" s="2"/>
    </row>
    <row r="974" spans="1:2" x14ac:dyDescent="0.3">
      <c r="A974" s="46">
        <v>5</v>
      </c>
      <c r="B974" s="2"/>
    </row>
    <row r="975" spans="1:2" x14ac:dyDescent="0.3">
      <c r="A975" s="46">
        <v>8</v>
      </c>
      <c r="B975" s="2"/>
    </row>
    <row r="976" spans="1:2" x14ac:dyDescent="0.3">
      <c r="A976" s="46">
        <v>5</v>
      </c>
      <c r="B976" s="2"/>
    </row>
    <row r="977" spans="1:2" x14ac:dyDescent="0.3">
      <c r="A977" s="46">
        <v>13</v>
      </c>
      <c r="B977" s="2"/>
    </row>
    <row r="978" spans="1:2" x14ac:dyDescent="0.3">
      <c r="A978" s="46">
        <v>6</v>
      </c>
      <c r="B978" s="2"/>
    </row>
    <row r="979" spans="1:2" x14ac:dyDescent="0.3">
      <c r="A979" s="46">
        <v>10</v>
      </c>
      <c r="B979" s="2"/>
    </row>
    <row r="980" spans="1:2" x14ac:dyDescent="0.3">
      <c r="A980" s="46">
        <v>4</v>
      </c>
      <c r="B980" s="2"/>
    </row>
    <row r="981" spans="1:2" x14ac:dyDescent="0.3">
      <c r="A981" s="46">
        <v>4</v>
      </c>
      <c r="B981" s="2"/>
    </row>
    <row r="982" spans="1:2" x14ac:dyDescent="0.3">
      <c r="A982" s="46">
        <v>12</v>
      </c>
      <c r="B982" s="2"/>
    </row>
    <row r="983" spans="1:2" x14ac:dyDescent="0.3">
      <c r="A983" s="46">
        <v>14</v>
      </c>
      <c r="B983" s="2"/>
    </row>
    <row r="984" spans="1:2" x14ac:dyDescent="0.3">
      <c r="A984" s="46">
        <v>4</v>
      </c>
      <c r="B984" s="2"/>
    </row>
    <row r="985" spans="1:2" x14ac:dyDescent="0.3">
      <c r="A985" s="46">
        <v>15</v>
      </c>
      <c r="B985" s="2"/>
    </row>
    <row r="986" spans="1:2" x14ac:dyDescent="0.3">
      <c r="A986" s="46">
        <v>6</v>
      </c>
      <c r="B986" s="2"/>
    </row>
    <row r="987" spans="1:2" x14ac:dyDescent="0.3">
      <c r="A987" s="46">
        <v>20</v>
      </c>
      <c r="B987" s="2"/>
    </row>
    <row r="988" spans="1:2" x14ac:dyDescent="0.3">
      <c r="A988" s="46">
        <v>4</v>
      </c>
      <c r="B988" s="2"/>
    </row>
    <row r="989" spans="1:2" x14ac:dyDescent="0.3">
      <c r="A989" s="46">
        <v>13</v>
      </c>
      <c r="B989" s="2"/>
    </row>
    <row r="990" spans="1:2" x14ac:dyDescent="0.3">
      <c r="A990" s="46">
        <v>2</v>
      </c>
      <c r="B990" s="2"/>
    </row>
    <row r="991" spans="1:2" x14ac:dyDescent="0.3">
      <c r="A991" s="46">
        <v>5</v>
      </c>
      <c r="B991" s="2"/>
    </row>
    <row r="992" spans="1:2" x14ac:dyDescent="0.3">
      <c r="A992" s="46">
        <v>2</v>
      </c>
      <c r="B992" s="2"/>
    </row>
    <row r="993" spans="1:2" x14ac:dyDescent="0.3">
      <c r="A993" s="46">
        <v>16</v>
      </c>
      <c r="B993" s="2"/>
    </row>
    <row r="994" spans="1:2" x14ac:dyDescent="0.3">
      <c r="A994" s="46">
        <v>20</v>
      </c>
      <c r="B994" s="2"/>
    </row>
    <row r="995" spans="1:2" x14ac:dyDescent="0.3">
      <c r="A995" s="46">
        <v>7</v>
      </c>
      <c r="B995" s="2"/>
    </row>
    <row r="996" spans="1:2" x14ac:dyDescent="0.3">
      <c r="A996" s="46">
        <v>10</v>
      </c>
      <c r="B996" s="2"/>
    </row>
    <row r="997" spans="1:2" x14ac:dyDescent="0.3">
      <c r="A997" s="46">
        <v>8</v>
      </c>
      <c r="B997" s="2"/>
    </row>
    <row r="998" spans="1:2" x14ac:dyDescent="0.3">
      <c r="A998" s="46">
        <v>6</v>
      </c>
      <c r="B998" s="2"/>
    </row>
    <row r="999" spans="1:2" x14ac:dyDescent="0.3">
      <c r="A999" s="46">
        <v>14</v>
      </c>
      <c r="B999" s="2"/>
    </row>
    <row r="1000" spans="1:2" x14ac:dyDescent="0.3">
      <c r="A1000" s="46">
        <v>12</v>
      </c>
      <c r="B1000" s="2"/>
    </row>
    <row r="1001" spans="1:2" x14ac:dyDescent="0.3">
      <c r="A1001" s="46">
        <v>15</v>
      </c>
      <c r="B1001" s="2"/>
    </row>
  </sheetData>
  <mergeCells count="1">
    <mergeCell ref="C1:D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0A193-3A55-4DAE-B77E-ACF871BE4066}">
  <dimension ref="A1:H1001"/>
  <sheetViews>
    <sheetView showGridLines="0" workbookViewId="0">
      <selection activeCell="L18" sqref="L18"/>
    </sheetView>
  </sheetViews>
  <sheetFormatPr defaultRowHeight="14.4" x14ac:dyDescent="0.3"/>
  <cols>
    <col min="1" max="1" width="22.77734375" style="13" bestFit="1" customWidth="1"/>
    <col min="2" max="2" width="16.5546875" style="13" bestFit="1" customWidth="1"/>
    <col min="4" max="4" width="14.77734375" bestFit="1" customWidth="1"/>
    <col min="5" max="5" width="14.33203125" bestFit="1" customWidth="1"/>
    <col min="7" max="7" width="13.21875" bestFit="1" customWidth="1"/>
    <col min="8" max="8" width="14.33203125" bestFit="1" customWidth="1"/>
  </cols>
  <sheetData>
    <row r="1" spans="1:8" x14ac:dyDescent="0.3">
      <c r="A1" s="53" t="s">
        <v>2105</v>
      </c>
      <c r="B1" s="50" t="s">
        <v>2117</v>
      </c>
      <c r="D1" s="71" t="s">
        <v>2177</v>
      </c>
      <c r="E1" s="71"/>
      <c r="G1" s="71" t="s">
        <v>2178</v>
      </c>
      <c r="H1" s="71"/>
    </row>
    <row r="2" spans="1:8" x14ac:dyDescent="0.3">
      <c r="A2" s="13" t="s">
        <v>17</v>
      </c>
      <c r="B2" s="51">
        <v>13</v>
      </c>
      <c r="D2" s="54" t="s">
        <v>2105</v>
      </c>
      <c r="E2" s="54" t="s">
        <v>2117</v>
      </c>
      <c r="G2" s="54" t="s">
        <v>2105</v>
      </c>
      <c r="H2" s="54" t="s">
        <v>2117</v>
      </c>
    </row>
    <row r="3" spans="1:8" x14ac:dyDescent="0.3">
      <c r="A3" s="13" t="s">
        <v>27</v>
      </c>
      <c r="B3" s="51">
        <v>10</v>
      </c>
      <c r="D3" s="46" t="s">
        <v>1664</v>
      </c>
      <c r="E3" s="46">
        <v>20</v>
      </c>
      <c r="G3" s="46" t="s">
        <v>1710</v>
      </c>
      <c r="H3" s="46">
        <v>1</v>
      </c>
    </row>
    <row r="4" spans="1:8" x14ac:dyDescent="0.3">
      <c r="A4" s="13" t="s">
        <v>36</v>
      </c>
      <c r="B4" s="51">
        <v>16</v>
      </c>
      <c r="D4" s="46" t="s">
        <v>771</v>
      </c>
      <c r="E4" s="46">
        <v>20</v>
      </c>
      <c r="G4" s="46" t="s">
        <v>972</v>
      </c>
      <c r="H4" s="46">
        <v>1</v>
      </c>
    </row>
    <row r="5" spans="1:8" x14ac:dyDescent="0.3">
      <c r="A5" s="13" t="s">
        <v>44</v>
      </c>
      <c r="B5" s="51">
        <v>5</v>
      </c>
      <c r="D5" s="46" t="s">
        <v>1333</v>
      </c>
      <c r="E5" s="46">
        <v>20</v>
      </c>
      <c r="G5" s="46" t="s">
        <v>2010</v>
      </c>
      <c r="H5" s="46">
        <v>1</v>
      </c>
    </row>
    <row r="6" spans="1:8" x14ac:dyDescent="0.3">
      <c r="A6" s="13" t="s">
        <v>49</v>
      </c>
      <c r="B6" s="51">
        <v>13</v>
      </c>
      <c r="D6" s="46" t="s">
        <v>1141</v>
      </c>
      <c r="E6" s="46">
        <v>20</v>
      </c>
      <c r="G6" s="46" t="s">
        <v>1481</v>
      </c>
      <c r="H6" s="46">
        <v>1</v>
      </c>
    </row>
    <row r="7" spans="1:8" x14ac:dyDescent="0.3">
      <c r="A7" s="13" t="s">
        <v>54</v>
      </c>
      <c r="B7" s="51">
        <v>8</v>
      </c>
      <c r="D7" s="46" t="s">
        <v>777</v>
      </c>
      <c r="E7" s="46">
        <v>20</v>
      </c>
      <c r="G7" s="46" t="s">
        <v>1484</v>
      </c>
      <c r="H7" s="46">
        <v>1</v>
      </c>
    </row>
    <row r="8" spans="1:8" x14ac:dyDescent="0.3">
      <c r="A8" s="13" t="s">
        <v>62</v>
      </c>
      <c r="B8" s="51">
        <v>10</v>
      </c>
    </row>
    <row r="9" spans="1:8" x14ac:dyDescent="0.3">
      <c r="A9" s="13" t="s">
        <v>69</v>
      </c>
      <c r="B9" s="51">
        <v>7</v>
      </c>
    </row>
    <row r="10" spans="1:8" x14ac:dyDescent="0.3">
      <c r="A10" s="13" t="s">
        <v>72</v>
      </c>
      <c r="B10" s="51">
        <v>2</v>
      </c>
    </row>
    <row r="11" spans="1:8" x14ac:dyDescent="0.3">
      <c r="A11" s="13" t="s">
        <v>77</v>
      </c>
      <c r="B11" s="51">
        <v>16</v>
      </c>
    </row>
    <row r="12" spans="1:8" x14ac:dyDescent="0.3">
      <c r="A12" s="13" t="s">
        <v>84</v>
      </c>
      <c r="B12" s="51">
        <v>20</v>
      </c>
    </row>
    <row r="13" spans="1:8" x14ac:dyDescent="0.3">
      <c r="A13" s="13" t="s">
        <v>90</v>
      </c>
      <c r="B13" s="51">
        <v>13</v>
      </c>
    </row>
    <row r="14" spans="1:8" x14ac:dyDescent="0.3">
      <c r="A14" s="13" t="s">
        <v>96</v>
      </c>
      <c r="B14" s="51">
        <v>16</v>
      </c>
    </row>
    <row r="15" spans="1:8" x14ac:dyDescent="0.3">
      <c r="A15" s="13" t="s">
        <v>100</v>
      </c>
      <c r="B15" s="51">
        <v>17</v>
      </c>
    </row>
    <row r="16" spans="1:8" x14ac:dyDescent="0.3">
      <c r="A16" s="13" t="s">
        <v>102</v>
      </c>
      <c r="B16" s="51">
        <v>14</v>
      </c>
    </row>
    <row r="17" spans="1:2" x14ac:dyDescent="0.3">
      <c r="A17" s="13" t="s">
        <v>105</v>
      </c>
      <c r="B17" s="51">
        <v>5</v>
      </c>
    </row>
    <row r="18" spans="1:2" x14ac:dyDescent="0.3">
      <c r="A18" s="13" t="s">
        <v>109</v>
      </c>
      <c r="B18" s="51">
        <v>7</v>
      </c>
    </row>
    <row r="19" spans="1:2" x14ac:dyDescent="0.3">
      <c r="A19" s="13" t="s">
        <v>112</v>
      </c>
      <c r="B19" s="51">
        <v>1</v>
      </c>
    </row>
    <row r="20" spans="1:2" x14ac:dyDescent="0.3">
      <c r="A20" s="13" t="s">
        <v>117</v>
      </c>
      <c r="B20" s="51">
        <v>13</v>
      </c>
    </row>
    <row r="21" spans="1:2" x14ac:dyDescent="0.3">
      <c r="A21" s="13" t="s">
        <v>121</v>
      </c>
      <c r="B21" s="51">
        <v>1</v>
      </c>
    </row>
    <row r="22" spans="1:2" x14ac:dyDescent="0.3">
      <c r="A22" s="13" t="s">
        <v>123</v>
      </c>
      <c r="B22" s="51">
        <v>15</v>
      </c>
    </row>
    <row r="23" spans="1:2" x14ac:dyDescent="0.3">
      <c r="A23" s="13" t="s">
        <v>125</v>
      </c>
      <c r="B23" s="51">
        <v>3</v>
      </c>
    </row>
    <row r="24" spans="1:2" x14ac:dyDescent="0.3">
      <c r="A24" s="13" t="s">
        <v>127</v>
      </c>
      <c r="B24" s="51">
        <v>14</v>
      </c>
    </row>
    <row r="25" spans="1:2" x14ac:dyDescent="0.3">
      <c r="A25" s="13" t="s">
        <v>132</v>
      </c>
      <c r="B25" s="51">
        <v>9</v>
      </c>
    </row>
    <row r="26" spans="1:2" x14ac:dyDescent="0.3">
      <c r="A26" s="13" t="s">
        <v>137</v>
      </c>
      <c r="B26" s="51">
        <v>15</v>
      </c>
    </row>
    <row r="27" spans="1:2" x14ac:dyDescent="0.3">
      <c r="A27" s="13" t="s">
        <v>139</v>
      </c>
      <c r="B27" s="51">
        <v>5</v>
      </c>
    </row>
    <row r="28" spans="1:2" x14ac:dyDescent="0.3">
      <c r="A28" s="13" t="s">
        <v>141</v>
      </c>
      <c r="B28" s="51">
        <v>6</v>
      </c>
    </row>
    <row r="29" spans="1:2" x14ac:dyDescent="0.3">
      <c r="A29" s="13" t="s">
        <v>144</v>
      </c>
      <c r="B29" s="51">
        <v>12</v>
      </c>
    </row>
    <row r="30" spans="1:2" x14ac:dyDescent="0.3">
      <c r="A30" s="13" t="s">
        <v>148</v>
      </c>
      <c r="B30" s="51">
        <v>14</v>
      </c>
    </row>
    <row r="31" spans="1:2" x14ac:dyDescent="0.3">
      <c r="A31" s="13" t="s">
        <v>151</v>
      </c>
      <c r="B31" s="51">
        <v>6</v>
      </c>
    </row>
    <row r="32" spans="1:2" x14ac:dyDescent="0.3">
      <c r="A32" s="13" t="s">
        <v>153</v>
      </c>
      <c r="B32" s="51">
        <v>3</v>
      </c>
    </row>
    <row r="33" spans="1:2" x14ac:dyDescent="0.3">
      <c r="A33" s="13" t="s">
        <v>155</v>
      </c>
      <c r="B33" s="51">
        <v>10</v>
      </c>
    </row>
    <row r="34" spans="1:2" x14ac:dyDescent="0.3">
      <c r="A34" s="13" t="s">
        <v>159</v>
      </c>
      <c r="B34" s="51">
        <v>13</v>
      </c>
    </row>
    <row r="35" spans="1:2" x14ac:dyDescent="0.3">
      <c r="A35" s="13" t="s">
        <v>164</v>
      </c>
      <c r="B35" s="51">
        <v>15</v>
      </c>
    </row>
    <row r="36" spans="1:2" x14ac:dyDescent="0.3">
      <c r="A36" s="13" t="s">
        <v>166</v>
      </c>
      <c r="B36" s="51">
        <v>18</v>
      </c>
    </row>
    <row r="37" spans="1:2" x14ac:dyDescent="0.3">
      <c r="A37" s="13" t="s">
        <v>168</v>
      </c>
      <c r="B37" s="51">
        <v>18</v>
      </c>
    </row>
    <row r="38" spans="1:2" x14ac:dyDescent="0.3">
      <c r="A38" s="13" t="s">
        <v>170</v>
      </c>
      <c r="B38" s="51">
        <v>15</v>
      </c>
    </row>
    <row r="39" spans="1:2" x14ac:dyDescent="0.3">
      <c r="A39" s="13" t="s">
        <v>172</v>
      </c>
      <c r="B39" s="51">
        <v>10</v>
      </c>
    </row>
    <row r="40" spans="1:2" x14ac:dyDescent="0.3">
      <c r="A40" s="13" t="s">
        <v>174</v>
      </c>
      <c r="B40" s="51">
        <v>13</v>
      </c>
    </row>
    <row r="41" spans="1:2" x14ac:dyDescent="0.3">
      <c r="A41" s="13" t="s">
        <v>178</v>
      </c>
      <c r="B41" s="51">
        <v>9</v>
      </c>
    </row>
    <row r="42" spans="1:2" x14ac:dyDescent="0.3">
      <c r="A42" s="13" t="s">
        <v>180</v>
      </c>
      <c r="B42" s="51">
        <v>3</v>
      </c>
    </row>
    <row r="43" spans="1:2" x14ac:dyDescent="0.3">
      <c r="A43" s="13" t="s">
        <v>183</v>
      </c>
      <c r="B43" s="51">
        <v>5</v>
      </c>
    </row>
    <row r="44" spans="1:2" x14ac:dyDescent="0.3">
      <c r="A44" s="13" t="s">
        <v>185</v>
      </c>
      <c r="B44" s="51">
        <v>7</v>
      </c>
    </row>
    <row r="45" spans="1:2" x14ac:dyDescent="0.3">
      <c r="A45" s="13" t="s">
        <v>187</v>
      </c>
      <c r="B45" s="51">
        <v>1</v>
      </c>
    </row>
    <row r="46" spans="1:2" x14ac:dyDescent="0.3">
      <c r="A46" s="13" t="s">
        <v>189</v>
      </c>
      <c r="B46" s="51">
        <v>17</v>
      </c>
    </row>
    <row r="47" spans="1:2" x14ac:dyDescent="0.3">
      <c r="A47" s="13" t="s">
        <v>191</v>
      </c>
      <c r="B47" s="51">
        <v>13</v>
      </c>
    </row>
    <row r="48" spans="1:2" x14ac:dyDescent="0.3">
      <c r="A48" s="13" t="s">
        <v>194</v>
      </c>
      <c r="B48" s="51">
        <v>12</v>
      </c>
    </row>
    <row r="49" spans="1:2" x14ac:dyDescent="0.3">
      <c r="A49" s="13" t="s">
        <v>196</v>
      </c>
      <c r="B49" s="51">
        <v>4</v>
      </c>
    </row>
    <row r="50" spans="1:2" x14ac:dyDescent="0.3">
      <c r="A50" s="13" t="s">
        <v>200</v>
      </c>
      <c r="B50" s="51">
        <v>12</v>
      </c>
    </row>
    <row r="51" spans="1:2" x14ac:dyDescent="0.3">
      <c r="A51" s="13" t="s">
        <v>203</v>
      </c>
      <c r="B51" s="51">
        <v>2</v>
      </c>
    </row>
    <row r="52" spans="1:2" x14ac:dyDescent="0.3">
      <c r="A52" s="13" t="s">
        <v>205</v>
      </c>
      <c r="B52" s="51">
        <v>2</v>
      </c>
    </row>
    <row r="53" spans="1:2" x14ac:dyDescent="0.3">
      <c r="A53" s="13" t="s">
        <v>207</v>
      </c>
      <c r="B53" s="51">
        <v>11</v>
      </c>
    </row>
    <row r="54" spans="1:2" x14ac:dyDescent="0.3">
      <c r="A54" s="13" t="s">
        <v>209</v>
      </c>
      <c r="B54" s="51">
        <v>17</v>
      </c>
    </row>
    <row r="55" spans="1:2" x14ac:dyDescent="0.3">
      <c r="A55" s="13" t="s">
        <v>211</v>
      </c>
      <c r="B55" s="51">
        <v>1</v>
      </c>
    </row>
    <row r="56" spans="1:2" x14ac:dyDescent="0.3">
      <c r="A56" s="13" t="s">
        <v>214</v>
      </c>
      <c r="B56" s="51">
        <v>7</v>
      </c>
    </row>
    <row r="57" spans="1:2" x14ac:dyDescent="0.3">
      <c r="A57" s="13" t="s">
        <v>216</v>
      </c>
      <c r="B57" s="51">
        <v>7</v>
      </c>
    </row>
    <row r="58" spans="1:2" x14ac:dyDescent="0.3">
      <c r="A58" s="13" t="s">
        <v>218</v>
      </c>
      <c r="B58" s="51">
        <v>7</v>
      </c>
    </row>
    <row r="59" spans="1:2" x14ac:dyDescent="0.3">
      <c r="A59" s="13" t="s">
        <v>220</v>
      </c>
      <c r="B59" s="51">
        <v>16</v>
      </c>
    </row>
    <row r="60" spans="1:2" x14ac:dyDescent="0.3">
      <c r="A60" s="13" t="s">
        <v>222</v>
      </c>
      <c r="B60" s="51">
        <v>2</v>
      </c>
    </row>
    <row r="61" spans="1:2" x14ac:dyDescent="0.3">
      <c r="A61" s="13" t="s">
        <v>224</v>
      </c>
      <c r="B61" s="51">
        <v>13</v>
      </c>
    </row>
    <row r="62" spans="1:2" x14ac:dyDescent="0.3">
      <c r="A62" s="13" t="s">
        <v>226</v>
      </c>
      <c r="B62" s="51">
        <v>14</v>
      </c>
    </row>
    <row r="63" spans="1:2" x14ac:dyDescent="0.3">
      <c r="A63" s="13" t="s">
        <v>228</v>
      </c>
      <c r="B63" s="51">
        <v>11</v>
      </c>
    </row>
    <row r="64" spans="1:2" x14ac:dyDescent="0.3">
      <c r="A64" s="13" t="s">
        <v>230</v>
      </c>
      <c r="B64" s="51">
        <v>15</v>
      </c>
    </row>
    <row r="65" spans="1:2" x14ac:dyDescent="0.3">
      <c r="A65" s="13" t="s">
        <v>232</v>
      </c>
      <c r="B65" s="51">
        <v>17</v>
      </c>
    </row>
    <row r="66" spans="1:2" x14ac:dyDescent="0.3">
      <c r="A66" s="13" t="s">
        <v>234</v>
      </c>
      <c r="B66" s="51">
        <v>13</v>
      </c>
    </row>
    <row r="67" spans="1:2" x14ac:dyDescent="0.3">
      <c r="A67" s="13" t="s">
        <v>236</v>
      </c>
      <c r="B67" s="51">
        <v>14</v>
      </c>
    </row>
    <row r="68" spans="1:2" x14ac:dyDescent="0.3">
      <c r="A68" s="13" t="s">
        <v>238</v>
      </c>
      <c r="B68" s="51">
        <v>9</v>
      </c>
    </row>
    <row r="69" spans="1:2" x14ac:dyDescent="0.3">
      <c r="A69" s="13" t="s">
        <v>240</v>
      </c>
      <c r="B69" s="51">
        <v>5</v>
      </c>
    </row>
    <row r="70" spans="1:2" x14ac:dyDescent="0.3">
      <c r="A70" s="13" t="s">
        <v>242</v>
      </c>
      <c r="B70" s="51">
        <v>8</v>
      </c>
    </row>
    <row r="71" spans="1:2" x14ac:dyDescent="0.3">
      <c r="A71" s="13" t="s">
        <v>244</v>
      </c>
      <c r="B71" s="51">
        <v>19</v>
      </c>
    </row>
    <row r="72" spans="1:2" x14ac:dyDescent="0.3">
      <c r="A72" s="13" t="s">
        <v>246</v>
      </c>
      <c r="B72" s="51">
        <v>6</v>
      </c>
    </row>
    <row r="73" spans="1:2" x14ac:dyDescent="0.3">
      <c r="A73" s="13" t="s">
        <v>248</v>
      </c>
      <c r="B73" s="51">
        <v>15</v>
      </c>
    </row>
    <row r="74" spans="1:2" x14ac:dyDescent="0.3">
      <c r="A74" s="13" t="s">
        <v>250</v>
      </c>
      <c r="B74" s="51">
        <v>11</v>
      </c>
    </row>
    <row r="75" spans="1:2" x14ac:dyDescent="0.3">
      <c r="A75" s="13" t="s">
        <v>253</v>
      </c>
      <c r="B75" s="51">
        <v>5</v>
      </c>
    </row>
    <row r="76" spans="1:2" x14ac:dyDescent="0.3">
      <c r="A76" s="13" t="s">
        <v>255</v>
      </c>
      <c r="B76" s="51">
        <v>9</v>
      </c>
    </row>
    <row r="77" spans="1:2" x14ac:dyDescent="0.3">
      <c r="A77" s="13" t="s">
        <v>257</v>
      </c>
      <c r="B77" s="51">
        <v>2</v>
      </c>
    </row>
    <row r="78" spans="1:2" x14ac:dyDescent="0.3">
      <c r="A78" s="13" t="s">
        <v>259</v>
      </c>
      <c r="B78" s="51">
        <v>14</v>
      </c>
    </row>
    <row r="79" spans="1:2" x14ac:dyDescent="0.3">
      <c r="A79" s="13" t="s">
        <v>261</v>
      </c>
      <c r="B79" s="51">
        <v>10</v>
      </c>
    </row>
    <row r="80" spans="1:2" x14ac:dyDescent="0.3">
      <c r="A80" s="13" t="s">
        <v>263</v>
      </c>
      <c r="B80" s="51">
        <v>14</v>
      </c>
    </row>
    <row r="81" spans="1:2" x14ac:dyDescent="0.3">
      <c r="A81" s="13" t="s">
        <v>265</v>
      </c>
      <c r="B81" s="51">
        <v>20</v>
      </c>
    </row>
    <row r="82" spans="1:2" x14ac:dyDescent="0.3">
      <c r="A82" s="13" t="s">
        <v>267</v>
      </c>
      <c r="B82" s="51">
        <v>10</v>
      </c>
    </row>
    <row r="83" spans="1:2" x14ac:dyDescent="0.3">
      <c r="A83" s="13" t="s">
        <v>269</v>
      </c>
      <c r="B83" s="51">
        <v>11</v>
      </c>
    </row>
    <row r="84" spans="1:2" x14ac:dyDescent="0.3">
      <c r="A84" s="13" t="s">
        <v>271</v>
      </c>
      <c r="B84" s="51">
        <v>1</v>
      </c>
    </row>
    <row r="85" spans="1:2" x14ac:dyDescent="0.3">
      <c r="A85" s="13" t="s">
        <v>273</v>
      </c>
      <c r="B85" s="51">
        <v>2</v>
      </c>
    </row>
    <row r="86" spans="1:2" x14ac:dyDescent="0.3">
      <c r="A86" s="13" t="s">
        <v>275</v>
      </c>
      <c r="B86" s="51">
        <v>13</v>
      </c>
    </row>
    <row r="87" spans="1:2" x14ac:dyDescent="0.3">
      <c r="A87" s="13" t="s">
        <v>277</v>
      </c>
      <c r="B87" s="51">
        <v>5</v>
      </c>
    </row>
    <row r="88" spans="1:2" x14ac:dyDescent="0.3">
      <c r="A88" s="13" t="s">
        <v>279</v>
      </c>
      <c r="B88" s="51">
        <v>1</v>
      </c>
    </row>
    <row r="89" spans="1:2" x14ac:dyDescent="0.3">
      <c r="A89" s="13" t="s">
        <v>281</v>
      </c>
      <c r="B89" s="51">
        <v>20</v>
      </c>
    </row>
    <row r="90" spans="1:2" x14ac:dyDescent="0.3">
      <c r="A90" s="13" t="s">
        <v>283</v>
      </c>
      <c r="B90" s="51">
        <v>18</v>
      </c>
    </row>
    <row r="91" spans="1:2" x14ac:dyDescent="0.3">
      <c r="A91" s="13" t="s">
        <v>285</v>
      </c>
      <c r="B91" s="51">
        <v>9</v>
      </c>
    </row>
    <row r="92" spans="1:2" x14ac:dyDescent="0.3">
      <c r="A92" s="13" t="s">
        <v>287</v>
      </c>
      <c r="B92" s="51">
        <v>4</v>
      </c>
    </row>
    <row r="93" spans="1:2" x14ac:dyDescent="0.3">
      <c r="A93" s="13" t="s">
        <v>289</v>
      </c>
      <c r="B93" s="51">
        <v>11</v>
      </c>
    </row>
    <row r="94" spans="1:2" x14ac:dyDescent="0.3">
      <c r="A94" s="13" t="s">
        <v>291</v>
      </c>
      <c r="B94" s="51">
        <v>20</v>
      </c>
    </row>
    <row r="95" spans="1:2" x14ac:dyDescent="0.3">
      <c r="A95" s="13" t="s">
        <v>293</v>
      </c>
      <c r="B95" s="51">
        <v>3</v>
      </c>
    </row>
    <row r="96" spans="1:2" x14ac:dyDescent="0.3">
      <c r="A96" s="13" t="s">
        <v>295</v>
      </c>
      <c r="B96" s="51">
        <v>17</v>
      </c>
    </row>
    <row r="97" spans="1:2" x14ac:dyDescent="0.3">
      <c r="A97" s="13" t="s">
        <v>297</v>
      </c>
      <c r="B97" s="51">
        <v>2</v>
      </c>
    </row>
    <row r="98" spans="1:2" x14ac:dyDescent="0.3">
      <c r="A98" s="13" t="s">
        <v>299</v>
      </c>
      <c r="B98" s="51">
        <v>14</v>
      </c>
    </row>
    <row r="99" spans="1:2" x14ac:dyDescent="0.3">
      <c r="A99" s="13" t="s">
        <v>301</v>
      </c>
      <c r="B99" s="51">
        <v>20</v>
      </c>
    </row>
    <row r="100" spans="1:2" x14ac:dyDescent="0.3">
      <c r="A100" s="13" t="s">
        <v>303</v>
      </c>
      <c r="B100" s="51">
        <v>2</v>
      </c>
    </row>
    <row r="101" spans="1:2" x14ac:dyDescent="0.3">
      <c r="A101" s="13" t="s">
        <v>305</v>
      </c>
      <c r="B101" s="51">
        <v>8</v>
      </c>
    </row>
    <row r="102" spans="1:2" x14ac:dyDescent="0.3">
      <c r="A102" s="13" t="s">
        <v>307</v>
      </c>
      <c r="B102" s="51">
        <v>4</v>
      </c>
    </row>
    <row r="103" spans="1:2" x14ac:dyDescent="0.3">
      <c r="A103" s="13" t="s">
        <v>309</v>
      </c>
      <c r="B103" s="51">
        <v>5</v>
      </c>
    </row>
    <row r="104" spans="1:2" x14ac:dyDescent="0.3">
      <c r="A104" s="13" t="s">
        <v>311</v>
      </c>
      <c r="B104" s="51">
        <v>13</v>
      </c>
    </row>
    <row r="105" spans="1:2" x14ac:dyDescent="0.3">
      <c r="A105" s="13" t="s">
        <v>313</v>
      </c>
      <c r="B105" s="51">
        <v>2</v>
      </c>
    </row>
    <row r="106" spans="1:2" x14ac:dyDescent="0.3">
      <c r="A106" s="13" t="s">
        <v>315</v>
      </c>
      <c r="B106" s="51">
        <v>2</v>
      </c>
    </row>
    <row r="107" spans="1:2" x14ac:dyDescent="0.3">
      <c r="A107" s="13" t="s">
        <v>317</v>
      </c>
      <c r="B107" s="51">
        <v>13</v>
      </c>
    </row>
    <row r="108" spans="1:2" x14ac:dyDescent="0.3">
      <c r="A108" s="13" t="s">
        <v>319</v>
      </c>
      <c r="B108" s="51">
        <v>3</v>
      </c>
    </row>
    <row r="109" spans="1:2" x14ac:dyDescent="0.3">
      <c r="A109" s="13" t="s">
        <v>321</v>
      </c>
      <c r="B109" s="51">
        <v>12</v>
      </c>
    </row>
    <row r="110" spans="1:2" x14ac:dyDescent="0.3">
      <c r="A110" s="13" t="s">
        <v>323</v>
      </c>
      <c r="B110" s="51">
        <v>2</v>
      </c>
    </row>
    <row r="111" spans="1:2" x14ac:dyDescent="0.3">
      <c r="A111" s="13" t="s">
        <v>325</v>
      </c>
      <c r="B111" s="51">
        <v>15</v>
      </c>
    </row>
    <row r="112" spans="1:2" x14ac:dyDescent="0.3">
      <c r="A112" s="13" t="s">
        <v>327</v>
      </c>
      <c r="B112" s="51">
        <v>3</v>
      </c>
    </row>
    <row r="113" spans="1:2" x14ac:dyDescent="0.3">
      <c r="A113" s="13" t="s">
        <v>329</v>
      </c>
      <c r="B113" s="51">
        <v>11</v>
      </c>
    </row>
    <row r="114" spans="1:2" x14ac:dyDescent="0.3">
      <c r="A114" s="13" t="s">
        <v>331</v>
      </c>
      <c r="B114" s="51">
        <v>13</v>
      </c>
    </row>
    <row r="115" spans="1:2" x14ac:dyDescent="0.3">
      <c r="A115" s="13" t="s">
        <v>333</v>
      </c>
      <c r="B115" s="51">
        <v>2</v>
      </c>
    </row>
    <row r="116" spans="1:2" x14ac:dyDescent="0.3">
      <c r="A116" s="13" t="s">
        <v>335</v>
      </c>
      <c r="B116" s="51">
        <v>7</v>
      </c>
    </row>
    <row r="117" spans="1:2" x14ac:dyDescent="0.3">
      <c r="A117" s="13" t="s">
        <v>338</v>
      </c>
      <c r="B117" s="51">
        <v>3</v>
      </c>
    </row>
    <row r="118" spans="1:2" x14ac:dyDescent="0.3">
      <c r="A118" s="13" t="s">
        <v>340</v>
      </c>
      <c r="B118" s="51">
        <v>1</v>
      </c>
    </row>
    <row r="119" spans="1:2" x14ac:dyDescent="0.3">
      <c r="A119" s="13" t="s">
        <v>342</v>
      </c>
      <c r="B119" s="51">
        <v>9</v>
      </c>
    </row>
    <row r="120" spans="1:2" x14ac:dyDescent="0.3">
      <c r="A120" s="13" t="s">
        <v>344</v>
      </c>
      <c r="B120" s="51">
        <v>8</v>
      </c>
    </row>
    <row r="121" spans="1:2" x14ac:dyDescent="0.3">
      <c r="A121" s="13" t="s">
        <v>346</v>
      </c>
      <c r="B121" s="51">
        <v>5</v>
      </c>
    </row>
    <row r="122" spans="1:2" x14ac:dyDescent="0.3">
      <c r="A122" s="13" t="s">
        <v>348</v>
      </c>
      <c r="B122" s="51">
        <v>14</v>
      </c>
    </row>
    <row r="123" spans="1:2" x14ac:dyDescent="0.3">
      <c r="A123" s="13" t="s">
        <v>350</v>
      </c>
      <c r="B123" s="51">
        <v>3</v>
      </c>
    </row>
    <row r="124" spans="1:2" x14ac:dyDescent="0.3">
      <c r="A124" s="13" t="s">
        <v>352</v>
      </c>
      <c r="B124" s="51">
        <v>14</v>
      </c>
    </row>
    <row r="125" spans="1:2" x14ac:dyDescent="0.3">
      <c r="A125" s="13" t="s">
        <v>354</v>
      </c>
      <c r="B125" s="51">
        <v>14</v>
      </c>
    </row>
    <row r="126" spans="1:2" x14ac:dyDescent="0.3">
      <c r="A126" s="13" t="s">
        <v>356</v>
      </c>
      <c r="B126" s="51">
        <v>7</v>
      </c>
    </row>
    <row r="127" spans="1:2" x14ac:dyDescent="0.3">
      <c r="A127" s="13" t="s">
        <v>358</v>
      </c>
      <c r="B127" s="51">
        <v>11</v>
      </c>
    </row>
    <row r="128" spans="1:2" x14ac:dyDescent="0.3">
      <c r="A128" s="13" t="s">
        <v>360</v>
      </c>
      <c r="B128" s="51">
        <v>14</v>
      </c>
    </row>
    <row r="129" spans="1:2" x14ac:dyDescent="0.3">
      <c r="A129" s="13" t="s">
        <v>362</v>
      </c>
      <c r="B129" s="51">
        <v>15</v>
      </c>
    </row>
    <row r="130" spans="1:2" x14ac:dyDescent="0.3">
      <c r="A130" s="13" t="s">
        <v>364</v>
      </c>
      <c r="B130" s="51">
        <v>15</v>
      </c>
    </row>
    <row r="131" spans="1:2" x14ac:dyDescent="0.3">
      <c r="A131" s="13" t="s">
        <v>366</v>
      </c>
      <c r="B131" s="51">
        <v>7</v>
      </c>
    </row>
    <row r="132" spans="1:2" x14ac:dyDescent="0.3">
      <c r="A132" s="13" t="s">
        <v>368</v>
      </c>
      <c r="B132" s="51">
        <v>12</v>
      </c>
    </row>
    <row r="133" spans="1:2" x14ac:dyDescent="0.3">
      <c r="A133" s="13" t="s">
        <v>370</v>
      </c>
      <c r="B133" s="51">
        <v>3</v>
      </c>
    </row>
    <row r="134" spans="1:2" x14ac:dyDescent="0.3">
      <c r="A134" s="13" t="s">
        <v>372</v>
      </c>
      <c r="B134" s="51">
        <v>17</v>
      </c>
    </row>
    <row r="135" spans="1:2" x14ac:dyDescent="0.3">
      <c r="A135" s="13" t="s">
        <v>374</v>
      </c>
      <c r="B135" s="51">
        <v>2</v>
      </c>
    </row>
    <row r="136" spans="1:2" x14ac:dyDescent="0.3">
      <c r="A136" s="13" t="s">
        <v>376</v>
      </c>
      <c r="B136" s="51">
        <v>16</v>
      </c>
    </row>
    <row r="137" spans="1:2" x14ac:dyDescent="0.3">
      <c r="A137" s="13" t="s">
        <v>378</v>
      </c>
      <c r="B137" s="51">
        <v>10</v>
      </c>
    </row>
    <row r="138" spans="1:2" x14ac:dyDescent="0.3">
      <c r="A138" s="13" t="s">
        <v>380</v>
      </c>
      <c r="B138" s="51">
        <v>1</v>
      </c>
    </row>
    <row r="139" spans="1:2" x14ac:dyDescent="0.3">
      <c r="A139" s="13" t="s">
        <v>382</v>
      </c>
      <c r="B139" s="51">
        <v>4</v>
      </c>
    </row>
    <row r="140" spans="1:2" x14ac:dyDescent="0.3">
      <c r="A140" s="13" t="s">
        <v>384</v>
      </c>
      <c r="B140" s="51">
        <v>3</v>
      </c>
    </row>
    <row r="141" spans="1:2" x14ac:dyDescent="0.3">
      <c r="A141" s="13" t="s">
        <v>386</v>
      </c>
      <c r="B141" s="51">
        <v>14</v>
      </c>
    </row>
    <row r="142" spans="1:2" x14ac:dyDescent="0.3">
      <c r="A142" s="13" t="s">
        <v>388</v>
      </c>
      <c r="B142" s="51">
        <v>10</v>
      </c>
    </row>
    <row r="143" spans="1:2" x14ac:dyDescent="0.3">
      <c r="A143" s="13" t="s">
        <v>390</v>
      </c>
      <c r="B143" s="51">
        <v>3</v>
      </c>
    </row>
    <row r="144" spans="1:2" x14ac:dyDescent="0.3">
      <c r="A144" s="13" t="s">
        <v>392</v>
      </c>
      <c r="B144" s="51">
        <v>7</v>
      </c>
    </row>
    <row r="145" spans="1:2" x14ac:dyDescent="0.3">
      <c r="A145" s="13" t="s">
        <v>394</v>
      </c>
      <c r="B145" s="51">
        <v>14</v>
      </c>
    </row>
    <row r="146" spans="1:2" x14ac:dyDescent="0.3">
      <c r="A146" s="13" t="s">
        <v>396</v>
      </c>
      <c r="B146" s="51">
        <v>18</v>
      </c>
    </row>
    <row r="147" spans="1:2" x14ac:dyDescent="0.3">
      <c r="A147" s="13" t="s">
        <v>398</v>
      </c>
      <c r="B147" s="51">
        <v>9</v>
      </c>
    </row>
    <row r="148" spans="1:2" x14ac:dyDescent="0.3">
      <c r="A148" s="13" t="s">
        <v>400</v>
      </c>
      <c r="B148" s="51">
        <v>5</v>
      </c>
    </row>
    <row r="149" spans="1:2" x14ac:dyDescent="0.3">
      <c r="A149" s="13" t="s">
        <v>402</v>
      </c>
      <c r="B149" s="51">
        <v>7</v>
      </c>
    </row>
    <row r="150" spans="1:2" x14ac:dyDescent="0.3">
      <c r="A150" s="13" t="s">
        <v>404</v>
      </c>
      <c r="B150" s="51">
        <v>1</v>
      </c>
    </row>
    <row r="151" spans="1:2" x14ac:dyDescent="0.3">
      <c r="A151" s="13" t="s">
        <v>406</v>
      </c>
      <c r="B151" s="51">
        <v>6</v>
      </c>
    </row>
    <row r="152" spans="1:2" x14ac:dyDescent="0.3">
      <c r="A152" s="13" t="s">
        <v>408</v>
      </c>
      <c r="B152" s="51">
        <v>6</v>
      </c>
    </row>
    <row r="153" spans="1:2" x14ac:dyDescent="0.3">
      <c r="A153" s="13" t="s">
        <v>410</v>
      </c>
      <c r="B153" s="51">
        <v>13</v>
      </c>
    </row>
    <row r="154" spans="1:2" x14ac:dyDescent="0.3">
      <c r="A154" s="13" t="s">
        <v>412</v>
      </c>
      <c r="B154" s="51">
        <v>11</v>
      </c>
    </row>
    <row r="155" spans="1:2" x14ac:dyDescent="0.3">
      <c r="A155" s="13" t="s">
        <v>414</v>
      </c>
      <c r="B155" s="51">
        <v>19</v>
      </c>
    </row>
    <row r="156" spans="1:2" x14ac:dyDescent="0.3">
      <c r="A156" s="13" t="s">
        <v>416</v>
      </c>
      <c r="B156" s="51">
        <v>11</v>
      </c>
    </row>
    <row r="157" spans="1:2" x14ac:dyDescent="0.3">
      <c r="A157" s="13" t="s">
        <v>418</v>
      </c>
      <c r="B157" s="51">
        <v>8</v>
      </c>
    </row>
    <row r="158" spans="1:2" x14ac:dyDescent="0.3">
      <c r="A158" s="13" t="s">
        <v>420</v>
      </c>
      <c r="B158" s="51">
        <v>12</v>
      </c>
    </row>
    <row r="159" spans="1:2" x14ac:dyDescent="0.3">
      <c r="A159" s="13" t="s">
        <v>422</v>
      </c>
      <c r="B159" s="51">
        <v>4</v>
      </c>
    </row>
    <row r="160" spans="1:2" x14ac:dyDescent="0.3">
      <c r="A160" s="13" t="s">
        <v>424</v>
      </c>
      <c r="B160" s="51">
        <v>2</v>
      </c>
    </row>
    <row r="161" spans="1:2" x14ac:dyDescent="0.3">
      <c r="A161" s="13" t="s">
        <v>426</v>
      </c>
      <c r="B161" s="51">
        <v>4</v>
      </c>
    </row>
    <row r="162" spans="1:2" x14ac:dyDescent="0.3">
      <c r="A162" s="13" t="s">
        <v>428</v>
      </c>
      <c r="B162" s="51">
        <v>15</v>
      </c>
    </row>
    <row r="163" spans="1:2" x14ac:dyDescent="0.3">
      <c r="A163" s="13" t="s">
        <v>430</v>
      </c>
      <c r="B163" s="51">
        <v>15</v>
      </c>
    </row>
    <row r="164" spans="1:2" x14ac:dyDescent="0.3">
      <c r="A164" s="13" t="s">
        <v>432</v>
      </c>
      <c r="B164" s="51">
        <v>9</v>
      </c>
    </row>
    <row r="165" spans="1:2" x14ac:dyDescent="0.3">
      <c r="A165" s="13" t="s">
        <v>434</v>
      </c>
      <c r="B165" s="51">
        <v>19</v>
      </c>
    </row>
    <row r="166" spans="1:2" x14ac:dyDescent="0.3">
      <c r="A166" s="13" t="s">
        <v>436</v>
      </c>
      <c r="B166" s="51">
        <v>14</v>
      </c>
    </row>
    <row r="167" spans="1:2" x14ac:dyDescent="0.3">
      <c r="A167" s="13" t="s">
        <v>438</v>
      </c>
      <c r="B167" s="51">
        <v>1</v>
      </c>
    </row>
    <row r="168" spans="1:2" x14ac:dyDescent="0.3">
      <c r="A168" s="13" t="s">
        <v>440</v>
      </c>
      <c r="B168" s="51">
        <v>13</v>
      </c>
    </row>
    <row r="169" spans="1:2" x14ac:dyDescent="0.3">
      <c r="A169" s="13" t="s">
        <v>442</v>
      </c>
      <c r="B169" s="51">
        <v>11</v>
      </c>
    </row>
    <row r="170" spans="1:2" x14ac:dyDescent="0.3">
      <c r="A170" s="13" t="s">
        <v>444</v>
      </c>
      <c r="B170" s="51">
        <v>18</v>
      </c>
    </row>
    <row r="171" spans="1:2" x14ac:dyDescent="0.3">
      <c r="A171" s="13" t="s">
        <v>446</v>
      </c>
      <c r="B171" s="51">
        <v>19</v>
      </c>
    </row>
    <row r="172" spans="1:2" x14ac:dyDescent="0.3">
      <c r="A172" s="13" t="s">
        <v>448</v>
      </c>
      <c r="B172" s="51">
        <v>4</v>
      </c>
    </row>
    <row r="173" spans="1:2" x14ac:dyDescent="0.3">
      <c r="A173" s="13" t="s">
        <v>450</v>
      </c>
      <c r="B173" s="51">
        <v>1</v>
      </c>
    </row>
    <row r="174" spans="1:2" x14ac:dyDescent="0.3">
      <c r="A174" s="13" t="s">
        <v>452</v>
      </c>
      <c r="B174" s="51">
        <v>14</v>
      </c>
    </row>
    <row r="175" spans="1:2" x14ac:dyDescent="0.3">
      <c r="A175" s="13" t="s">
        <v>454</v>
      </c>
      <c r="B175" s="51">
        <v>4</v>
      </c>
    </row>
    <row r="176" spans="1:2" x14ac:dyDescent="0.3">
      <c r="A176" s="13" t="s">
        <v>456</v>
      </c>
      <c r="B176" s="51">
        <v>11</v>
      </c>
    </row>
    <row r="177" spans="1:2" x14ac:dyDescent="0.3">
      <c r="A177" s="13" t="s">
        <v>458</v>
      </c>
      <c r="B177" s="51">
        <v>10</v>
      </c>
    </row>
    <row r="178" spans="1:2" x14ac:dyDescent="0.3">
      <c r="A178" s="13" t="s">
        <v>460</v>
      </c>
      <c r="B178" s="51">
        <v>12</v>
      </c>
    </row>
    <row r="179" spans="1:2" x14ac:dyDescent="0.3">
      <c r="A179" s="13" t="s">
        <v>462</v>
      </c>
      <c r="B179" s="51">
        <v>14</v>
      </c>
    </row>
    <row r="180" spans="1:2" x14ac:dyDescent="0.3">
      <c r="A180" s="13" t="s">
        <v>464</v>
      </c>
      <c r="B180" s="51">
        <v>15</v>
      </c>
    </row>
    <row r="181" spans="1:2" x14ac:dyDescent="0.3">
      <c r="A181" s="13" t="s">
        <v>466</v>
      </c>
      <c r="B181" s="51">
        <v>3</v>
      </c>
    </row>
    <row r="182" spans="1:2" x14ac:dyDescent="0.3">
      <c r="A182" s="13" t="s">
        <v>468</v>
      </c>
      <c r="B182" s="51">
        <v>11</v>
      </c>
    </row>
    <row r="183" spans="1:2" x14ac:dyDescent="0.3">
      <c r="A183" s="13" t="s">
        <v>470</v>
      </c>
      <c r="B183" s="51">
        <v>5</v>
      </c>
    </row>
    <row r="184" spans="1:2" x14ac:dyDescent="0.3">
      <c r="A184" s="13" t="s">
        <v>472</v>
      </c>
      <c r="B184" s="51">
        <v>3</v>
      </c>
    </row>
    <row r="185" spans="1:2" x14ac:dyDescent="0.3">
      <c r="A185" s="13" t="s">
        <v>474</v>
      </c>
      <c r="B185" s="51">
        <v>12</v>
      </c>
    </row>
    <row r="186" spans="1:2" x14ac:dyDescent="0.3">
      <c r="A186" s="13" t="s">
        <v>476</v>
      </c>
      <c r="B186" s="51">
        <v>4</v>
      </c>
    </row>
    <row r="187" spans="1:2" x14ac:dyDescent="0.3">
      <c r="A187" s="13" t="s">
        <v>478</v>
      </c>
      <c r="B187" s="51">
        <v>20</v>
      </c>
    </row>
    <row r="188" spans="1:2" x14ac:dyDescent="0.3">
      <c r="A188" s="13" t="s">
        <v>480</v>
      </c>
      <c r="B188" s="51">
        <v>2</v>
      </c>
    </row>
    <row r="189" spans="1:2" x14ac:dyDescent="0.3">
      <c r="A189" s="13" t="s">
        <v>482</v>
      </c>
      <c r="B189" s="51">
        <v>13</v>
      </c>
    </row>
    <row r="190" spans="1:2" x14ac:dyDescent="0.3">
      <c r="A190" s="13" t="s">
        <v>484</v>
      </c>
      <c r="B190" s="51">
        <v>14</v>
      </c>
    </row>
    <row r="191" spans="1:2" x14ac:dyDescent="0.3">
      <c r="A191" s="13" t="s">
        <v>486</v>
      </c>
      <c r="B191" s="51">
        <v>5</v>
      </c>
    </row>
    <row r="192" spans="1:2" x14ac:dyDescent="0.3">
      <c r="A192" s="13" t="s">
        <v>488</v>
      </c>
      <c r="B192" s="51">
        <v>2</v>
      </c>
    </row>
    <row r="193" spans="1:2" x14ac:dyDescent="0.3">
      <c r="A193" s="13" t="s">
        <v>490</v>
      </c>
      <c r="B193" s="51">
        <v>13</v>
      </c>
    </row>
    <row r="194" spans="1:2" x14ac:dyDescent="0.3">
      <c r="A194" s="13" t="s">
        <v>285</v>
      </c>
      <c r="B194" s="51">
        <v>2</v>
      </c>
    </row>
    <row r="195" spans="1:2" x14ac:dyDescent="0.3">
      <c r="A195" s="13" t="s">
        <v>493</v>
      </c>
      <c r="B195" s="51">
        <v>11</v>
      </c>
    </row>
    <row r="196" spans="1:2" x14ac:dyDescent="0.3">
      <c r="A196" s="13" t="s">
        <v>495</v>
      </c>
      <c r="B196" s="51">
        <v>17</v>
      </c>
    </row>
    <row r="197" spans="1:2" x14ac:dyDescent="0.3">
      <c r="A197" s="13" t="s">
        <v>497</v>
      </c>
      <c r="B197" s="51">
        <v>14</v>
      </c>
    </row>
    <row r="198" spans="1:2" x14ac:dyDescent="0.3">
      <c r="A198" s="13" t="s">
        <v>499</v>
      </c>
      <c r="B198" s="51">
        <v>13</v>
      </c>
    </row>
    <row r="199" spans="1:2" x14ac:dyDescent="0.3">
      <c r="A199" s="13" t="s">
        <v>501</v>
      </c>
      <c r="B199" s="51">
        <v>9</v>
      </c>
    </row>
    <row r="200" spans="1:2" x14ac:dyDescent="0.3">
      <c r="A200" s="13" t="s">
        <v>503</v>
      </c>
      <c r="B200" s="51">
        <v>12</v>
      </c>
    </row>
    <row r="201" spans="1:2" x14ac:dyDescent="0.3">
      <c r="A201" s="13" t="s">
        <v>505</v>
      </c>
      <c r="B201" s="51">
        <v>12</v>
      </c>
    </row>
    <row r="202" spans="1:2" x14ac:dyDescent="0.3">
      <c r="A202" s="13" t="s">
        <v>507</v>
      </c>
      <c r="B202" s="51">
        <v>1</v>
      </c>
    </row>
    <row r="203" spans="1:2" x14ac:dyDescent="0.3">
      <c r="A203" s="13" t="s">
        <v>509</v>
      </c>
      <c r="B203" s="51">
        <v>14</v>
      </c>
    </row>
    <row r="204" spans="1:2" x14ac:dyDescent="0.3">
      <c r="A204" s="13" t="s">
        <v>511</v>
      </c>
      <c r="B204" s="51">
        <v>15</v>
      </c>
    </row>
    <row r="205" spans="1:2" x14ac:dyDescent="0.3">
      <c r="A205" s="13" t="s">
        <v>513</v>
      </c>
      <c r="B205" s="51">
        <v>6</v>
      </c>
    </row>
    <row r="206" spans="1:2" x14ac:dyDescent="0.3">
      <c r="A206" s="13" t="s">
        <v>515</v>
      </c>
      <c r="B206" s="51">
        <v>19</v>
      </c>
    </row>
    <row r="207" spans="1:2" x14ac:dyDescent="0.3">
      <c r="A207" s="13" t="s">
        <v>517</v>
      </c>
      <c r="B207" s="51">
        <v>4</v>
      </c>
    </row>
    <row r="208" spans="1:2" x14ac:dyDescent="0.3">
      <c r="A208" s="13" t="s">
        <v>519</v>
      </c>
      <c r="B208" s="51">
        <v>1</v>
      </c>
    </row>
    <row r="209" spans="1:2" x14ac:dyDescent="0.3">
      <c r="A209" s="13" t="s">
        <v>521</v>
      </c>
      <c r="B209" s="51">
        <v>11</v>
      </c>
    </row>
    <row r="210" spans="1:2" x14ac:dyDescent="0.3">
      <c r="A210" s="13" t="s">
        <v>523</v>
      </c>
      <c r="B210" s="51">
        <v>10</v>
      </c>
    </row>
    <row r="211" spans="1:2" x14ac:dyDescent="0.3">
      <c r="A211" s="13" t="s">
        <v>525</v>
      </c>
      <c r="B211" s="51">
        <v>8</v>
      </c>
    </row>
    <row r="212" spans="1:2" x14ac:dyDescent="0.3">
      <c r="A212" s="13" t="s">
        <v>527</v>
      </c>
      <c r="B212" s="51">
        <v>4</v>
      </c>
    </row>
    <row r="213" spans="1:2" x14ac:dyDescent="0.3">
      <c r="A213" s="13" t="s">
        <v>529</v>
      </c>
      <c r="B213" s="51">
        <v>8</v>
      </c>
    </row>
    <row r="214" spans="1:2" x14ac:dyDescent="0.3">
      <c r="A214" s="13" t="s">
        <v>531</v>
      </c>
      <c r="B214" s="51">
        <v>12</v>
      </c>
    </row>
    <row r="215" spans="1:2" x14ac:dyDescent="0.3">
      <c r="A215" s="13" t="s">
        <v>533</v>
      </c>
      <c r="B215" s="51">
        <v>14</v>
      </c>
    </row>
    <row r="216" spans="1:2" x14ac:dyDescent="0.3">
      <c r="A216" s="13" t="s">
        <v>535</v>
      </c>
      <c r="B216" s="51">
        <v>1</v>
      </c>
    </row>
    <row r="217" spans="1:2" x14ac:dyDescent="0.3">
      <c r="A217" s="13" t="s">
        <v>537</v>
      </c>
      <c r="B217" s="51">
        <v>8</v>
      </c>
    </row>
    <row r="218" spans="1:2" x14ac:dyDescent="0.3">
      <c r="A218" s="13" t="s">
        <v>539</v>
      </c>
      <c r="B218" s="51">
        <v>2</v>
      </c>
    </row>
    <row r="219" spans="1:2" x14ac:dyDescent="0.3">
      <c r="A219" s="13" t="s">
        <v>541</v>
      </c>
      <c r="B219" s="51">
        <v>7</v>
      </c>
    </row>
    <row r="220" spans="1:2" x14ac:dyDescent="0.3">
      <c r="A220" s="13" t="s">
        <v>543</v>
      </c>
      <c r="B220" s="51">
        <v>14</v>
      </c>
    </row>
    <row r="221" spans="1:2" x14ac:dyDescent="0.3">
      <c r="A221" s="13" t="s">
        <v>545</v>
      </c>
      <c r="B221" s="51">
        <v>4</v>
      </c>
    </row>
    <row r="222" spans="1:2" x14ac:dyDescent="0.3">
      <c r="A222" s="13" t="s">
        <v>547</v>
      </c>
      <c r="B222" s="51">
        <v>3</v>
      </c>
    </row>
    <row r="223" spans="1:2" x14ac:dyDescent="0.3">
      <c r="A223" s="13" t="s">
        <v>549</v>
      </c>
      <c r="B223" s="51">
        <v>4</v>
      </c>
    </row>
    <row r="224" spans="1:2" x14ac:dyDescent="0.3">
      <c r="A224" s="13" t="s">
        <v>551</v>
      </c>
      <c r="B224" s="51">
        <v>5</v>
      </c>
    </row>
    <row r="225" spans="1:2" x14ac:dyDescent="0.3">
      <c r="A225" s="13" t="s">
        <v>553</v>
      </c>
      <c r="B225" s="51">
        <v>15</v>
      </c>
    </row>
    <row r="226" spans="1:2" x14ac:dyDescent="0.3">
      <c r="A226" s="13" t="s">
        <v>555</v>
      </c>
      <c r="B226" s="51">
        <v>1</v>
      </c>
    </row>
    <row r="227" spans="1:2" x14ac:dyDescent="0.3">
      <c r="A227" s="13" t="s">
        <v>557</v>
      </c>
      <c r="B227" s="51">
        <v>1</v>
      </c>
    </row>
    <row r="228" spans="1:2" x14ac:dyDescent="0.3">
      <c r="A228" s="13" t="s">
        <v>559</v>
      </c>
      <c r="B228" s="51">
        <v>7</v>
      </c>
    </row>
    <row r="229" spans="1:2" x14ac:dyDescent="0.3">
      <c r="A229" s="13" t="s">
        <v>561</v>
      </c>
      <c r="B229" s="51">
        <v>18</v>
      </c>
    </row>
    <row r="230" spans="1:2" x14ac:dyDescent="0.3">
      <c r="A230" s="13" t="s">
        <v>563</v>
      </c>
      <c r="B230" s="51">
        <v>14</v>
      </c>
    </row>
    <row r="231" spans="1:2" x14ac:dyDescent="0.3">
      <c r="A231" s="13" t="s">
        <v>565</v>
      </c>
      <c r="B231" s="51">
        <v>12</v>
      </c>
    </row>
    <row r="232" spans="1:2" x14ac:dyDescent="0.3">
      <c r="A232" s="13" t="s">
        <v>567</v>
      </c>
      <c r="B232" s="51">
        <v>3</v>
      </c>
    </row>
    <row r="233" spans="1:2" x14ac:dyDescent="0.3">
      <c r="A233" s="13" t="s">
        <v>569</v>
      </c>
      <c r="B233" s="51">
        <v>13</v>
      </c>
    </row>
    <row r="234" spans="1:2" x14ac:dyDescent="0.3">
      <c r="A234" s="13" t="s">
        <v>571</v>
      </c>
      <c r="B234" s="51">
        <v>4</v>
      </c>
    </row>
    <row r="235" spans="1:2" x14ac:dyDescent="0.3">
      <c r="A235" s="13" t="s">
        <v>573</v>
      </c>
      <c r="B235" s="51">
        <v>5</v>
      </c>
    </row>
    <row r="236" spans="1:2" x14ac:dyDescent="0.3">
      <c r="A236" s="13" t="s">
        <v>575</v>
      </c>
      <c r="B236" s="51">
        <v>2</v>
      </c>
    </row>
    <row r="237" spans="1:2" x14ac:dyDescent="0.3">
      <c r="A237" s="13" t="s">
        <v>577</v>
      </c>
      <c r="B237" s="51">
        <v>14</v>
      </c>
    </row>
    <row r="238" spans="1:2" x14ac:dyDescent="0.3">
      <c r="A238" s="13" t="s">
        <v>579</v>
      </c>
      <c r="B238" s="51">
        <v>19</v>
      </c>
    </row>
    <row r="239" spans="1:2" x14ac:dyDescent="0.3">
      <c r="A239" s="13" t="s">
        <v>581</v>
      </c>
      <c r="B239" s="51">
        <v>5</v>
      </c>
    </row>
    <row r="240" spans="1:2" x14ac:dyDescent="0.3">
      <c r="A240" s="13" t="s">
        <v>583</v>
      </c>
      <c r="B240" s="51">
        <v>13</v>
      </c>
    </row>
    <row r="241" spans="1:2" x14ac:dyDescent="0.3">
      <c r="A241" s="13" t="s">
        <v>585</v>
      </c>
      <c r="B241" s="51">
        <v>3</v>
      </c>
    </row>
    <row r="242" spans="1:2" x14ac:dyDescent="0.3">
      <c r="A242" s="13" t="s">
        <v>587</v>
      </c>
      <c r="B242" s="51">
        <v>11</v>
      </c>
    </row>
    <row r="243" spans="1:2" x14ac:dyDescent="0.3">
      <c r="A243" s="13" t="s">
        <v>589</v>
      </c>
      <c r="B243" s="51">
        <v>5</v>
      </c>
    </row>
    <row r="244" spans="1:2" x14ac:dyDescent="0.3">
      <c r="A244" s="13" t="s">
        <v>591</v>
      </c>
      <c r="B244" s="51">
        <v>4</v>
      </c>
    </row>
    <row r="245" spans="1:2" x14ac:dyDescent="0.3">
      <c r="A245" s="13" t="s">
        <v>593</v>
      </c>
      <c r="B245" s="51">
        <v>3</v>
      </c>
    </row>
    <row r="246" spans="1:2" x14ac:dyDescent="0.3">
      <c r="A246" s="13" t="s">
        <v>595</v>
      </c>
      <c r="B246" s="51">
        <v>8</v>
      </c>
    </row>
    <row r="247" spans="1:2" x14ac:dyDescent="0.3">
      <c r="A247" s="13" t="s">
        <v>597</v>
      </c>
      <c r="B247" s="51">
        <v>11</v>
      </c>
    </row>
    <row r="248" spans="1:2" x14ac:dyDescent="0.3">
      <c r="A248" s="13" t="s">
        <v>599</v>
      </c>
      <c r="B248" s="51">
        <v>2</v>
      </c>
    </row>
    <row r="249" spans="1:2" x14ac:dyDescent="0.3">
      <c r="A249" s="13" t="s">
        <v>601</v>
      </c>
      <c r="B249" s="51">
        <v>19</v>
      </c>
    </row>
    <row r="250" spans="1:2" x14ac:dyDescent="0.3">
      <c r="A250" s="13" t="s">
        <v>603</v>
      </c>
      <c r="B250" s="51">
        <v>9</v>
      </c>
    </row>
    <row r="251" spans="1:2" x14ac:dyDescent="0.3">
      <c r="A251" s="13" t="s">
        <v>605</v>
      </c>
      <c r="B251" s="51">
        <v>4</v>
      </c>
    </row>
    <row r="252" spans="1:2" x14ac:dyDescent="0.3">
      <c r="A252" s="13" t="s">
        <v>607</v>
      </c>
      <c r="B252" s="51">
        <v>18</v>
      </c>
    </row>
    <row r="253" spans="1:2" x14ac:dyDescent="0.3">
      <c r="A253" s="13" t="s">
        <v>609</v>
      </c>
      <c r="B253" s="51">
        <v>8</v>
      </c>
    </row>
    <row r="254" spans="1:2" x14ac:dyDescent="0.3">
      <c r="A254" s="13" t="s">
        <v>611</v>
      </c>
      <c r="B254" s="51">
        <v>8</v>
      </c>
    </row>
    <row r="255" spans="1:2" x14ac:dyDescent="0.3">
      <c r="A255" s="13" t="s">
        <v>613</v>
      </c>
      <c r="B255" s="51">
        <v>2</v>
      </c>
    </row>
    <row r="256" spans="1:2" x14ac:dyDescent="0.3">
      <c r="A256" s="13" t="s">
        <v>615</v>
      </c>
      <c r="B256" s="51">
        <v>6</v>
      </c>
    </row>
    <row r="257" spans="1:2" x14ac:dyDescent="0.3">
      <c r="A257" s="13" t="s">
        <v>617</v>
      </c>
      <c r="B257" s="51">
        <v>15</v>
      </c>
    </row>
    <row r="258" spans="1:2" x14ac:dyDescent="0.3">
      <c r="A258" s="13" t="s">
        <v>619</v>
      </c>
      <c r="B258" s="51">
        <v>13</v>
      </c>
    </row>
    <row r="259" spans="1:2" x14ac:dyDescent="0.3">
      <c r="A259" s="13" t="s">
        <v>621</v>
      </c>
      <c r="B259" s="51">
        <v>17</v>
      </c>
    </row>
    <row r="260" spans="1:2" x14ac:dyDescent="0.3">
      <c r="A260" s="13" t="s">
        <v>623</v>
      </c>
      <c r="B260" s="51">
        <v>16</v>
      </c>
    </row>
    <row r="261" spans="1:2" x14ac:dyDescent="0.3">
      <c r="A261" s="13" t="s">
        <v>625</v>
      </c>
      <c r="B261" s="51">
        <v>15</v>
      </c>
    </row>
    <row r="262" spans="1:2" x14ac:dyDescent="0.3">
      <c r="A262" s="13" t="s">
        <v>627</v>
      </c>
      <c r="B262" s="51">
        <v>3</v>
      </c>
    </row>
    <row r="263" spans="1:2" x14ac:dyDescent="0.3">
      <c r="A263" s="13" t="s">
        <v>629</v>
      </c>
      <c r="B263" s="51">
        <v>3</v>
      </c>
    </row>
    <row r="264" spans="1:2" x14ac:dyDescent="0.3">
      <c r="A264" s="13" t="s">
        <v>631</v>
      </c>
      <c r="B264" s="51">
        <v>14</v>
      </c>
    </row>
    <row r="265" spans="1:2" x14ac:dyDescent="0.3">
      <c r="A265" s="13" t="s">
        <v>633</v>
      </c>
      <c r="B265" s="51">
        <v>9</v>
      </c>
    </row>
    <row r="266" spans="1:2" x14ac:dyDescent="0.3">
      <c r="A266" s="13" t="s">
        <v>635</v>
      </c>
      <c r="B266" s="51">
        <v>6</v>
      </c>
    </row>
    <row r="267" spans="1:2" x14ac:dyDescent="0.3">
      <c r="A267" s="13" t="s">
        <v>637</v>
      </c>
      <c r="B267" s="51">
        <v>5</v>
      </c>
    </row>
    <row r="268" spans="1:2" x14ac:dyDescent="0.3">
      <c r="A268" s="13" t="s">
        <v>639</v>
      </c>
      <c r="B268" s="51">
        <v>15</v>
      </c>
    </row>
    <row r="269" spans="1:2" x14ac:dyDescent="0.3">
      <c r="A269" s="13" t="s">
        <v>641</v>
      </c>
      <c r="B269" s="51">
        <v>2</v>
      </c>
    </row>
    <row r="270" spans="1:2" x14ac:dyDescent="0.3">
      <c r="A270" s="13" t="s">
        <v>643</v>
      </c>
      <c r="B270" s="51">
        <v>17</v>
      </c>
    </row>
    <row r="271" spans="1:2" x14ac:dyDescent="0.3">
      <c r="A271" s="13" t="s">
        <v>645</v>
      </c>
      <c r="B271" s="51">
        <v>3</v>
      </c>
    </row>
    <row r="272" spans="1:2" x14ac:dyDescent="0.3">
      <c r="A272" s="13" t="s">
        <v>647</v>
      </c>
      <c r="B272" s="51">
        <v>12</v>
      </c>
    </row>
    <row r="273" spans="1:2" x14ac:dyDescent="0.3">
      <c r="A273" s="13" t="s">
        <v>649</v>
      </c>
      <c r="B273" s="51">
        <v>7</v>
      </c>
    </row>
    <row r="274" spans="1:2" x14ac:dyDescent="0.3">
      <c r="A274" s="13" t="s">
        <v>651</v>
      </c>
      <c r="B274" s="51">
        <v>5</v>
      </c>
    </row>
    <row r="275" spans="1:2" x14ac:dyDescent="0.3">
      <c r="A275" s="13" t="s">
        <v>653</v>
      </c>
      <c r="B275" s="51">
        <v>13</v>
      </c>
    </row>
    <row r="276" spans="1:2" x14ac:dyDescent="0.3">
      <c r="A276" s="13" t="s">
        <v>655</v>
      </c>
      <c r="B276" s="51">
        <v>17</v>
      </c>
    </row>
    <row r="277" spans="1:2" x14ac:dyDescent="0.3">
      <c r="A277" s="13" t="s">
        <v>657</v>
      </c>
      <c r="B277" s="51">
        <v>5</v>
      </c>
    </row>
    <row r="278" spans="1:2" x14ac:dyDescent="0.3">
      <c r="A278" s="13" t="s">
        <v>659</v>
      </c>
      <c r="B278" s="51">
        <v>15</v>
      </c>
    </row>
    <row r="279" spans="1:2" x14ac:dyDescent="0.3">
      <c r="A279" s="13" t="s">
        <v>661</v>
      </c>
      <c r="B279" s="51">
        <v>15</v>
      </c>
    </row>
    <row r="280" spans="1:2" x14ac:dyDescent="0.3">
      <c r="A280" s="13" t="s">
        <v>663</v>
      </c>
      <c r="B280" s="51">
        <v>10</v>
      </c>
    </row>
    <row r="281" spans="1:2" x14ac:dyDescent="0.3">
      <c r="A281" s="13" t="s">
        <v>665</v>
      </c>
      <c r="B281" s="51">
        <v>3</v>
      </c>
    </row>
    <row r="282" spans="1:2" x14ac:dyDescent="0.3">
      <c r="A282" s="13" t="s">
        <v>667</v>
      </c>
      <c r="B282" s="51">
        <v>9</v>
      </c>
    </row>
    <row r="283" spans="1:2" x14ac:dyDescent="0.3">
      <c r="A283" s="13" t="s">
        <v>669</v>
      </c>
      <c r="B283" s="51">
        <v>11</v>
      </c>
    </row>
    <row r="284" spans="1:2" x14ac:dyDescent="0.3">
      <c r="A284" s="13" t="s">
        <v>671</v>
      </c>
      <c r="B284" s="51">
        <v>11</v>
      </c>
    </row>
    <row r="285" spans="1:2" x14ac:dyDescent="0.3">
      <c r="A285" s="13" t="s">
        <v>673</v>
      </c>
      <c r="B285" s="51">
        <v>14</v>
      </c>
    </row>
    <row r="286" spans="1:2" x14ac:dyDescent="0.3">
      <c r="A286" s="13" t="s">
        <v>675</v>
      </c>
      <c r="B286" s="51">
        <v>12</v>
      </c>
    </row>
    <row r="287" spans="1:2" x14ac:dyDescent="0.3">
      <c r="A287" s="13" t="s">
        <v>677</v>
      </c>
      <c r="B287" s="51">
        <v>8</v>
      </c>
    </row>
    <row r="288" spans="1:2" x14ac:dyDescent="0.3">
      <c r="A288" s="13" t="s">
        <v>679</v>
      </c>
      <c r="B288" s="51">
        <v>10</v>
      </c>
    </row>
    <row r="289" spans="1:2" x14ac:dyDescent="0.3">
      <c r="A289" s="13" t="s">
        <v>681</v>
      </c>
      <c r="B289" s="51">
        <v>4</v>
      </c>
    </row>
    <row r="290" spans="1:2" x14ac:dyDescent="0.3">
      <c r="A290" s="13" t="s">
        <v>683</v>
      </c>
      <c r="B290" s="51">
        <v>1</v>
      </c>
    </row>
    <row r="291" spans="1:2" x14ac:dyDescent="0.3">
      <c r="A291" s="13" t="s">
        <v>685</v>
      </c>
      <c r="B291" s="51">
        <v>10</v>
      </c>
    </row>
    <row r="292" spans="1:2" x14ac:dyDescent="0.3">
      <c r="A292" s="13" t="s">
        <v>687</v>
      </c>
      <c r="B292" s="51">
        <v>3</v>
      </c>
    </row>
    <row r="293" spans="1:2" x14ac:dyDescent="0.3">
      <c r="A293" s="13" t="s">
        <v>689</v>
      </c>
      <c r="B293" s="51">
        <v>12</v>
      </c>
    </row>
    <row r="294" spans="1:2" x14ac:dyDescent="0.3">
      <c r="A294" s="13" t="s">
        <v>691</v>
      </c>
      <c r="B294" s="51">
        <v>7</v>
      </c>
    </row>
    <row r="295" spans="1:2" x14ac:dyDescent="0.3">
      <c r="A295" s="13" t="s">
        <v>693</v>
      </c>
      <c r="B295" s="51">
        <v>20</v>
      </c>
    </row>
    <row r="296" spans="1:2" x14ac:dyDescent="0.3">
      <c r="A296" s="13" t="s">
        <v>695</v>
      </c>
      <c r="B296" s="51">
        <v>11</v>
      </c>
    </row>
    <row r="297" spans="1:2" x14ac:dyDescent="0.3">
      <c r="A297" s="13" t="s">
        <v>697</v>
      </c>
      <c r="B297" s="51">
        <v>17</v>
      </c>
    </row>
    <row r="298" spans="1:2" x14ac:dyDescent="0.3">
      <c r="A298" s="13" t="s">
        <v>699</v>
      </c>
      <c r="B298" s="51">
        <v>3</v>
      </c>
    </row>
    <row r="299" spans="1:2" x14ac:dyDescent="0.3">
      <c r="A299" s="13" t="s">
        <v>701</v>
      </c>
      <c r="B299" s="51">
        <v>5</v>
      </c>
    </row>
    <row r="300" spans="1:2" x14ac:dyDescent="0.3">
      <c r="A300" s="13" t="s">
        <v>703</v>
      </c>
      <c r="B300" s="51">
        <v>10</v>
      </c>
    </row>
    <row r="301" spans="1:2" x14ac:dyDescent="0.3">
      <c r="A301" s="13" t="s">
        <v>705</v>
      </c>
      <c r="B301" s="51">
        <v>15</v>
      </c>
    </row>
    <row r="302" spans="1:2" x14ac:dyDescent="0.3">
      <c r="A302" s="13" t="s">
        <v>707</v>
      </c>
      <c r="B302" s="51">
        <v>9</v>
      </c>
    </row>
    <row r="303" spans="1:2" x14ac:dyDescent="0.3">
      <c r="A303" s="13" t="s">
        <v>709</v>
      </c>
      <c r="B303" s="51">
        <v>11</v>
      </c>
    </row>
    <row r="304" spans="1:2" x14ac:dyDescent="0.3">
      <c r="A304" s="13" t="s">
        <v>711</v>
      </c>
      <c r="B304" s="51">
        <v>4</v>
      </c>
    </row>
    <row r="305" spans="1:2" x14ac:dyDescent="0.3">
      <c r="A305" s="13" t="s">
        <v>713</v>
      </c>
      <c r="B305" s="51">
        <v>3</v>
      </c>
    </row>
    <row r="306" spans="1:2" x14ac:dyDescent="0.3">
      <c r="A306" s="13" t="s">
        <v>715</v>
      </c>
      <c r="B306" s="51">
        <v>1</v>
      </c>
    </row>
    <row r="307" spans="1:2" x14ac:dyDescent="0.3">
      <c r="A307" s="13" t="s">
        <v>717</v>
      </c>
      <c r="B307" s="51">
        <v>5</v>
      </c>
    </row>
    <row r="308" spans="1:2" x14ac:dyDescent="0.3">
      <c r="A308" s="13" t="s">
        <v>719</v>
      </c>
      <c r="B308" s="51">
        <v>2</v>
      </c>
    </row>
    <row r="309" spans="1:2" x14ac:dyDescent="0.3">
      <c r="A309" s="13" t="s">
        <v>721</v>
      </c>
      <c r="B309" s="51">
        <v>2</v>
      </c>
    </row>
    <row r="310" spans="1:2" x14ac:dyDescent="0.3">
      <c r="A310" s="13" t="s">
        <v>723</v>
      </c>
      <c r="B310" s="51">
        <v>7</v>
      </c>
    </row>
    <row r="311" spans="1:2" x14ac:dyDescent="0.3">
      <c r="A311" s="13" t="s">
        <v>725</v>
      </c>
      <c r="B311" s="51">
        <v>13</v>
      </c>
    </row>
    <row r="312" spans="1:2" x14ac:dyDescent="0.3">
      <c r="A312" s="13" t="s">
        <v>727</v>
      </c>
      <c r="B312" s="51">
        <v>4</v>
      </c>
    </row>
    <row r="313" spans="1:2" x14ac:dyDescent="0.3">
      <c r="A313" s="13" t="s">
        <v>729</v>
      </c>
      <c r="B313" s="51">
        <v>4</v>
      </c>
    </row>
    <row r="314" spans="1:2" x14ac:dyDescent="0.3">
      <c r="A314" s="13" t="s">
        <v>731</v>
      </c>
      <c r="B314" s="51">
        <v>7</v>
      </c>
    </row>
    <row r="315" spans="1:2" x14ac:dyDescent="0.3">
      <c r="A315" s="13" t="s">
        <v>733</v>
      </c>
      <c r="B315" s="51">
        <v>12</v>
      </c>
    </row>
    <row r="316" spans="1:2" x14ac:dyDescent="0.3">
      <c r="A316" s="13" t="s">
        <v>735</v>
      </c>
      <c r="B316" s="51">
        <v>5</v>
      </c>
    </row>
    <row r="317" spans="1:2" x14ac:dyDescent="0.3">
      <c r="A317" s="13" t="s">
        <v>737</v>
      </c>
      <c r="B317" s="51">
        <v>1</v>
      </c>
    </row>
    <row r="318" spans="1:2" x14ac:dyDescent="0.3">
      <c r="A318" s="13" t="s">
        <v>739</v>
      </c>
      <c r="B318" s="51">
        <v>1</v>
      </c>
    </row>
    <row r="319" spans="1:2" x14ac:dyDescent="0.3">
      <c r="A319" s="13" t="s">
        <v>741</v>
      </c>
      <c r="B319" s="51">
        <v>2</v>
      </c>
    </row>
    <row r="320" spans="1:2" x14ac:dyDescent="0.3">
      <c r="A320" s="13" t="s">
        <v>743</v>
      </c>
      <c r="B320" s="51">
        <v>18</v>
      </c>
    </row>
    <row r="321" spans="1:2" x14ac:dyDescent="0.3">
      <c r="A321" s="13" t="s">
        <v>745</v>
      </c>
      <c r="B321" s="51">
        <v>9</v>
      </c>
    </row>
    <row r="322" spans="1:2" x14ac:dyDescent="0.3">
      <c r="A322" s="13" t="s">
        <v>747</v>
      </c>
      <c r="B322" s="51">
        <v>4</v>
      </c>
    </row>
    <row r="323" spans="1:2" x14ac:dyDescent="0.3">
      <c r="A323" s="13" t="s">
        <v>749</v>
      </c>
      <c r="B323" s="51">
        <v>3</v>
      </c>
    </row>
    <row r="324" spans="1:2" x14ac:dyDescent="0.3">
      <c r="A324" s="13" t="s">
        <v>751</v>
      </c>
      <c r="B324" s="51">
        <v>13</v>
      </c>
    </row>
    <row r="325" spans="1:2" x14ac:dyDescent="0.3">
      <c r="A325" s="13" t="s">
        <v>753</v>
      </c>
      <c r="B325" s="51">
        <v>11</v>
      </c>
    </row>
    <row r="326" spans="1:2" x14ac:dyDescent="0.3">
      <c r="A326" s="13" t="s">
        <v>755</v>
      </c>
      <c r="B326" s="51">
        <v>14</v>
      </c>
    </row>
    <row r="327" spans="1:2" x14ac:dyDescent="0.3">
      <c r="A327" s="13" t="s">
        <v>757</v>
      </c>
      <c r="B327" s="51">
        <v>11</v>
      </c>
    </row>
    <row r="328" spans="1:2" x14ac:dyDescent="0.3">
      <c r="A328" s="13" t="s">
        <v>759</v>
      </c>
      <c r="B328" s="51">
        <v>4</v>
      </c>
    </row>
    <row r="329" spans="1:2" x14ac:dyDescent="0.3">
      <c r="A329" s="13" t="s">
        <v>761</v>
      </c>
      <c r="B329" s="51">
        <v>5</v>
      </c>
    </row>
    <row r="330" spans="1:2" x14ac:dyDescent="0.3">
      <c r="A330" s="13" t="s">
        <v>763</v>
      </c>
      <c r="B330" s="51">
        <v>5</v>
      </c>
    </row>
    <row r="331" spans="1:2" x14ac:dyDescent="0.3">
      <c r="A331" s="13" t="s">
        <v>765</v>
      </c>
      <c r="B331" s="51">
        <v>9</v>
      </c>
    </row>
    <row r="332" spans="1:2" x14ac:dyDescent="0.3">
      <c r="A332" s="13" t="s">
        <v>767</v>
      </c>
      <c r="B332" s="51">
        <v>12</v>
      </c>
    </row>
    <row r="333" spans="1:2" x14ac:dyDescent="0.3">
      <c r="A333" s="13" t="s">
        <v>769</v>
      </c>
      <c r="B333" s="51">
        <v>10</v>
      </c>
    </row>
    <row r="334" spans="1:2" x14ac:dyDescent="0.3">
      <c r="A334" s="13" t="s">
        <v>771</v>
      </c>
      <c r="B334" s="51">
        <v>20</v>
      </c>
    </row>
    <row r="335" spans="1:2" x14ac:dyDescent="0.3">
      <c r="A335" s="13" t="s">
        <v>773</v>
      </c>
      <c r="B335" s="51">
        <v>8</v>
      </c>
    </row>
    <row r="336" spans="1:2" x14ac:dyDescent="0.3">
      <c r="A336" s="13" t="s">
        <v>775</v>
      </c>
      <c r="B336" s="51">
        <v>4</v>
      </c>
    </row>
    <row r="337" spans="1:2" x14ac:dyDescent="0.3">
      <c r="A337" s="13" t="s">
        <v>777</v>
      </c>
      <c r="B337" s="51">
        <v>20</v>
      </c>
    </row>
    <row r="338" spans="1:2" x14ac:dyDescent="0.3">
      <c r="A338" s="13" t="s">
        <v>779</v>
      </c>
      <c r="B338" s="51">
        <v>7</v>
      </c>
    </row>
    <row r="339" spans="1:2" x14ac:dyDescent="0.3">
      <c r="A339" s="13" t="s">
        <v>781</v>
      </c>
      <c r="B339" s="51">
        <v>5</v>
      </c>
    </row>
    <row r="340" spans="1:2" x14ac:dyDescent="0.3">
      <c r="A340" s="13" t="s">
        <v>783</v>
      </c>
      <c r="B340" s="51">
        <v>15</v>
      </c>
    </row>
    <row r="341" spans="1:2" x14ac:dyDescent="0.3">
      <c r="A341" s="13" t="s">
        <v>785</v>
      </c>
      <c r="B341" s="51">
        <v>18</v>
      </c>
    </row>
    <row r="342" spans="1:2" x14ac:dyDescent="0.3">
      <c r="A342" s="13" t="s">
        <v>787</v>
      </c>
      <c r="B342" s="51">
        <v>5</v>
      </c>
    </row>
    <row r="343" spans="1:2" x14ac:dyDescent="0.3">
      <c r="A343" s="13" t="s">
        <v>789</v>
      </c>
      <c r="B343" s="51">
        <v>2</v>
      </c>
    </row>
    <row r="344" spans="1:2" x14ac:dyDescent="0.3">
      <c r="A344" s="13" t="s">
        <v>791</v>
      </c>
      <c r="B344" s="51">
        <v>4</v>
      </c>
    </row>
    <row r="345" spans="1:2" x14ac:dyDescent="0.3">
      <c r="A345" s="13" t="s">
        <v>793</v>
      </c>
      <c r="B345" s="51">
        <v>10</v>
      </c>
    </row>
    <row r="346" spans="1:2" x14ac:dyDescent="0.3">
      <c r="A346" s="13" t="s">
        <v>795</v>
      </c>
      <c r="B346" s="51">
        <v>5</v>
      </c>
    </row>
    <row r="347" spans="1:2" x14ac:dyDescent="0.3">
      <c r="A347" s="13" t="s">
        <v>797</v>
      </c>
      <c r="B347" s="51">
        <v>10</v>
      </c>
    </row>
    <row r="348" spans="1:2" x14ac:dyDescent="0.3">
      <c r="A348" s="13" t="s">
        <v>799</v>
      </c>
      <c r="B348" s="51">
        <v>15</v>
      </c>
    </row>
    <row r="349" spans="1:2" x14ac:dyDescent="0.3">
      <c r="A349" s="13" t="s">
        <v>801</v>
      </c>
      <c r="B349" s="51">
        <v>1</v>
      </c>
    </row>
    <row r="350" spans="1:2" x14ac:dyDescent="0.3">
      <c r="A350" s="13" t="s">
        <v>803</v>
      </c>
      <c r="B350" s="51">
        <v>9</v>
      </c>
    </row>
    <row r="351" spans="1:2" x14ac:dyDescent="0.3">
      <c r="A351" s="13" t="s">
        <v>805</v>
      </c>
      <c r="B351" s="51">
        <v>14</v>
      </c>
    </row>
    <row r="352" spans="1:2" x14ac:dyDescent="0.3">
      <c r="A352" s="13" t="s">
        <v>807</v>
      </c>
      <c r="B352" s="51">
        <v>20</v>
      </c>
    </row>
    <row r="353" spans="1:2" x14ac:dyDescent="0.3">
      <c r="A353" s="13" t="s">
        <v>809</v>
      </c>
      <c r="B353" s="51">
        <v>3</v>
      </c>
    </row>
    <row r="354" spans="1:2" x14ac:dyDescent="0.3">
      <c r="A354" s="13" t="s">
        <v>811</v>
      </c>
      <c r="B354" s="51">
        <v>15</v>
      </c>
    </row>
    <row r="355" spans="1:2" x14ac:dyDescent="0.3">
      <c r="A355" s="13" t="s">
        <v>813</v>
      </c>
      <c r="B355" s="51">
        <v>14</v>
      </c>
    </row>
    <row r="356" spans="1:2" x14ac:dyDescent="0.3">
      <c r="A356" s="13" t="s">
        <v>815</v>
      </c>
      <c r="B356" s="51">
        <v>15</v>
      </c>
    </row>
    <row r="357" spans="1:2" x14ac:dyDescent="0.3">
      <c r="A357" s="13" t="s">
        <v>817</v>
      </c>
      <c r="B357" s="51">
        <v>3</v>
      </c>
    </row>
    <row r="358" spans="1:2" x14ac:dyDescent="0.3">
      <c r="A358" s="13" t="s">
        <v>819</v>
      </c>
      <c r="B358" s="51">
        <v>11</v>
      </c>
    </row>
    <row r="359" spans="1:2" x14ac:dyDescent="0.3">
      <c r="A359" s="13" t="s">
        <v>821</v>
      </c>
      <c r="B359" s="51">
        <v>1</v>
      </c>
    </row>
    <row r="360" spans="1:2" x14ac:dyDescent="0.3">
      <c r="A360" s="13" t="s">
        <v>823</v>
      </c>
      <c r="B360" s="51">
        <v>4</v>
      </c>
    </row>
    <row r="361" spans="1:2" x14ac:dyDescent="0.3">
      <c r="A361" s="13" t="s">
        <v>825</v>
      </c>
      <c r="B361" s="51">
        <v>3</v>
      </c>
    </row>
    <row r="362" spans="1:2" x14ac:dyDescent="0.3">
      <c r="A362" s="13" t="s">
        <v>827</v>
      </c>
      <c r="B362" s="51">
        <v>10</v>
      </c>
    </row>
    <row r="363" spans="1:2" x14ac:dyDescent="0.3">
      <c r="A363" s="13" t="s">
        <v>829</v>
      </c>
      <c r="B363" s="51">
        <v>10</v>
      </c>
    </row>
    <row r="364" spans="1:2" x14ac:dyDescent="0.3">
      <c r="A364" s="13" t="s">
        <v>831</v>
      </c>
      <c r="B364" s="51">
        <v>2</v>
      </c>
    </row>
    <row r="365" spans="1:2" x14ac:dyDescent="0.3">
      <c r="A365" s="13" t="s">
        <v>833</v>
      </c>
      <c r="B365" s="51">
        <v>13</v>
      </c>
    </row>
    <row r="366" spans="1:2" x14ac:dyDescent="0.3">
      <c r="A366" s="13" t="s">
        <v>835</v>
      </c>
      <c r="B366" s="51">
        <v>15</v>
      </c>
    </row>
    <row r="367" spans="1:2" x14ac:dyDescent="0.3">
      <c r="A367" s="13" t="s">
        <v>837</v>
      </c>
      <c r="B367" s="51">
        <v>4</v>
      </c>
    </row>
    <row r="368" spans="1:2" x14ac:dyDescent="0.3">
      <c r="A368" s="13" t="s">
        <v>839</v>
      </c>
      <c r="B368" s="51">
        <v>9</v>
      </c>
    </row>
    <row r="369" spans="1:2" x14ac:dyDescent="0.3">
      <c r="A369" s="13" t="s">
        <v>841</v>
      </c>
      <c r="B369" s="51">
        <v>15</v>
      </c>
    </row>
    <row r="370" spans="1:2" x14ac:dyDescent="0.3">
      <c r="A370" s="13" t="s">
        <v>843</v>
      </c>
      <c r="B370" s="51">
        <v>2</v>
      </c>
    </row>
    <row r="371" spans="1:2" x14ac:dyDescent="0.3">
      <c r="A371" s="13" t="s">
        <v>845</v>
      </c>
      <c r="B371" s="51">
        <v>1</v>
      </c>
    </row>
    <row r="372" spans="1:2" x14ac:dyDescent="0.3">
      <c r="A372" s="13" t="s">
        <v>847</v>
      </c>
      <c r="B372" s="51">
        <v>13</v>
      </c>
    </row>
    <row r="373" spans="1:2" x14ac:dyDescent="0.3">
      <c r="A373" s="13" t="s">
        <v>849</v>
      </c>
      <c r="B373" s="51">
        <v>8</v>
      </c>
    </row>
    <row r="374" spans="1:2" x14ac:dyDescent="0.3">
      <c r="A374" s="13" t="s">
        <v>851</v>
      </c>
      <c r="B374" s="51">
        <v>10</v>
      </c>
    </row>
    <row r="375" spans="1:2" x14ac:dyDescent="0.3">
      <c r="A375" s="13" t="s">
        <v>853</v>
      </c>
      <c r="B375" s="51">
        <v>8</v>
      </c>
    </row>
    <row r="376" spans="1:2" x14ac:dyDescent="0.3">
      <c r="A376" s="13" t="s">
        <v>855</v>
      </c>
      <c r="B376" s="51">
        <v>1</v>
      </c>
    </row>
    <row r="377" spans="1:2" x14ac:dyDescent="0.3">
      <c r="A377" s="13" t="s">
        <v>857</v>
      </c>
      <c r="B377" s="51">
        <v>4</v>
      </c>
    </row>
    <row r="378" spans="1:2" x14ac:dyDescent="0.3">
      <c r="A378" s="13" t="s">
        <v>859</v>
      </c>
      <c r="B378" s="51">
        <v>11</v>
      </c>
    </row>
    <row r="379" spans="1:2" x14ac:dyDescent="0.3">
      <c r="A379" s="13" t="s">
        <v>861</v>
      </c>
      <c r="B379" s="51">
        <v>4</v>
      </c>
    </row>
    <row r="380" spans="1:2" x14ac:dyDescent="0.3">
      <c r="A380" s="13" t="s">
        <v>863</v>
      </c>
      <c r="B380" s="51">
        <v>6</v>
      </c>
    </row>
    <row r="381" spans="1:2" x14ac:dyDescent="0.3">
      <c r="A381" s="13" t="s">
        <v>865</v>
      </c>
      <c r="B381" s="51">
        <v>7</v>
      </c>
    </row>
    <row r="382" spans="1:2" x14ac:dyDescent="0.3">
      <c r="A382" s="13" t="s">
        <v>867</v>
      </c>
      <c r="B382" s="51">
        <v>2</v>
      </c>
    </row>
    <row r="383" spans="1:2" x14ac:dyDescent="0.3">
      <c r="A383" s="13" t="s">
        <v>869</v>
      </c>
      <c r="B383" s="51">
        <v>10</v>
      </c>
    </row>
    <row r="384" spans="1:2" x14ac:dyDescent="0.3">
      <c r="A384" s="13" t="s">
        <v>871</v>
      </c>
      <c r="B384" s="51">
        <v>13</v>
      </c>
    </row>
    <row r="385" spans="1:2" x14ac:dyDescent="0.3">
      <c r="A385" s="13" t="s">
        <v>873</v>
      </c>
      <c r="B385" s="51">
        <v>2</v>
      </c>
    </row>
    <row r="386" spans="1:2" x14ac:dyDescent="0.3">
      <c r="A386" s="13" t="s">
        <v>875</v>
      </c>
      <c r="B386" s="51">
        <v>15</v>
      </c>
    </row>
    <row r="387" spans="1:2" x14ac:dyDescent="0.3">
      <c r="A387" s="13" t="s">
        <v>877</v>
      </c>
      <c r="B387" s="51">
        <v>15</v>
      </c>
    </row>
    <row r="388" spans="1:2" x14ac:dyDescent="0.3">
      <c r="A388" s="13" t="s">
        <v>879</v>
      </c>
      <c r="B388" s="51">
        <v>4</v>
      </c>
    </row>
    <row r="389" spans="1:2" x14ac:dyDescent="0.3">
      <c r="A389" s="13" t="s">
        <v>881</v>
      </c>
      <c r="B389" s="51">
        <v>5</v>
      </c>
    </row>
    <row r="390" spans="1:2" x14ac:dyDescent="0.3">
      <c r="A390" s="13" t="s">
        <v>883</v>
      </c>
      <c r="B390" s="51">
        <v>4</v>
      </c>
    </row>
    <row r="391" spans="1:2" x14ac:dyDescent="0.3">
      <c r="A391" s="13" t="s">
        <v>885</v>
      </c>
      <c r="B391" s="51">
        <v>4</v>
      </c>
    </row>
    <row r="392" spans="1:2" x14ac:dyDescent="0.3">
      <c r="A392" s="13" t="s">
        <v>887</v>
      </c>
      <c r="B392" s="51">
        <v>14</v>
      </c>
    </row>
    <row r="393" spans="1:2" x14ac:dyDescent="0.3">
      <c r="A393" s="13" t="s">
        <v>889</v>
      </c>
      <c r="B393" s="51">
        <v>4</v>
      </c>
    </row>
    <row r="394" spans="1:2" x14ac:dyDescent="0.3">
      <c r="A394" s="13" t="s">
        <v>891</v>
      </c>
      <c r="B394" s="51">
        <v>1</v>
      </c>
    </row>
    <row r="395" spans="1:2" x14ac:dyDescent="0.3">
      <c r="A395" s="13" t="s">
        <v>893</v>
      </c>
      <c r="B395" s="51">
        <v>10</v>
      </c>
    </row>
    <row r="396" spans="1:2" x14ac:dyDescent="0.3">
      <c r="A396" s="13" t="s">
        <v>895</v>
      </c>
      <c r="B396" s="51">
        <v>10</v>
      </c>
    </row>
    <row r="397" spans="1:2" x14ac:dyDescent="0.3">
      <c r="A397" s="13" t="s">
        <v>897</v>
      </c>
      <c r="B397" s="51">
        <v>5</v>
      </c>
    </row>
    <row r="398" spans="1:2" x14ac:dyDescent="0.3">
      <c r="A398" s="13" t="s">
        <v>899</v>
      </c>
      <c r="B398" s="51">
        <v>5</v>
      </c>
    </row>
    <row r="399" spans="1:2" x14ac:dyDescent="0.3">
      <c r="A399" s="13" t="s">
        <v>901</v>
      </c>
      <c r="B399" s="51">
        <v>15</v>
      </c>
    </row>
    <row r="400" spans="1:2" x14ac:dyDescent="0.3">
      <c r="A400" s="13" t="s">
        <v>903</v>
      </c>
      <c r="B400" s="51">
        <v>2</v>
      </c>
    </row>
    <row r="401" spans="1:2" x14ac:dyDescent="0.3">
      <c r="A401" s="13" t="s">
        <v>905</v>
      </c>
      <c r="B401" s="51">
        <v>2</v>
      </c>
    </row>
    <row r="402" spans="1:2" x14ac:dyDescent="0.3">
      <c r="A402" s="13" t="s">
        <v>907</v>
      </c>
      <c r="B402" s="51">
        <v>1</v>
      </c>
    </row>
    <row r="403" spans="1:2" x14ac:dyDescent="0.3">
      <c r="A403" s="13" t="s">
        <v>909</v>
      </c>
      <c r="B403" s="51">
        <v>5</v>
      </c>
    </row>
    <row r="404" spans="1:2" x14ac:dyDescent="0.3">
      <c r="A404" s="13" t="s">
        <v>911</v>
      </c>
      <c r="B404" s="51">
        <v>12</v>
      </c>
    </row>
    <row r="405" spans="1:2" x14ac:dyDescent="0.3">
      <c r="A405" s="13" t="s">
        <v>913</v>
      </c>
      <c r="B405" s="51">
        <v>7</v>
      </c>
    </row>
    <row r="406" spans="1:2" x14ac:dyDescent="0.3">
      <c r="A406" s="13" t="s">
        <v>915</v>
      </c>
      <c r="B406" s="51">
        <v>6</v>
      </c>
    </row>
    <row r="407" spans="1:2" x14ac:dyDescent="0.3">
      <c r="A407" s="13" t="s">
        <v>917</v>
      </c>
      <c r="B407" s="51">
        <v>14</v>
      </c>
    </row>
    <row r="408" spans="1:2" x14ac:dyDescent="0.3">
      <c r="A408" s="13" t="s">
        <v>919</v>
      </c>
      <c r="B408" s="51">
        <v>2</v>
      </c>
    </row>
    <row r="409" spans="1:2" x14ac:dyDescent="0.3">
      <c r="A409" s="13" t="s">
        <v>921</v>
      </c>
      <c r="B409" s="51">
        <v>16</v>
      </c>
    </row>
    <row r="410" spans="1:2" x14ac:dyDescent="0.3">
      <c r="A410" s="13" t="s">
        <v>923</v>
      </c>
      <c r="B410" s="51">
        <v>14</v>
      </c>
    </row>
    <row r="411" spans="1:2" x14ac:dyDescent="0.3">
      <c r="A411" s="13" t="s">
        <v>925</v>
      </c>
      <c r="B411" s="51">
        <v>2</v>
      </c>
    </row>
    <row r="412" spans="1:2" x14ac:dyDescent="0.3">
      <c r="A412" s="13" t="s">
        <v>927</v>
      </c>
      <c r="B412" s="51">
        <v>11</v>
      </c>
    </row>
    <row r="413" spans="1:2" x14ac:dyDescent="0.3">
      <c r="A413" s="13" t="s">
        <v>929</v>
      </c>
      <c r="B413" s="51">
        <v>20</v>
      </c>
    </row>
    <row r="414" spans="1:2" x14ac:dyDescent="0.3">
      <c r="A414" s="13" t="s">
        <v>931</v>
      </c>
      <c r="B414" s="51">
        <v>3</v>
      </c>
    </row>
    <row r="415" spans="1:2" x14ac:dyDescent="0.3">
      <c r="A415" s="13" t="s">
        <v>933</v>
      </c>
      <c r="B415" s="51">
        <v>1</v>
      </c>
    </row>
    <row r="416" spans="1:2" x14ac:dyDescent="0.3">
      <c r="A416" s="13" t="s">
        <v>935</v>
      </c>
      <c r="B416" s="51">
        <v>15</v>
      </c>
    </row>
    <row r="417" spans="1:2" x14ac:dyDescent="0.3">
      <c r="A417" s="13" t="s">
        <v>937</v>
      </c>
      <c r="B417" s="51">
        <v>7</v>
      </c>
    </row>
    <row r="418" spans="1:2" x14ac:dyDescent="0.3">
      <c r="A418" s="13" t="s">
        <v>358</v>
      </c>
      <c r="B418" s="51">
        <v>9</v>
      </c>
    </row>
    <row r="419" spans="1:2" x14ac:dyDescent="0.3">
      <c r="A419" s="13" t="s">
        <v>940</v>
      </c>
      <c r="B419" s="51">
        <v>14</v>
      </c>
    </row>
    <row r="420" spans="1:2" x14ac:dyDescent="0.3">
      <c r="A420" s="13" t="s">
        <v>942</v>
      </c>
      <c r="B420" s="51">
        <v>10</v>
      </c>
    </row>
    <row r="421" spans="1:2" x14ac:dyDescent="0.3">
      <c r="A421" s="13" t="s">
        <v>944</v>
      </c>
      <c r="B421" s="51">
        <v>15</v>
      </c>
    </row>
    <row r="422" spans="1:2" x14ac:dyDescent="0.3">
      <c r="A422" s="13" t="s">
        <v>946</v>
      </c>
      <c r="B422" s="51">
        <v>2</v>
      </c>
    </row>
    <row r="423" spans="1:2" x14ac:dyDescent="0.3">
      <c r="A423" s="13" t="s">
        <v>948</v>
      </c>
      <c r="B423" s="51">
        <v>19</v>
      </c>
    </row>
    <row r="424" spans="1:2" x14ac:dyDescent="0.3">
      <c r="A424" s="13" t="s">
        <v>950</v>
      </c>
      <c r="B424" s="51">
        <v>19</v>
      </c>
    </row>
    <row r="425" spans="1:2" x14ac:dyDescent="0.3">
      <c r="A425" s="13" t="s">
        <v>952</v>
      </c>
      <c r="B425" s="51">
        <v>4</v>
      </c>
    </row>
    <row r="426" spans="1:2" x14ac:dyDescent="0.3">
      <c r="A426" s="13" t="s">
        <v>954</v>
      </c>
      <c r="B426" s="51">
        <v>2</v>
      </c>
    </row>
    <row r="427" spans="1:2" x14ac:dyDescent="0.3">
      <c r="A427" s="13" t="s">
        <v>956</v>
      </c>
      <c r="B427" s="51">
        <v>8</v>
      </c>
    </row>
    <row r="428" spans="1:2" x14ac:dyDescent="0.3">
      <c r="A428" s="13" t="s">
        <v>958</v>
      </c>
      <c r="B428" s="51">
        <v>2</v>
      </c>
    </row>
    <row r="429" spans="1:2" x14ac:dyDescent="0.3">
      <c r="A429" s="13" t="s">
        <v>960</v>
      </c>
      <c r="B429" s="51">
        <v>14</v>
      </c>
    </row>
    <row r="430" spans="1:2" x14ac:dyDescent="0.3">
      <c r="A430" s="13" t="s">
        <v>962</v>
      </c>
      <c r="B430" s="51">
        <v>4</v>
      </c>
    </row>
    <row r="431" spans="1:2" x14ac:dyDescent="0.3">
      <c r="A431" s="13" t="s">
        <v>964</v>
      </c>
      <c r="B431" s="51">
        <v>4</v>
      </c>
    </row>
    <row r="432" spans="1:2" x14ac:dyDescent="0.3">
      <c r="A432" s="13" t="s">
        <v>966</v>
      </c>
      <c r="B432" s="51">
        <v>3</v>
      </c>
    </row>
    <row r="433" spans="1:2" x14ac:dyDescent="0.3">
      <c r="A433" s="13" t="s">
        <v>968</v>
      </c>
      <c r="B433" s="51">
        <v>13</v>
      </c>
    </row>
    <row r="434" spans="1:2" x14ac:dyDescent="0.3">
      <c r="A434" s="13" t="s">
        <v>970</v>
      </c>
      <c r="B434" s="51">
        <v>10</v>
      </c>
    </row>
    <row r="435" spans="1:2" x14ac:dyDescent="0.3">
      <c r="A435" s="13" t="s">
        <v>972</v>
      </c>
      <c r="B435" s="51">
        <v>1</v>
      </c>
    </row>
    <row r="436" spans="1:2" x14ac:dyDescent="0.3">
      <c r="A436" s="13" t="s">
        <v>974</v>
      </c>
      <c r="B436" s="51">
        <v>7</v>
      </c>
    </row>
    <row r="437" spans="1:2" x14ac:dyDescent="0.3">
      <c r="A437" s="13" t="s">
        <v>976</v>
      </c>
      <c r="B437" s="51">
        <v>8</v>
      </c>
    </row>
    <row r="438" spans="1:2" x14ac:dyDescent="0.3">
      <c r="A438" s="13" t="s">
        <v>978</v>
      </c>
      <c r="B438" s="51">
        <v>1</v>
      </c>
    </row>
    <row r="439" spans="1:2" x14ac:dyDescent="0.3">
      <c r="A439" s="13" t="s">
        <v>980</v>
      </c>
      <c r="B439" s="51">
        <v>13</v>
      </c>
    </row>
    <row r="440" spans="1:2" x14ac:dyDescent="0.3">
      <c r="A440" s="13" t="s">
        <v>982</v>
      </c>
      <c r="B440" s="51">
        <v>7</v>
      </c>
    </row>
    <row r="441" spans="1:2" x14ac:dyDescent="0.3">
      <c r="A441" s="13" t="s">
        <v>984</v>
      </c>
      <c r="B441" s="51">
        <v>14</v>
      </c>
    </row>
    <row r="442" spans="1:2" x14ac:dyDescent="0.3">
      <c r="A442" s="13" t="s">
        <v>986</v>
      </c>
      <c r="B442" s="51">
        <v>14</v>
      </c>
    </row>
    <row r="443" spans="1:2" x14ac:dyDescent="0.3">
      <c r="A443" s="13" t="s">
        <v>988</v>
      </c>
      <c r="B443" s="51">
        <v>4</v>
      </c>
    </row>
    <row r="444" spans="1:2" x14ac:dyDescent="0.3">
      <c r="A444" s="13" t="s">
        <v>990</v>
      </c>
      <c r="B444" s="51">
        <v>4</v>
      </c>
    </row>
    <row r="445" spans="1:2" x14ac:dyDescent="0.3">
      <c r="A445" s="13" t="s">
        <v>992</v>
      </c>
      <c r="B445" s="51">
        <v>5</v>
      </c>
    </row>
    <row r="446" spans="1:2" x14ac:dyDescent="0.3">
      <c r="A446" s="13" t="s">
        <v>994</v>
      </c>
      <c r="B446" s="51">
        <v>12</v>
      </c>
    </row>
    <row r="447" spans="1:2" x14ac:dyDescent="0.3">
      <c r="A447" s="13" t="s">
        <v>996</v>
      </c>
      <c r="B447" s="51">
        <v>14</v>
      </c>
    </row>
    <row r="448" spans="1:2" x14ac:dyDescent="0.3">
      <c r="A448" s="13" t="s">
        <v>998</v>
      </c>
      <c r="B448" s="51">
        <v>6</v>
      </c>
    </row>
    <row r="449" spans="1:2" x14ac:dyDescent="0.3">
      <c r="A449" s="13" t="s">
        <v>1000</v>
      </c>
      <c r="B449" s="51">
        <v>1</v>
      </c>
    </row>
    <row r="450" spans="1:2" x14ac:dyDescent="0.3">
      <c r="A450" s="13" t="s">
        <v>1002</v>
      </c>
      <c r="B450" s="51">
        <v>1</v>
      </c>
    </row>
    <row r="451" spans="1:2" x14ac:dyDescent="0.3">
      <c r="A451" s="13" t="s">
        <v>1004</v>
      </c>
      <c r="B451" s="51">
        <v>3</v>
      </c>
    </row>
    <row r="452" spans="1:2" x14ac:dyDescent="0.3">
      <c r="A452" s="13" t="s">
        <v>1006</v>
      </c>
      <c r="B452" s="51">
        <v>9</v>
      </c>
    </row>
    <row r="453" spans="1:2" x14ac:dyDescent="0.3">
      <c r="A453" s="13" t="s">
        <v>1008</v>
      </c>
      <c r="B453" s="51">
        <v>18</v>
      </c>
    </row>
    <row r="454" spans="1:2" x14ac:dyDescent="0.3">
      <c r="A454" s="13" t="s">
        <v>1010</v>
      </c>
      <c r="B454" s="51">
        <v>2</v>
      </c>
    </row>
    <row r="455" spans="1:2" x14ac:dyDescent="0.3">
      <c r="A455" s="13" t="s">
        <v>1012</v>
      </c>
      <c r="B455" s="51">
        <v>12</v>
      </c>
    </row>
    <row r="456" spans="1:2" x14ac:dyDescent="0.3">
      <c r="A456" s="13" t="s">
        <v>1014</v>
      </c>
      <c r="B456" s="51">
        <v>9</v>
      </c>
    </row>
    <row r="457" spans="1:2" x14ac:dyDescent="0.3">
      <c r="A457" s="13" t="s">
        <v>1016</v>
      </c>
      <c r="B457" s="51">
        <v>2</v>
      </c>
    </row>
    <row r="458" spans="1:2" x14ac:dyDescent="0.3">
      <c r="A458" s="13" t="s">
        <v>1018</v>
      </c>
      <c r="B458" s="51">
        <v>4</v>
      </c>
    </row>
    <row r="459" spans="1:2" x14ac:dyDescent="0.3">
      <c r="A459" s="13" t="s">
        <v>1020</v>
      </c>
      <c r="B459" s="51">
        <v>4</v>
      </c>
    </row>
    <row r="460" spans="1:2" x14ac:dyDescent="0.3">
      <c r="A460" s="13" t="s">
        <v>1022</v>
      </c>
      <c r="B460" s="51">
        <v>4</v>
      </c>
    </row>
    <row r="461" spans="1:2" x14ac:dyDescent="0.3">
      <c r="A461" s="13" t="s">
        <v>1024</v>
      </c>
      <c r="B461" s="51">
        <v>5</v>
      </c>
    </row>
    <row r="462" spans="1:2" x14ac:dyDescent="0.3">
      <c r="A462" s="13" t="s">
        <v>1026</v>
      </c>
      <c r="B462" s="51">
        <v>14</v>
      </c>
    </row>
    <row r="463" spans="1:2" x14ac:dyDescent="0.3">
      <c r="A463" s="13" t="s">
        <v>1028</v>
      </c>
      <c r="B463" s="51">
        <v>1</v>
      </c>
    </row>
    <row r="464" spans="1:2" x14ac:dyDescent="0.3">
      <c r="A464" s="13" t="s">
        <v>1030</v>
      </c>
      <c r="B464" s="51">
        <v>7</v>
      </c>
    </row>
    <row r="465" spans="1:2" x14ac:dyDescent="0.3">
      <c r="A465" s="13" t="s">
        <v>1032</v>
      </c>
      <c r="B465" s="51">
        <v>9</v>
      </c>
    </row>
    <row r="466" spans="1:2" x14ac:dyDescent="0.3">
      <c r="A466" s="13" t="s">
        <v>1034</v>
      </c>
      <c r="B466" s="51">
        <v>6</v>
      </c>
    </row>
    <row r="467" spans="1:2" x14ac:dyDescent="0.3">
      <c r="A467" s="13" t="s">
        <v>1036</v>
      </c>
      <c r="B467" s="51">
        <v>5</v>
      </c>
    </row>
    <row r="468" spans="1:2" x14ac:dyDescent="0.3">
      <c r="A468" s="13" t="s">
        <v>1038</v>
      </c>
      <c r="B468" s="51">
        <v>9</v>
      </c>
    </row>
    <row r="469" spans="1:2" x14ac:dyDescent="0.3">
      <c r="A469" s="13" t="s">
        <v>1040</v>
      </c>
      <c r="B469" s="51">
        <v>16</v>
      </c>
    </row>
    <row r="470" spans="1:2" x14ac:dyDescent="0.3">
      <c r="A470" s="13" t="s">
        <v>1042</v>
      </c>
      <c r="B470" s="51">
        <v>11</v>
      </c>
    </row>
    <row r="471" spans="1:2" x14ac:dyDescent="0.3">
      <c r="A471" s="13" t="s">
        <v>1044</v>
      </c>
      <c r="B471" s="51">
        <v>7</v>
      </c>
    </row>
    <row r="472" spans="1:2" x14ac:dyDescent="0.3">
      <c r="A472" s="13" t="s">
        <v>1046</v>
      </c>
      <c r="B472" s="51">
        <v>2</v>
      </c>
    </row>
    <row r="473" spans="1:2" x14ac:dyDescent="0.3">
      <c r="A473" s="13" t="s">
        <v>1048</v>
      </c>
      <c r="B473" s="51">
        <v>13</v>
      </c>
    </row>
    <row r="474" spans="1:2" x14ac:dyDescent="0.3">
      <c r="A474" s="13" t="s">
        <v>1050</v>
      </c>
      <c r="B474" s="51">
        <v>15</v>
      </c>
    </row>
    <row r="475" spans="1:2" x14ac:dyDescent="0.3">
      <c r="A475" s="13" t="s">
        <v>1052</v>
      </c>
      <c r="B475" s="51">
        <v>1</v>
      </c>
    </row>
    <row r="476" spans="1:2" x14ac:dyDescent="0.3">
      <c r="A476" s="13" t="s">
        <v>1054</v>
      </c>
      <c r="B476" s="51">
        <v>6</v>
      </c>
    </row>
    <row r="477" spans="1:2" x14ac:dyDescent="0.3">
      <c r="A477" s="13" t="s">
        <v>1056</v>
      </c>
      <c r="B477" s="51">
        <v>7</v>
      </c>
    </row>
    <row r="478" spans="1:2" x14ac:dyDescent="0.3">
      <c r="A478" s="13" t="s">
        <v>1058</v>
      </c>
      <c r="B478" s="51">
        <v>14</v>
      </c>
    </row>
    <row r="479" spans="1:2" x14ac:dyDescent="0.3">
      <c r="A479" s="13" t="s">
        <v>1060</v>
      </c>
      <c r="B479" s="51">
        <v>12</v>
      </c>
    </row>
    <row r="480" spans="1:2" x14ac:dyDescent="0.3">
      <c r="A480" s="13" t="s">
        <v>1062</v>
      </c>
      <c r="B480" s="51">
        <v>6</v>
      </c>
    </row>
    <row r="481" spans="1:2" x14ac:dyDescent="0.3">
      <c r="A481" s="13" t="s">
        <v>1064</v>
      </c>
      <c r="B481" s="51">
        <v>17</v>
      </c>
    </row>
    <row r="482" spans="1:2" x14ac:dyDescent="0.3">
      <c r="A482" s="13" t="s">
        <v>1066</v>
      </c>
      <c r="B482" s="51">
        <v>13</v>
      </c>
    </row>
    <row r="483" spans="1:2" x14ac:dyDescent="0.3">
      <c r="A483" s="13" t="s">
        <v>1068</v>
      </c>
      <c r="B483" s="51">
        <v>4</v>
      </c>
    </row>
    <row r="484" spans="1:2" x14ac:dyDescent="0.3">
      <c r="A484" s="13" t="s">
        <v>1070</v>
      </c>
      <c r="B484" s="51">
        <v>15</v>
      </c>
    </row>
    <row r="485" spans="1:2" x14ac:dyDescent="0.3">
      <c r="A485" s="13" t="s">
        <v>1072</v>
      </c>
      <c r="B485" s="51">
        <v>2</v>
      </c>
    </row>
    <row r="486" spans="1:2" x14ac:dyDescent="0.3">
      <c r="A486" s="13" t="s">
        <v>1074</v>
      </c>
      <c r="B486" s="51">
        <v>5</v>
      </c>
    </row>
    <row r="487" spans="1:2" x14ac:dyDescent="0.3">
      <c r="A487" s="13" t="s">
        <v>1076</v>
      </c>
      <c r="B487" s="51">
        <v>13</v>
      </c>
    </row>
    <row r="488" spans="1:2" x14ac:dyDescent="0.3">
      <c r="A488" s="13" t="s">
        <v>697</v>
      </c>
      <c r="B488" s="51">
        <v>8</v>
      </c>
    </row>
    <row r="489" spans="1:2" x14ac:dyDescent="0.3">
      <c r="A489" s="13" t="s">
        <v>1079</v>
      </c>
      <c r="B489" s="51">
        <v>9</v>
      </c>
    </row>
    <row r="490" spans="1:2" x14ac:dyDescent="0.3">
      <c r="A490" s="13" t="s">
        <v>1081</v>
      </c>
      <c r="B490" s="51">
        <v>11</v>
      </c>
    </row>
    <row r="491" spans="1:2" x14ac:dyDescent="0.3">
      <c r="A491" s="13" t="s">
        <v>1083</v>
      </c>
      <c r="B491" s="51">
        <v>5</v>
      </c>
    </row>
    <row r="492" spans="1:2" x14ac:dyDescent="0.3">
      <c r="A492" s="13" t="s">
        <v>1085</v>
      </c>
      <c r="B492" s="51">
        <v>2</v>
      </c>
    </row>
    <row r="493" spans="1:2" x14ac:dyDescent="0.3">
      <c r="A493" s="13" t="s">
        <v>1087</v>
      </c>
      <c r="B493" s="51">
        <v>15</v>
      </c>
    </row>
    <row r="494" spans="1:2" x14ac:dyDescent="0.3">
      <c r="A494" s="13" t="s">
        <v>1089</v>
      </c>
      <c r="B494" s="51">
        <v>15</v>
      </c>
    </row>
    <row r="495" spans="1:2" x14ac:dyDescent="0.3">
      <c r="A495" s="13" t="s">
        <v>1091</v>
      </c>
      <c r="B495" s="51">
        <v>7</v>
      </c>
    </row>
    <row r="496" spans="1:2" x14ac:dyDescent="0.3">
      <c r="A496" s="13" t="s">
        <v>1093</v>
      </c>
      <c r="B496" s="51">
        <v>4</v>
      </c>
    </row>
    <row r="497" spans="1:2" x14ac:dyDescent="0.3">
      <c r="A497" s="13" t="s">
        <v>1095</v>
      </c>
      <c r="B497" s="51">
        <v>5</v>
      </c>
    </row>
    <row r="498" spans="1:2" x14ac:dyDescent="0.3">
      <c r="A498" s="13" t="s">
        <v>1097</v>
      </c>
      <c r="B498" s="51">
        <v>19</v>
      </c>
    </row>
    <row r="499" spans="1:2" x14ac:dyDescent="0.3">
      <c r="A499" s="13" t="s">
        <v>1099</v>
      </c>
      <c r="B499" s="51">
        <v>20</v>
      </c>
    </row>
    <row r="500" spans="1:2" x14ac:dyDescent="0.3">
      <c r="A500" s="13" t="s">
        <v>1101</v>
      </c>
      <c r="B500" s="51">
        <v>3</v>
      </c>
    </row>
    <row r="501" spans="1:2" x14ac:dyDescent="0.3">
      <c r="A501" s="13" t="s">
        <v>1103</v>
      </c>
      <c r="B501" s="51">
        <v>13</v>
      </c>
    </row>
    <row r="502" spans="1:2" x14ac:dyDescent="0.3">
      <c r="A502" s="13" t="s">
        <v>1105</v>
      </c>
      <c r="B502" s="51">
        <v>8</v>
      </c>
    </row>
    <row r="503" spans="1:2" x14ac:dyDescent="0.3">
      <c r="A503" s="13" t="s">
        <v>1107</v>
      </c>
      <c r="B503" s="51">
        <v>4</v>
      </c>
    </row>
    <row r="504" spans="1:2" x14ac:dyDescent="0.3">
      <c r="A504" s="13" t="s">
        <v>1109</v>
      </c>
      <c r="B504" s="51">
        <v>3</v>
      </c>
    </row>
    <row r="505" spans="1:2" x14ac:dyDescent="0.3">
      <c r="A505" s="13" t="s">
        <v>1111</v>
      </c>
      <c r="B505" s="51">
        <v>2</v>
      </c>
    </row>
    <row r="506" spans="1:2" x14ac:dyDescent="0.3">
      <c r="A506" s="13" t="s">
        <v>1113</v>
      </c>
      <c r="B506" s="51">
        <v>1</v>
      </c>
    </row>
    <row r="507" spans="1:2" x14ac:dyDescent="0.3">
      <c r="A507" s="13" t="s">
        <v>1115</v>
      </c>
      <c r="B507" s="51">
        <v>12</v>
      </c>
    </row>
    <row r="508" spans="1:2" x14ac:dyDescent="0.3">
      <c r="A508" s="13" t="s">
        <v>1117</v>
      </c>
      <c r="B508" s="51">
        <v>2</v>
      </c>
    </row>
    <row r="509" spans="1:2" x14ac:dyDescent="0.3">
      <c r="A509" s="13" t="s">
        <v>1119</v>
      </c>
      <c r="B509" s="51">
        <v>15</v>
      </c>
    </row>
    <row r="510" spans="1:2" x14ac:dyDescent="0.3">
      <c r="A510" s="13" t="s">
        <v>1121</v>
      </c>
      <c r="B510" s="51">
        <v>2</v>
      </c>
    </row>
    <row r="511" spans="1:2" x14ac:dyDescent="0.3">
      <c r="A511" s="13" t="s">
        <v>1123</v>
      </c>
      <c r="B511" s="51">
        <v>18</v>
      </c>
    </row>
    <row r="512" spans="1:2" x14ac:dyDescent="0.3">
      <c r="A512" s="13" t="s">
        <v>1125</v>
      </c>
      <c r="B512" s="51">
        <v>5</v>
      </c>
    </row>
    <row r="513" spans="1:2" x14ac:dyDescent="0.3">
      <c r="A513" s="13" t="s">
        <v>1127</v>
      </c>
      <c r="B513" s="51">
        <v>9</v>
      </c>
    </row>
    <row r="514" spans="1:2" x14ac:dyDescent="0.3">
      <c r="A514" s="13" t="s">
        <v>1129</v>
      </c>
      <c r="B514" s="51">
        <v>8</v>
      </c>
    </row>
    <row r="515" spans="1:2" x14ac:dyDescent="0.3">
      <c r="A515" s="13" t="s">
        <v>1131</v>
      </c>
      <c r="B515" s="51">
        <v>14</v>
      </c>
    </row>
    <row r="516" spans="1:2" x14ac:dyDescent="0.3">
      <c r="A516" s="13" t="s">
        <v>1133</v>
      </c>
      <c r="B516" s="51">
        <v>1</v>
      </c>
    </row>
    <row r="517" spans="1:2" x14ac:dyDescent="0.3">
      <c r="A517" s="13" t="s">
        <v>1135</v>
      </c>
      <c r="B517" s="51">
        <v>12</v>
      </c>
    </row>
    <row r="518" spans="1:2" x14ac:dyDescent="0.3">
      <c r="A518" s="13" t="s">
        <v>1137</v>
      </c>
      <c r="B518" s="51">
        <v>2</v>
      </c>
    </row>
    <row r="519" spans="1:2" x14ac:dyDescent="0.3">
      <c r="A519" s="13" t="s">
        <v>1139</v>
      </c>
      <c r="B519" s="51">
        <v>6</v>
      </c>
    </row>
    <row r="520" spans="1:2" x14ac:dyDescent="0.3">
      <c r="A520" s="13" t="s">
        <v>1141</v>
      </c>
      <c r="B520" s="51">
        <v>20</v>
      </c>
    </row>
    <row r="521" spans="1:2" x14ac:dyDescent="0.3">
      <c r="A521" s="13" t="s">
        <v>1143</v>
      </c>
      <c r="B521" s="51">
        <v>4</v>
      </c>
    </row>
    <row r="522" spans="1:2" x14ac:dyDescent="0.3">
      <c r="A522" s="13" t="s">
        <v>1145</v>
      </c>
      <c r="B522" s="51">
        <v>18</v>
      </c>
    </row>
    <row r="523" spans="1:2" x14ac:dyDescent="0.3">
      <c r="A523" s="13" t="s">
        <v>1147</v>
      </c>
      <c r="B523" s="51">
        <v>3</v>
      </c>
    </row>
    <row r="524" spans="1:2" x14ac:dyDescent="0.3">
      <c r="A524" s="13" t="s">
        <v>1149</v>
      </c>
      <c r="B524" s="51">
        <v>2</v>
      </c>
    </row>
    <row r="525" spans="1:2" x14ac:dyDescent="0.3">
      <c r="A525" s="13" t="s">
        <v>1151</v>
      </c>
      <c r="B525" s="51">
        <v>14</v>
      </c>
    </row>
    <row r="526" spans="1:2" x14ac:dyDescent="0.3">
      <c r="A526" s="13" t="s">
        <v>1153</v>
      </c>
      <c r="B526" s="51">
        <v>17</v>
      </c>
    </row>
    <row r="527" spans="1:2" x14ac:dyDescent="0.3">
      <c r="A527" s="13" t="s">
        <v>1155</v>
      </c>
      <c r="B527" s="51">
        <v>6</v>
      </c>
    </row>
    <row r="528" spans="1:2" x14ac:dyDescent="0.3">
      <c r="A528" s="13" t="s">
        <v>1157</v>
      </c>
      <c r="B528" s="51">
        <v>11</v>
      </c>
    </row>
    <row r="529" spans="1:2" x14ac:dyDescent="0.3">
      <c r="A529" s="13" t="s">
        <v>1159</v>
      </c>
      <c r="B529" s="51">
        <v>1</v>
      </c>
    </row>
    <row r="530" spans="1:2" x14ac:dyDescent="0.3">
      <c r="A530" s="13" t="s">
        <v>1161</v>
      </c>
      <c r="B530" s="51">
        <v>12</v>
      </c>
    </row>
    <row r="531" spans="1:2" x14ac:dyDescent="0.3">
      <c r="A531" s="13" t="s">
        <v>1163</v>
      </c>
      <c r="B531" s="51">
        <v>2</v>
      </c>
    </row>
    <row r="532" spans="1:2" x14ac:dyDescent="0.3">
      <c r="A532" s="13" t="s">
        <v>1165</v>
      </c>
      <c r="B532" s="51">
        <v>2</v>
      </c>
    </row>
    <row r="533" spans="1:2" x14ac:dyDescent="0.3">
      <c r="A533" s="13" t="s">
        <v>1167</v>
      </c>
      <c r="B533" s="51">
        <v>18</v>
      </c>
    </row>
    <row r="534" spans="1:2" x14ac:dyDescent="0.3">
      <c r="A534" s="13" t="s">
        <v>1169</v>
      </c>
      <c r="B534" s="51">
        <v>4</v>
      </c>
    </row>
    <row r="535" spans="1:2" x14ac:dyDescent="0.3">
      <c r="A535" s="13" t="s">
        <v>1171</v>
      </c>
      <c r="B535" s="51">
        <v>7</v>
      </c>
    </row>
    <row r="536" spans="1:2" x14ac:dyDescent="0.3">
      <c r="A536" s="13" t="s">
        <v>1173</v>
      </c>
      <c r="B536" s="51">
        <v>15</v>
      </c>
    </row>
    <row r="537" spans="1:2" x14ac:dyDescent="0.3">
      <c r="A537" s="13" t="s">
        <v>1175</v>
      </c>
      <c r="B537" s="51">
        <v>10</v>
      </c>
    </row>
    <row r="538" spans="1:2" x14ac:dyDescent="0.3">
      <c r="A538" s="13" t="s">
        <v>1177</v>
      </c>
      <c r="B538" s="51">
        <v>15</v>
      </c>
    </row>
    <row r="539" spans="1:2" x14ac:dyDescent="0.3">
      <c r="A539" s="13" t="s">
        <v>1179</v>
      </c>
      <c r="B539" s="51">
        <v>15</v>
      </c>
    </row>
    <row r="540" spans="1:2" x14ac:dyDescent="0.3">
      <c r="A540" s="13" t="s">
        <v>1181</v>
      </c>
      <c r="B540" s="51">
        <v>2</v>
      </c>
    </row>
    <row r="541" spans="1:2" x14ac:dyDescent="0.3">
      <c r="A541" s="13" t="s">
        <v>1183</v>
      </c>
      <c r="B541" s="51">
        <v>1</v>
      </c>
    </row>
    <row r="542" spans="1:2" x14ac:dyDescent="0.3">
      <c r="A542" s="13" t="s">
        <v>1185</v>
      </c>
      <c r="B542" s="51">
        <v>1</v>
      </c>
    </row>
    <row r="543" spans="1:2" x14ac:dyDescent="0.3">
      <c r="A543" s="13" t="s">
        <v>1187</v>
      </c>
      <c r="B543" s="51">
        <v>3</v>
      </c>
    </row>
    <row r="544" spans="1:2" x14ac:dyDescent="0.3">
      <c r="A544" s="13" t="s">
        <v>1189</v>
      </c>
      <c r="B544" s="51">
        <v>5</v>
      </c>
    </row>
    <row r="545" spans="1:2" x14ac:dyDescent="0.3">
      <c r="A545" s="13" t="s">
        <v>1191</v>
      </c>
      <c r="B545" s="51">
        <v>14</v>
      </c>
    </row>
    <row r="546" spans="1:2" x14ac:dyDescent="0.3">
      <c r="A546" s="13" t="s">
        <v>1193</v>
      </c>
      <c r="B546" s="51">
        <v>4</v>
      </c>
    </row>
    <row r="547" spans="1:2" x14ac:dyDescent="0.3">
      <c r="A547" s="13" t="s">
        <v>1195</v>
      </c>
      <c r="B547" s="51">
        <v>1</v>
      </c>
    </row>
    <row r="548" spans="1:2" x14ac:dyDescent="0.3">
      <c r="A548" s="13" t="s">
        <v>1197</v>
      </c>
      <c r="B548" s="51">
        <v>1</v>
      </c>
    </row>
    <row r="549" spans="1:2" x14ac:dyDescent="0.3">
      <c r="A549" s="13" t="s">
        <v>1199</v>
      </c>
      <c r="B549" s="51">
        <v>1</v>
      </c>
    </row>
    <row r="550" spans="1:2" x14ac:dyDescent="0.3">
      <c r="A550" s="13" t="s">
        <v>1201</v>
      </c>
      <c r="B550" s="51">
        <v>5</v>
      </c>
    </row>
    <row r="551" spans="1:2" x14ac:dyDescent="0.3">
      <c r="A551" s="13" t="s">
        <v>1203</v>
      </c>
      <c r="B551" s="51">
        <v>2</v>
      </c>
    </row>
    <row r="552" spans="1:2" x14ac:dyDescent="0.3">
      <c r="A552" s="13" t="s">
        <v>1205</v>
      </c>
      <c r="B552" s="51">
        <v>2</v>
      </c>
    </row>
    <row r="553" spans="1:2" x14ac:dyDescent="0.3">
      <c r="A553" s="13" t="s">
        <v>1207</v>
      </c>
      <c r="B553" s="51">
        <v>1</v>
      </c>
    </row>
    <row r="554" spans="1:2" x14ac:dyDescent="0.3">
      <c r="A554" s="13" t="s">
        <v>1209</v>
      </c>
      <c r="B554" s="51">
        <v>1</v>
      </c>
    </row>
    <row r="555" spans="1:2" x14ac:dyDescent="0.3">
      <c r="A555" s="13" t="s">
        <v>1211</v>
      </c>
      <c r="B555" s="51">
        <v>13</v>
      </c>
    </row>
    <row r="556" spans="1:2" x14ac:dyDescent="0.3">
      <c r="A556" s="13" t="s">
        <v>1213</v>
      </c>
      <c r="B556" s="51">
        <v>5</v>
      </c>
    </row>
    <row r="557" spans="1:2" x14ac:dyDescent="0.3">
      <c r="A557" s="13" t="s">
        <v>1215</v>
      </c>
      <c r="B557" s="51">
        <v>15</v>
      </c>
    </row>
    <row r="558" spans="1:2" x14ac:dyDescent="0.3">
      <c r="A558" s="13" t="s">
        <v>1217</v>
      </c>
      <c r="B558" s="51">
        <v>5</v>
      </c>
    </row>
    <row r="559" spans="1:2" x14ac:dyDescent="0.3">
      <c r="A559" s="13" t="s">
        <v>1219</v>
      </c>
      <c r="B559" s="51">
        <v>13</v>
      </c>
    </row>
    <row r="560" spans="1:2" x14ac:dyDescent="0.3">
      <c r="A560" s="13" t="s">
        <v>1221</v>
      </c>
      <c r="B560" s="51">
        <v>19</v>
      </c>
    </row>
    <row r="561" spans="1:2" x14ac:dyDescent="0.3">
      <c r="A561" s="13" t="s">
        <v>1223</v>
      </c>
      <c r="B561" s="51">
        <v>15</v>
      </c>
    </row>
    <row r="562" spans="1:2" x14ac:dyDescent="0.3">
      <c r="A562" s="13" t="s">
        <v>1225</v>
      </c>
      <c r="B562" s="51">
        <v>15</v>
      </c>
    </row>
    <row r="563" spans="1:2" x14ac:dyDescent="0.3">
      <c r="A563" s="13" t="s">
        <v>1227</v>
      </c>
      <c r="B563" s="51">
        <v>1</v>
      </c>
    </row>
    <row r="564" spans="1:2" x14ac:dyDescent="0.3">
      <c r="A564" s="13" t="s">
        <v>1229</v>
      </c>
      <c r="B564" s="51">
        <v>8</v>
      </c>
    </row>
    <row r="565" spans="1:2" x14ac:dyDescent="0.3">
      <c r="A565" s="13" t="s">
        <v>1231</v>
      </c>
      <c r="B565" s="51">
        <v>5</v>
      </c>
    </row>
    <row r="566" spans="1:2" x14ac:dyDescent="0.3">
      <c r="A566" s="13" t="s">
        <v>1233</v>
      </c>
      <c r="B566" s="51">
        <v>7</v>
      </c>
    </row>
    <row r="567" spans="1:2" x14ac:dyDescent="0.3">
      <c r="A567" s="13" t="s">
        <v>1235</v>
      </c>
      <c r="B567" s="51">
        <v>14</v>
      </c>
    </row>
    <row r="568" spans="1:2" x14ac:dyDescent="0.3">
      <c r="A568" s="13" t="s">
        <v>1237</v>
      </c>
      <c r="B568" s="51">
        <v>1</v>
      </c>
    </row>
    <row r="569" spans="1:2" x14ac:dyDescent="0.3">
      <c r="A569" s="13" t="s">
        <v>1239</v>
      </c>
      <c r="B569" s="51">
        <v>12</v>
      </c>
    </row>
    <row r="570" spans="1:2" x14ac:dyDescent="0.3">
      <c r="A570" s="13" t="s">
        <v>1241</v>
      </c>
      <c r="B570" s="51">
        <v>4</v>
      </c>
    </row>
    <row r="571" spans="1:2" x14ac:dyDescent="0.3">
      <c r="A571" s="13" t="s">
        <v>1243</v>
      </c>
      <c r="B571" s="51">
        <v>4</v>
      </c>
    </row>
    <row r="572" spans="1:2" x14ac:dyDescent="0.3">
      <c r="A572" s="13" t="s">
        <v>1245</v>
      </c>
      <c r="B572" s="51">
        <v>5</v>
      </c>
    </row>
    <row r="573" spans="1:2" x14ac:dyDescent="0.3">
      <c r="A573" s="13" t="s">
        <v>1247</v>
      </c>
      <c r="B573" s="51">
        <v>4</v>
      </c>
    </row>
    <row r="574" spans="1:2" x14ac:dyDescent="0.3">
      <c r="A574" s="13" t="s">
        <v>1249</v>
      </c>
      <c r="B574" s="51">
        <v>5</v>
      </c>
    </row>
    <row r="575" spans="1:2" x14ac:dyDescent="0.3">
      <c r="A575" s="13" t="s">
        <v>1251</v>
      </c>
      <c r="B575" s="51">
        <v>4</v>
      </c>
    </row>
    <row r="576" spans="1:2" x14ac:dyDescent="0.3">
      <c r="A576" s="13" t="s">
        <v>1253</v>
      </c>
      <c r="B576" s="51">
        <v>8</v>
      </c>
    </row>
    <row r="577" spans="1:2" x14ac:dyDescent="0.3">
      <c r="A577" s="13" t="s">
        <v>1255</v>
      </c>
      <c r="B577" s="51">
        <v>5</v>
      </c>
    </row>
    <row r="578" spans="1:2" x14ac:dyDescent="0.3">
      <c r="A578" s="13" t="s">
        <v>1257</v>
      </c>
      <c r="B578" s="51">
        <v>3</v>
      </c>
    </row>
    <row r="579" spans="1:2" x14ac:dyDescent="0.3">
      <c r="A579" s="13" t="s">
        <v>1259</v>
      </c>
      <c r="B579" s="51">
        <v>14</v>
      </c>
    </row>
    <row r="580" spans="1:2" x14ac:dyDescent="0.3">
      <c r="A580" s="13" t="s">
        <v>1261</v>
      </c>
      <c r="B580" s="51">
        <v>10</v>
      </c>
    </row>
    <row r="581" spans="1:2" x14ac:dyDescent="0.3">
      <c r="A581" s="13" t="s">
        <v>1263</v>
      </c>
      <c r="B581" s="51">
        <v>4</v>
      </c>
    </row>
    <row r="582" spans="1:2" x14ac:dyDescent="0.3">
      <c r="A582" s="13" t="s">
        <v>1265</v>
      </c>
      <c r="B582" s="51">
        <v>14</v>
      </c>
    </row>
    <row r="583" spans="1:2" x14ac:dyDescent="0.3">
      <c r="A583" s="13" t="s">
        <v>1267</v>
      </c>
      <c r="B583" s="51">
        <v>5</v>
      </c>
    </row>
    <row r="584" spans="1:2" x14ac:dyDescent="0.3">
      <c r="A584" s="13" t="s">
        <v>1269</v>
      </c>
      <c r="B584" s="51">
        <v>18</v>
      </c>
    </row>
    <row r="585" spans="1:2" x14ac:dyDescent="0.3">
      <c r="A585" s="13" t="s">
        <v>1271</v>
      </c>
      <c r="B585" s="51">
        <v>1</v>
      </c>
    </row>
    <row r="586" spans="1:2" x14ac:dyDescent="0.3">
      <c r="A586" s="13" t="s">
        <v>1273</v>
      </c>
      <c r="B586" s="51">
        <v>5</v>
      </c>
    </row>
    <row r="587" spans="1:2" x14ac:dyDescent="0.3">
      <c r="A587" s="13" t="s">
        <v>1275</v>
      </c>
      <c r="B587" s="51">
        <v>10</v>
      </c>
    </row>
    <row r="588" spans="1:2" x14ac:dyDescent="0.3">
      <c r="A588" s="13" t="s">
        <v>1277</v>
      </c>
      <c r="B588" s="51">
        <v>5</v>
      </c>
    </row>
    <row r="589" spans="1:2" x14ac:dyDescent="0.3">
      <c r="A589" s="13" t="s">
        <v>1279</v>
      </c>
      <c r="B589" s="51">
        <v>3</v>
      </c>
    </row>
    <row r="590" spans="1:2" x14ac:dyDescent="0.3">
      <c r="A590" s="13" t="s">
        <v>1281</v>
      </c>
      <c r="B590" s="51">
        <v>5</v>
      </c>
    </row>
    <row r="591" spans="1:2" x14ac:dyDescent="0.3">
      <c r="A591" s="13" t="s">
        <v>1283</v>
      </c>
      <c r="B591" s="51">
        <v>18</v>
      </c>
    </row>
    <row r="592" spans="1:2" x14ac:dyDescent="0.3">
      <c r="A592" s="13" t="s">
        <v>1285</v>
      </c>
      <c r="B592" s="51">
        <v>16</v>
      </c>
    </row>
    <row r="593" spans="1:2" x14ac:dyDescent="0.3">
      <c r="A593" s="13" t="s">
        <v>1287</v>
      </c>
      <c r="B593" s="51">
        <v>14</v>
      </c>
    </row>
    <row r="594" spans="1:2" x14ac:dyDescent="0.3">
      <c r="A594" s="13" t="s">
        <v>1289</v>
      </c>
      <c r="B594" s="51">
        <v>4</v>
      </c>
    </row>
    <row r="595" spans="1:2" x14ac:dyDescent="0.3">
      <c r="A595" s="13" t="s">
        <v>1291</v>
      </c>
      <c r="B595" s="51">
        <v>5</v>
      </c>
    </row>
    <row r="596" spans="1:2" x14ac:dyDescent="0.3">
      <c r="A596" s="13" t="s">
        <v>1293</v>
      </c>
      <c r="B596" s="51">
        <v>15</v>
      </c>
    </row>
    <row r="597" spans="1:2" x14ac:dyDescent="0.3">
      <c r="A597" s="13" t="s">
        <v>1295</v>
      </c>
      <c r="B597" s="51">
        <v>11</v>
      </c>
    </row>
    <row r="598" spans="1:2" x14ac:dyDescent="0.3">
      <c r="A598" s="13" t="s">
        <v>1297</v>
      </c>
      <c r="B598" s="51">
        <v>2</v>
      </c>
    </row>
    <row r="599" spans="1:2" x14ac:dyDescent="0.3">
      <c r="A599" s="13" t="s">
        <v>1299</v>
      </c>
      <c r="B599" s="51">
        <v>20</v>
      </c>
    </row>
    <row r="600" spans="1:2" x14ac:dyDescent="0.3">
      <c r="A600" s="13" t="s">
        <v>1301</v>
      </c>
      <c r="B600" s="51">
        <v>13</v>
      </c>
    </row>
    <row r="601" spans="1:2" x14ac:dyDescent="0.3">
      <c r="A601" s="13" t="s">
        <v>1303</v>
      </c>
      <c r="B601" s="51">
        <v>12</v>
      </c>
    </row>
    <row r="602" spans="1:2" x14ac:dyDescent="0.3">
      <c r="A602" s="13" t="s">
        <v>1305</v>
      </c>
      <c r="B602" s="51">
        <v>1</v>
      </c>
    </row>
    <row r="603" spans="1:2" x14ac:dyDescent="0.3">
      <c r="A603" s="13" t="s">
        <v>1307</v>
      </c>
      <c r="B603" s="51">
        <v>19</v>
      </c>
    </row>
    <row r="604" spans="1:2" x14ac:dyDescent="0.3">
      <c r="A604" s="13" t="s">
        <v>1309</v>
      </c>
      <c r="B604" s="51">
        <v>13</v>
      </c>
    </row>
    <row r="605" spans="1:2" x14ac:dyDescent="0.3">
      <c r="A605" s="13" t="s">
        <v>1311</v>
      </c>
      <c r="B605" s="51">
        <v>13</v>
      </c>
    </row>
    <row r="606" spans="1:2" x14ac:dyDescent="0.3">
      <c r="A606" s="13" t="s">
        <v>1313</v>
      </c>
      <c r="B606" s="51">
        <v>13</v>
      </c>
    </row>
    <row r="607" spans="1:2" x14ac:dyDescent="0.3">
      <c r="A607" s="13" t="s">
        <v>1315</v>
      </c>
      <c r="B607" s="51">
        <v>1</v>
      </c>
    </row>
    <row r="608" spans="1:2" x14ac:dyDescent="0.3">
      <c r="A608" s="13" t="s">
        <v>1317</v>
      </c>
      <c r="B608" s="51">
        <v>12</v>
      </c>
    </row>
    <row r="609" spans="1:2" x14ac:dyDescent="0.3">
      <c r="A609" s="13" t="s">
        <v>1319</v>
      </c>
      <c r="B609" s="51">
        <v>13</v>
      </c>
    </row>
    <row r="610" spans="1:2" x14ac:dyDescent="0.3">
      <c r="A610" s="13" t="s">
        <v>1321</v>
      </c>
      <c r="B610" s="51">
        <v>10</v>
      </c>
    </row>
    <row r="611" spans="1:2" x14ac:dyDescent="0.3">
      <c r="A611" s="13" t="s">
        <v>1323</v>
      </c>
      <c r="B611" s="51">
        <v>14</v>
      </c>
    </row>
    <row r="612" spans="1:2" x14ac:dyDescent="0.3">
      <c r="A612" s="13" t="s">
        <v>1325</v>
      </c>
      <c r="B612" s="51">
        <v>19</v>
      </c>
    </row>
    <row r="613" spans="1:2" x14ac:dyDescent="0.3">
      <c r="A613" s="13" t="s">
        <v>1327</v>
      </c>
      <c r="B613" s="51">
        <v>13</v>
      </c>
    </row>
    <row r="614" spans="1:2" x14ac:dyDescent="0.3">
      <c r="A614" s="13" t="s">
        <v>1329</v>
      </c>
      <c r="B614" s="51">
        <v>4</v>
      </c>
    </row>
    <row r="615" spans="1:2" x14ac:dyDescent="0.3">
      <c r="A615" s="13" t="s">
        <v>1331</v>
      </c>
      <c r="B615" s="51">
        <v>1</v>
      </c>
    </row>
    <row r="616" spans="1:2" x14ac:dyDescent="0.3">
      <c r="A616" s="13" t="s">
        <v>1333</v>
      </c>
      <c r="B616" s="51">
        <v>20</v>
      </c>
    </row>
    <row r="617" spans="1:2" x14ac:dyDescent="0.3">
      <c r="A617" s="13" t="s">
        <v>1335</v>
      </c>
      <c r="B617" s="51">
        <v>13</v>
      </c>
    </row>
    <row r="618" spans="1:2" x14ac:dyDescent="0.3">
      <c r="A618" s="13" t="s">
        <v>1337</v>
      </c>
      <c r="B618" s="51">
        <v>17</v>
      </c>
    </row>
    <row r="619" spans="1:2" x14ac:dyDescent="0.3">
      <c r="A619" s="13" t="s">
        <v>1339</v>
      </c>
      <c r="B619" s="51">
        <v>12</v>
      </c>
    </row>
    <row r="620" spans="1:2" x14ac:dyDescent="0.3">
      <c r="A620" s="13" t="s">
        <v>1341</v>
      </c>
      <c r="B620" s="51">
        <v>8</v>
      </c>
    </row>
    <row r="621" spans="1:2" x14ac:dyDescent="0.3">
      <c r="A621" s="13" t="s">
        <v>1343</v>
      </c>
      <c r="B621" s="51">
        <v>7</v>
      </c>
    </row>
    <row r="622" spans="1:2" x14ac:dyDescent="0.3">
      <c r="A622" s="13" t="s">
        <v>1345</v>
      </c>
      <c r="B622" s="51">
        <v>5</v>
      </c>
    </row>
    <row r="623" spans="1:2" x14ac:dyDescent="0.3">
      <c r="A623" s="13" t="s">
        <v>1347</v>
      </c>
      <c r="B623" s="51">
        <v>10</v>
      </c>
    </row>
    <row r="624" spans="1:2" x14ac:dyDescent="0.3">
      <c r="A624" s="13" t="s">
        <v>1349</v>
      </c>
      <c r="B624" s="51">
        <v>1</v>
      </c>
    </row>
    <row r="625" spans="1:2" x14ac:dyDescent="0.3">
      <c r="A625" s="13" t="s">
        <v>1351</v>
      </c>
      <c r="B625" s="51">
        <v>3</v>
      </c>
    </row>
    <row r="626" spans="1:2" x14ac:dyDescent="0.3">
      <c r="A626" s="13" t="s">
        <v>1353</v>
      </c>
      <c r="B626" s="51">
        <v>3</v>
      </c>
    </row>
    <row r="627" spans="1:2" x14ac:dyDescent="0.3">
      <c r="A627" s="13" t="s">
        <v>1355</v>
      </c>
      <c r="B627" s="51">
        <v>5</v>
      </c>
    </row>
    <row r="628" spans="1:2" x14ac:dyDescent="0.3">
      <c r="A628" s="13" t="s">
        <v>1357</v>
      </c>
      <c r="B628" s="51">
        <v>2</v>
      </c>
    </row>
    <row r="629" spans="1:2" x14ac:dyDescent="0.3">
      <c r="A629" s="13" t="s">
        <v>1359</v>
      </c>
      <c r="B629" s="51">
        <v>3</v>
      </c>
    </row>
    <row r="630" spans="1:2" x14ac:dyDescent="0.3">
      <c r="A630" s="13" t="s">
        <v>1361</v>
      </c>
      <c r="B630" s="51">
        <v>4</v>
      </c>
    </row>
    <row r="631" spans="1:2" x14ac:dyDescent="0.3">
      <c r="A631" s="13" t="s">
        <v>1363</v>
      </c>
      <c r="B631" s="51">
        <v>20</v>
      </c>
    </row>
    <row r="632" spans="1:2" x14ac:dyDescent="0.3">
      <c r="A632" s="13" t="s">
        <v>1365</v>
      </c>
      <c r="B632" s="51">
        <v>1</v>
      </c>
    </row>
    <row r="633" spans="1:2" x14ac:dyDescent="0.3">
      <c r="A633" s="13" t="s">
        <v>1367</v>
      </c>
      <c r="B633" s="51">
        <v>11</v>
      </c>
    </row>
    <row r="634" spans="1:2" x14ac:dyDescent="0.3">
      <c r="A634" s="13" t="s">
        <v>1369</v>
      </c>
      <c r="B634" s="51">
        <v>5</v>
      </c>
    </row>
    <row r="635" spans="1:2" x14ac:dyDescent="0.3">
      <c r="A635" s="13" t="s">
        <v>1371</v>
      </c>
      <c r="B635" s="51">
        <v>3</v>
      </c>
    </row>
    <row r="636" spans="1:2" x14ac:dyDescent="0.3">
      <c r="A636" s="13" t="s">
        <v>1373</v>
      </c>
      <c r="B636" s="51">
        <v>1</v>
      </c>
    </row>
    <row r="637" spans="1:2" x14ac:dyDescent="0.3">
      <c r="A637" s="13" t="s">
        <v>1375</v>
      </c>
      <c r="B637" s="51">
        <v>14</v>
      </c>
    </row>
    <row r="638" spans="1:2" x14ac:dyDescent="0.3">
      <c r="A638" s="13" t="s">
        <v>1377</v>
      </c>
      <c r="B638" s="51">
        <v>4</v>
      </c>
    </row>
    <row r="639" spans="1:2" x14ac:dyDescent="0.3">
      <c r="A639" s="13" t="s">
        <v>1379</v>
      </c>
      <c r="B639" s="51">
        <v>18</v>
      </c>
    </row>
    <row r="640" spans="1:2" x14ac:dyDescent="0.3">
      <c r="A640" s="13" t="s">
        <v>1381</v>
      </c>
      <c r="B640" s="51">
        <v>13</v>
      </c>
    </row>
    <row r="641" spans="1:2" x14ac:dyDescent="0.3">
      <c r="A641" s="13" t="s">
        <v>1383</v>
      </c>
      <c r="B641" s="51">
        <v>14</v>
      </c>
    </row>
    <row r="642" spans="1:2" x14ac:dyDescent="0.3">
      <c r="A642" s="13" t="s">
        <v>1385</v>
      </c>
      <c r="B642" s="51">
        <v>14</v>
      </c>
    </row>
    <row r="643" spans="1:2" x14ac:dyDescent="0.3">
      <c r="A643" s="13" t="s">
        <v>1387</v>
      </c>
      <c r="B643" s="51">
        <v>1</v>
      </c>
    </row>
    <row r="644" spans="1:2" x14ac:dyDescent="0.3">
      <c r="A644" s="13" t="s">
        <v>1389</v>
      </c>
      <c r="B644" s="51">
        <v>15</v>
      </c>
    </row>
    <row r="645" spans="1:2" x14ac:dyDescent="0.3">
      <c r="A645" s="13" t="s">
        <v>1391</v>
      </c>
      <c r="B645" s="51">
        <v>5</v>
      </c>
    </row>
    <row r="646" spans="1:2" x14ac:dyDescent="0.3">
      <c r="A646" s="13" t="s">
        <v>1393</v>
      </c>
      <c r="B646" s="51">
        <v>14</v>
      </c>
    </row>
    <row r="647" spans="1:2" x14ac:dyDescent="0.3">
      <c r="A647" s="13" t="s">
        <v>1395</v>
      </c>
      <c r="B647" s="51">
        <v>5</v>
      </c>
    </row>
    <row r="648" spans="1:2" x14ac:dyDescent="0.3">
      <c r="A648" s="13" t="s">
        <v>1397</v>
      </c>
      <c r="B648" s="51">
        <v>12</v>
      </c>
    </row>
    <row r="649" spans="1:2" x14ac:dyDescent="0.3">
      <c r="A649" s="13" t="s">
        <v>1399</v>
      </c>
      <c r="B649" s="51">
        <v>8</v>
      </c>
    </row>
    <row r="650" spans="1:2" x14ac:dyDescent="0.3">
      <c r="A650" s="13" t="s">
        <v>1401</v>
      </c>
      <c r="B650" s="51">
        <v>10</v>
      </c>
    </row>
    <row r="651" spans="1:2" x14ac:dyDescent="0.3">
      <c r="A651" s="13" t="s">
        <v>1403</v>
      </c>
      <c r="B651" s="51">
        <v>12</v>
      </c>
    </row>
    <row r="652" spans="1:2" x14ac:dyDescent="0.3">
      <c r="A652" s="13" t="s">
        <v>1405</v>
      </c>
      <c r="B652" s="51">
        <v>15</v>
      </c>
    </row>
    <row r="653" spans="1:2" x14ac:dyDescent="0.3">
      <c r="A653" s="13" t="s">
        <v>1407</v>
      </c>
      <c r="B653" s="51">
        <v>1</v>
      </c>
    </row>
    <row r="654" spans="1:2" x14ac:dyDescent="0.3">
      <c r="A654" s="13" t="s">
        <v>1409</v>
      </c>
      <c r="B654" s="51">
        <v>12</v>
      </c>
    </row>
    <row r="655" spans="1:2" x14ac:dyDescent="0.3">
      <c r="A655" s="13" t="s">
        <v>1411</v>
      </c>
      <c r="B655" s="51">
        <v>1</v>
      </c>
    </row>
    <row r="656" spans="1:2" x14ac:dyDescent="0.3">
      <c r="A656" s="13" t="s">
        <v>1413</v>
      </c>
      <c r="B656" s="51">
        <v>11</v>
      </c>
    </row>
    <row r="657" spans="1:2" x14ac:dyDescent="0.3">
      <c r="A657" s="13" t="s">
        <v>1415</v>
      </c>
      <c r="B657" s="51">
        <v>8</v>
      </c>
    </row>
    <row r="658" spans="1:2" x14ac:dyDescent="0.3">
      <c r="A658" s="13" t="s">
        <v>1417</v>
      </c>
      <c r="B658" s="51">
        <v>20</v>
      </c>
    </row>
    <row r="659" spans="1:2" x14ac:dyDescent="0.3">
      <c r="A659" s="13" t="s">
        <v>1419</v>
      </c>
      <c r="B659" s="51">
        <v>5</v>
      </c>
    </row>
    <row r="660" spans="1:2" x14ac:dyDescent="0.3">
      <c r="A660" s="13" t="s">
        <v>1421</v>
      </c>
      <c r="B660" s="51">
        <v>6</v>
      </c>
    </row>
    <row r="661" spans="1:2" x14ac:dyDescent="0.3">
      <c r="A661" s="13" t="s">
        <v>1423</v>
      </c>
      <c r="B661" s="51">
        <v>16</v>
      </c>
    </row>
    <row r="662" spans="1:2" x14ac:dyDescent="0.3">
      <c r="A662" s="13" t="s">
        <v>1425</v>
      </c>
      <c r="B662" s="51">
        <v>9</v>
      </c>
    </row>
    <row r="663" spans="1:2" x14ac:dyDescent="0.3">
      <c r="A663" s="13" t="s">
        <v>1427</v>
      </c>
      <c r="B663" s="51">
        <v>10</v>
      </c>
    </row>
    <row r="664" spans="1:2" x14ac:dyDescent="0.3">
      <c r="A664" s="13" t="s">
        <v>1429</v>
      </c>
      <c r="B664" s="51">
        <v>6</v>
      </c>
    </row>
    <row r="665" spans="1:2" x14ac:dyDescent="0.3">
      <c r="A665" s="13" t="s">
        <v>1431</v>
      </c>
      <c r="B665" s="51">
        <v>18</v>
      </c>
    </row>
    <row r="666" spans="1:2" x14ac:dyDescent="0.3">
      <c r="A666" s="13" t="s">
        <v>1433</v>
      </c>
      <c r="B666" s="51">
        <v>4</v>
      </c>
    </row>
    <row r="667" spans="1:2" x14ac:dyDescent="0.3">
      <c r="A667" s="13" t="s">
        <v>1435</v>
      </c>
      <c r="B667" s="51">
        <v>9</v>
      </c>
    </row>
    <row r="668" spans="1:2" x14ac:dyDescent="0.3">
      <c r="A668" s="13" t="s">
        <v>1437</v>
      </c>
      <c r="B668" s="51">
        <v>14</v>
      </c>
    </row>
    <row r="669" spans="1:2" x14ac:dyDescent="0.3">
      <c r="A669" s="13" t="s">
        <v>1439</v>
      </c>
      <c r="B669" s="51">
        <v>15</v>
      </c>
    </row>
    <row r="670" spans="1:2" x14ac:dyDescent="0.3">
      <c r="A670" s="13" t="s">
        <v>1441</v>
      </c>
      <c r="B670" s="51">
        <v>14</v>
      </c>
    </row>
    <row r="671" spans="1:2" x14ac:dyDescent="0.3">
      <c r="A671" s="13" t="s">
        <v>1443</v>
      </c>
      <c r="B671" s="51">
        <v>3</v>
      </c>
    </row>
    <row r="672" spans="1:2" x14ac:dyDescent="0.3">
      <c r="A672" s="13" t="s">
        <v>1445</v>
      </c>
      <c r="B672" s="51">
        <v>12</v>
      </c>
    </row>
    <row r="673" spans="1:2" x14ac:dyDescent="0.3">
      <c r="A673" s="13" t="s">
        <v>1447</v>
      </c>
      <c r="B673" s="51">
        <v>5</v>
      </c>
    </row>
    <row r="674" spans="1:2" x14ac:dyDescent="0.3">
      <c r="A674" s="13" t="s">
        <v>1449</v>
      </c>
      <c r="B674" s="51">
        <v>4</v>
      </c>
    </row>
    <row r="675" spans="1:2" x14ac:dyDescent="0.3">
      <c r="A675" s="13" t="s">
        <v>1451</v>
      </c>
      <c r="B675" s="51">
        <v>4</v>
      </c>
    </row>
    <row r="676" spans="1:2" x14ac:dyDescent="0.3">
      <c r="A676" s="13" t="s">
        <v>1453</v>
      </c>
      <c r="B676" s="51">
        <v>12</v>
      </c>
    </row>
    <row r="677" spans="1:2" x14ac:dyDescent="0.3">
      <c r="A677" s="13" t="s">
        <v>1455</v>
      </c>
      <c r="B677" s="51">
        <v>15</v>
      </c>
    </row>
    <row r="678" spans="1:2" x14ac:dyDescent="0.3">
      <c r="A678" s="13" t="s">
        <v>1457</v>
      </c>
      <c r="B678" s="51">
        <v>19</v>
      </c>
    </row>
    <row r="679" spans="1:2" x14ac:dyDescent="0.3">
      <c r="A679" s="13" t="s">
        <v>1459</v>
      </c>
      <c r="B679" s="51">
        <v>15</v>
      </c>
    </row>
    <row r="680" spans="1:2" x14ac:dyDescent="0.3">
      <c r="A680" s="13" t="s">
        <v>1461</v>
      </c>
      <c r="B680" s="51">
        <v>13</v>
      </c>
    </row>
    <row r="681" spans="1:2" x14ac:dyDescent="0.3">
      <c r="A681" s="13" t="s">
        <v>1463</v>
      </c>
      <c r="B681" s="51">
        <v>3</v>
      </c>
    </row>
    <row r="682" spans="1:2" x14ac:dyDescent="0.3">
      <c r="A682" s="13" t="s">
        <v>1465</v>
      </c>
      <c r="B682" s="51">
        <v>13</v>
      </c>
    </row>
    <row r="683" spans="1:2" x14ac:dyDescent="0.3">
      <c r="A683" s="13" t="s">
        <v>1467</v>
      </c>
      <c r="B683" s="51">
        <v>1</v>
      </c>
    </row>
    <row r="684" spans="1:2" x14ac:dyDescent="0.3">
      <c r="A684" s="13" t="s">
        <v>1469</v>
      </c>
      <c r="B684" s="51">
        <v>19</v>
      </c>
    </row>
    <row r="685" spans="1:2" x14ac:dyDescent="0.3">
      <c r="A685" s="13" t="s">
        <v>1471</v>
      </c>
      <c r="B685" s="51">
        <v>9</v>
      </c>
    </row>
    <row r="686" spans="1:2" x14ac:dyDescent="0.3">
      <c r="A686" s="13" t="s">
        <v>1473</v>
      </c>
      <c r="B686" s="51">
        <v>4</v>
      </c>
    </row>
    <row r="687" spans="1:2" x14ac:dyDescent="0.3">
      <c r="A687" s="13" t="s">
        <v>1475</v>
      </c>
      <c r="B687" s="51">
        <v>14</v>
      </c>
    </row>
    <row r="688" spans="1:2" x14ac:dyDescent="0.3">
      <c r="A688" s="13" t="s">
        <v>1477</v>
      </c>
      <c r="B688" s="51">
        <v>11</v>
      </c>
    </row>
    <row r="689" spans="1:2" x14ac:dyDescent="0.3">
      <c r="A689" s="13" t="s">
        <v>1479</v>
      </c>
      <c r="B689" s="51">
        <v>1</v>
      </c>
    </row>
    <row r="690" spans="1:2" x14ac:dyDescent="0.3">
      <c r="A690" s="13" t="s">
        <v>1481</v>
      </c>
      <c r="B690" s="51">
        <v>1</v>
      </c>
    </row>
    <row r="691" spans="1:2" x14ac:dyDescent="0.3">
      <c r="A691" s="13" t="s">
        <v>54</v>
      </c>
      <c r="B691" s="51">
        <v>10</v>
      </c>
    </row>
    <row r="692" spans="1:2" x14ac:dyDescent="0.3">
      <c r="A692" s="13" t="s">
        <v>1484</v>
      </c>
      <c r="B692" s="51">
        <v>1</v>
      </c>
    </row>
    <row r="693" spans="1:2" x14ac:dyDescent="0.3">
      <c r="A693" s="13" t="s">
        <v>1486</v>
      </c>
      <c r="B693" s="51">
        <v>11</v>
      </c>
    </row>
    <row r="694" spans="1:2" x14ac:dyDescent="0.3">
      <c r="A694" s="13" t="s">
        <v>1443</v>
      </c>
      <c r="B694" s="51">
        <v>5</v>
      </c>
    </row>
    <row r="695" spans="1:2" x14ac:dyDescent="0.3">
      <c r="A695" s="13" t="s">
        <v>1489</v>
      </c>
      <c r="B695" s="51">
        <v>6</v>
      </c>
    </row>
    <row r="696" spans="1:2" x14ac:dyDescent="0.3">
      <c r="A696" s="13" t="s">
        <v>861</v>
      </c>
      <c r="B696" s="51">
        <v>18</v>
      </c>
    </row>
    <row r="697" spans="1:2" x14ac:dyDescent="0.3">
      <c r="A697" s="13" t="s">
        <v>1492</v>
      </c>
      <c r="B697" s="51">
        <v>2</v>
      </c>
    </row>
    <row r="698" spans="1:2" x14ac:dyDescent="0.3">
      <c r="A698" s="13" t="s">
        <v>1494</v>
      </c>
      <c r="B698" s="51">
        <v>3</v>
      </c>
    </row>
    <row r="699" spans="1:2" x14ac:dyDescent="0.3">
      <c r="A699" s="13" t="s">
        <v>1496</v>
      </c>
      <c r="B699" s="51">
        <v>5</v>
      </c>
    </row>
    <row r="700" spans="1:2" x14ac:dyDescent="0.3">
      <c r="A700" s="13" t="s">
        <v>1498</v>
      </c>
      <c r="B700" s="51">
        <v>13</v>
      </c>
    </row>
    <row r="701" spans="1:2" x14ac:dyDescent="0.3">
      <c r="A701" s="13" t="s">
        <v>1500</v>
      </c>
      <c r="B701" s="51">
        <v>18</v>
      </c>
    </row>
    <row r="702" spans="1:2" x14ac:dyDescent="0.3">
      <c r="A702" s="13" t="s">
        <v>1502</v>
      </c>
      <c r="B702" s="51">
        <v>17</v>
      </c>
    </row>
    <row r="703" spans="1:2" x14ac:dyDescent="0.3">
      <c r="A703" s="13" t="s">
        <v>1504</v>
      </c>
      <c r="B703" s="51">
        <v>17</v>
      </c>
    </row>
    <row r="704" spans="1:2" x14ac:dyDescent="0.3">
      <c r="A704" s="13" t="s">
        <v>1506</v>
      </c>
      <c r="B704" s="51">
        <v>6</v>
      </c>
    </row>
    <row r="705" spans="1:2" x14ac:dyDescent="0.3">
      <c r="A705" s="13" t="s">
        <v>1508</v>
      </c>
      <c r="B705" s="51">
        <v>6</v>
      </c>
    </row>
    <row r="706" spans="1:2" x14ac:dyDescent="0.3">
      <c r="A706" s="13" t="s">
        <v>1510</v>
      </c>
      <c r="B706" s="51">
        <v>2</v>
      </c>
    </row>
    <row r="707" spans="1:2" x14ac:dyDescent="0.3">
      <c r="A707" s="13" t="s">
        <v>1512</v>
      </c>
      <c r="B707" s="51">
        <v>9</v>
      </c>
    </row>
    <row r="708" spans="1:2" x14ac:dyDescent="0.3">
      <c r="A708" s="13" t="s">
        <v>1514</v>
      </c>
      <c r="B708" s="51">
        <v>1</v>
      </c>
    </row>
    <row r="709" spans="1:2" x14ac:dyDescent="0.3">
      <c r="A709" s="13" t="s">
        <v>1516</v>
      </c>
      <c r="B709" s="51">
        <v>16</v>
      </c>
    </row>
    <row r="710" spans="1:2" x14ac:dyDescent="0.3">
      <c r="A710" s="13" t="s">
        <v>1518</v>
      </c>
      <c r="B710" s="51">
        <v>12</v>
      </c>
    </row>
    <row r="711" spans="1:2" x14ac:dyDescent="0.3">
      <c r="A711" s="13" t="s">
        <v>1520</v>
      </c>
      <c r="B711" s="51">
        <v>6</v>
      </c>
    </row>
    <row r="712" spans="1:2" x14ac:dyDescent="0.3">
      <c r="A712" s="13" t="s">
        <v>1522</v>
      </c>
      <c r="B712" s="51">
        <v>12</v>
      </c>
    </row>
    <row r="713" spans="1:2" x14ac:dyDescent="0.3">
      <c r="A713" s="13" t="s">
        <v>1524</v>
      </c>
      <c r="B713" s="51">
        <v>11</v>
      </c>
    </row>
    <row r="714" spans="1:2" x14ac:dyDescent="0.3">
      <c r="A714" s="13" t="s">
        <v>1526</v>
      </c>
      <c r="B714" s="51">
        <v>13</v>
      </c>
    </row>
    <row r="715" spans="1:2" x14ac:dyDescent="0.3">
      <c r="A715" s="13" t="s">
        <v>1528</v>
      </c>
      <c r="B715" s="51">
        <v>11</v>
      </c>
    </row>
    <row r="716" spans="1:2" x14ac:dyDescent="0.3">
      <c r="A716" s="13" t="s">
        <v>1530</v>
      </c>
      <c r="B716" s="51">
        <v>14</v>
      </c>
    </row>
    <row r="717" spans="1:2" x14ac:dyDescent="0.3">
      <c r="A717" s="13" t="s">
        <v>1532</v>
      </c>
      <c r="B717" s="51">
        <v>16</v>
      </c>
    </row>
    <row r="718" spans="1:2" x14ac:dyDescent="0.3">
      <c r="A718" s="13" t="s">
        <v>1534</v>
      </c>
      <c r="B718" s="51">
        <v>1</v>
      </c>
    </row>
    <row r="719" spans="1:2" x14ac:dyDescent="0.3">
      <c r="A719" s="13" t="s">
        <v>1536</v>
      </c>
      <c r="B719" s="51">
        <v>3</v>
      </c>
    </row>
    <row r="720" spans="1:2" x14ac:dyDescent="0.3">
      <c r="A720" s="13" t="s">
        <v>1538</v>
      </c>
      <c r="B720" s="51">
        <v>15</v>
      </c>
    </row>
    <row r="721" spans="1:2" x14ac:dyDescent="0.3">
      <c r="A721" s="13" t="s">
        <v>1540</v>
      </c>
      <c r="B721" s="51">
        <v>2</v>
      </c>
    </row>
    <row r="722" spans="1:2" x14ac:dyDescent="0.3">
      <c r="A722" s="13" t="s">
        <v>1542</v>
      </c>
      <c r="B722" s="51">
        <v>10</v>
      </c>
    </row>
    <row r="723" spans="1:2" x14ac:dyDescent="0.3">
      <c r="A723" s="13" t="s">
        <v>1544</v>
      </c>
      <c r="B723" s="51">
        <v>11</v>
      </c>
    </row>
    <row r="724" spans="1:2" x14ac:dyDescent="0.3">
      <c r="A724" s="13" t="s">
        <v>1546</v>
      </c>
      <c r="B724" s="51">
        <v>9</v>
      </c>
    </row>
    <row r="725" spans="1:2" x14ac:dyDescent="0.3">
      <c r="A725" s="13" t="s">
        <v>1548</v>
      </c>
      <c r="B725" s="51">
        <v>7</v>
      </c>
    </row>
    <row r="726" spans="1:2" x14ac:dyDescent="0.3">
      <c r="A726" s="13" t="s">
        <v>1550</v>
      </c>
      <c r="B726" s="51">
        <v>7</v>
      </c>
    </row>
    <row r="727" spans="1:2" x14ac:dyDescent="0.3">
      <c r="A727" s="13" t="s">
        <v>1552</v>
      </c>
      <c r="B727" s="51">
        <v>15</v>
      </c>
    </row>
    <row r="728" spans="1:2" x14ac:dyDescent="0.3">
      <c r="A728" s="13" t="s">
        <v>1554</v>
      </c>
      <c r="B728" s="51">
        <v>18</v>
      </c>
    </row>
    <row r="729" spans="1:2" x14ac:dyDescent="0.3">
      <c r="A729" s="13" t="s">
        <v>1556</v>
      </c>
      <c r="B729" s="51">
        <v>5</v>
      </c>
    </row>
    <row r="730" spans="1:2" x14ac:dyDescent="0.3">
      <c r="A730" s="13" t="s">
        <v>1558</v>
      </c>
      <c r="B730" s="51">
        <v>10</v>
      </c>
    </row>
    <row r="731" spans="1:2" x14ac:dyDescent="0.3">
      <c r="A731" s="13" t="s">
        <v>1560</v>
      </c>
      <c r="B731" s="51">
        <v>2</v>
      </c>
    </row>
    <row r="732" spans="1:2" x14ac:dyDescent="0.3">
      <c r="A732" s="13" t="s">
        <v>1562</v>
      </c>
      <c r="B732" s="51">
        <v>15</v>
      </c>
    </row>
    <row r="733" spans="1:2" x14ac:dyDescent="0.3">
      <c r="A733" s="13" t="s">
        <v>1564</v>
      </c>
      <c r="B733" s="51">
        <v>1</v>
      </c>
    </row>
    <row r="734" spans="1:2" x14ac:dyDescent="0.3">
      <c r="A734" s="13" t="s">
        <v>1566</v>
      </c>
      <c r="B734" s="51">
        <v>12</v>
      </c>
    </row>
    <row r="735" spans="1:2" x14ac:dyDescent="0.3">
      <c r="A735" s="13" t="s">
        <v>1568</v>
      </c>
      <c r="B735" s="51">
        <v>4</v>
      </c>
    </row>
    <row r="736" spans="1:2" x14ac:dyDescent="0.3">
      <c r="A736" s="13" t="s">
        <v>1570</v>
      </c>
      <c r="B736" s="51">
        <v>1</v>
      </c>
    </row>
    <row r="737" spans="1:2" x14ac:dyDescent="0.3">
      <c r="A737" s="13" t="s">
        <v>1572</v>
      </c>
      <c r="B737" s="51">
        <v>10</v>
      </c>
    </row>
    <row r="738" spans="1:2" x14ac:dyDescent="0.3">
      <c r="A738" s="13" t="s">
        <v>1574</v>
      </c>
      <c r="B738" s="51">
        <v>1</v>
      </c>
    </row>
    <row r="739" spans="1:2" x14ac:dyDescent="0.3">
      <c r="A739" s="13" t="s">
        <v>1576</v>
      </c>
      <c r="B739" s="51">
        <v>8</v>
      </c>
    </row>
    <row r="740" spans="1:2" x14ac:dyDescent="0.3">
      <c r="A740" s="13" t="s">
        <v>1578</v>
      </c>
      <c r="B740" s="51">
        <v>2</v>
      </c>
    </row>
    <row r="741" spans="1:2" x14ac:dyDescent="0.3">
      <c r="A741" s="13" t="s">
        <v>1580</v>
      </c>
      <c r="B741" s="51">
        <v>2</v>
      </c>
    </row>
    <row r="742" spans="1:2" x14ac:dyDescent="0.3">
      <c r="A742" s="13" t="s">
        <v>1582</v>
      </c>
      <c r="B742" s="51">
        <v>15</v>
      </c>
    </row>
    <row r="743" spans="1:2" x14ac:dyDescent="0.3">
      <c r="A743" s="13" t="s">
        <v>1584</v>
      </c>
      <c r="B743" s="51">
        <v>2</v>
      </c>
    </row>
    <row r="744" spans="1:2" x14ac:dyDescent="0.3">
      <c r="A744" s="13" t="s">
        <v>1586</v>
      </c>
      <c r="B744" s="51">
        <v>16</v>
      </c>
    </row>
    <row r="745" spans="1:2" x14ac:dyDescent="0.3">
      <c r="A745" s="13" t="s">
        <v>1588</v>
      </c>
      <c r="B745" s="51">
        <v>15</v>
      </c>
    </row>
    <row r="746" spans="1:2" x14ac:dyDescent="0.3">
      <c r="A746" s="13" t="s">
        <v>1590</v>
      </c>
      <c r="B746" s="51">
        <v>10</v>
      </c>
    </row>
    <row r="747" spans="1:2" x14ac:dyDescent="0.3">
      <c r="A747" s="13" t="s">
        <v>1592</v>
      </c>
      <c r="B747" s="51">
        <v>4</v>
      </c>
    </row>
    <row r="748" spans="1:2" x14ac:dyDescent="0.3">
      <c r="A748" s="13" t="s">
        <v>1594</v>
      </c>
      <c r="B748" s="51">
        <v>17</v>
      </c>
    </row>
    <row r="749" spans="1:2" x14ac:dyDescent="0.3">
      <c r="A749" s="13" t="s">
        <v>1596</v>
      </c>
      <c r="B749" s="51">
        <v>6</v>
      </c>
    </row>
    <row r="750" spans="1:2" x14ac:dyDescent="0.3">
      <c r="A750" s="13" t="s">
        <v>1598</v>
      </c>
      <c r="B750" s="51">
        <v>1</v>
      </c>
    </row>
    <row r="751" spans="1:2" x14ac:dyDescent="0.3">
      <c r="A751" s="13" t="s">
        <v>1600</v>
      </c>
      <c r="B751" s="51">
        <v>4</v>
      </c>
    </row>
    <row r="752" spans="1:2" x14ac:dyDescent="0.3">
      <c r="A752" s="13" t="s">
        <v>1602</v>
      </c>
      <c r="B752" s="51">
        <v>17</v>
      </c>
    </row>
    <row r="753" spans="1:2" x14ac:dyDescent="0.3">
      <c r="A753" s="13" t="s">
        <v>1604</v>
      </c>
      <c r="B753" s="51">
        <v>1</v>
      </c>
    </row>
    <row r="754" spans="1:2" x14ac:dyDescent="0.3">
      <c r="A754" s="13" t="s">
        <v>1606</v>
      </c>
      <c r="B754" s="51">
        <v>4</v>
      </c>
    </row>
    <row r="755" spans="1:2" x14ac:dyDescent="0.3">
      <c r="A755" s="13" t="s">
        <v>1608</v>
      </c>
      <c r="B755" s="51">
        <v>11</v>
      </c>
    </row>
    <row r="756" spans="1:2" x14ac:dyDescent="0.3">
      <c r="A756" s="13" t="s">
        <v>1610</v>
      </c>
      <c r="B756" s="51">
        <v>10</v>
      </c>
    </row>
    <row r="757" spans="1:2" x14ac:dyDescent="0.3">
      <c r="A757" s="13" t="s">
        <v>1612</v>
      </c>
      <c r="B757" s="51">
        <v>15</v>
      </c>
    </row>
    <row r="758" spans="1:2" x14ac:dyDescent="0.3">
      <c r="A758" s="13" t="s">
        <v>1614</v>
      </c>
      <c r="B758" s="51">
        <v>16</v>
      </c>
    </row>
    <row r="759" spans="1:2" x14ac:dyDescent="0.3">
      <c r="A759" s="13" t="s">
        <v>1616</v>
      </c>
      <c r="B759" s="51">
        <v>2</v>
      </c>
    </row>
    <row r="760" spans="1:2" x14ac:dyDescent="0.3">
      <c r="A760" s="13" t="s">
        <v>1618</v>
      </c>
      <c r="B760" s="51">
        <v>1</v>
      </c>
    </row>
    <row r="761" spans="1:2" x14ac:dyDescent="0.3">
      <c r="A761" s="13" t="s">
        <v>1620</v>
      </c>
      <c r="B761" s="51">
        <v>3</v>
      </c>
    </row>
    <row r="762" spans="1:2" x14ac:dyDescent="0.3">
      <c r="A762" s="13" t="s">
        <v>1622</v>
      </c>
      <c r="B762" s="51">
        <v>13</v>
      </c>
    </row>
    <row r="763" spans="1:2" x14ac:dyDescent="0.3">
      <c r="A763" s="13" t="s">
        <v>1624</v>
      </c>
      <c r="B763" s="51">
        <v>17</v>
      </c>
    </row>
    <row r="764" spans="1:2" x14ac:dyDescent="0.3">
      <c r="A764" s="13" t="s">
        <v>1626</v>
      </c>
      <c r="B764" s="51">
        <v>7</v>
      </c>
    </row>
    <row r="765" spans="1:2" x14ac:dyDescent="0.3">
      <c r="A765" s="13" t="s">
        <v>1628</v>
      </c>
      <c r="B765" s="51">
        <v>8</v>
      </c>
    </row>
    <row r="766" spans="1:2" x14ac:dyDescent="0.3">
      <c r="A766" s="13" t="s">
        <v>1630</v>
      </c>
      <c r="B766" s="51">
        <v>3</v>
      </c>
    </row>
    <row r="767" spans="1:2" x14ac:dyDescent="0.3">
      <c r="A767" s="13" t="s">
        <v>1632</v>
      </c>
      <c r="B767" s="51">
        <v>12</v>
      </c>
    </row>
    <row r="768" spans="1:2" x14ac:dyDescent="0.3">
      <c r="A768" s="13" t="s">
        <v>1634</v>
      </c>
      <c r="B768" s="51">
        <v>3</v>
      </c>
    </row>
    <row r="769" spans="1:2" x14ac:dyDescent="0.3">
      <c r="A769" s="13" t="s">
        <v>1636</v>
      </c>
      <c r="B769" s="51">
        <v>19</v>
      </c>
    </row>
    <row r="770" spans="1:2" x14ac:dyDescent="0.3">
      <c r="A770" s="13" t="s">
        <v>1638</v>
      </c>
      <c r="B770" s="51">
        <v>14</v>
      </c>
    </row>
    <row r="771" spans="1:2" x14ac:dyDescent="0.3">
      <c r="A771" s="13" t="s">
        <v>1640</v>
      </c>
      <c r="B771" s="51">
        <v>5</v>
      </c>
    </row>
    <row r="772" spans="1:2" x14ac:dyDescent="0.3">
      <c r="A772" s="13" t="s">
        <v>1642</v>
      </c>
      <c r="B772" s="51">
        <v>13</v>
      </c>
    </row>
    <row r="773" spans="1:2" x14ac:dyDescent="0.3">
      <c r="A773" s="13" t="s">
        <v>1644</v>
      </c>
      <c r="B773" s="51">
        <v>14</v>
      </c>
    </row>
    <row r="774" spans="1:2" x14ac:dyDescent="0.3">
      <c r="A774" s="13" t="s">
        <v>1646</v>
      </c>
      <c r="B774" s="51">
        <v>3</v>
      </c>
    </row>
    <row r="775" spans="1:2" x14ac:dyDescent="0.3">
      <c r="A775" s="13" t="s">
        <v>1648</v>
      </c>
      <c r="B775" s="51">
        <v>11</v>
      </c>
    </row>
    <row r="776" spans="1:2" x14ac:dyDescent="0.3">
      <c r="A776" s="13" t="s">
        <v>1650</v>
      </c>
      <c r="B776" s="51">
        <v>1</v>
      </c>
    </row>
    <row r="777" spans="1:2" x14ac:dyDescent="0.3">
      <c r="A777" s="13" t="s">
        <v>1652</v>
      </c>
      <c r="B777" s="51">
        <v>13</v>
      </c>
    </row>
    <row r="778" spans="1:2" x14ac:dyDescent="0.3">
      <c r="A778" s="13" t="s">
        <v>1654</v>
      </c>
      <c r="B778" s="51">
        <v>5</v>
      </c>
    </row>
    <row r="779" spans="1:2" x14ac:dyDescent="0.3">
      <c r="A779" s="13" t="s">
        <v>1656</v>
      </c>
      <c r="B779" s="51">
        <v>14</v>
      </c>
    </row>
    <row r="780" spans="1:2" x14ac:dyDescent="0.3">
      <c r="A780" s="13" t="s">
        <v>1658</v>
      </c>
      <c r="B780" s="51">
        <v>6</v>
      </c>
    </row>
    <row r="781" spans="1:2" x14ac:dyDescent="0.3">
      <c r="A781" s="13" t="s">
        <v>1660</v>
      </c>
      <c r="B781" s="51">
        <v>20</v>
      </c>
    </row>
    <row r="782" spans="1:2" x14ac:dyDescent="0.3">
      <c r="A782" s="13" t="s">
        <v>1662</v>
      </c>
      <c r="B782" s="51">
        <v>8</v>
      </c>
    </row>
    <row r="783" spans="1:2" x14ac:dyDescent="0.3">
      <c r="A783" s="13" t="s">
        <v>1664</v>
      </c>
      <c r="B783" s="51">
        <v>20</v>
      </c>
    </row>
    <row r="784" spans="1:2" x14ac:dyDescent="0.3">
      <c r="A784" s="13" t="s">
        <v>1666</v>
      </c>
      <c r="B784" s="51">
        <v>15</v>
      </c>
    </row>
    <row r="785" spans="1:2" x14ac:dyDescent="0.3">
      <c r="A785" s="13" t="s">
        <v>1668</v>
      </c>
      <c r="B785" s="51">
        <v>1</v>
      </c>
    </row>
    <row r="786" spans="1:2" x14ac:dyDescent="0.3">
      <c r="A786" s="13" t="s">
        <v>1670</v>
      </c>
      <c r="B786" s="51">
        <v>1</v>
      </c>
    </row>
    <row r="787" spans="1:2" x14ac:dyDescent="0.3">
      <c r="A787" s="13" t="s">
        <v>1672</v>
      </c>
      <c r="B787" s="51">
        <v>8</v>
      </c>
    </row>
    <row r="788" spans="1:2" x14ac:dyDescent="0.3">
      <c r="A788" s="13" t="s">
        <v>1674</v>
      </c>
      <c r="B788" s="51">
        <v>2</v>
      </c>
    </row>
    <row r="789" spans="1:2" x14ac:dyDescent="0.3">
      <c r="A789" s="13" t="s">
        <v>1676</v>
      </c>
      <c r="B789" s="51">
        <v>2</v>
      </c>
    </row>
    <row r="790" spans="1:2" x14ac:dyDescent="0.3">
      <c r="A790" s="13" t="s">
        <v>1678</v>
      </c>
      <c r="B790" s="51">
        <v>6</v>
      </c>
    </row>
    <row r="791" spans="1:2" x14ac:dyDescent="0.3">
      <c r="A791" s="13" t="s">
        <v>1680</v>
      </c>
      <c r="B791" s="51">
        <v>12</v>
      </c>
    </row>
    <row r="792" spans="1:2" x14ac:dyDescent="0.3">
      <c r="A792" s="13" t="s">
        <v>1682</v>
      </c>
      <c r="B792" s="51">
        <v>5</v>
      </c>
    </row>
    <row r="793" spans="1:2" x14ac:dyDescent="0.3">
      <c r="A793" s="13" t="s">
        <v>1684</v>
      </c>
      <c r="B793" s="51">
        <v>6</v>
      </c>
    </row>
    <row r="794" spans="1:2" x14ac:dyDescent="0.3">
      <c r="A794" s="13" t="s">
        <v>1686</v>
      </c>
      <c r="B794" s="51">
        <v>3</v>
      </c>
    </row>
    <row r="795" spans="1:2" x14ac:dyDescent="0.3">
      <c r="A795" s="13" t="s">
        <v>1688</v>
      </c>
      <c r="B795" s="51">
        <v>1</v>
      </c>
    </row>
    <row r="796" spans="1:2" x14ac:dyDescent="0.3">
      <c r="A796" s="13" t="s">
        <v>1690</v>
      </c>
      <c r="B796" s="51">
        <v>14</v>
      </c>
    </row>
    <row r="797" spans="1:2" x14ac:dyDescent="0.3">
      <c r="A797" s="13" t="s">
        <v>1692</v>
      </c>
      <c r="B797" s="51">
        <v>10</v>
      </c>
    </row>
    <row r="798" spans="1:2" x14ac:dyDescent="0.3">
      <c r="A798" s="13" t="s">
        <v>1694</v>
      </c>
      <c r="B798" s="51">
        <v>2</v>
      </c>
    </row>
    <row r="799" spans="1:2" x14ac:dyDescent="0.3">
      <c r="A799" s="13" t="s">
        <v>1696</v>
      </c>
      <c r="B799" s="51">
        <v>6</v>
      </c>
    </row>
    <row r="800" spans="1:2" x14ac:dyDescent="0.3">
      <c r="A800" s="13" t="s">
        <v>1698</v>
      </c>
      <c r="B800" s="51">
        <v>3</v>
      </c>
    </row>
    <row r="801" spans="1:2" x14ac:dyDescent="0.3">
      <c r="A801" s="13" t="s">
        <v>1700</v>
      </c>
      <c r="B801" s="51">
        <v>9</v>
      </c>
    </row>
    <row r="802" spans="1:2" x14ac:dyDescent="0.3">
      <c r="A802" s="13" t="s">
        <v>1702</v>
      </c>
      <c r="B802" s="51">
        <v>15</v>
      </c>
    </row>
    <row r="803" spans="1:2" x14ac:dyDescent="0.3">
      <c r="A803" s="13" t="s">
        <v>1704</v>
      </c>
      <c r="B803" s="51">
        <v>14</v>
      </c>
    </row>
    <row r="804" spans="1:2" x14ac:dyDescent="0.3">
      <c r="A804" s="13" t="s">
        <v>1706</v>
      </c>
      <c r="B804" s="51">
        <v>11</v>
      </c>
    </row>
    <row r="805" spans="1:2" x14ac:dyDescent="0.3">
      <c r="A805" s="13" t="s">
        <v>1708</v>
      </c>
      <c r="B805" s="51">
        <v>20</v>
      </c>
    </row>
    <row r="806" spans="1:2" x14ac:dyDescent="0.3">
      <c r="A806" s="13" t="s">
        <v>1710</v>
      </c>
      <c r="B806" s="51">
        <v>1</v>
      </c>
    </row>
    <row r="807" spans="1:2" x14ac:dyDescent="0.3">
      <c r="A807" s="13" t="s">
        <v>1712</v>
      </c>
      <c r="B807" s="51">
        <v>5</v>
      </c>
    </row>
    <row r="808" spans="1:2" x14ac:dyDescent="0.3">
      <c r="A808" s="13" t="s">
        <v>1714</v>
      </c>
      <c r="B808" s="51">
        <v>4</v>
      </c>
    </row>
    <row r="809" spans="1:2" x14ac:dyDescent="0.3">
      <c r="A809" s="13" t="s">
        <v>1716</v>
      </c>
      <c r="B809" s="51">
        <v>14</v>
      </c>
    </row>
    <row r="810" spans="1:2" x14ac:dyDescent="0.3">
      <c r="A810" s="13" t="s">
        <v>1718</v>
      </c>
      <c r="B810" s="51">
        <v>3</v>
      </c>
    </row>
    <row r="811" spans="1:2" x14ac:dyDescent="0.3">
      <c r="A811" s="13" t="s">
        <v>1720</v>
      </c>
      <c r="B811" s="51">
        <v>16</v>
      </c>
    </row>
    <row r="812" spans="1:2" x14ac:dyDescent="0.3">
      <c r="A812" s="13" t="s">
        <v>1722</v>
      </c>
      <c r="B812" s="51">
        <v>3</v>
      </c>
    </row>
    <row r="813" spans="1:2" x14ac:dyDescent="0.3">
      <c r="A813" s="13" t="s">
        <v>1724</v>
      </c>
      <c r="B813" s="51">
        <v>10</v>
      </c>
    </row>
    <row r="814" spans="1:2" x14ac:dyDescent="0.3">
      <c r="A814" s="13" t="s">
        <v>1726</v>
      </c>
      <c r="B814" s="51">
        <v>12</v>
      </c>
    </row>
    <row r="815" spans="1:2" x14ac:dyDescent="0.3">
      <c r="A815" s="13" t="s">
        <v>1728</v>
      </c>
      <c r="B815" s="51">
        <v>2</v>
      </c>
    </row>
    <row r="816" spans="1:2" x14ac:dyDescent="0.3">
      <c r="A816" s="13" t="s">
        <v>1730</v>
      </c>
      <c r="B816" s="51">
        <v>2</v>
      </c>
    </row>
    <row r="817" spans="1:2" x14ac:dyDescent="0.3">
      <c r="A817" s="13" t="s">
        <v>1732</v>
      </c>
      <c r="B817" s="51">
        <v>11</v>
      </c>
    </row>
    <row r="818" spans="1:2" x14ac:dyDescent="0.3">
      <c r="A818" s="13" t="s">
        <v>1734</v>
      </c>
      <c r="B818" s="51">
        <v>19</v>
      </c>
    </row>
    <row r="819" spans="1:2" x14ac:dyDescent="0.3">
      <c r="A819" s="13" t="s">
        <v>1736</v>
      </c>
      <c r="B819" s="51">
        <v>17</v>
      </c>
    </row>
    <row r="820" spans="1:2" x14ac:dyDescent="0.3">
      <c r="A820" s="13" t="s">
        <v>1738</v>
      </c>
      <c r="B820" s="51">
        <v>5</v>
      </c>
    </row>
    <row r="821" spans="1:2" x14ac:dyDescent="0.3">
      <c r="A821" s="13" t="s">
        <v>1740</v>
      </c>
      <c r="B821" s="51">
        <v>14</v>
      </c>
    </row>
    <row r="822" spans="1:2" x14ac:dyDescent="0.3">
      <c r="A822" s="13" t="s">
        <v>1742</v>
      </c>
      <c r="B822" s="51">
        <v>15</v>
      </c>
    </row>
    <row r="823" spans="1:2" x14ac:dyDescent="0.3">
      <c r="A823" s="13" t="s">
        <v>1744</v>
      </c>
      <c r="B823" s="51">
        <v>13</v>
      </c>
    </row>
    <row r="824" spans="1:2" x14ac:dyDescent="0.3">
      <c r="A824" s="13" t="s">
        <v>1746</v>
      </c>
      <c r="B824" s="51">
        <v>14</v>
      </c>
    </row>
    <row r="825" spans="1:2" x14ac:dyDescent="0.3">
      <c r="A825" s="13" t="s">
        <v>1748</v>
      </c>
      <c r="B825" s="51">
        <v>3</v>
      </c>
    </row>
    <row r="826" spans="1:2" x14ac:dyDescent="0.3">
      <c r="A826" s="13" t="s">
        <v>1750</v>
      </c>
      <c r="B826" s="51">
        <v>5</v>
      </c>
    </row>
    <row r="827" spans="1:2" x14ac:dyDescent="0.3">
      <c r="A827" s="13" t="s">
        <v>1752</v>
      </c>
      <c r="B827" s="51">
        <v>1</v>
      </c>
    </row>
    <row r="828" spans="1:2" x14ac:dyDescent="0.3">
      <c r="A828" s="13" t="s">
        <v>1754</v>
      </c>
      <c r="B828" s="51">
        <v>5</v>
      </c>
    </row>
    <row r="829" spans="1:2" x14ac:dyDescent="0.3">
      <c r="A829" s="13" t="s">
        <v>1756</v>
      </c>
      <c r="B829" s="51">
        <v>4</v>
      </c>
    </row>
    <row r="830" spans="1:2" x14ac:dyDescent="0.3">
      <c r="A830" s="13" t="s">
        <v>1758</v>
      </c>
      <c r="B830" s="51">
        <v>12</v>
      </c>
    </row>
    <row r="831" spans="1:2" x14ac:dyDescent="0.3">
      <c r="A831" s="13" t="s">
        <v>1760</v>
      </c>
      <c r="B831" s="51">
        <v>15</v>
      </c>
    </row>
    <row r="832" spans="1:2" x14ac:dyDescent="0.3">
      <c r="A832" s="13" t="s">
        <v>1762</v>
      </c>
      <c r="B832" s="51">
        <v>3</v>
      </c>
    </row>
    <row r="833" spans="1:2" x14ac:dyDescent="0.3">
      <c r="A833" s="13" t="s">
        <v>1764</v>
      </c>
      <c r="B833" s="51">
        <v>1</v>
      </c>
    </row>
    <row r="834" spans="1:2" x14ac:dyDescent="0.3">
      <c r="A834" s="13" t="s">
        <v>1766</v>
      </c>
      <c r="B834" s="51">
        <v>1</v>
      </c>
    </row>
    <row r="835" spans="1:2" x14ac:dyDescent="0.3">
      <c r="A835" s="13" t="s">
        <v>1768</v>
      </c>
      <c r="B835" s="51">
        <v>2</v>
      </c>
    </row>
    <row r="836" spans="1:2" x14ac:dyDescent="0.3">
      <c r="A836" s="13" t="s">
        <v>1770</v>
      </c>
      <c r="B836" s="51">
        <v>7</v>
      </c>
    </row>
    <row r="837" spans="1:2" x14ac:dyDescent="0.3">
      <c r="A837" s="13" t="s">
        <v>1772</v>
      </c>
      <c r="B837" s="51">
        <v>8</v>
      </c>
    </row>
    <row r="838" spans="1:2" x14ac:dyDescent="0.3">
      <c r="A838" s="13" t="s">
        <v>1774</v>
      </c>
      <c r="B838" s="51">
        <v>7</v>
      </c>
    </row>
    <row r="839" spans="1:2" x14ac:dyDescent="0.3">
      <c r="A839" s="13" t="s">
        <v>1776</v>
      </c>
      <c r="B839" s="51">
        <v>19</v>
      </c>
    </row>
    <row r="840" spans="1:2" x14ac:dyDescent="0.3">
      <c r="A840" s="13" t="s">
        <v>1778</v>
      </c>
      <c r="B840" s="51">
        <v>4</v>
      </c>
    </row>
    <row r="841" spans="1:2" x14ac:dyDescent="0.3">
      <c r="A841" s="13" t="s">
        <v>1780</v>
      </c>
      <c r="B841" s="51">
        <v>10</v>
      </c>
    </row>
    <row r="842" spans="1:2" x14ac:dyDescent="0.3">
      <c r="A842" s="13" t="s">
        <v>1782</v>
      </c>
      <c r="B842" s="51">
        <v>9</v>
      </c>
    </row>
    <row r="843" spans="1:2" x14ac:dyDescent="0.3">
      <c r="A843" s="13" t="s">
        <v>1784</v>
      </c>
      <c r="B843" s="51">
        <v>10</v>
      </c>
    </row>
    <row r="844" spans="1:2" x14ac:dyDescent="0.3">
      <c r="A844" s="13" t="s">
        <v>1786</v>
      </c>
      <c r="B844" s="51">
        <v>3</v>
      </c>
    </row>
    <row r="845" spans="1:2" x14ac:dyDescent="0.3">
      <c r="A845" s="13" t="s">
        <v>1788</v>
      </c>
      <c r="B845" s="51">
        <v>5</v>
      </c>
    </row>
    <row r="846" spans="1:2" x14ac:dyDescent="0.3">
      <c r="A846" s="13" t="s">
        <v>1790</v>
      </c>
      <c r="B846" s="51">
        <v>17</v>
      </c>
    </row>
    <row r="847" spans="1:2" x14ac:dyDescent="0.3">
      <c r="A847" s="13" t="s">
        <v>1792</v>
      </c>
      <c r="B847" s="51">
        <v>7</v>
      </c>
    </row>
    <row r="848" spans="1:2" x14ac:dyDescent="0.3">
      <c r="A848" s="13" t="s">
        <v>1794</v>
      </c>
      <c r="B848" s="51">
        <v>10</v>
      </c>
    </row>
    <row r="849" spans="1:2" x14ac:dyDescent="0.3">
      <c r="A849" s="13" t="s">
        <v>1796</v>
      </c>
      <c r="B849" s="51">
        <v>4</v>
      </c>
    </row>
    <row r="850" spans="1:2" x14ac:dyDescent="0.3">
      <c r="A850" s="13" t="s">
        <v>1798</v>
      </c>
      <c r="B850" s="51">
        <v>1</v>
      </c>
    </row>
    <row r="851" spans="1:2" x14ac:dyDescent="0.3">
      <c r="A851" s="13" t="s">
        <v>1800</v>
      </c>
      <c r="B851" s="51">
        <v>18</v>
      </c>
    </row>
    <row r="852" spans="1:2" x14ac:dyDescent="0.3">
      <c r="A852" s="13" t="s">
        <v>1802</v>
      </c>
      <c r="B852" s="51">
        <v>15</v>
      </c>
    </row>
    <row r="853" spans="1:2" x14ac:dyDescent="0.3">
      <c r="A853" s="13" t="s">
        <v>1804</v>
      </c>
      <c r="B853" s="51">
        <v>13</v>
      </c>
    </row>
    <row r="854" spans="1:2" x14ac:dyDescent="0.3">
      <c r="A854" s="13" t="s">
        <v>1806</v>
      </c>
      <c r="B854" s="51">
        <v>11</v>
      </c>
    </row>
    <row r="855" spans="1:2" x14ac:dyDescent="0.3">
      <c r="A855" s="13" t="s">
        <v>1808</v>
      </c>
      <c r="B855" s="51">
        <v>4</v>
      </c>
    </row>
    <row r="856" spans="1:2" x14ac:dyDescent="0.3">
      <c r="A856" s="13" t="s">
        <v>1810</v>
      </c>
      <c r="B856" s="51">
        <v>10</v>
      </c>
    </row>
    <row r="857" spans="1:2" x14ac:dyDescent="0.3">
      <c r="A857" s="13" t="s">
        <v>1812</v>
      </c>
      <c r="B857" s="51">
        <v>7</v>
      </c>
    </row>
    <row r="858" spans="1:2" x14ac:dyDescent="0.3">
      <c r="A858" s="13" t="s">
        <v>1814</v>
      </c>
      <c r="B858" s="51">
        <v>14</v>
      </c>
    </row>
    <row r="859" spans="1:2" x14ac:dyDescent="0.3">
      <c r="A859" s="13" t="s">
        <v>1816</v>
      </c>
      <c r="B859" s="51">
        <v>14</v>
      </c>
    </row>
    <row r="860" spans="1:2" x14ac:dyDescent="0.3">
      <c r="A860" s="13" t="s">
        <v>1818</v>
      </c>
      <c r="B860" s="51">
        <v>3</v>
      </c>
    </row>
    <row r="861" spans="1:2" x14ac:dyDescent="0.3">
      <c r="A861" s="13" t="s">
        <v>1820</v>
      </c>
      <c r="B861" s="51">
        <v>1</v>
      </c>
    </row>
    <row r="862" spans="1:2" x14ac:dyDescent="0.3">
      <c r="A862" s="13" t="s">
        <v>1822</v>
      </c>
      <c r="B862" s="51">
        <v>15</v>
      </c>
    </row>
    <row r="863" spans="1:2" x14ac:dyDescent="0.3">
      <c r="A863" s="13" t="s">
        <v>1824</v>
      </c>
      <c r="B863" s="51">
        <v>4</v>
      </c>
    </row>
    <row r="864" spans="1:2" x14ac:dyDescent="0.3">
      <c r="A864" s="13" t="s">
        <v>1826</v>
      </c>
      <c r="B864" s="51">
        <v>9</v>
      </c>
    </row>
    <row r="865" spans="1:2" x14ac:dyDescent="0.3">
      <c r="A865" s="13" t="s">
        <v>1828</v>
      </c>
      <c r="B865" s="51">
        <v>2</v>
      </c>
    </row>
    <row r="866" spans="1:2" x14ac:dyDescent="0.3">
      <c r="A866" s="13" t="s">
        <v>1830</v>
      </c>
      <c r="B866" s="51">
        <v>16</v>
      </c>
    </row>
    <row r="867" spans="1:2" x14ac:dyDescent="0.3">
      <c r="A867" s="13" t="s">
        <v>1832</v>
      </c>
      <c r="B867" s="51">
        <v>1</v>
      </c>
    </row>
    <row r="868" spans="1:2" x14ac:dyDescent="0.3">
      <c r="A868" s="13" t="s">
        <v>1834</v>
      </c>
      <c r="B868" s="51">
        <v>5</v>
      </c>
    </row>
    <row r="869" spans="1:2" x14ac:dyDescent="0.3">
      <c r="A869" s="13" t="s">
        <v>1836</v>
      </c>
      <c r="B869" s="51">
        <v>2</v>
      </c>
    </row>
    <row r="870" spans="1:2" x14ac:dyDescent="0.3">
      <c r="A870" s="13" t="s">
        <v>1838</v>
      </c>
      <c r="B870" s="51">
        <v>15</v>
      </c>
    </row>
    <row r="871" spans="1:2" x14ac:dyDescent="0.3">
      <c r="A871" s="13" t="s">
        <v>1840</v>
      </c>
      <c r="B871" s="51">
        <v>15</v>
      </c>
    </row>
    <row r="872" spans="1:2" x14ac:dyDescent="0.3">
      <c r="A872" s="13" t="s">
        <v>1842</v>
      </c>
      <c r="B872" s="51">
        <v>4</v>
      </c>
    </row>
    <row r="873" spans="1:2" x14ac:dyDescent="0.3">
      <c r="A873" s="13" t="s">
        <v>1844</v>
      </c>
      <c r="B873" s="51">
        <v>18</v>
      </c>
    </row>
    <row r="874" spans="1:2" x14ac:dyDescent="0.3">
      <c r="A874" s="13" t="s">
        <v>1846</v>
      </c>
      <c r="B874" s="51">
        <v>1</v>
      </c>
    </row>
    <row r="875" spans="1:2" x14ac:dyDescent="0.3">
      <c r="A875" s="13" t="s">
        <v>1848</v>
      </c>
      <c r="B875" s="51">
        <v>2</v>
      </c>
    </row>
    <row r="876" spans="1:2" x14ac:dyDescent="0.3">
      <c r="A876" s="13" t="s">
        <v>1850</v>
      </c>
      <c r="B876" s="51">
        <v>4</v>
      </c>
    </row>
    <row r="877" spans="1:2" x14ac:dyDescent="0.3">
      <c r="A877" s="13" t="s">
        <v>1852</v>
      </c>
      <c r="B877" s="51">
        <v>3</v>
      </c>
    </row>
    <row r="878" spans="1:2" x14ac:dyDescent="0.3">
      <c r="A878" s="13" t="s">
        <v>1854</v>
      </c>
      <c r="B878" s="51">
        <v>7</v>
      </c>
    </row>
    <row r="879" spans="1:2" x14ac:dyDescent="0.3">
      <c r="A879" s="13" t="s">
        <v>1856</v>
      </c>
      <c r="B879" s="51">
        <v>14</v>
      </c>
    </row>
    <row r="880" spans="1:2" x14ac:dyDescent="0.3">
      <c r="A880" s="13" t="s">
        <v>1858</v>
      </c>
      <c r="B880" s="51">
        <v>19</v>
      </c>
    </row>
    <row r="881" spans="1:2" x14ac:dyDescent="0.3">
      <c r="A881" s="13" t="s">
        <v>1860</v>
      </c>
      <c r="B881" s="51">
        <v>9</v>
      </c>
    </row>
    <row r="882" spans="1:2" x14ac:dyDescent="0.3">
      <c r="A882" s="13" t="s">
        <v>1862</v>
      </c>
      <c r="B882" s="51">
        <v>14</v>
      </c>
    </row>
    <row r="883" spans="1:2" x14ac:dyDescent="0.3">
      <c r="A883" s="13" t="s">
        <v>1864</v>
      </c>
      <c r="B883" s="51">
        <v>17</v>
      </c>
    </row>
    <row r="884" spans="1:2" x14ac:dyDescent="0.3">
      <c r="A884" s="13" t="s">
        <v>1866</v>
      </c>
      <c r="B884" s="51">
        <v>4</v>
      </c>
    </row>
    <row r="885" spans="1:2" x14ac:dyDescent="0.3">
      <c r="A885" s="13" t="s">
        <v>1868</v>
      </c>
      <c r="B885" s="51">
        <v>12</v>
      </c>
    </row>
    <row r="886" spans="1:2" x14ac:dyDescent="0.3">
      <c r="A886" s="13" t="s">
        <v>1870</v>
      </c>
      <c r="B886" s="51">
        <v>5</v>
      </c>
    </row>
    <row r="887" spans="1:2" x14ac:dyDescent="0.3">
      <c r="A887" s="13" t="s">
        <v>589</v>
      </c>
      <c r="B887" s="51">
        <v>8</v>
      </c>
    </row>
    <row r="888" spans="1:2" x14ac:dyDescent="0.3">
      <c r="A888" s="13" t="s">
        <v>1873</v>
      </c>
      <c r="B888" s="51">
        <v>6</v>
      </c>
    </row>
    <row r="889" spans="1:2" x14ac:dyDescent="0.3">
      <c r="A889" s="13" t="s">
        <v>1875</v>
      </c>
      <c r="B889" s="51">
        <v>3</v>
      </c>
    </row>
    <row r="890" spans="1:2" x14ac:dyDescent="0.3">
      <c r="A890" s="13" t="s">
        <v>1877</v>
      </c>
      <c r="B890" s="51">
        <v>11</v>
      </c>
    </row>
    <row r="891" spans="1:2" x14ac:dyDescent="0.3">
      <c r="A891" s="13" t="s">
        <v>1879</v>
      </c>
      <c r="B891" s="51">
        <v>3</v>
      </c>
    </row>
    <row r="892" spans="1:2" x14ac:dyDescent="0.3">
      <c r="A892" s="13" t="s">
        <v>1881</v>
      </c>
      <c r="B892" s="51">
        <v>2</v>
      </c>
    </row>
    <row r="893" spans="1:2" x14ac:dyDescent="0.3">
      <c r="A893" s="13" t="s">
        <v>1883</v>
      </c>
      <c r="B893" s="51">
        <v>13</v>
      </c>
    </row>
    <row r="894" spans="1:2" x14ac:dyDescent="0.3">
      <c r="A894" s="13" t="s">
        <v>1885</v>
      </c>
      <c r="B894" s="51">
        <v>10</v>
      </c>
    </row>
    <row r="895" spans="1:2" x14ac:dyDescent="0.3">
      <c r="A895" s="13" t="s">
        <v>1887</v>
      </c>
      <c r="B895" s="51">
        <v>11</v>
      </c>
    </row>
    <row r="896" spans="1:2" x14ac:dyDescent="0.3">
      <c r="A896" s="13" t="s">
        <v>1889</v>
      </c>
      <c r="B896" s="51">
        <v>15</v>
      </c>
    </row>
    <row r="897" spans="1:2" x14ac:dyDescent="0.3">
      <c r="A897" s="13" t="s">
        <v>1891</v>
      </c>
      <c r="B897" s="51">
        <v>12</v>
      </c>
    </row>
    <row r="898" spans="1:2" x14ac:dyDescent="0.3">
      <c r="A898" s="13" t="s">
        <v>1893</v>
      </c>
      <c r="B898" s="51">
        <v>15</v>
      </c>
    </row>
    <row r="899" spans="1:2" x14ac:dyDescent="0.3">
      <c r="A899" s="13" t="s">
        <v>1895</v>
      </c>
      <c r="B899" s="51">
        <v>8</v>
      </c>
    </row>
    <row r="900" spans="1:2" x14ac:dyDescent="0.3">
      <c r="A900" s="13" t="s">
        <v>1897</v>
      </c>
      <c r="B900" s="51">
        <v>5</v>
      </c>
    </row>
    <row r="901" spans="1:2" x14ac:dyDescent="0.3">
      <c r="A901" s="13" t="s">
        <v>1899</v>
      </c>
      <c r="B901" s="51">
        <v>10</v>
      </c>
    </row>
    <row r="902" spans="1:2" x14ac:dyDescent="0.3">
      <c r="A902" s="13" t="s">
        <v>1901</v>
      </c>
      <c r="B902" s="51">
        <v>14</v>
      </c>
    </row>
    <row r="903" spans="1:2" x14ac:dyDescent="0.3">
      <c r="A903" s="13" t="s">
        <v>1903</v>
      </c>
      <c r="B903" s="51">
        <v>5</v>
      </c>
    </row>
    <row r="904" spans="1:2" x14ac:dyDescent="0.3">
      <c r="A904" s="13" t="s">
        <v>1905</v>
      </c>
      <c r="B904" s="51">
        <v>17</v>
      </c>
    </row>
    <row r="905" spans="1:2" x14ac:dyDescent="0.3">
      <c r="A905" s="13" t="s">
        <v>1907</v>
      </c>
      <c r="B905" s="51">
        <v>11</v>
      </c>
    </row>
    <row r="906" spans="1:2" x14ac:dyDescent="0.3">
      <c r="A906" s="13" t="s">
        <v>1909</v>
      </c>
      <c r="B906" s="51">
        <v>5</v>
      </c>
    </row>
    <row r="907" spans="1:2" x14ac:dyDescent="0.3">
      <c r="A907" s="13" t="s">
        <v>1911</v>
      </c>
      <c r="B907" s="51">
        <v>3</v>
      </c>
    </row>
    <row r="908" spans="1:2" x14ac:dyDescent="0.3">
      <c r="A908" s="13" t="s">
        <v>1913</v>
      </c>
      <c r="B908" s="51">
        <v>7</v>
      </c>
    </row>
    <row r="909" spans="1:2" x14ac:dyDescent="0.3">
      <c r="A909" s="13" t="s">
        <v>1915</v>
      </c>
      <c r="B909" s="51">
        <v>4</v>
      </c>
    </row>
    <row r="910" spans="1:2" x14ac:dyDescent="0.3">
      <c r="A910" s="13" t="s">
        <v>1917</v>
      </c>
      <c r="B910" s="51">
        <v>12</v>
      </c>
    </row>
    <row r="911" spans="1:2" x14ac:dyDescent="0.3">
      <c r="A911" s="13" t="s">
        <v>1919</v>
      </c>
      <c r="B911" s="51">
        <v>13</v>
      </c>
    </row>
    <row r="912" spans="1:2" x14ac:dyDescent="0.3">
      <c r="A912" s="13" t="s">
        <v>1921</v>
      </c>
      <c r="B912" s="51">
        <v>8</v>
      </c>
    </row>
    <row r="913" spans="1:2" x14ac:dyDescent="0.3">
      <c r="A913" s="13" t="s">
        <v>1923</v>
      </c>
      <c r="B913" s="51">
        <v>14</v>
      </c>
    </row>
    <row r="914" spans="1:2" x14ac:dyDescent="0.3">
      <c r="A914" s="13" t="s">
        <v>541</v>
      </c>
      <c r="B914" s="51">
        <v>4</v>
      </c>
    </row>
    <row r="915" spans="1:2" x14ac:dyDescent="0.3">
      <c r="A915" s="13" t="s">
        <v>1926</v>
      </c>
      <c r="B915" s="51">
        <v>15</v>
      </c>
    </row>
    <row r="916" spans="1:2" x14ac:dyDescent="0.3">
      <c r="A916" s="13" t="s">
        <v>1928</v>
      </c>
      <c r="B916" s="51">
        <v>12</v>
      </c>
    </row>
    <row r="917" spans="1:2" x14ac:dyDescent="0.3">
      <c r="A917" s="13" t="s">
        <v>1930</v>
      </c>
      <c r="B917" s="51">
        <v>8</v>
      </c>
    </row>
    <row r="918" spans="1:2" x14ac:dyDescent="0.3">
      <c r="A918" s="13" t="s">
        <v>1932</v>
      </c>
      <c r="B918" s="51">
        <v>20</v>
      </c>
    </row>
    <row r="919" spans="1:2" x14ac:dyDescent="0.3">
      <c r="A919" s="13" t="s">
        <v>1934</v>
      </c>
      <c r="B919" s="51">
        <v>14</v>
      </c>
    </row>
    <row r="920" spans="1:2" x14ac:dyDescent="0.3">
      <c r="A920" s="13" t="s">
        <v>1936</v>
      </c>
      <c r="B920" s="51">
        <v>12</v>
      </c>
    </row>
    <row r="921" spans="1:2" x14ac:dyDescent="0.3">
      <c r="A921" s="13" t="s">
        <v>1938</v>
      </c>
      <c r="B921" s="51">
        <v>15</v>
      </c>
    </row>
    <row r="922" spans="1:2" x14ac:dyDescent="0.3">
      <c r="A922" s="13" t="s">
        <v>1940</v>
      </c>
      <c r="B922" s="51">
        <v>3</v>
      </c>
    </row>
    <row r="923" spans="1:2" x14ac:dyDescent="0.3">
      <c r="A923" s="13" t="s">
        <v>1942</v>
      </c>
      <c r="B923" s="51">
        <v>5</v>
      </c>
    </row>
    <row r="924" spans="1:2" x14ac:dyDescent="0.3">
      <c r="A924" s="13" t="s">
        <v>1944</v>
      </c>
      <c r="B924" s="51">
        <v>1</v>
      </c>
    </row>
    <row r="925" spans="1:2" x14ac:dyDescent="0.3">
      <c r="A925" s="13" t="s">
        <v>1946</v>
      </c>
      <c r="B925" s="51">
        <v>11</v>
      </c>
    </row>
    <row r="926" spans="1:2" x14ac:dyDescent="0.3">
      <c r="A926" s="13" t="s">
        <v>1948</v>
      </c>
      <c r="B926" s="51">
        <v>12</v>
      </c>
    </row>
    <row r="927" spans="1:2" x14ac:dyDescent="0.3">
      <c r="A927" s="13" t="s">
        <v>1950</v>
      </c>
      <c r="B927" s="51">
        <v>6</v>
      </c>
    </row>
    <row r="928" spans="1:2" x14ac:dyDescent="0.3">
      <c r="A928" s="13" t="s">
        <v>1952</v>
      </c>
      <c r="B928" s="51">
        <v>5</v>
      </c>
    </row>
    <row r="929" spans="1:2" x14ac:dyDescent="0.3">
      <c r="A929" s="13" t="s">
        <v>1954</v>
      </c>
      <c r="B929" s="51">
        <v>1</v>
      </c>
    </row>
    <row r="930" spans="1:2" x14ac:dyDescent="0.3">
      <c r="A930" s="13" t="s">
        <v>1956</v>
      </c>
      <c r="B930" s="51">
        <v>9</v>
      </c>
    </row>
    <row r="931" spans="1:2" x14ac:dyDescent="0.3">
      <c r="A931" s="13" t="s">
        <v>1958</v>
      </c>
      <c r="B931" s="51">
        <v>2</v>
      </c>
    </row>
    <row r="932" spans="1:2" x14ac:dyDescent="0.3">
      <c r="A932" s="13" t="s">
        <v>1960</v>
      </c>
      <c r="B932" s="51">
        <v>7</v>
      </c>
    </row>
    <row r="933" spans="1:2" x14ac:dyDescent="0.3">
      <c r="A933" s="13" t="s">
        <v>1962</v>
      </c>
      <c r="B933" s="51">
        <v>1</v>
      </c>
    </row>
    <row r="934" spans="1:2" x14ac:dyDescent="0.3">
      <c r="A934" s="13" t="s">
        <v>1964</v>
      </c>
      <c r="B934" s="51">
        <v>8</v>
      </c>
    </row>
    <row r="935" spans="1:2" x14ac:dyDescent="0.3">
      <c r="A935" s="13" t="s">
        <v>1966</v>
      </c>
      <c r="B935" s="51">
        <v>15</v>
      </c>
    </row>
    <row r="936" spans="1:2" x14ac:dyDescent="0.3">
      <c r="A936" s="13" t="s">
        <v>1968</v>
      </c>
      <c r="B936" s="51">
        <v>9</v>
      </c>
    </row>
    <row r="937" spans="1:2" x14ac:dyDescent="0.3">
      <c r="A937" s="13" t="s">
        <v>1970</v>
      </c>
      <c r="B937" s="51">
        <v>12</v>
      </c>
    </row>
    <row r="938" spans="1:2" x14ac:dyDescent="0.3">
      <c r="A938" s="13" t="s">
        <v>1972</v>
      </c>
      <c r="B938" s="51">
        <v>3</v>
      </c>
    </row>
    <row r="939" spans="1:2" x14ac:dyDescent="0.3">
      <c r="A939" s="13" t="s">
        <v>1974</v>
      </c>
      <c r="B939" s="51">
        <v>5</v>
      </c>
    </row>
    <row r="940" spans="1:2" x14ac:dyDescent="0.3">
      <c r="A940" s="13" t="s">
        <v>1976</v>
      </c>
      <c r="B940" s="51">
        <v>7</v>
      </c>
    </row>
    <row r="941" spans="1:2" x14ac:dyDescent="0.3">
      <c r="A941" s="13" t="s">
        <v>1978</v>
      </c>
      <c r="B941" s="51">
        <v>10</v>
      </c>
    </row>
    <row r="942" spans="1:2" x14ac:dyDescent="0.3">
      <c r="A942" s="13" t="s">
        <v>1980</v>
      </c>
      <c r="B942" s="51">
        <v>8</v>
      </c>
    </row>
    <row r="943" spans="1:2" x14ac:dyDescent="0.3">
      <c r="A943" s="13" t="s">
        <v>1982</v>
      </c>
      <c r="B943" s="51">
        <v>7</v>
      </c>
    </row>
    <row r="944" spans="1:2" x14ac:dyDescent="0.3">
      <c r="A944" s="13" t="s">
        <v>1984</v>
      </c>
      <c r="B944" s="51">
        <v>10</v>
      </c>
    </row>
    <row r="945" spans="1:2" x14ac:dyDescent="0.3">
      <c r="A945" s="13" t="s">
        <v>1986</v>
      </c>
      <c r="B945" s="51">
        <v>13</v>
      </c>
    </row>
    <row r="946" spans="1:2" x14ac:dyDescent="0.3">
      <c r="A946" s="13" t="s">
        <v>1988</v>
      </c>
      <c r="B946" s="51">
        <v>13</v>
      </c>
    </row>
    <row r="947" spans="1:2" x14ac:dyDescent="0.3">
      <c r="A947" s="13" t="s">
        <v>1990</v>
      </c>
      <c r="B947" s="51">
        <v>2</v>
      </c>
    </row>
    <row r="948" spans="1:2" x14ac:dyDescent="0.3">
      <c r="A948" s="13" t="s">
        <v>1992</v>
      </c>
      <c r="B948" s="51">
        <v>5</v>
      </c>
    </row>
    <row r="949" spans="1:2" x14ac:dyDescent="0.3">
      <c r="A949" s="13" t="s">
        <v>1994</v>
      </c>
      <c r="B949" s="51">
        <v>8</v>
      </c>
    </row>
    <row r="950" spans="1:2" x14ac:dyDescent="0.3">
      <c r="A950" s="13" t="s">
        <v>1996</v>
      </c>
      <c r="B950" s="51">
        <v>9</v>
      </c>
    </row>
    <row r="951" spans="1:2" x14ac:dyDescent="0.3">
      <c r="A951" s="13" t="s">
        <v>1998</v>
      </c>
      <c r="B951" s="51">
        <v>8</v>
      </c>
    </row>
    <row r="952" spans="1:2" x14ac:dyDescent="0.3">
      <c r="A952" s="13" t="s">
        <v>2000</v>
      </c>
      <c r="B952" s="51">
        <v>14</v>
      </c>
    </row>
    <row r="953" spans="1:2" x14ac:dyDescent="0.3">
      <c r="A953" s="13" t="s">
        <v>2002</v>
      </c>
      <c r="B953" s="51">
        <v>13</v>
      </c>
    </row>
    <row r="954" spans="1:2" x14ac:dyDescent="0.3">
      <c r="A954" s="13" t="s">
        <v>2004</v>
      </c>
      <c r="B954" s="51">
        <v>10</v>
      </c>
    </row>
    <row r="955" spans="1:2" x14ac:dyDescent="0.3">
      <c r="A955" s="13" t="s">
        <v>2006</v>
      </c>
      <c r="B955" s="51">
        <v>19</v>
      </c>
    </row>
    <row r="956" spans="1:2" x14ac:dyDescent="0.3">
      <c r="A956" s="13" t="s">
        <v>2008</v>
      </c>
      <c r="B956" s="51">
        <v>10</v>
      </c>
    </row>
    <row r="957" spans="1:2" x14ac:dyDescent="0.3">
      <c r="A957" s="13" t="s">
        <v>2010</v>
      </c>
      <c r="B957" s="51">
        <v>1</v>
      </c>
    </row>
    <row r="958" spans="1:2" x14ac:dyDescent="0.3">
      <c r="A958" s="13" t="s">
        <v>2012</v>
      </c>
      <c r="B958" s="51">
        <v>4</v>
      </c>
    </row>
    <row r="959" spans="1:2" x14ac:dyDescent="0.3">
      <c r="A959" s="13" t="s">
        <v>2014</v>
      </c>
      <c r="B959" s="51">
        <v>12</v>
      </c>
    </row>
    <row r="960" spans="1:2" x14ac:dyDescent="0.3">
      <c r="A960" s="13" t="s">
        <v>2016</v>
      </c>
      <c r="B960" s="51">
        <v>19</v>
      </c>
    </row>
    <row r="961" spans="1:2" x14ac:dyDescent="0.3">
      <c r="A961" s="13" t="s">
        <v>2018</v>
      </c>
      <c r="B961" s="51">
        <v>3</v>
      </c>
    </row>
    <row r="962" spans="1:2" x14ac:dyDescent="0.3">
      <c r="A962" s="13" t="s">
        <v>2020</v>
      </c>
      <c r="B962" s="51">
        <v>11</v>
      </c>
    </row>
    <row r="963" spans="1:2" x14ac:dyDescent="0.3">
      <c r="A963" s="13" t="s">
        <v>2022</v>
      </c>
      <c r="B963" s="51">
        <v>5</v>
      </c>
    </row>
    <row r="964" spans="1:2" x14ac:dyDescent="0.3">
      <c r="A964" s="13" t="s">
        <v>2024</v>
      </c>
      <c r="B964" s="51">
        <v>4</v>
      </c>
    </row>
    <row r="965" spans="1:2" x14ac:dyDescent="0.3">
      <c r="A965" s="13" t="s">
        <v>2026</v>
      </c>
      <c r="B965" s="51">
        <v>4</v>
      </c>
    </row>
    <row r="966" spans="1:2" x14ac:dyDescent="0.3">
      <c r="A966" s="13" t="s">
        <v>2028</v>
      </c>
      <c r="B966" s="51">
        <v>16</v>
      </c>
    </row>
    <row r="967" spans="1:2" x14ac:dyDescent="0.3">
      <c r="A967" s="13" t="s">
        <v>2030</v>
      </c>
      <c r="B967" s="51">
        <v>5</v>
      </c>
    </row>
    <row r="968" spans="1:2" x14ac:dyDescent="0.3">
      <c r="A968" s="13" t="s">
        <v>2032</v>
      </c>
      <c r="B968" s="51">
        <v>9</v>
      </c>
    </row>
    <row r="969" spans="1:2" x14ac:dyDescent="0.3">
      <c r="A969" s="13" t="s">
        <v>2034</v>
      </c>
      <c r="B969" s="51">
        <v>8</v>
      </c>
    </row>
    <row r="970" spans="1:2" x14ac:dyDescent="0.3">
      <c r="A970" s="13" t="s">
        <v>2036</v>
      </c>
      <c r="B970" s="51">
        <v>4</v>
      </c>
    </row>
    <row r="971" spans="1:2" x14ac:dyDescent="0.3">
      <c r="A971" s="13" t="s">
        <v>2038</v>
      </c>
      <c r="B971" s="51">
        <v>1</v>
      </c>
    </row>
    <row r="972" spans="1:2" x14ac:dyDescent="0.3">
      <c r="A972" s="13" t="s">
        <v>2040</v>
      </c>
      <c r="B972" s="51">
        <v>5</v>
      </c>
    </row>
    <row r="973" spans="1:2" x14ac:dyDescent="0.3">
      <c r="A973" s="13" t="s">
        <v>2042</v>
      </c>
      <c r="B973" s="51">
        <v>1</v>
      </c>
    </row>
    <row r="974" spans="1:2" x14ac:dyDescent="0.3">
      <c r="A974" s="13" t="s">
        <v>2044</v>
      </c>
      <c r="B974" s="51">
        <v>5</v>
      </c>
    </row>
    <row r="975" spans="1:2" x14ac:dyDescent="0.3">
      <c r="A975" s="13" t="s">
        <v>2046</v>
      </c>
      <c r="B975" s="51">
        <v>8</v>
      </c>
    </row>
    <row r="976" spans="1:2" x14ac:dyDescent="0.3">
      <c r="A976" s="13" t="s">
        <v>2048</v>
      </c>
      <c r="B976" s="51">
        <v>5</v>
      </c>
    </row>
    <row r="977" spans="1:2" x14ac:dyDescent="0.3">
      <c r="A977" s="13" t="s">
        <v>2050</v>
      </c>
      <c r="B977" s="51">
        <v>13</v>
      </c>
    </row>
    <row r="978" spans="1:2" x14ac:dyDescent="0.3">
      <c r="A978" s="13" t="s">
        <v>2052</v>
      </c>
      <c r="B978" s="51">
        <v>6</v>
      </c>
    </row>
    <row r="979" spans="1:2" x14ac:dyDescent="0.3">
      <c r="A979" s="13" t="s">
        <v>2054</v>
      </c>
      <c r="B979" s="51">
        <v>10</v>
      </c>
    </row>
    <row r="980" spans="1:2" x14ac:dyDescent="0.3">
      <c r="A980" s="13" t="s">
        <v>2056</v>
      </c>
      <c r="B980" s="51">
        <v>4</v>
      </c>
    </row>
    <row r="981" spans="1:2" x14ac:dyDescent="0.3">
      <c r="A981" s="13" t="s">
        <v>2058</v>
      </c>
      <c r="B981" s="51">
        <v>4</v>
      </c>
    </row>
    <row r="982" spans="1:2" x14ac:dyDescent="0.3">
      <c r="A982" s="13" t="s">
        <v>2060</v>
      </c>
      <c r="B982" s="51">
        <v>12</v>
      </c>
    </row>
    <row r="983" spans="1:2" x14ac:dyDescent="0.3">
      <c r="A983" s="13" t="s">
        <v>2062</v>
      </c>
      <c r="B983" s="51">
        <v>14</v>
      </c>
    </row>
    <row r="984" spans="1:2" x14ac:dyDescent="0.3">
      <c r="A984" s="13" t="s">
        <v>2064</v>
      </c>
      <c r="B984" s="51">
        <v>4</v>
      </c>
    </row>
    <row r="985" spans="1:2" x14ac:dyDescent="0.3">
      <c r="A985" s="13" t="s">
        <v>2066</v>
      </c>
      <c r="B985" s="51">
        <v>15</v>
      </c>
    </row>
    <row r="986" spans="1:2" x14ac:dyDescent="0.3">
      <c r="A986" s="13" t="s">
        <v>2068</v>
      </c>
      <c r="B986" s="51">
        <v>6</v>
      </c>
    </row>
    <row r="987" spans="1:2" x14ac:dyDescent="0.3">
      <c r="A987" s="13" t="s">
        <v>2070</v>
      </c>
      <c r="B987" s="51">
        <v>20</v>
      </c>
    </row>
    <row r="988" spans="1:2" x14ac:dyDescent="0.3">
      <c r="A988" s="13" t="s">
        <v>2072</v>
      </c>
      <c r="B988" s="51">
        <v>4</v>
      </c>
    </row>
    <row r="989" spans="1:2" x14ac:dyDescent="0.3">
      <c r="A989" s="13" t="s">
        <v>2074</v>
      </c>
      <c r="B989" s="51">
        <v>13</v>
      </c>
    </row>
    <row r="990" spans="1:2" x14ac:dyDescent="0.3">
      <c r="A990" s="13" t="s">
        <v>2076</v>
      </c>
      <c r="B990" s="51">
        <v>2</v>
      </c>
    </row>
    <row r="991" spans="1:2" x14ac:dyDescent="0.3">
      <c r="A991" s="13" t="s">
        <v>2078</v>
      </c>
      <c r="B991" s="51">
        <v>5</v>
      </c>
    </row>
    <row r="992" spans="1:2" x14ac:dyDescent="0.3">
      <c r="A992" s="13" t="s">
        <v>2080</v>
      </c>
      <c r="B992" s="51">
        <v>2</v>
      </c>
    </row>
    <row r="993" spans="1:2" x14ac:dyDescent="0.3">
      <c r="A993" s="13" t="s">
        <v>2082</v>
      </c>
      <c r="B993" s="51">
        <v>16</v>
      </c>
    </row>
    <row r="994" spans="1:2" x14ac:dyDescent="0.3">
      <c r="A994" s="13" t="s">
        <v>2084</v>
      </c>
      <c r="B994" s="51">
        <v>20</v>
      </c>
    </row>
    <row r="995" spans="1:2" x14ac:dyDescent="0.3">
      <c r="A995" s="13" t="s">
        <v>2086</v>
      </c>
      <c r="B995" s="51">
        <v>7</v>
      </c>
    </row>
    <row r="996" spans="1:2" x14ac:dyDescent="0.3">
      <c r="A996" s="13" t="s">
        <v>2088</v>
      </c>
      <c r="B996" s="51">
        <v>10</v>
      </c>
    </row>
    <row r="997" spans="1:2" x14ac:dyDescent="0.3">
      <c r="A997" s="13" t="s">
        <v>2090</v>
      </c>
      <c r="B997" s="51">
        <v>8</v>
      </c>
    </row>
    <row r="998" spans="1:2" x14ac:dyDescent="0.3">
      <c r="A998" s="13" t="s">
        <v>2092</v>
      </c>
      <c r="B998" s="51">
        <v>6</v>
      </c>
    </row>
    <row r="999" spans="1:2" x14ac:dyDescent="0.3">
      <c r="A999" s="13" t="s">
        <v>2094</v>
      </c>
      <c r="B999" s="51">
        <v>14</v>
      </c>
    </row>
    <row r="1000" spans="1:2" x14ac:dyDescent="0.3">
      <c r="A1000" s="13" t="s">
        <v>2096</v>
      </c>
      <c r="B1000" s="51">
        <v>12</v>
      </c>
    </row>
    <row r="1001" spans="1:2" x14ac:dyDescent="0.3">
      <c r="A1001" s="13" t="s">
        <v>2098</v>
      </c>
      <c r="B1001" s="51">
        <v>15</v>
      </c>
    </row>
  </sheetData>
  <autoFilter ref="A1:B1001" xr:uid="{1930A193-3A55-4DAE-B77E-ACF871BE4066}">
    <sortState xmlns:xlrd2="http://schemas.microsoft.com/office/spreadsheetml/2017/richdata2" ref="A2:B1001">
      <sortCondition ref="B1:B1001"/>
    </sortState>
  </autoFilter>
  <mergeCells count="2">
    <mergeCell ref="D1:E1"/>
    <mergeCell ref="G1:H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DF324-7DF1-4D5A-A0B8-BAAB53813D6D}">
  <dimension ref="A1:N1"/>
  <sheetViews>
    <sheetView showGridLines="0" workbookViewId="0">
      <selection activeCell="D10" sqref="D10"/>
    </sheetView>
  </sheetViews>
  <sheetFormatPr defaultRowHeight="14.4" x14ac:dyDescent="0.3"/>
  <cols>
    <col min="1" max="1" width="70.77734375" customWidth="1"/>
  </cols>
  <sheetData>
    <row r="1" spans="1:14" ht="55.2" customHeight="1" x14ac:dyDescent="0.4">
      <c r="A1" s="56" t="s">
        <v>2188</v>
      </c>
      <c r="B1" s="55"/>
      <c r="C1" s="55"/>
      <c r="D1" s="55"/>
      <c r="E1" s="55"/>
      <c r="F1" s="55"/>
      <c r="G1" s="55"/>
      <c r="H1" s="55"/>
      <c r="I1" s="55"/>
      <c r="J1" s="33"/>
      <c r="K1" s="33"/>
      <c r="L1" s="33"/>
      <c r="M1" s="33"/>
      <c r="N1" s="33"/>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930B2-FFD5-463D-922E-7D859531BF80}">
  <dimension ref="A1:I250"/>
  <sheetViews>
    <sheetView showGridLines="0" workbookViewId="0">
      <selection activeCell="I2" sqref="I2"/>
    </sheetView>
  </sheetViews>
  <sheetFormatPr defaultRowHeight="14.4" x14ac:dyDescent="0.3"/>
  <cols>
    <col min="1" max="1" width="13.109375" style="3" bestFit="1" customWidth="1"/>
    <col min="2" max="2" width="21.33203125" style="3" bestFit="1" customWidth="1"/>
    <col min="3" max="3" width="7.5546875" style="3" bestFit="1" customWidth="1"/>
    <col min="4" max="4" width="8.77734375" style="3" bestFit="1" customWidth="1"/>
    <col min="5" max="5" width="13.5546875" style="3" bestFit="1" customWidth="1"/>
    <col min="6" max="6" width="20" style="3" bestFit="1" customWidth="1"/>
    <col min="7" max="7" width="9.109375" style="3" bestFit="1" customWidth="1"/>
    <col min="8" max="8" width="9.88671875" style="3" bestFit="1" customWidth="1"/>
    <col min="9" max="9" width="14.33203125" style="3" bestFit="1" customWidth="1"/>
  </cols>
  <sheetData>
    <row r="1" spans="1:9" x14ac:dyDescent="0.3">
      <c r="A1" s="59" t="s">
        <v>2116</v>
      </c>
      <c r="B1" s="59" t="s">
        <v>2105</v>
      </c>
      <c r="C1" s="59" t="s">
        <v>2106</v>
      </c>
      <c r="D1" s="59" t="s">
        <v>2107</v>
      </c>
      <c r="E1" s="59" t="s">
        <v>2108</v>
      </c>
      <c r="F1" s="59" t="s">
        <v>2111</v>
      </c>
      <c r="G1" s="59" t="s">
        <v>12</v>
      </c>
      <c r="H1" s="59" t="s">
        <v>13</v>
      </c>
      <c r="I1" s="59" t="s">
        <v>2117</v>
      </c>
    </row>
    <row r="2" spans="1:9" x14ac:dyDescent="0.3">
      <c r="A2" s="60" t="s">
        <v>16</v>
      </c>
      <c r="B2" s="12" t="str">
        <f>VLOOKUP(A:A,'global_freelancer Cleaned data'!A:O,2,FALSE)</f>
        <v>Ms. Nicole Kidd</v>
      </c>
      <c r="C2" s="12" t="str">
        <f>VLOOKUP(A:A,'global_freelancer Cleaned data'!A1:O250,3,FALSE)</f>
        <v>Female</v>
      </c>
      <c r="D2" s="12">
        <f>VLOOKUP(A:A,'global_freelancer Cleaned data'!A1:O250,4,FALSE)</f>
        <v>52</v>
      </c>
      <c r="E2" s="12" t="str">
        <f>VLOOKUP(A:A,'global_freelancer Cleaned data'!A1:O250,5,FALSE)</f>
        <v>Italy</v>
      </c>
      <c r="F2" s="12">
        <f>VLOOKUP(A:A,'global_freelancer Cleaned data'!A1:O250,8,FALSE)</f>
        <v>11</v>
      </c>
      <c r="G2" s="12" t="str">
        <f>VLOOKUP(A:A,'global_freelancer Cleaned data'!A1:M250,13,FALSE)</f>
        <v>Reviewed</v>
      </c>
      <c r="H2" s="12" t="str">
        <f>VLOOKUP(A:A,'global_freelancer Cleaned data'!A1:N250,14,FALSE)</f>
        <v>On Hold</v>
      </c>
      <c r="I2" s="12">
        <f>VLOOKUP(A:A,'global_freelancer Cleaned data'!A1:O250,15,FALSE)</f>
        <v>13</v>
      </c>
    </row>
    <row r="3" spans="1:9" x14ac:dyDescent="0.3">
      <c r="A3" s="12" t="s">
        <v>26</v>
      </c>
      <c r="B3" s="12" t="str">
        <f>VLOOKUP(A:A,'global_freelancer Cleaned data'!A:O,2,FALSE)</f>
        <v>Vanessa Garcia</v>
      </c>
      <c r="C3" s="12" t="str">
        <f>VLOOKUP(A:A,'global_freelancer Cleaned data'!A2:O251,3,FALSE)</f>
        <v>Female</v>
      </c>
      <c r="D3" s="12">
        <f>VLOOKUP(A:A,'global_freelancer Cleaned data'!A2:O251,4,FALSE)</f>
        <v>52</v>
      </c>
      <c r="E3" s="12" t="str">
        <f>VLOOKUP(A:A,'global_freelancer Cleaned data'!A2:O251,5,FALSE)</f>
        <v>Australia</v>
      </c>
      <c r="F3" s="12">
        <f>VLOOKUP(A:A,'global_freelancer Cleaned data'!A2:O251,8,FALSE)</f>
        <v>34</v>
      </c>
      <c r="G3" s="12" t="str">
        <f>VLOOKUP(A:A,'global_freelancer Cleaned data'!A2:M251,13,FALSE)</f>
        <v>Reviewed</v>
      </c>
      <c r="H3" s="12" t="str">
        <f>VLOOKUP(A:A,'global_freelancer Cleaned data'!A2:N251,14,FALSE)</f>
        <v>Completed</v>
      </c>
      <c r="I3" s="12">
        <f>VLOOKUP(A:A,'global_freelancer Cleaned data'!A2:O251,15,FALSE)</f>
        <v>10</v>
      </c>
    </row>
    <row r="4" spans="1:9" x14ac:dyDescent="0.3">
      <c r="A4" s="60" t="s">
        <v>35</v>
      </c>
      <c r="B4" s="12" t="str">
        <f>VLOOKUP(A:A,'global_freelancer Cleaned data'!A:O,2,FALSE)</f>
        <v>Juan Nelson</v>
      </c>
      <c r="C4" s="12" t="str">
        <f>VLOOKUP(A:A,'global_freelancer Cleaned data'!A3:O252,3,FALSE)</f>
        <v>Male</v>
      </c>
      <c r="D4" s="12">
        <f>VLOOKUP(A:A,'global_freelancer Cleaned data'!A3:O252,4,FALSE)</f>
        <v>53</v>
      </c>
      <c r="E4" s="12" t="str">
        <f>VLOOKUP(A:A,'global_freelancer Cleaned data'!A3:O252,5,FALSE)</f>
        <v>Germany</v>
      </c>
      <c r="F4" s="12">
        <f>VLOOKUP(A:A,'global_freelancer Cleaned data'!A3:O252,8,FALSE)</f>
        <v>31</v>
      </c>
      <c r="G4" s="12" t="str">
        <f>VLOOKUP(A:A,'global_freelancer Cleaned data'!A3:M252,13,FALSE)</f>
        <v>Reviewed</v>
      </c>
      <c r="H4" s="12" t="str">
        <f>VLOOKUP(A:A,'global_freelancer Cleaned data'!A3:N252,14,FALSE)</f>
        <v>Active</v>
      </c>
      <c r="I4" s="12">
        <f>VLOOKUP(A:A,'global_freelancer Cleaned data'!A3:O252,15,FALSE)</f>
        <v>16</v>
      </c>
    </row>
    <row r="5" spans="1:9" x14ac:dyDescent="0.3">
      <c r="A5" s="12" t="s">
        <v>43</v>
      </c>
      <c r="B5" s="12" t="str">
        <f>VLOOKUP(A:A,'global_freelancer Cleaned data'!A:O,2,FALSE)</f>
        <v>Amanda Spencer</v>
      </c>
      <c r="C5" s="12" t="str">
        <f>VLOOKUP(A:A,'global_freelancer Cleaned data'!A4:O253,3,FALSE)</f>
        <v>Female</v>
      </c>
      <c r="D5" s="12">
        <f>VLOOKUP(A:A,'global_freelancer Cleaned data'!A4:O253,4,FALSE)</f>
        <v>38</v>
      </c>
      <c r="E5" s="12" t="str">
        <f>VLOOKUP(A:A,'global_freelancer Cleaned data'!A4:O253,5,FALSE)</f>
        <v>Australia</v>
      </c>
      <c r="F5" s="12">
        <f>VLOOKUP(A:A,'global_freelancer Cleaned data'!A4:O253,8,FALSE)</f>
        <v>4</v>
      </c>
      <c r="G5" s="12" t="str">
        <f>VLOOKUP(A:A,'global_freelancer Cleaned data'!A4:M253,13,FALSE)</f>
        <v>Reviewed</v>
      </c>
      <c r="H5" s="12" t="str">
        <f>VLOOKUP(A:A,'global_freelancer Cleaned data'!A4:N253,14,FALSE)</f>
        <v>Completed</v>
      </c>
      <c r="I5" s="12">
        <f>VLOOKUP(A:A,'global_freelancer Cleaned data'!A4:O253,15,FALSE)</f>
        <v>5</v>
      </c>
    </row>
    <row r="6" spans="1:9" x14ac:dyDescent="0.3">
      <c r="A6" s="60" t="s">
        <v>48</v>
      </c>
      <c r="B6" s="12" t="str">
        <f>VLOOKUP(A:A,'global_freelancer Cleaned data'!A:O,2,FALSE)</f>
        <v>Lynn Curtis DDS</v>
      </c>
      <c r="C6" s="12" t="str">
        <f>VLOOKUP(A:A,'global_freelancer Cleaned data'!A5:O254,3,FALSE)</f>
        <v>Female</v>
      </c>
      <c r="D6" s="12">
        <f>VLOOKUP(A:A,'global_freelancer Cleaned data'!A5:O254,4,FALSE)</f>
        <v>53</v>
      </c>
      <c r="E6" s="12" t="str">
        <f>VLOOKUP(A:A,'global_freelancer Cleaned data'!A5:O254,5,FALSE)</f>
        <v>Germany</v>
      </c>
      <c r="F6" s="12">
        <f>VLOOKUP(A:A,'global_freelancer Cleaned data'!A5:O254,8,FALSE)</f>
        <v>27</v>
      </c>
      <c r="G6" s="12" t="str">
        <f>VLOOKUP(A:A,'global_freelancer Cleaned data'!A5:M254,13,FALSE)</f>
        <v>Reviewed</v>
      </c>
      <c r="H6" s="12" t="str">
        <f>VLOOKUP(A:A,'global_freelancer Cleaned data'!A5:N254,14,FALSE)</f>
        <v>On Hold</v>
      </c>
      <c r="I6" s="12">
        <f>VLOOKUP(A:A,'global_freelancer Cleaned data'!A5:O254,15,FALSE)</f>
        <v>13</v>
      </c>
    </row>
    <row r="7" spans="1:9" x14ac:dyDescent="0.3">
      <c r="A7" s="12" t="s">
        <v>53</v>
      </c>
      <c r="B7" s="12" t="str">
        <f>VLOOKUP(A:A,'global_freelancer Cleaned data'!A:O,2,FALSE)</f>
        <v>Lisa Johnson</v>
      </c>
      <c r="C7" s="12" t="str">
        <f>VLOOKUP(A:A,'global_freelancer Cleaned data'!A6:O255,3,FALSE)</f>
        <v>Female</v>
      </c>
      <c r="D7" s="12">
        <f>VLOOKUP(A:A,'global_freelancer Cleaned data'!A6:O255,4,FALSE)</f>
        <v>59</v>
      </c>
      <c r="E7" s="12" t="str">
        <f>VLOOKUP(A:A,'global_freelancer Cleaned data'!A6:O255,5,FALSE)</f>
        <v>Netherlands</v>
      </c>
      <c r="F7" s="12">
        <f>VLOOKUP(A:A,'global_freelancer Cleaned data'!A6:O255,8,FALSE)</f>
        <v>14</v>
      </c>
      <c r="G7" s="12" t="str">
        <f>VLOOKUP(A:A,'global_freelancer Cleaned data'!A6:M255,13,FALSE)</f>
        <v>Urgent</v>
      </c>
      <c r="H7" s="12" t="str">
        <f>VLOOKUP(A:A,'global_freelancer Cleaned data'!A6:N255,14,FALSE)</f>
        <v>Active</v>
      </c>
      <c r="I7" s="12">
        <f>VLOOKUP(A:A,'global_freelancer Cleaned data'!A6:O255,15,FALSE)</f>
        <v>8</v>
      </c>
    </row>
    <row r="8" spans="1:9" x14ac:dyDescent="0.3">
      <c r="A8" s="60" t="s">
        <v>61</v>
      </c>
      <c r="B8" s="12" t="str">
        <f>VLOOKUP(A:A,'global_freelancer Cleaned data'!A:O,2,FALSE)</f>
        <v>Eric Myers</v>
      </c>
      <c r="C8" s="12" t="str">
        <f>VLOOKUP(A:A,'global_freelancer Cleaned data'!A7:O256,3,FALSE)</f>
        <v>Male</v>
      </c>
      <c r="D8" s="12">
        <f>VLOOKUP(A:A,'global_freelancer Cleaned data'!A7:O256,4,FALSE)</f>
        <v>52</v>
      </c>
      <c r="E8" s="12" t="str">
        <f>VLOOKUP(A:A,'global_freelancer Cleaned data'!A7:O256,5,FALSE)</f>
        <v>Indonesia</v>
      </c>
      <c r="F8" s="12">
        <f>VLOOKUP(A:A,'global_freelancer Cleaned data'!A7:O256,8,FALSE)</f>
        <v>10</v>
      </c>
      <c r="G8" s="12" t="str">
        <f>VLOOKUP(A:A,'global_freelancer Cleaned data'!A7:M256,13,FALSE)</f>
        <v>Reviewed</v>
      </c>
      <c r="H8" s="12" t="str">
        <f>VLOOKUP(A:A,'global_freelancer Cleaned data'!A7:N256,14,FALSE)</f>
        <v>On Hold</v>
      </c>
      <c r="I8" s="12">
        <f>VLOOKUP(A:A,'global_freelancer Cleaned data'!A7:O256,15,FALSE)</f>
        <v>10</v>
      </c>
    </row>
    <row r="9" spans="1:9" x14ac:dyDescent="0.3">
      <c r="A9" s="12" t="s">
        <v>68</v>
      </c>
      <c r="B9" s="12" t="str">
        <f>VLOOKUP(A:A,'global_freelancer Cleaned data'!A:O,2,FALSE)</f>
        <v>Ricky Graham</v>
      </c>
      <c r="C9" s="12" t="str">
        <f>VLOOKUP(A:A,'global_freelancer Cleaned data'!A8:O257,3,FALSE)</f>
        <v>Male</v>
      </c>
      <c r="D9" s="12">
        <f>VLOOKUP(A:A,'global_freelancer Cleaned data'!A8:O257,4,FALSE)</f>
        <v>43</v>
      </c>
      <c r="E9" s="12" t="str">
        <f>VLOOKUP(A:A,'global_freelancer Cleaned data'!A8:O257,5,FALSE)</f>
        <v>Italy</v>
      </c>
      <c r="F9" s="12">
        <f>VLOOKUP(A:A,'global_freelancer Cleaned data'!A8:O257,8,FALSE)</f>
        <v>14</v>
      </c>
      <c r="G9" s="12" t="str">
        <f>VLOOKUP(A:A,'global_freelancer Cleaned data'!A8:M257,13,FALSE)</f>
        <v>Urgent</v>
      </c>
      <c r="H9" s="12" t="str">
        <f>VLOOKUP(A:A,'global_freelancer Cleaned data'!A8:N257,14,FALSE)</f>
        <v>On Hold</v>
      </c>
      <c r="I9" s="12">
        <f>VLOOKUP(A:A,'global_freelancer Cleaned data'!A8:O257,15,FALSE)</f>
        <v>7</v>
      </c>
    </row>
    <row r="10" spans="1:9" x14ac:dyDescent="0.3">
      <c r="A10" s="60" t="s">
        <v>71</v>
      </c>
      <c r="B10" s="12" t="str">
        <f>VLOOKUP(A:A,'global_freelancer Cleaned data'!A:O,2,FALSE)</f>
        <v>Sean Martin</v>
      </c>
      <c r="C10" s="12" t="str">
        <f>VLOOKUP(A:A,'global_freelancer Cleaned data'!A9:O258,3,FALSE)</f>
        <v>Male</v>
      </c>
      <c r="D10" s="12">
        <f>VLOOKUP(A:A,'global_freelancer Cleaned data'!A9:O258,4,FALSE)</f>
        <v>26</v>
      </c>
      <c r="E10" s="12" t="str">
        <f>VLOOKUP(A:A,'global_freelancer Cleaned data'!A9:O258,5,FALSE)</f>
        <v>US</v>
      </c>
      <c r="F10" s="12">
        <f>VLOOKUP(A:A,'global_freelancer Cleaned data'!A9:O258,8,FALSE)</f>
        <v>4</v>
      </c>
      <c r="G10" s="12" t="str">
        <f>VLOOKUP(A:A,'global_freelancer Cleaned data'!A9:M258,13,FALSE)</f>
        <v>Reviewed</v>
      </c>
      <c r="H10" s="12" t="str">
        <f>VLOOKUP(A:A,'global_freelancer Cleaned data'!A9:N258,14,FALSE)</f>
        <v>Inactive</v>
      </c>
      <c r="I10" s="12">
        <f>VLOOKUP(A:A,'global_freelancer Cleaned data'!A9:O258,15,FALSE)</f>
        <v>2</v>
      </c>
    </row>
    <row r="11" spans="1:9" x14ac:dyDescent="0.3">
      <c r="A11" s="12" t="s">
        <v>76</v>
      </c>
      <c r="B11" s="12" t="str">
        <f>VLOOKUP(A:A,'global_freelancer Cleaned data'!A:O,2,FALSE)</f>
        <v>Matthew Lloyd</v>
      </c>
      <c r="C11" s="12" t="str">
        <f>VLOOKUP(A:A,'global_freelancer Cleaned data'!A10:O259,3,FALSE)</f>
        <v>Male</v>
      </c>
      <c r="D11" s="12">
        <f>VLOOKUP(A:A,'global_freelancer Cleaned data'!A10:O259,4,FALSE)</f>
        <v>52</v>
      </c>
      <c r="E11" s="12" t="str">
        <f>VLOOKUP(A:A,'global_freelancer Cleaned data'!A10:O259,5,FALSE)</f>
        <v>Turkey</v>
      </c>
      <c r="F11" s="12">
        <f>VLOOKUP(A:A,'global_freelancer Cleaned data'!A10:O259,8,FALSE)</f>
        <v>22</v>
      </c>
      <c r="G11" s="12" t="str">
        <f>VLOOKUP(A:A,'global_freelancer Cleaned data'!A10:M259,13,FALSE)</f>
        <v>Pending</v>
      </c>
      <c r="H11" s="12" t="str">
        <f>VLOOKUP(A:A,'global_freelancer Cleaned data'!A10:N259,14,FALSE)</f>
        <v>Active</v>
      </c>
      <c r="I11" s="12">
        <f>VLOOKUP(A:A,'global_freelancer Cleaned data'!A10:O259,15,FALSE)</f>
        <v>16</v>
      </c>
    </row>
    <row r="12" spans="1:9" x14ac:dyDescent="0.3">
      <c r="A12" s="60" t="s">
        <v>83</v>
      </c>
      <c r="B12" s="12" t="str">
        <f>VLOOKUP(A:A,'global_freelancer Cleaned data'!A:O,2,FALSE)</f>
        <v>Gavin Randall</v>
      </c>
      <c r="C12" s="12" t="str">
        <f>VLOOKUP(A:A,'global_freelancer Cleaned data'!A11:O260,3,FALSE)</f>
        <v>Male</v>
      </c>
      <c r="D12" s="12">
        <f>VLOOKUP(A:A,'global_freelancer Cleaned data'!A11:O260,4,FALSE)</f>
        <v>40</v>
      </c>
      <c r="E12" s="12" t="str">
        <f>VLOOKUP(A:A,'global_freelancer Cleaned data'!A11:O260,5,FALSE)</f>
        <v>UK</v>
      </c>
      <c r="F12" s="12">
        <f>VLOOKUP(A:A,'global_freelancer Cleaned data'!A11:O260,8,FALSE)</f>
        <v>17</v>
      </c>
      <c r="G12" s="12" t="str">
        <f>VLOOKUP(A:A,'global_freelancer Cleaned data'!A11:M260,13,FALSE)</f>
        <v>Follow-up</v>
      </c>
      <c r="H12" s="12" t="str">
        <f>VLOOKUP(A:A,'global_freelancer Cleaned data'!A11:N260,14,FALSE)</f>
        <v>Inactive</v>
      </c>
      <c r="I12" s="12">
        <f>VLOOKUP(A:A,'global_freelancer Cleaned data'!A11:O260,15,FALSE)</f>
        <v>20</v>
      </c>
    </row>
    <row r="13" spans="1:9" x14ac:dyDescent="0.3">
      <c r="A13" s="12" t="s">
        <v>89</v>
      </c>
      <c r="B13" s="12" t="str">
        <f>VLOOKUP(A:A,'global_freelancer Cleaned data'!A:O,2,FALSE)</f>
        <v>Michelle Curtis</v>
      </c>
      <c r="C13" s="12" t="str">
        <f>VLOOKUP(A:A,'global_freelancer Cleaned data'!A12:O261,3,FALSE)</f>
        <v>Female</v>
      </c>
      <c r="D13" s="12">
        <f>VLOOKUP(A:A,'global_freelancer Cleaned data'!A12:O261,4,FALSE)</f>
        <v>55</v>
      </c>
      <c r="E13" s="12" t="str">
        <f>VLOOKUP(A:A,'global_freelancer Cleaned data'!A12:O261,5,FALSE)</f>
        <v>Argentina</v>
      </c>
      <c r="F13" s="12">
        <f>VLOOKUP(A:A,'global_freelancer Cleaned data'!A12:O261,8,FALSE)</f>
        <v>15</v>
      </c>
      <c r="G13" s="12" t="str">
        <f>VLOOKUP(A:A,'global_freelancer Cleaned data'!A12:M261,13,FALSE)</f>
        <v>Urgent</v>
      </c>
      <c r="H13" s="12" t="str">
        <f>VLOOKUP(A:A,'global_freelancer Cleaned data'!A12:N261,14,FALSE)</f>
        <v>Active</v>
      </c>
      <c r="I13" s="12">
        <f>VLOOKUP(A:A,'global_freelancer Cleaned data'!A12:O261,15,FALSE)</f>
        <v>13</v>
      </c>
    </row>
    <row r="14" spans="1:9" x14ac:dyDescent="0.3">
      <c r="A14" s="60" t="s">
        <v>95</v>
      </c>
      <c r="B14" s="12" t="str">
        <f>VLOOKUP(A:A,'global_freelancer Cleaned data'!A:O,2,FALSE)</f>
        <v>Alice Schneider</v>
      </c>
      <c r="C14" s="12" t="str">
        <f>VLOOKUP(A:A,'global_freelancer Cleaned data'!A13:O262,3,FALSE)</f>
        <v>Female</v>
      </c>
      <c r="D14" s="12">
        <f>VLOOKUP(A:A,'global_freelancer Cleaned data'!A13:O262,4,FALSE)</f>
        <v>57</v>
      </c>
      <c r="E14" s="12" t="str">
        <f>VLOOKUP(A:A,'global_freelancer Cleaned data'!A13:O262,5,FALSE)</f>
        <v>UK</v>
      </c>
      <c r="F14" s="12">
        <f>VLOOKUP(A:A,'global_freelancer Cleaned data'!A13:O262,8,FALSE)</f>
        <v>18</v>
      </c>
      <c r="G14" s="12" t="str">
        <f>VLOOKUP(A:A,'global_freelancer Cleaned data'!A13:M262,13,FALSE)</f>
        <v>Reviewed</v>
      </c>
      <c r="H14" s="12" t="str">
        <f>VLOOKUP(A:A,'global_freelancer Cleaned data'!A13:N262,14,FALSE)</f>
        <v>On Hold</v>
      </c>
      <c r="I14" s="12">
        <f>VLOOKUP(A:A,'global_freelancer Cleaned data'!A13:O262,15,FALSE)</f>
        <v>16</v>
      </c>
    </row>
    <row r="15" spans="1:9" x14ac:dyDescent="0.3">
      <c r="A15" s="12" t="s">
        <v>99</v>
      </c>
      <c r="B15" s="12" t="str">
        <f>VLOOKUP(A:A,'global_freelancer Cleaned data'!A:O,2,FALSE)</f>
        <v>Phillip Shelton</v>
      </c>
      <c r="C15" s="12" t="str">
        <f>VLOOKUP(A:A,'global_freelancer Cleaned data'!A14:O263,3,FALSE)</f>
        <v>Male</v>
      </c>
      <c r="D15" s="12">
        <f>VLOOKUP(A:A,'global_freelancer Cleaned data'!A14:O263,4,FALSE)</f>
        <v>38</v>
      </c>
      <c r="E15" s="12" t="str">
        <f>VLOOKUP(A:A,'global_freelancer Cleaned data'!A14:O263,5,FALSE)</f>
        <v>Not Mentioned</v>
      </c>
      <c r="F15" s="12">
        <f>VLOOKUP(A:A,'global_freelancer Cleaned data'!A14:O263,8,FALSE)</f>
        <v>20</v>
      </c>
      <c r="G15" s="12" t="str">
        <f>VLOOKUP(A:A,'global_freelancer Cleaned data'!A14:M263,13,FALSE)</f>
        <v>Pending</v>
      </c>
      <c r="H15" s="12" t="str">
        <f>VLOOKUP(A:A,'global_freelancer Cleaned data'!A14:N263,14,FALSE)</f>
        <v>On Hold</v>
      </c>
      <c r="I15" s="12">
        <f>VLOOKUP(A:A,'global_freelancer Cleaned data'!A14:O263,15,FALSE)</f>
        <v>17</v>
      </c>
    </row>
    <row r="16" spans="1:9" x14ac:dyDescent="0.3">
      <c r="A16" s="60" t="s">
        <v>101</v>
      </c>
      <c r="B16" s="12" t="str">
        <f>VLOOKUP(A:A,'global_freelancer Cleaned data'!A:O,2,FALSE)</f>
        <v>Edward Ferguson</v>
      </c>
      <c r="C16" s="12" t="str">
        <f>VLOOKUP(A:A,'global_freelancer Cleaned data'!A15:O264,3,FALSE)</f>
        <v>Male</v>
      </c>
      <c r="D16" s="12">
        <f>VLOOKUP(A:A,'global_freelancer Cleaned data'!A15:O264,4,FALSE)</f>
        <v>50</v>
      </c>
      <c r="E16" s="12" t="str">
        <f>VLOOKUP(A:A,'global_freelancer Cleaned data'!A15:O264,5,FALSE)</f>
        <v>Germany</v>
      </c>
      <c r="F16" s="12">
        <f>VLOOKUP(A:A,'global_freelancer Cleaned data'!A15:O264,8,FALSE)</f>
        <v>22</v>
      </c>
      <c r="G16" s="12" t="str">
        <f>VLOOKUP(A:A,'global_freelancer Cleaned data'!A15:M264,13,FALSE)</f>
        <v>Follow-up</v>
      </c>
      <c r="H16" s="12" t="str">
        <f>VLOOKUP(A:A,'global_freelancer Cleaned data'!A15:N264,14,FALSE)</f>
        <v>Completed</v>
      </c>
      <c r="I16" s="12">
        <f>VLOOKUP(A:A,'global_freelancer Cleaned data'!A15:O264,15,FALSE)</f>
        <v>14</v>
      </c>
    </row>
    <row r="17" spans="1:9" x14ac:dyDescent="0.3">
      <c r="A17" s="12" t="s">
        <v>104</v>
      </c>
      <c r="B17" s="12" t="str">
        <f>VLOOKUP(A:A,'global_freelancer Cleaned data'!A:O,2,FALSE)</f>
        <v>Wyatt Stout</v>
      </c>
      <c r="C17" s="12" t="str">
        <f>VLOOKUP(A:A,'global_freelancer Cleaned data'!A16:O265,3,FALSE)</f>
        <v>Male</v>
      </c>
      <c r="D17" s="12">
        <f>VLOOKUP(A:A,'global_freelancer Cleaned data'!A16:O265,4,FALSE)</f>
        <v>42</v>
      </c>
      <c r="E17" s="12" t="str">
        <f>VLOOKUP(A:A,'global_freelancer Cleaned data'!A16:O265,5,FALSE)</f>
        <v>Japan</v>
      </c>
      <c r="F17" s="12">
        <f>VLOOKUP(A:A,'global_freelancer Cleaned data'!A16:O265,8,FALSE)</f>
        <v>0</v>
      </c>
      <c r="G17" s="12" t="str">
        <f>VLOOKUP(A:A,'global_freelancer Cleaned data'!A16:M265,13,FALSE)</f>
        <v>Urgent</v>
      </c>
      <c r="H17" s="12" t="str">
        <f>VLOOKUP(A:A,'global_freelancer Cleaned data'!A16:N265,14,FALSE)</f>
        <v>Active</v>
      </c>
      <c r="I17" s="12">
        <f>VLOOKUP(A:A,'global_freelancer Cleaned data'!A16:O265,15,FALSE)</f>
        <v>5</v>
      </c>
    </row>
    <row r="18" spans="1:9" x14ac:dyDescent="0.3">
      <c r="A18" s="60" t="s">
        <v>108</v>
      </c>
      <c r="B18" s="12" t="str">
        <f>VLOOKUP(A:A,'global_freelancer Cleaned data'!A:O,2,FALSE)</f>
        <v>Laura Johnson</v>
      </c>
      <c r="C18" s="12" t="str">
        <f>VLOOKUP(A:A,'global_freelancer Cleaned data'!A17:O266,3,FALSE)</f>
        <v>Female</v>
      </c>
      <c r="D18" s="12">
        <f>VLOOKUP(A:A,'global_freelancer Cleaned data'!A17:O266,4,FALSE)</f>
        <v>39</v>
      </c>
      <c r="E18" s="12" t="str">
        <f>VLOOKUP(A:A,'global_freelancer Cleaned data'!A17:O266,5,FALSE)</f>
        <v>Australia</v>
      </c>
      <c r="F18" s="12">
        <f>VLOOKUP(A:A,'global_freelancer Cleaned data'!A17:O266,8,FALSE)</f>
        <v>13</v>
      </c>
      <c r="G18" s="12" t="str">
        <f>VLOOKUP(A:A,'global_freelancer Cleaned data'!A17:M266,13,FALSE)</f>
        <v>Follow-up</v>
      </c>
      <c r="H18" s="12" t="str">
        <f>VLOOKUP(A:A,'global_freelancer Cleaned data'!A17:N266,14,FALSE)</f>
        <v>Inactive</v>
      </c>
      <c r="I18" s="12">
        <f>VLOOKUP(A:A,'global_freelancer Cleaned data'!A17:O266,15,FALSE)</f>
        <v>7</v>
      </c>
    </row>
    <row r="19" spans="1:9" x14ac:dyDescent="0.3">
      <c r="A19" s="12" t="s">
        <v>111</v>
      </c>
      <c r="B19" s="12" t="str">
        <f>VLOOKUP(A:A,'global_freelancer Cleaned data'!A:O,2,FALSE)</f>
        <v>Scott Burns</v>
      </c>
      <c r="C19" s="12" t="str">
        <f>VLOOKUP(A:A,'global_freelancer Cleaned data'!A18:O267,3,FALSE)</f>
        <v>Male</v>
      </c>
      <c r="D19" s="12">
        <f>VLOOKUP(A:A,'global_freelancer Cleaned data'!A18:O267,4,FALSE)</f>
        <v>56</v>
      </c>
      <c r="E19" s="12" t="str">
        <f>VLOOKUP(A:A,'global_freelancer Cleaned data'!A18:O267,5,FALSE)</f>
        <v>India</v>
      </c>
      <c r="F19" s="12" t="str">
        <f>VLOOKUP(A:A,'global_freelancer Cleaned data'!A18:O267,8,FALSE)</f>
        <v>Not Mentioned</v>
      </c>
      <c r="G19" s="12" t="str">
        <f>VLOOKUP(A:A,'global_freelancer Cleaned data'!A18:M267,13,FALSE)</f>
        <v>Pending</v>
      </c>
      <c r="H19" s="12" t="str">
        <f>VLOOKUP(A:A,'global_freelancer Cleaned data'!A18:N267,14,FALSE)</f>
        <v>Completed</v>
      </c>
      <c r="I19" s="12">
        <f>VLOOKUP(A:A,'global_freelancer Cleaned data'!A18:O267,15,FALSE)</f>
        <v>1</v>
      </c>
    </row>
    <row r="20" spans="1:9" x14ac:dyDescent="0.3">
      <c r="A20" s="60" t="s">
        <v>116</v>
      </c>
      <c r="B20" s="12" t="str">
        <f>VLOOKUP(A:A,'global_freelancer Cleaned data'!A:O,2,FALSE)</f>
        <v>Tyler Aguirre</v>
      </c>
      <c r="C20" s="12" t="str">
        <f>VLOOKUP(A:A,'global_freelancer Cleaned data'!A19:O268,3,FALSE)</f>
        <v>Male</v>
      </c>
      <c r="D20" s="12">
        <f>VLOOKUP(A:A,'global_freelancer Cleaned data'!A19:O268,4,FALSE)</f>
        <v>56</v>
      </c>
      <c r="E20" s="12" t="str">
        <f>VLOOKUP(A:A,'global_freelancer Cleaned data'!A19:O268,5,FALSE)</f>
        <v>US</v>
      </c>
      <c r="F20" s="12">
        <f>VLOOKUP(A:A,'global_freelancer Cleaned data'!A19:O268,8,FALSE)</f>
        <v>31</v>
      </c>
      <c r="G20" s="12" t="str">
        <f>VLOOKUP(A:A,'global_freelancer Cleaned data'!A19:M268,13,FALSE)</f>
        <v>Urgent</v>
      </c>
      <c r="H20" s="12" t="str">
        <f>VLOOKUP(A:A,'global_freelancer Cleaned data'!A19:N268,14,FALSE)</f>
        <v>Completed</v>
      </c>
      <c r="I20" s="12">
        <f>VLOOKUP(A:A,'global_freelancer Cleaned data'!A19:O268,15,FALSE)</f>
        <v>13</v>
      </c>
    </row>
    <row r="21" spans="1:9" x14ac:dyDescent="0.3">
      <c r="A21" s="12" t="s">
        <v>120</v>
      </c>
      <c r="B21" s="12" t="str">
        <f>VLOOKUP(A:A,'global_freelancer Cleaned data'!A:O,2,FALSE)</f>
        <v>Matthew Lawson</v>
      </c>
      <c r="C21" s="12" t="str">
        <f>VLOOKUP(A:A,'global_freelancer Cleaned data'!A20:O269,3,FALSE)</f>
        <v>Male</v>
      </c>
      <c r="D21" s="12">
        <f>VLOOKUP(A:A,'global_freelancer Cleaned data'!A20:O269,4,FALSE)</f>
        <v>57</v>
      </c>
      <c r="E21" s="12" t="str">
        <f>VLOOKUP(A:A,'global_freelancer Cleaned data'!A20:O269,5,FALSE)</f>
        <v>Italy</v>
      </c>
      <c r="F21" s="12">
        <f>VLOOKUP(A:A,'global_freelancer Cleaned data'!A20:O269,8,FALSE)</f>
        <v>3</v>
      </c>
      <c r="G21" s="12" t="str">
        <f>VLOOKUP(A:A,'global_freelancer Cleaned data'!A20:M269,13,FALSE)</f>
        <v>Follow-up</v>
      </c>
      <c r="H21" s="12" t="str">
        <f>VLOOKUP(A:A,'global_freelancer Cleaned data'!A20:N269,14,FALSE)</f>
        <v>Completed</v>
      </c>
      <c r="I21" s="12">
        <f>VLOOKUP(A:A,'global_freelancer Cleaned data'!A20:O269,15,FALSE)</f>
        <v>1</v>
      </c>
    </row>
    <row r="22" spans="1:9" x14ac:dyDescent="0.3">
      <c r="A22" s="60" t="s">
        <v>122</v>
      </c>
      <c r="B22" s="12" t="str">
        <f>VLOOKUP(A:A,'global_freelancer Cleaned data'!A:O,2,FALSE)</f>
        <v>James Cherry</v>
      </c>
      <c r="C22" s="12" t="str">
        <f>VLOOKUP(A:A,'global_freelancer Cleaned data'!A21:O270,3,FALSE)</f>
        <v>Male</v>
      </c>
      <c r="D22" s="12" t="str">
        <f>VLOOKUP(A:A,'global_freelancer Cleaned data'!A21:O270,4,FALSE)</f>
        <v>Not given</v>
      </c>
      <c r="E22" s="12" t="str">
        <f>VLOOKUP(A:A,'global_freelancer Cleaned data'!A21:O270,5,FALSE)</f>
        <v>Indonesia</v>
      </c>
      <c r="F22" s="12">
        <f>VLOOKUP(A:A,'global_freelancer Cleaned data'!A21:O270,8,FALSE)</f>
        <v>9</v>
      </c>
      <c r="G22" s="12" t="str">
        <f>VLOOKUP(A:A,'global_freelancer Cleaned data'!A21:M270,13,FALSE)</f>
        <v>Reviewed</v>
      </c>
      <c r="H22" s="12" t="str">
        <f>VLOOKUP(A:A,'global_freelancer Cleaned data'!A21:N270,14,FALSE)</f>
        <v>Inactive</v>
      </c>
      <c r="I22" s="12">
        <f>VLOOKUP(A:A,'global_freelancer Cleaned data'!A21:O270,15,FALSE)</f>
        <v>15</v>
      </c>
    </row>
    <row r="23" spans="1:9" x14ac:dyDescent="0.3">
      <c r="A23" s="12" t="s">
        <v>124</v>
      </c>
      <c r="B23" s="12" t="str">
        <f>VLOOKUP(A:A,'global_freelancer Cleaned data'!A:O,2,FALSE)</f>
        <v>Samuel Sanford</v>
      </c>
      <c r="C23" s="12" t="str">
        <f>VLOOKUP(A:A,'global_freelancer Cleaned data'!A22:O271,3,FALSE)</f>
        <v>Male</v>
      </c>
      <c r="D23" s="12">
        <f>VLOOKUP(A:A,'global_freelancer Cleaned data'!A22:O271,4,FALSE)</f>
        <v>51</v>
      </c>
      <c r="E23" s="12" t="str">
        <f>VLOOKUP(A:A,'global_freelancer Cleaned data'!A22:O271,5,FALSE)</f>
        <v>Japan</v>
      </c>
      <c r="F23" s="12" t="str">
        <f>VLOOKUP(A:A,'global_freelancer Cleaned data'!A22:O271,8,FALSE)</f>
        <v>Not Mentioned</v>
      </c>
      <c r="G23" s="12" t="str">
        <f>VLOOKUP(A:A,'global_freelancer Cleaned data'!A22:M271,13,FALSE)</f>
        <v>Urgent</v>
      </c>
      <c r="H23" s="12" t="str">
        <f>VLOOKUP(A:A,'global_freelancer Cleaned data'!A22:N271,14,FALSE)</f>
        <v>Completed</v>
      </c>
      <c r="I23" s="12">
        <f>VLOOKUP(A:A,'global_freelancer Cleaned data'!A22:O271,15,FALSE)</f>
        <v>3</v>
      </c>
    </row>
    <row r="24" spans="1:9" x14ac:dyDescent="0.3">
      <c r="A24" s="60" t="s">
        <v>126</v>
      </c>
      <c r="B24" s="12" t="str">
        <f>VLOOKUP(A:A,'global_freelancer Cleaned data'!A:O,2,FALSE)</f>
        <v>Cesar Greene</v>
      </c>
      <c r="C24" s="12" t="str">
        <f>VLOOKUP(A:A,'global_freelancer Cleaned data'!A23:O272,3,FALSE)</f>
        <v>Male</v>
      </c>
      <c r="D24" s="12">
        <f>VLOOKUP(A:A,'global_freelancer Cleaned data'!A23:O272,4,FALSE)</f>
        <v>51</v>
      </c>
      <c r="E24" s="12" t="str">
        <f>VLOOKUP(A:A,'global_freelancer Cleaned data'!A23:O272,5,FALSE)</f>
        <v>Brazil</v>
      </c>
      <c r="F24" s="12">
        <f>VLOOKUP(A:A,'global_freelancer Cleaned data'!A23:O272,8,FALSE)</f>
        <v>21</v>
      </c>
      <c r="G24" s="12" t="str">
        <f>VLOOKUP(A:A,'global_freelancer Cleaned data'!A23:M272,13,FALSE)</f>
        <v>Follow-up</v>
      </c>
      <c r="H24" s="12" t="str">
        <f>VLOOKUP(A:A,'global_freelancer Cleaned data'!A23:N272,14,FALSE)</f>
        <v>Inactive</v>
      </c>
      <c r="I24" s="12">
        <f>VLOOKUP(A:A,'global_freelancer Cleaned data'!A23:O272,15,FALSE)</f>
        <v>14</v>
      </c>
    </row>
    <row r="25" spans="1:9" x14ac:dyDescent="0.3">
      <c r="A25" s="12" t="s">
        <v>131</v>
      </c>
      <c r="B25" s="12" t="str">
        <f>VLOOKUP(A:A,'global_freelancer Cleaned data'!A:O,2,FALSE)</f>
        <v>Melanie Carter</v>
      </c>
      <c r="C25" s="12" t="str">
        <f>VLOOKUP(A:A,'global_freelancer Cleaned data'!A24:O273,3,FALSE)</f>
        <v>Female</v>
      </c>
      <c r="D25" s="12">
        <f>VLOOKUP(A:A,'global_freelancer Cleaned data'!A24:O273,4,FALSE)</f>
        <v>51</v>
      </c>
      <c r="E25" s="12" t="str">
        <f>VLOOKUP(A:A,'global_freelancer Cleaned data'!A24:O273,5,FALSE)</f>
        <v>South Korea</v>
      </c>
      <c r="F25" s="12">
        <f>VLOOKUP(A:A,'global_freelancer Cleaned data'!A24:O273,8,FALSE)</f>
        <v>15</v>
      </c>
      <c r="G25" s="12" t="str">
        <f>VLOOKUP(A:A,'global_freelancer Cleaned data'!A24:M273,13,FALSE)</f>
        <v>Pending</v>
      </c>
      <c r="H25" s="12" t="str">
        <f>VLOOKUP(A:A,'global_freelancer Cleaned data'!A24:N273,14,FALSE)</f>
        <v>Completed</v>
      </c>
      <c r="I25" s="12">
        <f>VLOOKUP(A:A,'global_freelancer Cleaned data'!A24:O273,15,FALSE)</f>
        <v>9</v>
      </c>
    </row>
    <row r="26" spans="1:9" x14ac:dyDescent="0.3">
      <c r="A26" s="60" t="s">
        <v>136</v>
      </c>
      <c r="B26" s="12" t="str">
        <f>VLOOKUP(A:A,'global_freelancer Cleaned data'!A:O,2,FALSE)</f>
        <v>Jennifer Martin</v>
      </c>
      <c r="C26" s="12" t="str">
        <f>VLOOKUP(A:A,'global_freelancer Cleaned data'!A25:O274,3,FALSE)</f>
        <v>Female</v>
      </c>
      <c r="D26" s="12">
        <f>VLOOKUP(A:A,'global_freelancer Cleaned data'!A25:O274,4,FALSE)</f>
        <v>54</v>
      </c>
      <c r="E26" s="12" t="str">
        <f>VLOOKUP(A:A,'global_freelancer Cleaned data'!A25:O274,5,FALSE)</f>
        <v>Indonesia</v>
      </c>
      <c r="F26" s="12">
        <f>VLOOKUP(A:A,'global_freelancer Cleaned data'!A25:O274,8,FALSE)</f>
        <v>13</v>
      </c>
      <c r="G26" s="12" t="str">
        <f>VLOOKUP(A:A,'global_freelancer Cleaned data'!A25:M274,13,FALSE)</f>
        <v>Pending</v>
      </c>
      <c r="H26" s="12" t="str">
        <f>VLOOKUP(A:A,'global_freelancer Cleaned data'!A25:N274,14,FALSE)</f>
        <v>Inactive</v>
      </c>
      <c r="I26" s="12">
        <f>VLOOKUP(A:A,'global_freelancer Cleaned data'!A25:O274,15,FALSE)</f>
        <v>15</v>
      </c>
    </row>
    <row r="27" spans="1:9" x14ac:dyDescent="0.3">
      <c r="A27" s="12" t="s">
        <v>138</v>
      </c>
      <c r="B27" s="12" t="str">
        <f>VLOOKUP(A:A,'global_freelancer Cleaned data'!A:O,2,FALSE)</f>
        <v>Anna Mccann</v>
      </c>
      <c r="C27" s="12" t="str">
        <f>VLOOKUP(A:A,'global_freelancer Cleaned data'!A26:O275,3,FALSE)</f>
        <v>Female</v>
      </c>
      <c r="D27" s="12">
        <f>VLOOKUP(A:A,'global_freelancer Cleaned data'!A26:O275,4,FALSE)</f>
        <v>22</v>
      </c>
      <c r="E27" s="12" t="str">
        <f>VLOOKUP(A:A,'global_freelancer Cleaned data'!A26:O275,5,FALSE)</f>
        <v>South Korea</v>
      </c>
      <c r="F27" s="12">
        <f>VLOOKUP(A:A,'global_freelancer Cleaned data'!A26:O275,8,FALSE)</f>
        <v>0</v>
      </c>
      <c r="G27" s="12" t="str">
        <f>VLOOKUP(A:A,'global_freelancer Cleaned data'!A26:M275,13,FALSE)</f>
        <v>Urgent</v>
      </c>
      <c r="H27" s="12" t="str">
        <f>VLOOKUP(A:A,'global_freelancer Cleaned data'!A26:N275,14,FALSE)</f>
        <v>On Hold</v>
      </c>
      <c r="I27" s="12">
        <f>VLOOKUP(A:A,'global_freelancer Cleaned data'!A26:O275,15,FALSE)</f>
        <v>5</v>
      </c>
    </row>
    <row r="28" spans="1:9" x14ac:dyDescent="0.3">
      <c r="A28" s="60" t="s">
        <v>140</v>
      </c>
      <c r="B28" s="12" t="str">
        <f>VLOOKUP(A:A,'global_freelancer Cleaned data'!A:O,2,FALSE)</f>
        <v>Marissa Bass</v>
      </c>
      <c r="C28" s="12" t="str">
        <f>VLOOKUP(A:A,'global_freelancer Cleaned data'!A27:O276,3,FALSE)</f>
        <v>Female</v>
      </c>
      <c r="D28" s="12">
        <f>VLOOKUP(A:A,'global_freelancer Cleaned data'!A27:O276,4,FALSE)</f>
        <v>34</v>
      </c>
      <c r="E28" s="12" t="str">
        <f>VLOOKUP(A:A,'global_freelancer Cleaned data'!A27:O276,5,FALSE)</f>
        <v>Japan</v>
      </c>
      <c r="F28" s="12">
        <f>VLOOKUP(A:A,'global_freelancer Cleaned data'!A27:O276,8,FALSE)</f>
        <v>8</v>
      </c>
      <c r="G28" s="12" t="str">
        <f>VLOOKUP(A:A,'global_freelancer Cleaned data'!A27:M276,13,FALSE)</f>
        <v>Follow-up</v>
      </c>
      <c r="H28" s="12" t="str">
        <f>VLOOKUP(A:A,'global_freelancer Cleaned data'!A27:N276,14,FALSE)</f>
        <v>On Hold</v>
      </c>
      <c r="I28" s="12">
        <f>VLOOKUP(A:A,'global_freelancer Cleaned data'!A27:O276,15,FALSE)</f>
        <v>6</v>
      </c>
    </row>
    <row r="29" spans="1:9" x14ac:dyDescent="0.3">
      <c r="A29" s="12" t="s">
        <v>143</v>
      </c>
      <c r="B29" s="12" t="str">
        <f>VLOOKUP(A:A,'global_freelancer Cleaned data'!A:O,2,FALSE)</f>
        <v>Alexis Day</v>
      </c>
      <c r="C29" s="12" t="str">
        <f>VLOOKUP(A:A,'global_freelancer Cleaned data'!A28:O277,3,FALSE)</f>
        <v>Female</v>
      </c>
      <c r="D29" s="12">
        <f>VLOOKUP(A:A,'global_freelancer Cleaned data'!A28:O277,4,FALSE)</f>
        <v>36</v>
      </c>
      <c r="E29" s="12" t="str">
        <f>VLOOKUP(A:A,'global_freelancer Cleaned data'!A28:O277,5,FALSE)</f>
        <v>Russia</v>
      </c>
      <c r="F29" s="12">
        <f>VLOOKUP(A:A,'global_freelancer Cleaned data'!A28:O277,8,FALSE)</f>
        <v>11</v>
      </c>
      <c r="G29" s="12" t="str">
        <f>VLOOKUP(A:A,'global_freelancer Cleaned data'!A28:M277,13,FALSE)</f>
        <v>Urgent</v>
      </c>
      <c r="H29" s="12" t="str">
        <f>VLOOKUP(A:A,'global_freelancer Cleaned data'!A28:N277,14,FALSE)</f>
        <v>On Hold</v>
      </c>
      <c r="I29" s="12">
        <f>VLOOKUP(A:A,'global_freelancer Cleaned data'!A28:O277,15,FALSE)</f>
        <v>12</v>
      </c>
    </row>
    <row r="30" spans="1:9" x14ac:dyDescent="0.3">
      <c r="A30" s="60" t="s">
        <v>147</v>
      </c>
      <c r="B30" s="12" t="str">
        <f>VLOOKUP(A:A,'global_freelancer Cleaned data'!A:O,2,FALSE)</f>
        <v>Megan Jones</v>
      </c>
      <c r="C30" s="12" t="str">
        <f>VLOOKUP(A:A,'global_freelancer Cleaned data'!A29:O278,3,FALSE)</f>
        <v>Female</v>
      </c>
      <c r="D30" s="12">
        <f>VLOOKUP(A:A,'global_freelancer Cleaned data'!A29:O278,4,FALSE)</f>
        <v>47</v>
      </c>
      <c r="E30" s="12" t="str">
        <f>VLOOKUP(A:A,'global_freelancer Cleaned data'!A29:O278,5,FALSE)</f>
        <v>Canada</v>
      </c>
      <c r="F30" s="12">
        <f>VLOOKUP(A:A,'global_freelancer Cleaned data'!A29:O278,8,FALSE)</f>
        <v>22</v>
      </c>
      <c r="G30" s="12" t="str">
        <f>VLOOKUP(A:A,'global_freelancer Cleaned data'!A29:M278,13,FALSE)</f>
        <v>Urgent</v>
      </c>
      <c r="H30" s="12" t="str">
        <f>VLOOKUP(A:A,'global_freelancer Cleaned data'!A29:N278,14,FALSE)</f>
        <v>On Hold</v>
      </c>
      <c r="I30" s="12">
        <f>VLOOKUP(A:A,'global_freelancer Cleaned data'!A29:O278,15,FALSE)</f>
        <v>14</v>
      </c>
    </row>
    <row r="31" spans="1:9" x14ac:dyDescent="0.3">
      <c r="A31" s="12" t="s">
        <v>150</v>
      </c>
      <c r="B31" s="12" t="str">
        <f>VLOOKUP(A:A,'global_freelancer Cleaned data'!A:O,2,FALSE)</f>
        <v>Lori Smith</v>
      </c>
      <c r="C31" s="12" t="str">
        <f>VLOOKUP(A:A,'global_freelancer Cleaned data'!A30:O279,3,FALSE)</f>
        <v>Female</v>
      </c>
      <c r="D31" s="12">
        <f>VLOOKUP(A:A,'global_freelancer Cleaned data'!A30:O279,4,FALSE)</f>
        <v>41</v>
      </c>
      <c r="E31" s="12" t="str">
        <f>VLOOKUP(A:A,'global_freelancer Cleaned data'!A30:O279,5,FALSE)</f>
        <v>Netherlands</v>
      </c>
      <c r="F31" s="12">
        <f>VLOOKUP(A:A,'global_freelancer Cleaned data'!A30:O279,8,FALSE)</f>
        <v>14</v>
      </c>
      <c r="G31" s="12" t="str">
        <f>VLOOKUP(A:A,'global_freelancer Cleaned data'!A30:M279,13,FALSE)</f>
        <v>Follow-up</v>
      </c>
      <c r="H31" s="12" t="str">
        <f>VLOOKUP(A:A,'global_freelancer Cleaned data'!A30:N279,14,FALSE)</f>
        <v>On Hold</v>
      </c>
      <c r="I31" s="12">
        <f>VLOOKUP(A:A,'global_freelancer Cleaned data'!A30:O279,15,FALSE)</f>
        <v>6</v>
      </c>
    </row>
    <row r="32" spans="1:9" x14ac:dyDescent="0.3">
      <c r="A32" s="60" t="s">
        <v>152</v>
      </c>
      <c r="B32" s="12" t="str">
        <f>VLOOKUP(A:A,'global_freelancer Cleaned data'!A:O,2,FALSE)</f>
        <v>Eric Carpenter</v>
      </c>
      <c r="C32" s="12" t="str">
        <f>VLOOKUP(A:A,'global_freelancer Cleaned data'!A31:O280,3,FALSE)</f>
        <v>Male</v>
      </c>
      <c r="D32" s="12">
        <f>VLOOKUP(A:A,'global_freelancer Cleaned data'!A31:O280,4,FALSE)</f>
        <v>22</v>
      </c>
      <c r="E32" s="12" t="str">
        <f>VLOOKUP(A:A,'global_freelancer Cleaned data'!A31:O280,5,FALSE)</f>
        <v>Netherlands</v>
      </c>
      <c r="F32" s="12">
        <f>VLOOKUP(A:A,'global_freelancer Cleaned data'!A31:O280,8,FALSE)</f>
        <v>4</v>
      </c>
      <c r="G32" s="12" t="str">
        <f>VLOOKUP(A:A,'global_freelancer Cleaned data'!A31:M280,13,FALSE)</f>
        <v>Follow-up</v>
      </c>
      <c r="H32" s="12" t="str">
        <f>VLOOKUP(A:A,'global_freelancer Cleaned data'!A31:N280,14,FALSE)</f>
        <v>Completed</v>
      </c>
      <c r="I32" s="12">
        <f>VLOOKUP(A:A,'global_freelancer Cleaned data'!A31:O280,15,FALSE)</f>
        <v>3</v>
      </c>
    </row>
    <row r="33" spans="1:9" x14ac:dyDescent="0.3">
      <c r="A33" s="12" t="s">
        <v>154</v>
      </c>
      <c r="B33" s="12" t="str">
        <f>VLOOKUP(A:A,'global_freelancer Cleaned data'!A:O,2,FALSE)</f>
        <v>Timothy Daniels</v>
      </c>
      <c r="C33" s="12" t="str">
        <f>VLOOKUP(A:A,'global_freelancer Cleaned data'!A32:O281,3,FALSE)</f>
        <v>Male</v>
      </c>
      <c r="D33" s="12">
        <f>VLOOKUP(A:A,'global_freelancer Cleaned data'!A32:O281,4,FALSE)</f>
        <v>38</v>
      </c>
      <c r="E33" s="12" t="str">
        <f>VLOOKUP(A:A,'global_freelancer Cleaned data'!A32:O281,5,FALSE)</f>
        <v>France</v>
      </c>
      <c r="F33" s="12">
        <f>VLOOKUP(A:A,'global_freelancer Cleaned data'!A32:O281,8,FALSE)</f>
        <v>19</v>
      </c>
      <c r="G33" s="12" t="str">
        <f>VLOOKUP(A:A,'global_freelancer Cleaned data'!A32:M281,13,FALSE)</f>
        <v>Reviewed</v>
      </c>
      <c r="H33" s="12" t="str">
        <f>VLOOKUP(A:A,'global_freelancer Cleaned data'!A32:N281,14,FALSE)</f>
        <v>Completed</v>
      </c>
      <c r="I33" s="12">
        <f>VLOOKUP(A:A,'global_freelancer Cleaned data'!A32:O281,15,FALSE)</f>
        <v>10</v>
      </c>
    </row>
    <row r="34" spans="1:9" x14ac:dyDescent="0.3">
      <c r="A34" s="60" t="s">
        <v>158</v>
      </c>
      <c r="B34" s="12" t="str">
        <f>VLOOKUP(A:A,'global_freelancer Cleaned data'!A:O,2,FALSE)</f>
        <v>Robert Nelson</v>
      </c>
      <c r="C34" s="12" t="str">
        <f>VLOOKUP(A:A,'global_freelancer Cleaned data'!A33:O282,3,FALSE)</f>
        <v>Male</v>
      </c>
      <c r="D34" s="12">
        <f>VLOOKUP(A:A,'global_freelancer Cleaned data'!A33:O282,4,FALSE)</f>
        <v>46</v>
      </c>
      <c r="E34" s="12" t="str">
        <f>VLOOKUP(A:A,'global_freelancer Cleaned data'!A33:O282,5,FALSE)</f>
        <v>Egypt</v>
      </c>
      <c r="F34" s="12">
        <f>VLOOKUP(A:A,'global_freelancer Cleaned data'!A33:O282,8,FALSE)</f>
        <v>9</v>
      </c>
      <c r="G34" s="12" t="str">
        <f>VLOOKUP(A:A,'global_freelancer Cleaned data'!A33:M282,13,FALSE)</f>
        <v>Follow-up</v>
      </c>
      <c r="H34" s="12" t="str">
        <f>VLOOKUP(A:A,'global_freelancer Cleaned data'!A33:N282,14,FALSE)</f>
        <v>Completed</v>
      </c>
      <c r="I34" s="12">
        <f>VLOOKUP(A:A,'global_freelancer Cleaned data'!A33:O282,15,FALSE)</f>
        <v>13</v>
      </c>
    </row>
    <row r="35" spans="1:9" x14ac:dyDescent="0.3">
      <c r="A35" s="12" t="s">
        <v>163</v>
      </c>
      <c r="B35" s="12" t="str">
        <f>VLOOKUP(A:A,'global_freelancer Cleaned data'!A:O,2,FALSE)</f>
        <v>Michael Anderson</v>
      </c>
      <c r="C35" s="12" t="str">
        <f>VLOOKUP(A:A,'global_freelancer Cleaned data'!A34:O283,3,FALSE)</f>
        <v>Male</v>
      </c>
      <c r="D35" s="12" t="str">
        <f>VLOOKUP(A:A,'global_freelancer Cleaned data'!A34:O283,4,FALSE)</f>
        <v>Not given</v>
      </c>
      <c r="E35" s="12" t="str">
        <f>VLOOKUP(A:A,'global_freelancer Cleaned data'!A34:O283,5,FALSE)</f>
        <v>South Korea</v>
      </c>
      <c r="F35" s="12">
        <f>VLOOKUP(A:A,'global_freelancer Cleaned data'!A34:O283,8,FALSE)</f>
        <v>9</v>
      </c>
      <c r="G35" s="12" t="str">
        <f>VLOOKUP(A:A,'global_freelancer Cleaned data'!A34:M283,13,FALSE)</f>
        <v>Pending</v>
      </c>
      <c r="H35" s="12" t="str">
        <f>VLOOKUP(A:A,'global_freelancer Cleaned data'!A34:N283,14,FALSE)</f>
        <v>Inactive</v>
      </c>
      <c r="I35" s="12">
        <f>VLOOKUP(A:A,'global_freelancer Cleaned data'!A34:O283,15,FALSE)</f>
        <v>15</v>
      </c>
    </row>
    <row r="36" spans="1:9" x14ac:dyDescent="0.3">
      <c r="A36" s="60" t="s">
        <v>165</v>
      </c>
      <c r="B36" s="12" t="str">
        <f>VLOOKUP(A:A,'global_freelancer Cleaned data'!A:O,2,FALSE)</f>
        <v>Jessica Snyder</v>
      </c>
      <c r="C36" s="12" t="str">
        <f>VLOOKUP(A:A,'global_freelancer Cleaned data'!A35:O284,3,FALSE)</f>
        <v>Female</v>
      </c>
      <c r="D36" s="12">
        <f>VLOOKUP(A:A,'global_freelancer Cleaned data'!A35:O284,4,FALSE)</f>
        <v>54</v>
      </c>
      <c r="E36" s="12" t="str">
        <f>VLOOKUP(A:A,'global_freelancer Cleaned data'!A35:O284,5,FALSE)</f>
        <v>US</v>
      </c>
      <c r="F36" s="12">
        <f>VLOOKUP(A:A,'global_freelancer Cleaned data'!A35:O284,8,FALSE)</f>
        <v>32</v>
      </c>
      <c r="G36" s="12" t="str">
        <f>VLOOKUP(A:A,'global_freelancer Cleaned data'!A35:M284,13,FALSE)</f>
        <v>Urgent</v>
      </c>
      <c r="H36" s="12" t="str">
        <f>VLOOKUP(A:A,'global_freelancer Cleaned data'!A35:N284,14,FALSE)</f>
        <v>Inactive</v>
      </c>
      <c r="I36" s="12">
        <f>VLOOKUP(A:A,'global_freelancer Cleaned data'!A35:O284,15,FALSE)</f>
        <v>18</v>
      </c>
    </row>
    <row r="37" spans="1:9" x14ac:dyDescent="0.3">
      <c r="A37" s="12" t="s">
        <v>167</v>
      </c>
      <c r="B37" s="12" t="str">
        <f>VLOOKUP(A:A,'global_freelancer Cleaned data'!A:O,2,FALSE)</f>
        <v>Emily Daniels</v>
      </c>
      <c r="C37" s="12" t="str">
        <f>VLOOKUP(A:A,'global_freelancer Cleaned data'!A36:O285,3,FALSE)</f>
        <v>Female</v>
      </c>
      <c r="D37" s="12">
        <f>VLOOKUP(A:A,'global_freelancer Cleaned data'!A36:O285,4,FALSE)</f>
        <v>52</v>
      </c>
      <c r="E37" s="12" t="str">
        <f>VLOOKUP(A:A,'global_freelancer Cleaned data'!A36:O285,5,FALSE)</f>
        <v>South Korea</v>
      </c>
      <c r="F37" s="12">
        <f>VLOOKUP(A:A,'global_freelancer Cleaned data'!A36:O285,8,FALSE)</f>
        <v>28</v>
      </c>
      <c r="G37" s="12" t="str">
        <f>VLOOKUP(A:A,'global_freelancer Cleaned data'!A36:M285,13,FALSE)</f>
        <v>Urgent</v>
      </c>
      <c r="H37" s="12" t="str">
        <f>VLOOKUP(A:A,'global_freelancer Cleaned data'!A36:N285,14,FALSE)</f>
        <v>Inactive</v>
      </c>
      <c r="I37" s="12">
        <f>VLOOKUP(A:A,'global_freelancer Cleaned data'!A36:O285,15,FALSE)</f>
        <v>18</v>
      </c>
    </row>
    <row r="38" spans="1:9" x14ac:dyDescent="0.3">
      <c r="A38" s="60" t="s">
        <v>169</v>
      </c>
      <c r="B38" s="12" t="str">
        <f>VLOOKUP(A:A,'global_freelancer Cleaned data'!A:O,2,FALSE)</f>
        <v>Jamie Ramirez</v>
      </c>
      <c r="C38" s="12" t="str">
        <f>VLOOKUP(A:A,'global_freelancer Cleaned data'!A37:O286,3,FALSE)</f>
        <v>Female</v>
      </c>
      <c r="D38" s="12">
        <f>VLOOKUP(A:A,'global_freelancer Cleaned data'!A37:O286,4,FALSE)</f>
        <v>42</v>
      </c>
      <c r="E38" s="12" t="str">
        <f>VLOOKUP(A:A,'global_freelancer Cleaned data'!A37:O286,5,FALSE)</f>
        <v>Japan</v>
      </c>
      <c r="F38" s="12">
        <f>VLOOKUP(A:A,'global_freelancer Cleaned data'!A37:O286,8,FALSE)</f>
        <v>6</v>
      </c>
      <c r="G38" s="12" t="str">
        <f>VLOOKUP(A:A,'global_freelancer Cleaned data'!A37:M286,13,FALSE)</f>
        <v>Pending</v>
      </c>
      <c r="H38" s="12" t="str">
        <f>VLOOKUP(A:A,'global_freelancer Cleaned data'!A37:N286,14,FALSE)</f>
        <v>Inactive</v>
      </c>
      <c r="I38" s="12">
        <f>VLOOKUP(A:A,'global_freelancer Cleaned data'!A37:O286,15,FALSE)</f>
        <v>15</v>
      </c>
    </row>
    <row r="39" spans="1:9" x14ac:dyDescent="0.3">
      <c r="A39" s="12" t="s">
        <v>171</v>
      </c>
      <c r="B39" s="12" t="str">
        <f>VLOOKUP(A:A,'global_freelancer Cleaned data'!A:O,2,FALSE)</f>
        <v>Amy Harrison</v>
      </c>
      <c r="C39" s="12" t="str">
        <f>VLOOKUP(A:A,'global_freelancer Cleaned data'!A38:O287,3,FALSE)</f>
        <v>Female</v>
      </c>
      <c r="D39" s="12">
        <f>VLOOKUP(A:A,'global_freelancer Cleaned data'!A38:O287,4,FALSE)</f>
        <v>29</v>
      </c>
      <c r="E39" s="12" t="str">
        <f>VLOOKUP(A:A,'global_freelancer Cleaned data'!A38:O287,5,FALSE)</f>
        <v>Netherlands</v>
      </c>
      <c r="F39" s="12">
        <f>VLOOKUP(A:A,'global_freelancer Cleaned data'!A38:O287,8,FALSE)</f>
        <v>10</v>
      </c>
      <c r="G39" s="12" t="str">
        <f>VLOOKUP(A:A,'global_freelancer Cleaned data'!A38:M287,13,FALSE)</f>
        <v>Follow-up</v>
      </c>
      <c r="H39" s="12" t="str">
        <f>VLOOKUP(A:A,'global_freelancer Cleaned data'!A38:N287,14,FALSE)</f>
        <v>On Hold</v>
      </c>
      <c r="I39" s="12">
        <f>VLOOKUP(A:A,'global_freelancer Cleaned data'!A38:O287,15,FALSE)</f>
        <v>10</v>
      </c>
    </row>
    <row r="40" spans="1:9" x14ac:dyDescent="0.3">
      <c r="A40" s="60" t="s">
        <v>173</v>
      </c>
      <c r="B40" s="12" t="str">
        <f>VLOOKUP(A:A,'global_freelancer Cleaned data'!A:O,2,FALSE)</f>
        <v>Melinda White</v>
      </c>
      <c r="C40" s="12" t="str">
        <f>VLOOKUP(A:A,'global_freelancer Cleaned data'!A39:O288,3,FALSE)</f>
        <v>Female</v>
      </c>
      <c r="D40" s="12">
        <f>VLOOKUP(A:A,'global_freelancer Cleaned data'!A39:O288,4,FALSE)</f>
        <v>42</v>
      </c>
      <c r="E40" s="12" t="str">
        <f>VLOOKUP(A:A,'global_freelancer Cleaned data'!A39:O288,5,FALSE)</f>
        <v>South Africa</v>
      </c>
      <c r="F40" s="12">
        <f>VLOOKUP(A:A,'global_freelancer Cleaned data'!A39:O288,8,FALSE)</f>
        <v>23</v>
      </c>
      <c r="G40" s="12" t="str">
        <f>VLOOKUP(A:A,'global_freelancer Cleaned data'!A39:M288,13,FALSE)</f>
        <v>Pending</v>
      </c>
      <c r="H40" s="12" t="str">
        <f>VLOOKUP(A:A,'global_freelancer Cleaned data'!A39:N288,14,FALSE)</f>
        <v>On Hold</v>
      </c>
      <c r="I40" s="12">
        <f>VLOOKUP(A:A,'global_freelancer Cleaned data'!A39:O288,15,FALSE)</f>
        <v>13</v>
      </c>
    </row>
    <row r="41" spans="1:9" x14ac:dyDescent="0.3">
      <c r="A41" s="12" t="s">
        <v>177</v>
      </c>
      <c r="B41" s="12" t="str">
        <f>VLOOKUP(A:A,'global_freelancer Cleaned data'!A:O,2,FALSE)</f>
        <v>James Hernandez</v>
      </c>
      <c r="C41" s="12" t="str">
        <f>VLOOKUP(A:A,'global_freelancer Cleaned data'!A40:O289,3,FALSE)</f>
        <v>Male</v>
      </c>
      <c r="D41" s="12">
        <f>VLOOKUP(A:A,'global_freelancer Cleaned data'!A40:O289,4,FALSE)</f>
        <v>60</v>
      </c>
      <c r="E41" s="12" t="str">
        <f>VLOOKUP(A:A,'global_freelancer Cleaned data'!A40:O289,5,FALSE)</f>
        <v>Japan</v>
      </c>
      <c r="F41" s="12">
        <f>VLOOKUP(A:A,'global_freelancer Cleaned data'!A40:O289,8,FALSE)</f>
        <v>13</v>
      </c>
      <c r="G41" s="12" t="str">
        <f>VLOOKUP(A:A,'global_freelancer Cleaned data'!A40:M289,13,FALSE)</f>
        <v>Pending</v>
      </c>
      <c r="H41" s="12" t="str">
        <f>VLOOKUP(A:A,'global_freelancer Cleaned data'!A40:N289,14,FALSE)</f>
        <v>On Hold</v>
      </c>
      <c r="I41" s="12">
        <f>VLOOKUP(A:A,'global_freelancer Cleaned data'!A40:O289,15,FALSE)</f>
        <v>9</v>
      </c>
    </row>
    <row r="42" spans="1:9" x14ac:dyDescent="0.3">
      <c r="A42" s="60" t="s">
        <v>179</v>
      </c>
      <c r="B42" s="12" t="str">
        <f>VLOOKUP(A:A,'global_freelancer Cleaned data'!A:O,2,FALSE)</f>
        <v>Angelica Rogers</v>
      </c>
      <c r="C42" s="12" t="str">
        <f>VLOOKUP(A:A,'global_freelancer Cleaned data'!A41:O290,3,FALSE)</f>
        <v>Female</v>
      </c>
      <c r="D42" s="12">
        <f>VLOOKUP(A:A,'global_freelancer Cleaned data'!A41:O290,4,FALSE)</f>
        <v>59</v>
      </c>
      <c r="E42" s="12" t="str">
        <f>VLOOKUP(A:A,'global_freelancer Cleaned data'!A41:O290,5,FALSE)</f>
        <v>UK</v>
      </c>
      <c r="F42" s="12">
        <f>VLOOKUP(A:A,'global_freelancer Cleaned data'!A41:O290,8,FALSE)</f>
        <v>3</v>
      </c>
      <c r="G42" s="12" t="str">
        <f>VLOOKUP(A:A,'global_freelancer Cleaned data'!A41:M290,13,FALSE)</f>
        <v>Reviewed</v>
      </c>
      <c r="H42" s="12" t="str">
        <f>VLOOKUP(A:A,'global_freelancer Cleaned data'!A41:N290,14,FALSE)</f>
        <v>Active</v>
      </c>
      <c r="I42" s="12">
        <f>VLOOKUP(A:A,'global_freelancer Cleaned data'!A41:O290,15,FALSE)</f>
        <v>3</v>
      </c>
    </row>
    <row r="43" spans="1:9" x14ac:dyDescent="0.3">
      <c r="A43" s="12" t="s">
        <v>182</v>
      </c>
      <c r="B43" s="12" t="str">
        <f>VLOOKUP(A:A,'global_freelancer Cleaned data'!A:O,2,FALSE)</f>
        <v>Savannah Williams</v>
      </c>
      <c r="C43" s="12" t="str">
        <f>VLOOKUP(A:A,'global_freelancer Cleaned data'!A42:O291,3,FALSE)</f>
        <v>Female</v>
      </c>
      <c r="D43" s="12">
        <f>VLOOKUP(A:A,'global_freelancer Cleaned data'!A42:O291,4,FALSE)</f>
        <v>21</v>
      </c>
      <c r="E43" s="12" t="str">
        <f>VLOOKUP(A:A,'global_freelancer Cleaned data'!A42:O291,5,FALSE)</f>
        <v>Canada</v>
      </c>
      <c r="F43" s="12">
        <f>VLOOKUP(A:A,'global_freelancer Cleaned data'!A42:O291,8,FALSE)</f>
        <v>0</v>
      </c>
      <c r="G43" s="12" t="str">
        <f>VLOOKUP(A:A,'global_freelancer Cleaned data'!A42:M291,13,FALSE)</f>
        <v>Pending</v>
      </c>
      <c r="H43" s="12" t="str">
        <f>VLOOKUP(A:A,'global_freelancer Cleaned data'!A42:N291,14,FALSE)</f>
        <v>Completed</v>
      </c>
      <c r="I43" s="12">
        <f>VLOOKUP(A:A,'global_freelancer Cleaned data'!A42:O291,15,FALSE)</f>
        <v>5</v>
      </c>
    </row>
    <row r="44" spans="1:9" x14ac:dyDescent="0.3">
      <c r="A44" s="60" t="s">
        <v>184</v>
      </c>
      <c r="B44" s="12" t="str">
        <f>VLOOKUP(A:A,'global_freelancer Cleaned data'!A:O,2,FALSE)</f>
        <v>Kaitlyn Schmidt</v>
      </c>
      <c r="C44" s="12" t="str">
        <f>VLOOKUP(A:A,'global_freelancer Cleaned data'!A43:O292,3,FALSE)</f>
        <v>Female</v>
      </c>
      <c r="D44" s="12">
        <f>VLOOKUP(A:A,'global_freelancer Cleaned data'!A43:O292,4,FALSE)</f>
        <v>35</v>
      </c>
      <c r="E44" s="12" t="str">
        <f>VLOOKUP(A:A,'global_freelancer Cleaned data'!A43:O292,5,FALSE)</f>
        <v>Germany</v>
      </c>
      <c r="F44" s="12">
        <f>VLOOKUP(A:A,'global_freelancer Cleaned data'!A43:O292,8,FALSE)</f>
        <v>10</v>
      </c>
      <c r="G44" s="12" t="str">
        <f>VLOOKUP(A:A,'global_freelancer Cleaned data'!A43:M292,13,FALSE)</f>
        <v>Urgent</v>
      </c>
      <c r="H44" s="12" t="str">
        <f>VLOOKUP(A:A,'global_freelancer Cleaned data'!A43:N292,14,FALSE)</f>
        <v>Inactive</v>
      </c>
      <c r="I44" s="12">
        <f>VLOOKUP(A:A,'global_freelancer Cleaned data'!A43:O292,15,FALSE)</f>
        <v>7</v>
      </c>
    </row>
    <row r="45" spans="1:9" x14ac:dyDescent="0.3">
      <c r="A45" s="12" t="s">
        <v>186</v>
      </c>
      <c r="B45" s="12" t="str">
        <f>VLOOKUP(A:A,'global_freelancer Cleaned data'!A:O,2,FALSE)</f>
        <v>Jason Singh</v>
      </c>
      <c r="C45" s="12" t="str">
        <f>VLOOKUP(A:A,'global_freelancer Cleaned data'!A44:O293,3,FALSE)</f>
        <v>Male</v>
      </c>
      <c r="D45" s="12">
        <f>VLOOKUP(A:A,'global_freelancer Cleaned data'!A44:O293,4,FALSE)</f>
        <v>41</v>
      </c>
      <c r="E45" s="12" t="str">
        <f>VLOOKUP(A:A,'global_freelancer Cleaned data'!A44:O293,5,FALSE)</f>
        <v>UK</v>
      </c>
      <c r="F45" s="12" t="str">
        <f>VLOOKUP(A:A,'global_freelancer Cleaned data'!A44:O293,8,FALSE)</f>
        <v>Not Mentioned</v>
      </c>
      <c r="G45" s="12" t="str">
        <f>VLOOKUP(A:A,'global_freelancer Cleaned data'!A44:M293,13,FALSE)</f>
        <v>Pending</v>
      </c>
      <c r="H45" s="12" t="str">
        <f>VLOOKUP(A:A,'global_freelancer Cleaned data'!A44:N293,14,FALSE)</f>
        <v>Inactive</v>
      </c>
      <c r="I45" s="12">
        <f>VLOOKUP(A:A,'global_freelancer Cleaned data'!A44:O293,15,FALSE)</f>
        <v>1</v>
      </c>
    </row>
    <row r="46" spans="1:9" x14ac:dyDescent="0.3">
      <c r="A46" s="60" t="s">
        <v>188</v>
      </c>
      <c r="B46" s="12" t="str">
        <f>VLOOKUP(A:A,'global_freelancer Cleaned data'!A:O,2,FALSE)</f>
        <v>Michelle Ramirez</v>
      </c>
      <c r="C46" s="12" t="str">
        <f>VLOOKUP(A:A,'global_freelancer Cleaned data'!A45:O294,3,FALSE)</f>
        <v>Female</v>
      </c>
      <c r="D46" s="12">
        <f>VLOOKUP(A:A,'global_freelancer Cleaned data'!A45:O294,4,FALSE)</f>
        <v>51</v>
      </c>
      <c r="E46" s="12" t="str">
        <f>VLOOKUP(A:A,'global_freelancer Cleaned data'!A45:O294,5,FALSE)</f>
        <v>Netherlands</v>
      </c>
      <c r="F46" s="12">
        <f>VLOOKUP(A:A,'global_freelancer Cleaned data'!A45:O294,8,FALSE)</f>
        <v>23</v>
      </c>
      <c r="G46" s="12" t="str">
        <f>VLOOKUP(A:A,'global_freelancer Cleaned data'!A45:M294,13,FALSE)</f>
        <v>Urgent</v>
      </c>
      <c r="H46" s="12" t="str">
        <f>VLOOKUP(A:A,'global_freelancer Cleaned data'!A45:N294,14,FALSE)</f>
        <v>On Hold</v>
      </c>
      <c r="I46" s="12">
        <f>VLOOKUP(A:A,'global_freelancer Cleaned data'!A45:O294,15,FALSE)</f>
        <v>17</v>
      </c>
    </row>
    <row r="47" spans="1:9" x14ac:dyDescent="0.3">
      <c r="A47" s="12" t="s">
        <v>190</v>
      </c>
      <c r="B47" s="12" t="str">
        <f>VLOOKUP(A:A,'global_freelancer Cleaned data'!A:O,2,FALSE)</f>
        <v>James Brown</v>
      </c>
      <c r="C47" s="12" t="str">
        <f>VLOOKUP(A:A,'global_freelancer Cleaned data'!A46:O295,3,FALSE)</f>
        <v>Male</v>
      </c>
      <c r="D47" s="12">
        <f>VLOOKUP(A:A,'global_freelancer Cleaned data'!A46:O295,4,FALSE)</f>
        <v>41</v>
      </c>
      <c r="E47" s="12" t="str">
        <f>VLOOKUP(A:A,'global_freelancer Cleaned data'!A46:O295,5,FALSE)</f>
        <v>South Africa</v>
      </c>
      <c r="F47" s="12">
        <f>VLOOKUP(A:A,'global_freelancer Cleaned data'!A46:O295,8,FALSE)</f>
        <v>9</v>
      </c>
      <c r="G47" s="12" t="str">
        <f>VLOOKUP(A:A,'global_freelancer Cleaned data'!A46:M295,13,FALSE)</f>
        <v>Urgent</v>
      </c>
      <c r="H47" s="12" t="str">
        <f>VLOOKUP(A:A,'global_freelancer Cleaned data'!A46:N295,14,FALSE)</f>
        <v>Inactive</v>
      </c>
      <c r="I47" s="12">
        <f>VLOOKUP(A:A,'global_freelancer Cleaned data'!A46:O295,15,FALSE)</f>
        <v>13</v>
      </c>
    </row>
    <row r="48" spans="1:9" x14ac:dyDescent="0.3">
      <c r="A48" s="60" t="s">
        <v>193</v>
      </c>
      <c r="B48" s="12" t="str">
        <f>VLOOKUP(A:A,'global_freelancer Cleaned data'!A:O,2,FALSE)</f>
        <v>Mrs. Samantha Simmons</v>
      </c>
      <c r="C48" s="12" t="str">
        <f>VLOOKUP(A:A,'global_freelancer Cleaned data'!A47:O296,3,FALSE)</f>
        <v>Female</v>
      </c>
      <c r="D48" s="12">
        <f>VLOOKUP(A:A,'global_freelancer Cleaned data'!A47:O296,4,FALSE)</f>
        <v>47</v>
      </c>
      <c r="E48" s="12" t="str">
        <f>VLOOKUP(A:A,'global_freelancer Cleaned data'!A47:O296,5,FALSE)</f>
        <v>Egypt</v>
      </c>
      <c r="F48" s="12">
        <f>VLOOKUP(A:A,'global_freelancer Cleaned data'!A47:O296,8,FALSE)</f>
        <v>15</v>
      </c>
      <c r="G48" s="12" t="str">
        <f>VLOOKUP(A:A,'global_freelancer Cleaned data'!A47:M296,13,FALSE)</f>
        <v>Urgent</v>
      </c>
      <c r="H48" s="12" t="str">
        <f>VLOOKUP(A:A,'global_freelancer Cleaned data'!A47:N296,14,FALSE)</f>
        <v>Inactive</v>
      </c>
      <c r="I48" s="12">
        <f>VLOOKUP(A:A,'global_freelancer Cleaned data'!A47:O296,15,FALSE)</f>
        <v>12</v>
      </c>
    </row>
    <row r="49" spans="1:9" x14ac:dyDescent="0.3">
      <c r="A49" s="12" t="s">
        <v>195</v>
      </c>
      <c r="B49" s="12" t="str">
        <f>VLOOKUP(A:A,'global_freelancer Cleaned data'!A:O,2,FALSE)</f>
        <v>Chase Mason</v>
      </c>
      <c r="C49" s="12" t="str">
        <f>VLOOKUP(A:A,'global_freelancer Cleaned data'!A48:O297,3,FALSE)</f>
        <v>Male</v>
      </c>
      <c r="D49" s="12">
        <f>VLOOKUP(A:A,'global_freelancer Cleaned data'!A48:O297,4,FALSE)</f>
        <v>25</v>
      </c>
      <c r="E49" s="12" t="str">
        <f>VLOOKUP(A:A,'global_freelancer Cleaned data'!A48:O297,5,FALSE)</f>
        <v>China</v>
      </c>
      <c r="F49" s="12">
        <f>VLOOKUP(A:A,'global_freelancer Cleaned data'!A48:O297,8,FALSE)</f>
        <v>4</v>
      </c>
      <c r="G49" s="12" t="str">
        <f>VLOOKUP(A:A,'global_freelancer Cleaned data'!A48:M297,13,FALSE)</f>
        <v>Follow-up</v>
      </c>
      <c r="H49" s="12" t="str">
        <f>VLOOKUP(A:A,'global_freelancer Cleaned data'!A48:N297,14,FALSE)</f>
        <v>Completed</v>
      </c>
      <c r="I49" s="12">
        <f>VLOOKUP(A:A,'global_freelancer Cleaned data'!A48:O297,15,FALSE)</f>
        <v>4</v>
      </c>
    </row>
    <row r="50" spans="1:9" x14ac:dyDescent="0.3">
      <c r="A50" s="60" t="s">
        <v>199</v>
      </c>
      <c r="B50" s="12" t="str">
        <f>VLOOKUP(A:A,'global_freelancer Cleaned data'!A:O,2,FALSE)</f>
        <v>Dominique Ward</v>
      </c>
      <c r="C50" s="12" t="str">
        <f>VLOOKUP(A:A,'global_freelancer Cleaned data'!A49:O298,3,FALSE)</f>
        <v>Female</v>
      </c>
      <c r="D50" s="12">
        <f>VLOOKUP(A:A,'global_freelancer Cleaned data'!A49:O298,4,FALSE)</f>
        <v>25</v>
      </c>
      <c r="E50" s="12" t="str">
        <f>VLOOKUP(A:A,'global_freelancer Cleaned data'!A49:O298,5,FALSE)</f>
        <v>Mexico</v>
      </c>
      <c r="F50" s="12">
        <f>VLOOKUP(A:A,'global_freelancer Cleaned data'!A49:O298,8,FALSE)</f>
        <v>7</v>
      </c>
      <c r="G50" s="12" t="str">
        <f>VLOOKUP(A:A,'global_freelancer Cleaned data'!A49:M298,13,FALSE)</f>
        <v>Reviewed</v>
      </c>
      <c r="H50" s="12" t="str">
        <f>VLOOKUP(A:A,'global_freelancer Cleaned data'!A49:N298,14,FALSE)</f>
        <v>On Hold</v>
      </c>
      <c r="I50" s="12">
        <f>VLOOKUP(A:A,'global_freelancer Cleaned data'!A49:O298,15,FALSE)</f>
        <v>12</v>
      </c>
    </row>
    <row r="51" spans="1:9" x14ac:dyDescent="0.3">
      <c r="A51" s="12" t="s">
        <v>202</v>
      </c>
      <c r="B51" s="12" t="str">
        <f>VLOOKUP(A:A,'global_freelancer Cleaned data'!A:O,2,FALSE)</f>
        <v>Lance Griffin</v>
      </c>
      <c r="C51" s="12" t="str">
        <f>VLOOKUP(A:A,'global_freelancer Cleaned data'!A50:O299,3,FALSE)</f>
        <v>Male</v>
      </c>
      <c r="D51" s="12">
        <f>VLOOKUP(A:A,'global_freelancer Cleaned data'!A50:O299,4,FALSE)</f>
        <v>29</v>
      </c>
      <c r="E51" s="12" t="str">
        <f>VLOOKUP(A:A,'global_freelancer Cleaned data'!A50:O299,5,FALSE)</f>
        <v>Not Mentioned</v>
      </c>
      <c r="F51" s="12">
        <f>VLOOKUP(A:A,'global_freelancer Cleaned data'!A50:O299,8,FALSE)</f>
        <v>1</v>
      </c>
      <c r="G51" s="12" t="str">
        <f>VLOOKUP(A:A,'global_freelancer Cleaned data'!A50:M299,13,FALSE)</f>
        <v>Urgent</v>
      </c>
      <c r="H51" s="12" t="str">
        <f>VLOOKUP(A:A,'global_freelancer Cleaned data'!A50:N299,14,FALSE)</f>
        <v>Completed</v>
      </c>
      <c r="I51" s="12">
        <f>VLOOKUP(A:A,'global_freelancer Cleaned data'!A50:O299,15,FALSE)</f>
        <v>2</v>
      </c>
    </row>
    <row r="52" spans="1:9" x14ac:dyDescent="0.3">
      <c r="A52" s="60" t="s">
        <v>204</v>
      </c>
      <c r="B52" s="12" t="str">
        <f>VLOOKUP(A:A,'global_freelancer Cleaned data'!A:O,2,FALSE)</f>
        <v>Julie Burgess</v>
      </c>
      <c r="C52" s="12" t="str">
        <f>VLOOKUP(A:A,'global_freelancer Cleaned data'!A51:O300,3,FALSE)</f>
        <v>Female</v>
      </c>
      <c r="D52" s="12">
        <f>VLOOKUP(A:A,'global_freelancer Cleaned data'!A51:O300,4,FALSE)</f>
        <v>23</v>
      </c>
      <c r="E52" s="12" t="str">
        <f>VLOOKUP(A:A,'global_freelancer Cleaned data'!A51:O300,5,FALSE)</f>
        <v>Argentina</v>
      </c>
      <c r="F52" s="12">
        <f>VLOOKUP(A:A,'global_freelancer Cleaned data'!A51:O300,8,FALSE)</f>
        <v>0</v>
      </c>
      <c r="G52" s="12" t="str">
        <f>VLOOKUP(A:A,'global_freelancer Cleaned data'!A51:M300,13,FALSE)</f>
        <v>Urgent</v>
      </c>
      <c r="H52" s="12" t="str">
        <f>VLOOKUP(A:A,'global_freelancer Cleaned data'!A51:N300,14,FALSE)</f>
        <v>Active</v>
      </c>
      <c r="I52" s="12">
        <f>VLOOKUP(A:A,'global_freelancer Cleaned data'!A51:O300,15,FALSE)</f>
        <v>2</v>
      </c>
    </row>
    <row r="53" spans="1:9" x14ac:dyDescent="0.3">
      <c r="A53" s="12" t="s">
        <v>206</v>
      </c>
      <c r="B53" s="12" t="str">
        <f>VLOOKUP(A:A,'global_freelancer Cleaned data'!A:O,2,FALSE)</f>
        <v>Don Scott</v>
      </c>
      <c r="C53" s="12" t="str">
        <f>VLOOKUP(A:A,'global_freelancer Cleaned data'!A52:O301,3,FALSE)</f>
        <v>Male</v>
      </c>
      <c r="D53" s="12">
        <f>VLOOKUP(A:A,'global_freelancer Cleaned data'!A52:O301,4,FALSE)</f>
        <v>31</v>
      </c>
      <c r="E53" s="12" t="str">
        <f>VLOOKUP(A:A,'global_freelancer Cleaned data'!A52:O301,5,FALSE)</f>
        <v>France</v>
      </c>
      <c r="F53" s="12">
        <f>VLOOKUP(A:A,'global_freelancer Cleaned data'!A52:O301,8,FALSE)</f>
        <v>8</v>
      </c>
      <c r="G53" s="12" t="str">
        <f>VLOOKUP(A:A,'global_freelancer Cleaned data'!A52:M301,13,FALSE)</f>
        <v>Follow-up</v>
      </c>
      <c r="H53" s="12" t="str">
        <f>VLOOKUP(A:A,'global_freelancer Cleaned data'!A52:N301,14,FALSE)</f>
        <v>Active</v>
      </c>
      <c r="I53" s="12">
        <f>VLOOKUP(A:A,'global_freelancer Cleaned data'!A52:O301,15,FALSE)</f>
        <v>11</v>
      </c>
    </row>
    <row r="54" spans="1:9" x14ac:dyDescent="0.3">
      <c r="A54" s="60" t="s">
        <v>208</v>
      </c>
      <c r="B54" s="12" t="str">
        <f>VLOOKUP(A:A,'global_freelancer Cleaned data'!A:O,2,FALSE)</f>
        <v>Kyle Atkinson</v>
      </c>
      <c r="C54" s="12" t="str">
        <f>VLOOKUP(A:A,'global_freelancer Cleaned data'!A53:O302,3,FALSE)</f>
        <v>Male</v>
      </c>
      <c r="D54" s="12">
        <f>VLOOKUP(A:A,'global_freelancer Cleaned data'!A53:O302,4,FALSE)</f>
        <v>51</v>
      </c>
      <c r="E54" s="12" t="str">
        <f>VLOOKUP(A:A,'global_freelancer Cleaned data'!A53:O302,5,FALSE)</f>
        <v>Germany</v>
      </c>
      <c r="F54" s="12">
        <f>VLOOKUP(A:A,'global_freelancer Cleaned data'!A53:O302,8,FALSE)</f>
        <v>33</v>
      </c>
      <c r="G54" s="12" t="str">
        <f>VLOOKUP(A:A,'global_freelancer Cleaned data'!A53:M302,13,FALSE)</f>
        <v>Urgent</v>
      </c>
      <c r="H54" s="12" t="str">
        <f>VLOOKUP(A:A,'global_freelancer Cleaned data'!A53:N302,14,FALSE)</f>
        <v>Active</v>
      </c>
      <c r="I54" s="12">
        <f>VLOOKUP(A:A,'global_freelancer Cleaned data'!A53:O302,15,FALSE)</f>
        <v>17</v>
      </c>
    </row>
    <row r="55" spans="1:9" x14ac:dyDescent="0.3">
      <c r="A55" s="12" t="s">
        <v>210</v>
      </c>
      <c r="B55" s="12" t="str">
        <f>VLOOKUP(A:A,'global_freelancer Cleaned data'!A:O,2,FALSE)</f>
        <v>Jimmy Hogan</v>
      </c>
      <c r="C55" s="12" t="str">
        <f>VLOOKUP(A:A,'global_freelancer Cleaned data'!A54:O303,3,FALSE)</f>
        <v>Male</v>
      </c>
      <c r="D55" s="12" t="str">
        <f>VLOOKUP(A:A,'global_freelancer Cleaned data'!A54:O303,4,FALSE)</f>
        <v>Not given</v>
      </c>
      <c r="E55" s="12" t="str">
        <f>VLOOKUP(A:A,'global_freelancer Cleaned data'!A54:O303,5,FALSE)</f>
        <v>Spain</v>
      </c>
      <c r="F55" s="12">
        <f>VLOOKUP(A:A,'global_freelancer Cleaned data'!A54:O303,8,FALSE)</f>
        <v>1</v>
      </c>
      <c r="G55" s="12" t="str">
        <f>VLOOKUP(A:A,'global_freelancer Cleaned data'!A54:M303,13,FALSE)</f>
        <v>Pending</v>
      </c>
      <c r="H55" s="12" t="str">
        <f>VLOOKUP(A:A,'global_freelancer Cleaned data'!A54:N303,14,FALSE)</f>
        <v>On Hold</v>
      </c>
      <c r="I55" s="12">
        <f>VLOOKUP(A:A,'global_freelancer Cleaned data'!A54:O303,15,FALSE)</f>
        <v>1</v>
      </c>
    </row>
    <row r="56" spans="1:9" x14ac:dyDescent="0.3">
      <c r="A56" s="60" t="s">
        <v>213</v>
      </c>
      <c r="B56" s="12" t="str">
        <f>VLOOKUP(A:A,'global_freelancer Cleaned data'!A:O,2,FALSE)</f>
        <v>Jennifer Mcintyre</v>
      </c>
      <c r="C56" s="12" t="str">
        <f>VLOOKUP(A:A,'global_freelancer Cleaned data'!A55:O304,3,FALSE)</f>
        <v>Female</v>
      </c>
      <c r="D56" s="12">
        <f>VLOOKUP(A:A,'global_freelancer Cleaned data'!A55:O304,4,FALSE)</f>
        <v>29</v>
      </c>
      <c r="E56" s="12" t="str">
        <f>VLOOKUP(A:A,'global_freelancer Cleaned data'!A55:O304,5,FALSE)</f>
        <v>Turkey</v>
      </c>
      <c r="F56" s="12">
        <f>VLOOKUP(A:A,'global_freelancer Cleaned data'!A55:O304,8,FALSE)</f>
        <v>11</v>
      </c>
      <c r="G56" s="12" t="str">
        <f>VLOOKUP(A:A,'global_freelancer Cleaned data'!A55:M304,13,FALSE)</f>
        <v>Pending</v>
      </c>
      <c r="H56" s="12" t="str">
        <f>VLOOKUP(A:A,'global_freelancer Cleaned data'!A55:N304,14,FALSE)</f>
        <v>Inactive</v>
      </c>
      <c r="I56" s="12">
        <f>VLOOKUP(A:A,'global_freelancer Cleaned data'!A55:O304,15,FALSE)</f>
        <v>7</v>
      </c>
    </row>
    <row r="57" spans="1:9" x14ac:dyDescent="0.3">
      <c r="A57" s="12" t="s">
        <v>215</v>
      </c>
      <c r="B57" s="12" t="str">
        <f>VLOOKUP(A:A,'global_freelancer Cleaned data'!A:O,2,FALSE)</f>
        <v>Larry Simpson</v>
      </c>
      <c r="C57" s="12" t="str">
        <f>VLOOKUP(A:A,'global_freelancer Cleaned data'!A56:O305,3,FALSE)</f>
        <v>Male</v>
      </c>
      <c r="D57" s="12">
        <f>VLOOKUP(A:A,'global_freelancer Cleaned data'!A56:O305,4,FALSE)</f>
        <v>50</v>
      </c>
      <c r="E57" s="12" t="str">
        <f>VLOOKUP(A:A,'global_freelancer Cleaned data'!A56:O305,5,FALSE)</f>
        <v>UK</v>
      </c>
      <c r="F57" s="12">
        <f>VLOOKUP(A:A,'global_freelancer Cleaned data'!A56:O305,8,FALSE)</f>
        <v>15</v>
      </c>
      <c r="G57" s="12" t="str">
        <f>VLOOKUP(A:A,'global_freelancer Cleaned data'!A56:M305,13,FALSE)</f>
        <v>Reviewed</v>
      </c>
      <c r="H57" s="12" t="str">
        <f>VLOOKUP(A:A,'global_freelancer Cleaned data'!A56:N305,14,FALSE)</f>
        <v>On Hold</v>
      </c>
      <c r="I57" s="12">
        <f>VLOOKUP(A:A,'global_freelancer Cleaned data'!A56:O305,15,FALSE)</f>
        <v>7</v>
      </c>
    </row>
    <row r="58" spans="1:9" x14ac:dyDescent="0.3">
      <c r="A58" s="60" t="s">
        <v>217</v>
      </c>
      <c r="B58" s="12" t="str">
        <f>VLOOKUP(A:A,'global_freelancer Cleaned data'!A:O,2,FALSE)</f>
        <v>Laura Price</v>
      </c>
      <c r="C58" s="12" t="str">
        <f>VLOOKUP(A:A,'global_freelancer Cleaned data'!A57:O306,3,FALSE)</f>
        <v>Female</v>
      </c>
      <c r="D58" s="12">
        <f>VLOOKUP(A:A,'global_freelancer Cleaned data'!A57:O306,4,FALSE)</f>
        <v>26</v>
      </c>
      <c r="E58" s="12" t="str">
        <f>VLOOKUP(A:A,'global_freelancer Cleaned data'!A57:O306,5,FALSE)</f>
        <v>UK</v>
      </c>
      <c r="F58" s="12">
        <f>VLOOKUP(A:A,'global_freelancer Cleaned data'!A57:O306,8,FALSE)</f>
        <v>8</v>
      </c>
      <c r="G58" s="12" t="str">
        <f>VLOOKUP(A:A,'global_freelancer Cleaned data'!A57:M306,13,FALSE)</f>
        <v>Urgent</v>
      </c>
      <c r="H58" s="12" t="str">
        <f>VLOOKUP(A:A,'global_freelancer Cleaned data'!A57:N306,14,FALSE)</f>
        <v>On Hold</v>
      </c>
      <c r="I58" s="12">
        <f>VLOOKUP(A:A,'global_freelancer Cleaned data'!A57:O306,15,FALSE)</f>
        <v>7</v>
      </c>
    </row>
    <row r="59" spans="1:9" x14ac:dyDescent="0.3">
      <c r="A59" s="12" t="s">
        <v>219</v>
      </c>
      <c r="B59" s="12" t="str">
        <f>VLOOKUP(A:A,'global_freelancer Cleaned data'!A:O,2,FALSE)</f>
        <v>Mark Wright</v>
      </c>
      <c r="C59" s="12" t="str">
        <f>VLOOKUP(A:A,'global_freelancer Cleaned data'!A58:O307,3,FALSE)</f>
        <v>Male</v>
      </c>
      <c r="D59" s="12">
        <f>VLOOKUP(A:A,'global_freelancer Cleaned data'!A58:O307,4,FALSE)</f>
        <v>38</v>
      </c>
      <c r="E59" s="12" t="str">
        <f>VLOOKUP(A:A,'global_freelancer Cleaned data'!A58:O307,5,FALSE)</f>
        <v>Canada</v>
      </c>
      <c r="F59" s="12">
        <f>VLOOKUP(A:A,'global_freelancer Cleaned data'!A58:O307,8,FALSE)</f>
        <v>17</v>
      </c>
      <c r="G59" s="12" t="str">
        <f>VLOOKUP(A:A,'global_freelancer Cleaned data'!A58:M307,13,FALSE)</f>
        <v>Follow-up</v>
      </c>
      <c r="H59" s="12" t="str">
        <f>VLOOKUP(A:A,'global_freelancer Cleaned data'!A58:N307,14,FALSE)</f>
        <v>Inactive</v>
      </c>
      <c r="I59" s="12">
        <f>VLOOKUP(A:A,'global_freelancer Cleaned data'!A58:O307,15,FALSE)</f>
        <v>16</v>
      </c>
    </row>
    <row r="60" spans="1:9" x14ac:dyDescent="0.3">
      <c r="A60" s="60" t="s">
        <v>221</v>
      </c>
      <c r="B60" s="12" t="str">
        <f>VLOOKUP(A:A,'global_freelancer Cleaned data'!A:O,2,FALSE)</f>
        <v>Samantha Mcdaniel</v>
      </c>
      <c r="C60" s="12" t="str">
        <f>VLOOKUP(A:A,'global_freelancer Cleaned data'!A59:O308,3,FALSE)</f>
        <v>Female</v>
      </c>
      <c r="D60" s="12">
        <f>VLOOKUP(A:A,'global_freelancer Cleaned data'!A59:O308,4,FALSE)</f>
        <v>23</v>
      </c>
      <c r="E60" s="12" t="str">
        <f>VLOOKUP(A:A,'global_freelancer Cleaned data'!A59:O308,5,FALSE)</f>
        <v>India</v>
      </c>
      <c r="F60" s="12" t="str">
        <f>VLOOKUP(A:A,'global_freelancer Cleaned data'!A59:O308,8,FALSE)</f>
        <v>Not Mentioned</v>
      </c>
      <c r="G60" s="12" t="str">
        <f>VLOOKUP(A:A,'global_freelancer Cleaned data'!A59:M308,13,FALSE)</f>
        <v>Pending</v>
      </c>
      <c r="H60" s="12" t="str">
        <f>VLOOKUP(A:A,'global_freelancer Cleaned data'!A59:N308,14,FALSE)</f>
        <v>Completed</v>
      </c>
      <c r="I60" s="12">
        <f>VLOOKUP(A:A,'global_freelancer Cleaned data'!A59:O308,15,FALSE)</f>
        <v>2</v>
      </c>
    </row>
    <row r="61" spans="1:9" x14ac:dyDescent="0.3">
      <c r="A61" s="12" t="s">
        <v>223</v>
      </c>
      <c r="B61" s="12" t="str">
        <f>VLOOKUP(A:A,'global_freelancer Cleaned data'!A:O,2,FALSE)</f>
        <v>Barbara Foster</v>
      </c>
      <c r="C61" s="12" t="str">
        <f>VLOOKUP(A:A,'global_freelancer Cleaned data'!A60:O309,3,FALSE)</f>
        <v>Female</v>
      </c>
      <c r="D61" s="12">
        <f>VLOOKUP(A:A,'global_freelancer Cleaned data'!A60:O309,4,FALSE)</f>
        <v>51</v>
      </c>
      <c r="E61" s="12" t="str">
        <f>VLOOKUP(A:A,'global_freelancer Cleaned data'!A60:O309,5,FALSE)</f>
        <v>South Africa</v>
      </c>
      <c r="F61" s="12">
        <f>VLOOKUP(A:A,'global_freelancer Cleaned data'!A60:O309,8,FALSE)</f>
        <v>28</v>
      </c>
      <c r="G61" s="12" t="str">
        <f>VLOOKUP(A:A,'global_freelancer Cleaned data'!A60:M309,13,FALSE)</f>
        <v>Follow-up</v>
      </c>
      <c r="H61" s="12" t="str">
        <f>VLOOKUP(A:A,'global_freelancer Cleaned data'!A60:N309,14,FALSE)</f>
        <v>Active</v>
      </c>
      <c r="I61" s="12">
        <f>VLOOKUP(A:A,'global_freelancer Cleaned data'!A60:O309,15,FALSE)</f>
        <v>13</v>
      </c>
    </row>
    <row r="62" spans="1:9" x14ac:dyDescent="0.3">
      <c r="A62" s="60" t="s">
        <v>225</v>
      </c>
      <c r="B62" s="12" t="str">
        <f>VLOOKUP(A:A,'global_freelancer Cleaned data'!A:O,2,FALSE)</f>
        <v>Courtney Tran</v>
      </c>
      <c r="C62" s="12" t="str">
        <f>VLOOKUP(A:A,'global_freelancer Cleaned data'!A61:O310,3,FALSE)</f>
        <v>Female</v>
      </c>
      <c r="D62" s="12">
        <f>VLOOKUP(A:A,'global_freelancer Cleaned data'!A61:O310,4,FALSE)</f>
        <v>51</v>
      </c>
      <c r="E62" s="12" t="str">
        <f>VLOOKUP(A:A,'global_freelancer Cleaned data'!A61:O310,5,FALSE)</f>
        <v>Indonesia</v>
      </c>
      <c r="F62" s="12">
        <f>VLOOKUP(A:A,'global_freelancer Cleaned data'!A61:O310,8,FALSE)</f>
        <v>33</v>
      </c>
      <c r="G62" s="12" t="str">
        <f>VLOOKUP(A:A,'global_freelancer Cleaned data'!A61:M310,13,FALSE)</f>
        <v>Follow-up</v>
      </c>
      <c r="H62" s="12" t="str">
        <f>VLOOKUP(A:A,'global_freelancer Cleaned data'!A61:N310,14,FALSE)</f>
        <v>Completed</v>
      </c>
      <c r="I62" s="12">
        <f>VLOOKUP(A:A,'global_freelancer Cleaned data'!A61:O310,15,FALSE)</f>
        <v>14</v>
      </c>
    </row>
    <row r="63" spans="1:9" x14ac:dyDescent="0.3">
      <c r="A63" s="12" t="s">
        <v>227</v>
      </c>
      <c r="B63" s="12" t="str">
        <f>VLOOKUP(A:A,'global_freelancer Cleaned data'!A:O,2,FALSE)</f>
        <v>Eddie Todd</v>
      </c>
      <c r="C63" s="12" t="str">
        <f>VLOOKUP(A:A,'global_freelancer Cleaned data'!A62:O311,3,FALSE)</f>
        <v>Male</v>
      </c>
      <c r="D63" s="12">
        <f>VLOOKUP(A:A,'global_freelancer Cleaned data'!A62:O311,4,FALSE)</f>
        <v>47</v>
      </c>
      <c r="E63" s="12" t="str">
        <f>VLOOKUP(A:A,'global_freelancer Cleaned data'!A62:O311,5,FALSE)</f>
        <v>Germany</v>
      </c>
      <c r="F63" s="12">
        <f>VLOOKUP(A:A,'global_freelancer Cleaned data'!A62:O311,8,FALSE)</f>
        <v>18</v>
      </c>
      <c r="G63" s="12" t="str">
        <f>VLOOKUP(A:A,'global_freelancer Cleaned data'!A62:M311,13,FALSE)</f>
        <v>Pending</v>
      </c>
      <c r="H63" s="12" t="str">
        <f>VLOOKUP(A:A,'global_freelancer Cleaned data'!A62:N311,14,FALSE)</f>
        <v>Active</v>
      </c>
      <c r="I63" s="12">
        <f>VLOOKUP(A:A,'global_freelancer Cleaned data'!A62:O311,15,FALSE)</f>
        <v>11</v>
      </c>
    </row>
    <row r="64" spans="1:9" x14ac:dyDescent="0.3">
      <c r="A64" s="60" t="s">
        <v>229</v>
      </c>
      <c r="B64" s="12" t="str">
        <f>VLOOKUP(A:A,'global_freelancer Cleaned data'!A:O,2,FALSE)</f>
        <v>Christine Johnson</v>
      </c>
      <c r="C64" s="12" t="str">
        <f>VLOOKUP(A:A,'global_freelancer Cleaned data'!A63:O312,3,FALSE)</f>
        <v>Female</v>
      </c>
      <c r="D64" s="12">
        <f>VLOOKUP(A:A,'global_freelancer Cleaned data'!A63:O312,4,FALSE)</f>
        <v>34</v>
      </c>
      <c r="E64" s="12" t="str">
        <f>VLOOKUP(A:A,'global_freelancer Cleaned data'!A63:O312,5,FALSE)</f>
        <v>Russia</v>
      </c>
      <c r="F64" s="12">
        <f>VLOOKUP(A:A,'global_freelancer Cleaned data'!A63:O312,8,FALSE)</f>
        <v>16</v>
      </c>
      <c r="G64" s="12" t="str">
        <f>VLOOKUP(A:A,'global_freelancer Cleaned data'!A63:M312,13,FALSE)</f>
        <v>Follow-up</v>
      </c>
      <c r="H64" s="12" t="str">
        <f>VLOOKUP(A:A,'global_freelancer Cleaned data'!A63:N312,14,FALSE)</f>
        <v>On Hold</v>
      </c>
      <c r="I64" s="12">
        <f>VLOOKUP(A:A,'global_freelancer Cleaned data'!A63:O312,15,FALSE)</f>
        <v>15</v>
      </c>
    </row>
    <row r="65" spans="1:9" x14ac:dyDescent="0.3">
      <c r="A65" s="12" t="s">
        <v>231</v>
      </c>
      <c r="B65" s="12" t="str">
        <f>VLOOKUP(A:A,'global_freelancer Cleaned data'!A:O,2,FALSE)</f>
        <v>Leah Phelps</v>
      </c>
      <c r="C65" s="12" t="str">
        <f>VLOOKUP(A:A,'global_freelancer Cleaned data'!A64:O313,3,FALSE)</f>
        <v>Female</v>
      </c>
      <c r="D65" s="12">
        <f>VLOOKUP(A:A,'global_freelancer Cleaned data'!A64:O313,4,FALSE)</f>
        <v>58</v>
      </c>
      <c r="E65" s="12" t="str">
        <f>VLOOKUP(A:A,'global_freelancer Cleaned data'!A64:O313,5,FALSE)</f>
        <v>Indonesia</v>
      </c>
      <c r="F65" s="12">
        <f>VLOOKUP(A:A,'global_freelancer Cleaned data'!A64:O313,8,FALSE)</f>
        <v>35</v>
      </c>
      <c r="G65" s="12" t="str">
        <f>VLOOKUP(A:A,'global_freelancer Cleaned data'!A64:M313,13,FALSE)</f>
        <v>Pending</v>
      </c>
      <c r="H65" s="12" t="str">
        <f>VLOOKUP(A:A,'global_freelancer Cleaned data'!A64:N313,14,FALSE)</f>
        <v>Active</v>
      </c>
      <c r="I65" s="12">
        <f>VLOOKUP(A:A,'global_freelancer Cleaned data'!A64:O313,15,FALSE)</f>
        <v>17</v>
      </c>
    </row>
    <row r="66" spans="1:9" x14ac:dyDescent="0.3">
      <c r="A66" s="60" t="s">
        <v>233</v>
      </c>
      <c r="B66" s="12" t="str">
        <f>VLOOKUP(A:A,'global_freelancer Cleaned data'!A:O,2,FALSE)</f>
        <v>Rebekah Williams</v>
      </c>
      <c r="C66" s="12" t="str">
        <f>VLOOKUP(A:A,'global_freelancer Cleaned data'!A65:O314,3,FALSE)</f>
        <v>Female</v>
      </c>
      <c r="D66" s="12">
        <f>VLOOKUP(A:A,'global_freelancer Cleaned data'!A65:O314,4,FALSE)</f>
        <v>50</v>
      </c>
      <c r="E66" s="12" t="str">
        <f>VLOOKUP(A:A,'global_freelancer Cleaned data'!A65:O314,5,FALSE)</f>
        <v>Russia</v>
      </c>
      <c r="F66" s="12">
        <f>VLOOKUP(A:A,'global_freelancer Cleaned data'!A65:O314,8,FALSE)</f>
        <v>14</v>
      </c>
      <c r="G66" s="12" t="str">
        <f>VLOOKUP(A:A,'global_freelancer Cleaned data'!A65:M314,13,FALSE)</f>
        <v>Follow-up</v>
      </c>
      <c r="H66" s="12" t="str">
        <f>VLOOKUP(A:A,'global_freelancer Cleaned data'!A65:N314,14,FALSE)</f>
        <v>On Hold</v>
      </c>
      <c r="I66" s="12">
        <f>VLOOKUP(A:A,'global_freelancer Cleaned data'!A65:O314,15,FALSE)</f>
        <v>13</v>
      </c>
    </row>
    <row r="67" spans="1:9" x14ac:dyDescent="0.3">
      <c r="A67" s="12" t="s">
        <v>235</v>
      </c>
      <c r="B67" s="12" t="str">
        <f>VLOOKUP(A:A,'global_freelancer Cleaned data'!A:O,2,FALSE)</f>
        <v>Crystal Wilson</v>
      </c>
      <c r="C67" s="12" t="str">
        <f>VLOOKUP(A:A,'global_freelancer Cleaned data'!A66:O315,3,FALSE)</f>
        <v>Female</v>
      </c>
      <c r="D67" s="12">
        <f>VLOOKUP(A:A,'global_freelancer Cleaned data'!A66:O315,4,FALSE)</f>
        <v>34</v>
      </c>
      <c r="E67" s="12" t="str">
        <f>VLOOKUP(A:A,'global_freelancer Cleaned data'!A66:O315,5,FALSE)</f>
        <v>Spain</v>
      </c>
      <c r="F67" s="12">
        <f>VLOOKUP(A:A,'global_freelancer Cleaned data'!A66:O315,8,FALSE)</f>
        <v>12</v>
      </c>
      <c r="G67" s="12" t="str">
        <f>VLOOKUP(A:A,'global_freelancer Cleaned data'!A66:M315,13,FALSE)</f>
        <v>Pending</v>
      </c>
      <c r="H67" s="12" t="str">
        <f>VLOOKUP(A:A,'global_freelancer Cleaned data'!A66:N315,14,FALSE)</f>
        <v>Completed</v>
      </c>
      <c r="I67" s="12">
        <f>VLOOKUP(A:A,'global_freelancer Cleaned data'!A66:O315,15,FALSE)</f>
        <v>14</v>
      </c>
    </row>
    <row r="68" spans="1:9" x14ac:dyDescent="0.3">
      <c r="A68" s="60" t="s">
        <v>237</v>
      </c>
      <c r="B68" s="12" t="str">
        <f>VLOOKUP(A:A,'global_freelancer Cleaned data'!A:O,2,FALSE)</f>
        <v>Ashley Cordova</v>
      </c>
      <c r="C68" s="12" t="str">
        <f>VLOOKUP(A:A,'global_freelancer Cleaned data'!A67:O316,3,FALSE)</f>
        <v>Female</v>
      </c>
      <c r="D68" s="12">
        <f>VLOOKUP(A:A,'global_freelancer Cleaned data'!A67:O316,4,FALSE)</f>
        <v>45</v>
      </c>
      <c r="E68" s="12" t="str">
        <f>VLOOKUP(A:A,'global_freelancer Cleaned data'!A67:O316,5,FALSE)</f>
        <v>Brazil</v>
      </c>
      <c r="F68" s="12">
        <f>VLOOKUP(A:A,'global_freelancer Cleaned data'!A67:O316,8,FALSE)</f>
        <v>11</v>
      </c>
      <c r="G68" s="12" t="str">
        <f>VLOOKUP(A:A,'global_freelancer Cleaned data'!A67:M316,13,FALSE)</f>
        <v>Urgent</v>
      </c>
      <c r="H68" s="12" t="str">
        <f>VLOOKUP(A:A,'global_freelancer Cleaned data'!A67:N316,14,FALSE)</f>
        <v>On Hold</v>
      </c>
      <c r="I68" s="12">
        <f>VLOOKUP(A:A,'global_freelancer Cleaned data'!A67:O316,15,FALSE)</f>
        <v>9</v>
      </c>
    </row>
    <row r="69" spans="1:9" x14ac:dyDescent="0.3">
      <c r="A69" s="12" t="s">
        <v>239</v>
      </c>
      <c r="B69" s="12" t="str">
        <f>VLOOKUP(A:A,'global_freelancer Cleaned data'!A:O,2,FALSE)</f>
        <v>Vicki Kelly</v>
      </c>
      <c r="C69" s="12" t="str">
        <f>VLOOKUP(A:A,'global_freelancer Cleaned data'!A68:O317,3,FALSE)</f>
        <v>Female</v>
      </c>
      <c r="D69" s="12">
        <f>VLOOKUP(A:A,'global_freelancer Cleaned data'!A68:O317,4,FALSE)</f>
        <v>55</v>
      </c>
      <c r="E69" s="12" t="str">
        <f>VLOOKUP(A:A,'global_freelancer Cleaned data'!A68:O317,5,FALSE)</f>
        <v>Brazil</v>
      </c>
      <c r="F69" s="12">
        <f>VLOOKUP(A:A,'global_freelancer Cleaned data'!A68:O317,8,FALSE)</f>
        <v>0</v>
      </c>
      <c r="G69" s="12" t="str">
        <f>VLOOKUP(A:A,'global_freelancer Cleaned data'!A68:M317,13,FALSE)</f>
        <v>Reviewed</v>
      </c>
      <c r="H69" s="12" t="str">
        <f>VLOOKUP(A:A,'global_freelancer Cleaned data'!A68:N317,14,FALSE)</f>
        <v>Completed</v>
      </c>
      <c r="I69" s="12">
        <f>VLOOKUP(A:A,'global_freelancer Cleaned data'!A68:O317,15,FALSE)</f>
        <v>5</v>
      </c>
    </row>
    <row r="70" spans="1:9" x14ac:dyDescent="0.3">
      <c r="A70" s="60" t="s">
        <v>241</v>
      </c>
      <c r="B70" s="12" t="str">
        <f>VLOOKUP(A:A,'global_freelancer Cleaned data'!A:O,2,FALSE)</f>
        <v>Corey Warren</v>
      </c>
      <c r="C70" s="12" t="str">
        <f>VLOOKUP(A:A,'global_freelancer Cleaned data'!A69:O318,3,FALSE)</f>
        <v>Male</v>
      </c>
      <c r="D70" s="12" t="str">
        <f>VLOOKUP(A:A,'global_freelancer Cleaned data'!A69:O318,4,FALSE)</f>
        <v>Not given</v>
      </c>
      <c r="E70" s="12" t="str">
        <f>VLOOKUP(A:A,'global_freelancer Cleaned data'!A69:O318,5,FALSE)</f>
        <v>Argentina</v>
      </c>
      <c r="F70" s="12">
        <f>VLOOKUP(A:A,'global_freelancer Cleaned data'!A69:O318,8,FALSE)</f>
        <v>6</v>
      </c>
      <c r="G70" s="12" t="str">
        <f>VLOOKUP(A:A,'global_freelancer Cleaned data'!A69:M318,13,FALSE)</f>
        <v>Pending</v>
      </c>
      <c r="H70" s="12" t="str">
        <f>VLOOKUP(A:A,'global_freelancer Cleaned data'!A69:N318,14,FALSE)</f>
        <v>Inactive</v>
      </c>
      <c r="I70" s="12">
        <f>VLOOKUP(A:A,'global_freelancer Cleaned data'!A69:O318,15,FALSE)</f>
        <v>8</v>
      </c>
    </row>
    <row r="71" spans="1:9" x14ac:dyDescent="0.3">
      <c r="A71" s="12" t="s">
        <v>243</v>
      </c>
      <c r="B71" s="12" t="str">
        <f>VLOOKUP(A:A,'global_freelancer Cleaned data'!A:O,2,FALSE)</f>
        <v>Gina Thompson</v>
      </c>
      <c r="C71" s="12" t="str">
        <f>VLOOKUP(A:A,'global_freelancer Cleaned data'!A70:O319,3,FALSE)</f>
        <v>Female</v>
      </c>
      <c r="D71" s="12">
        <f>VLOOKUP(A:A,'global_freelancer Cleaned data'!A70:O319,4,FALSE)</f>
        <v>60</v>
      </c>
      <c r="E71" s="12" t="str">
        <f>VLOOKUP(A:A,'global_freelancer Cleaned data'!A70:O319,5,FALSE)</f>
        <v>China</v>
      </c>
      <c r="F71" s="12">
        <f>VLOOKUP(A:A,'global_freelancer Cleaned data'!A70:O319,8,FALSE)</f>
        <v>38</v>
      </c>
      <c r="G71" s="12" t="str">
        <f>VLOOKUP(A:A,'global_freelancer Cleaned data'!A70:M319,13,FALSE)</f>
        <v>Pending</v>
      </c>
      <c r="H71" s="12" t="str">
        <f>VLOOKUP(A:A,'global_freelancer Cleaned data'!A70:N319,14,FALSE)</f>
        <v>Inactive</v>
      </c>
      <c r="I71" s="12">
        <f>VLOOKUP(A:A,'global_freelancer Cleaned data'!A70:O319,15,FALSE)</f>
        <v>19</v>
      </c>
    </row>
    <row r="72" spans="1:9" x14ac:dyDescent="0.3">
      <c r="A72" s="60" t="s">
        <v>245</v>
      </c>
      <c r="B72" s="12" t="str">
        <f>VLOOKUP(A:A,'global_freelancer Cleaned data'!A:O,2,FALSE)</f>
        <v>Yvonne Berg</v>
      </c>
      <c r="C72" s="12" t="str">
        <f>VLOOKUP(A:A,'global_freelancer Cleaned data'!A71:O320,3,FALSE)</f>
        <v>Female</v>
      </c>
      <c r="D72" s="12">
        <f>VLOOKUP(A:A,'global_freelancer Cleaned data'!A71:O320,4,FALSE)</f>
        <v>33</v>
      </c>
      <c r="E72" s="12" t="str">
        <f>VLOOKUP(A:A,'global_freelancer Cleaned data'!A71:O320,5,FALSE)</f>
        <v>South Africa</v>
      </c>
      <c r="F72" s="12">
        <f>VLOOKUP(A:A,'global_freelancer Cleaned data'!A71:O320,8,FALSE)</f>
        <v>11</v>
      </c>
      <c r="G72" s="12" t="str">
        <f>VLOOKUP(A:A,'global_freelancer Cleaned data'!A71:M320,13,FALSE)</f>
        <v>Reviewed</v>
      </c>
      <c r="H72" s="12" t="str">
        <f>VLOOKUP(A:A,'global_freelancer Cleaned data'!A71:N320,14,FALSE)</f>
        <v>Inactive</v>
      </c>
      <c r="I72" s="12">
        <f>VLOOKUP(A:A,'global_freelancer Cleaned data'!A71:O320,15,FALSE)</f>
        <v>6</v>
      </c>
    </row>
    <row r="73" spans="1:9" x14ac:dyDescent="0.3">
      <c r="A73" s="12" t="s">
        <v>247</v>
      </c>
      <c r="B73" s="12" t="str">
        <f>VLOOKUP(A:A,'global_freelancer Cleaned data'!A:O,2,FALSE)</f>
        <v>Thomas Miller</v>
      </c>
      <c r="C73" s="12" t="str">
        <f>VLOOKUP(A:A,'global_freelancer Cleaned data'!A72:O321,3,FALSE)</f>
        <v>Male</v>
      </c>
      <c r="D73" s="12">
        <f>VLOOKUP(A:A,'global_freelancer Cleaned data'!A72:O321,4,FALSE)</f>
        <v>60</v>
      </c>
      <c r="E73" s="12" t="str">
        <f>VLOOKUP(A:A,'global_freelancer Cleaned data'!A72:O321,5,FALSE)</f>
        <v>Italy</v>
      </c>
      <c r="F73" s="12">
        <f>VLOOKUP(A:A,'global_freelancer Cleaned data'!A72:O321,8,FALSE)</f>
        <v>13</v>
      </c>
      <c r="G73" s="12" t="str">
        <f>VLOOKUP(A:A,'global_freelancer Cleaned data'!A72:M321,13,FALSE)</f>
        <v>Pending</v>
      </c>
      <c r="H73" s="12" t="str">
        <f>VLOOKUP(A:A,'global_freelancer Cleaned data'!A72:N321,14,FALSE)</f>
        <v>On Hold</v>
      </c>
      <c r="I73" s="12">
        <f>VLOOKUP(A:A,'global_freelancer Cleaned data'!A72:O321,15,FALSE)</f>
        <v>15</v>
      </c>
    </row>
    <row r="74" spans="1:9" x14ac:dyDescent="0.3">
      <c r="A74" s="60" t="s">
        <v>249</v>
      </c>
      <c r="B74" s="12" t="str">
        <f>VLOOKUP(A:A,'global_freelancer Cleaned data'!A:O,2,FALSE)</f>
        <v>Nicholas Burton</v>
      </c>
      <c r="C74" s="12" t="str">
        <f>VLOOKUP(A:A,'global_freelancer Cleaned data'!A73:O322,3,FALSE)</f>
        <v>Male</v>
      </c>
      <c r="D74" s="12">
        <f>VLOOKUP(A:A,'global_freelancer Cleaned data'!A73:O322,4,FALSE)</f>
        <v>40</v>
      </c>
      <c r="E74" s="12" t="str">
        <f>VLOOKUP(A:A,'global_freelancer Cleaned data'!A73:O322,5,FALSE)</f>
        <v>US</v>
      </c>
      <c r="F74" s="12">
        <f>VLOOKUP(A:A,'global_freelancer Cleaned data'!A73:O322,8,FALSE)</f>
        <v>9</v>
      </c>
      <c r="G74" s="12" t="str">
        <f>VLOOKUP(A:A,'global_freelancer Cleaned data'!A73:M322,13,FALSE)</f>
        <v>Pending</v>
      </c>
      <c r="H74" s="12" t="str">
        <f>VLOOKUP(A:A,'global_freelancer Cleaned data'!A73:N322,14,FALSE)</f>
        <v>Inactive</v>
      </c>
      <c r="I74" s="12">
        <f>VLOOKUP(A:A,'global_freelancer Cleaned data'!A73:O322,15,FALSE)</f>
        <v>11</v>
      </c>
    </row>
    <row r="75" spans="1:9" x14ac:dyDescent="0.3">
      <c r="A75" s="12" t="s">
        <v>252</v>
      </c>
      <c r="B75" s="12" t="str">
        <f>VLOOKUP(A:A,'global_freelancer Cleaned data'!A:O,2,FALSE)</f>
        <v>Jorge Riley</v>
      </c>
      <c r="C75" s="12" t="str">
        <f>VLOOKUP(A:A,'global_freelancer Cleaned data'!A74:O323,3,FALSE)</f>
        <v>Male</v>
      </c>
      <c r="D75" s="12">
        <f>VLOOKUP(A:A,'global_freelancer Cleaned data'!A74:O323,4,FALSE)</f>
        <v>59</v>
      </c>
      <c r="E75" s="12" t="str">
        <f>VLOOKUP(A:A,'global_freelancer Cleaned data'!A74:O323,5,FALSE)</f>
        <v>Australia</v>
      </c>
      <c r="F75" s="12">
        <f>VLOOKUP(A:A,'global_freelancer Cleaned data'!A74:O323,8,FALSE)</f>
        <v>4</v>
      </c>
      <c r="G75" s="12" t="str">
        <f>VLOOKUP(A:A,'global_freelancer Cleaned data'!A74:M323,13,FALSE)</f>
        <v>Follow-up</v>
      </c>
      <c r="H75" s="12" t="str">
        <f>VLOOKUP(A:A,'global_freelancer Cleaned data'!A74:N323,14,FALSE)</f>
        <v>Active</v>
      </c>
      <c r="I75" s="12">
        <f>VLOOKUP(A:A,'global_freelancer Cleaned data'!A74:O323,15,FALSE)</f>
        <v>5</v>
      </c>
    </row>
    <row r="76" spans="1:9" x14ac:dyDescent="0.3">
      <c r="A76" s="60" t="s">
        <v>254</v>
      </c>
      <c r="B76" s="12" t="str">
        <f>VLOOKUP(A:A,'global_freelancer Cleaned data'!A:O,2,FALSE)</f>
        <v>Melvin Harris</v>
      </c>
      <c r="C76" s="12" t="str">
        <f>VLOOKUP(A:A,'global_freelancer Cleaned data'!A75:O324,3,FALSE)</f>
        <v>Male</v>
      </c>
      <c r="D76" s="12">
        <f>VLOOKUP(A:A,'global_freelancer Cleaned data'!A75:O324,4,FALSE)</f>
        <v>36</v>
      </c>
      <c r="E76" s="12" t="str">
        <f>VLOOKUP(A:A,'global_freelancer Cleaned data'!A75:O324,5,FALSE)</f>
        <v>Not Mentioned</v>
      </c>
      <c r="F76" s="12">
        <f>VLOOKUP(A:A,'global_freelancer Cleaned data'!A75:O324,8,FALSE)</f>
        <v>14</v>
      </c>
      <c r="G76" s="12" t="str">
        <f>VLOOKUP(A:A,'global_freelancer Cleaned data'!A75:M324,13,FALSE)</f>
        <v>Reviewed</v>
      </c>
      <c r="H76" s="12" t="str">
        <f>VLOOKUP(A:A,'global_freelancer Cleaned data'!A75:N324,14,FALSE)</f>
        <v>Completed</v>
      </c>
      <c r="I76" s="12">
        <f>VLOOKUP(A:A,'global_freelancer Cleaned data'!A75:O324,15,FALSE)</f>
        <v>9</v>
      </c>
    </row>
    <row r="77" spans="1:9" x14ac:dyDescent="0.3">
      <c r="A77" s="12" t="s">
        <v>256</v>
      </c>
      <c r="B77" s="12" t="str">
        <f>VLOOKUP(A:A,'global_freelancer Cleaned data'!A:O,2,FALSE)</f>
        <v>Jeremy Meyer</v>
      </c>
      <c r="C77" s="12" t="str">
        <f>VLOOKUP(A:A,'global_freelancer Cleaned data'!A76:O325,3,FALSE)</f>
        <v>Male</v>
      </c>
      <c r="D77" s="12">
        <f>VLOOKUP(A:A,'global_freelancer Cleaned data'!A76:O325,4,FALSE)</f>
        <v>32</v>
      </c>
      <c r="E77" s="12" t="str">
        <f>VLOOKUP(A:A,'global_freelancer Cleaned data'!A76:O325,5,FALSE)</f>
        <v>India</v>
      </c>
      <c r="F77" s="12" t="str">
        <f>VLOOKUP(A:A,'global_freelancer Cleaned data'!A76:O325,8,FALSE)</f>
        <v>Not Mentioned</v>
      </c>
      <c r="G77" s="12" t="str">
        <f>VLOOKUP(A:A,'global_freelancer Cleaned data'!A76:M325,13,FALSE)</f>
        <v>Urgent</v>
      </c>
      <c r="H77" s="12" t="str">
        <f>VLOOKUP(A:A,'global_freelancer Cleaned data'!A76:N325,14,FALSE)</f>
        <v>Completed</v>
      </c>
      <c r="I77" s="12">
        <f>VLOOKUP(A:A,'global_freelancer Cleaned data'!A76:O325,15,FALSE)</f>
        <v>2</v>
      </c>
    </row>
    <row r="78" spans="1:9" x14ac:dyDescent="0.3">
      <c r="A78" s="60" t="s">
        <v>258</v>
      </c>
      <c r="B78" s="12" t="str">
        <f>VLOOKUP(A:A,'global_freelancer Cleaned data'!A:O,2,FALSE)</f>
        <v>Timothy Lee</v>
      </c>
      <c r="C78" s="12" t="str">
        <f>VLOOKUP(A:A,'global_freelancer Cleaned data'!A77:O326,3,FALSE)</f>
        <v>Male</v>
      </c>
      <c r="D78" s="12">
        <f>VLOOKUP(A:A,'global_freelancer Cleaned data'!A77:O326,4,FALSE)</f>
        <v>59</v>
      </c>
      <c r="E78" s="12" t="str">
        <f>VLOOKUP(A:A,'global_freelancer Cleaned data'!A77:O326,5,FALSE)</f>
        <v>Australia</v>
      </c>
      <c r="F78" s="12">
        <f>VLOOKUP(A:A,'global_freelancer Cleaned data'!A77:O326,8,FALSE)</f>
        <v>9</v>
      </c>
      <c r="G78" s="12" t="str">
        <f>VLOOKUP(A:A,'global_freelancer Cleaned data'!A77:M326,13,FALSE)</f>
        <v>Pending</v>
      </c>
      <c r="H78" s="12" t="str">
        <f>VLOOKUP(A:A,'global_freelancer Cleaned data'!A77:N326,14,FALSE)</f>
        <v>Active</v>
      </c>
      <c r="I78" s="12">
        <f>VLOOKUP(A:A,'global_freelancer Cleaned data'!A77:O326,15,FALSE)</f>
        <v>14</v>
      </c>
    </row>
    <row r="79" spans="1:9" x14ac:dyDescent="0.3">
      <c r="A79" s="12" t="s">
        <v>260</v>
      </c>
      <c r="B79" s="12" t="str">
        <f>VLOOKUP(A:A,'global_freelancer Cleaned data'!A:O,2,FALSE)</f>
        <v>Diana Bautista</v>
      </c>
      <c r="C79" s="12" t="str">
        <f>VLOOKUP(A:A,'global_freelancer Cleaned data'!A78:O327,3,FALSE)</f>
        <v>Female</v>
      </c>
      <c r="D79" s="12">
        <f>VLOOKUP(A:A,'global_freelancer Cleaned data'!A78:O327,4,FALSE)</f>
        <v>54</v>
      </c>
      <c r="E79" s="12" t="str">
        <f>VLOOKUP(A:A,'global_freelancer Cleaned data'!A78:O327,5,FALSE)</f>
        <v>Spain</v>
      </c>
      <c r="F79" s="12">
        <f>VLOOKUP(A:A,'global_freelancer Cleaned data'!A78:O327,8,FALSE)</f>
        <v>32</v>
      </c>
      <c r="G79" s="12" t="str">
        <f>VLOOKUP(A:A,'global_freelancer Cleaned data'!A78:M327,13,FALSE)</f>
        <v>Reviewed</v>
      </c>
      <c r="H79" s="12" t="str">
        <f>VLOOKUP(A:A,'global_freelancer Cleaned data'!A78:N327,14,FALSE)</f>
        <v>On Hold</v>
      </c>
      <c r="I79" s="12">
        <f>VLOOKUP(A:A,'global_freelancer Cleaned data'!A78:O327,15,FALSE)</f>
        <v>10</v>
      </c>
    </row>
    <row r="80" spans="1:9" x14ac:dyDescent="0.3">
      <c r="A80" s="60" t="s">
        <v>262</v>
      </c>
      <c r="B80" s="12" t="str">
        <f>VLOOKUP(A:A,'global_freelancer Cleaned data'!A:O,2,FALSE)</f>
        <v>Leslie Rodriguez</v>
      </c>
      <c r="C80" s="12" t="str">
        <f>VLOOKUP(A:A,'global_freelancer Cleaned data'!A79:O328,3,FALSE)</f>
        <v>Female</v>
      </c>
      <c r="D80" s="12">
        <f>VLOOKUP(A:A,'global_freelancer Cleaned data'!A79:O328,4,FALSE)</f>
        <v>37</v>
      </c>
      <c r="E80" s="12" t="str">
        <f>VLOOKUP(A:A,'global_freelancer Cleaned data'!A79:O328,5,FALSE)</f>
        <v>Canada</v>
      </c>
      <c r="F80" s="12">
        <f>VLOOKUP(A:A,'global_freelancer Cleaned data'!A79:O328,8,FALSE)</f>
        <v>9</v>
      </c>
      <c r="G80" s="12" t="str">
        <f>VLOOKUP(A:A,'global_freelancer Cleaned data'!A79:M328,13,FALSE)</f>
        <v>Follow-up</v>
      </c>
      <c r="H80" s="12" t="str">
        <f>VLOOKUP(A:A,'global_freelancer Cleaned data'!A79:N328,14,FALSE)</f>
        <v>On Hold</v>
      </c>
      <c r="I80" s="12">
        <f>VLOOKUP(A:A,'global_freelancer Cleaned data'!A79:O328,15,FALSE)</f>
        <v>14</v>
      </c>
    </row>
    <row r="81" spans="1:9" x14ac:dyDescent="0.3">
      <c r="A81" s="12" t="s">
        <v>264</v>
      </c>
      <c r="B81" s="12" t="str">
        <f>VLOOKUP(A:A,'global_freelancer Cleaned data'!A:O,2,FALSE)</f>
        <v>Noah Wiggins</v>
      </c>
      <c r="C81" s="12" t="str">
        <f>VLOOKUP(A:A,'global_freelancer Cleaned data'!A80:O329,3,FALSE)</f>
        <v>Male</v>
      </c>
      <c r="D81" s="12">
        <f>VLOOKUP(A:A,'global_freelancer Cleaned data'!A80:O329,4,FALSE)</f>
        <v>54</v>
      </c>
      <c r="E81" s="12" t="str">
        <f>VLOOKUP(A:A,'global_freelancer Cleaned data'!A80:O329,5,FALSE)</f>
        <v>India</v>
      </c>
      <c r="F81" s="12">
        <f>VLOOKUP(A:A,'global_freelancer Cleaned data'!A80:O329,8,FALSE)</f>
        <v>21</v>
      </c>
      <c r="G81" s="12" t="str">
        <f>VLOOKUP(A:A,'global_freelancer Cleaned data'!A80:M329,13,FALSE)</f>
        <v>Urgent</v>
      </c>
      <c r="H81" s="12" t="str">
        <f>VLOOKUP(A:A,'global_freelancer Cleaned data'!A80:N329,14,FALSE)</f>
        <v>Completed</v>
      </c>
      <c r="I81" s="12">
        <f>VLOOKUP(A:A,'global_freelancer Cleaned data'!A80:O329,15,FALSE)</f>
        <v>20</v>
      </c>
    </row>
    <row r="82" spans="1:9" x14ac:dyDescent="0.3">
      <c r="A82" s="60" t="s">
        <v>266</v>
      </c>
      <c r="B82" s="12" t="str">
        <f>VLOOKUP(A:A,'global_freelancer Cleaned data'!A:O,2,FALSE)</f>
        <v>Bridget Williams</v>
      </c>
      <c r="C82" s="12" t="str">
        <f>VLOOKUP(A:A,'global_freelancer Cleaned data'!A81:O330,3,FALSE)</f>
        <v>Female</v>
      </c>
      <c r="D82" s="12">
        <f>VLOOKUP(A:A,'global_freelancer Cleaned data'!A81:O330,4,FALSE)</f>
        <v>33</v>
      </c>
      <c r="E82" s="12" t="str">
        <f>VLOOKUP(A:A,'global_freelancer Cleaned data'!A81:O330,5,FALSE)</f>
        <v>Argentina</v>
      </c>
      <c r="F82" s="12">
        <f>VLOOKUP(A:A,'global_freelancer Cleaned data'!A81:O330,8,FALSE)</f>
        <v>12</v>
      </c>
      <c r="G82" s="12" t="str">
        <f>VLOOKUP(A:A,'global_freelancer Cleaned data'!A81:M330,13,FALSE)</f>
        <v>Reviewed</v>
      </c>
      <c r="H82" s="12" t="str">
        <f>VLOOKUP(A:A,'global_freelancer Cleaned data'!A81:N330,14,FALSE)</f>
        <v>Inactive</v>
      </c>
      <c r="I82" s="12">
        <f>VLOOKUP(A:A,'global_freelancer Cleaned data'!A81:O330,15,FALSE)</f>
        <v>10</v>
      </c>
    </row>
    <row r="83" spans="1:9" x14ac:dyDescent="0.3">
      <c r="A83" s="12" t="s">
        <v>268</v>
      </c>
      <c r="B83" s="12" t="str">
        <f>VLOOKUP(A:A,'global_freelancer Cleaned data'!A:O,2,FALSE)</f>
        <v>Veronica Baker</v>
      </c>
      <c r="C83" s="12" t="str">
        <f>VLOOKUP(A:A,'global_freelancer Cleaned data'!A82:O331,3,FALSE)</f>
        <v>Female</v>
      </c>
      <c r="D83" s="12">
        <f>VLOOKUP(A:A,'global_freelancer Cleaned data'!A82:O331,4,FALSE)</f>
        <v>25</v>
      </c>
      <c r="E83" s="12" t="str">
        <f>VLOOKUP(A:A,'global_freelancer Cleaned data'!A82:O331,5,FALSE)</f>
        <v>Egypt</v>
      </c>
      <c r="F83" s="12">
        <f>VLOOKUP(A:A,'global_freelancer Cleaned data'!A82:O331,8,FALSE)</f>
        <v>7</v>
      </c>
      <c r="G83" s="12" t="str">
        <f>VLOOKUP(A:A,'global_freelancer Cleaned data'!A82:M331,13,FALSE)</f>
        <v>Urgent</v>
      </c>
      <c r="H83" s="12" t="str">
        <f>VLOOKUP(A:A,'global_freelancer Cleaned data'!A82:N331,14,FALSE)</f>
        <v>On Hold</v>
      </c>
      <c r="I83" s="12">
        <f>VLOOKUP(A:A,'global_freelancer Cleaned data'!A82:O331,15,FALSE)</f>
        <v>11</v>
      </c>
    </row>
    <row r="84" spans="1:9" x14ac:dyDescent="0.3">
      <c r="A84" s="60" t="s">
        <v>270</v>
      </c>
      <c r="B84" s="12" t="str">
        <f>VLOOKUP(A:A,'global_freelancer Cleaned data'!A:O,2,FALSE)</f>
        <v>Andrew Avila</v>
      </c>
      <c r="C84" s="12" t="str">
        <f>VLOOKUP(A:A,'global_freelancer Cleaned data'!A83:O332,3,FALSE)</f>
        <v>Male</v>
      </c>
      <c r="D84" s="12" t="str">
        <f>VLOOKUP(A:A,'global_freelancer Cleaned data'!A83:O332,4,FALSE)</f>
        <v>Not given</v>
      </c>
      <c r="E84" s="12" t="str">
        <f>VLOOKUP(A:A,'global_freelancer Cleaned data'!A83:O332,5,FALSE)</f>
        <v>China</v>
      </c>
      <c r="F84" s="12">
        <f>VLOOKUP(A:A,'global_freelancer Cleaned data'!A83:O332,8,FALSE)</f>
        <v>3</v>
      </c>
      <c r="G84" s="12" t="str">
        <f>VLOOKUP(A:A,'global_freelancer Cleaned data'!A83:M332,13,FALSE)</f>
        <v>Urgent</v>
      </c>
      <c r="H84" s="12" t="str">
        <f>VLOOKUP(A:A,'global_freelancer Cleaned data'!A83:N332,14,FALSE)</f>
        <v>On Hold</v>
      </c>
      <c r="I84" s="12">
        <f>VLOOKUP(A:A,'global_freelancer Cleaned data'!A83:O332,15,FALSE)</f>
        <v>1</v>
      </c>
    </row>
    <row r="85" spans="1:9" x14ac:dyDescent="0.3">
      <c r="A85" s="12" t="s">
        <v>272</v>
      </c>
      <c r="B85" s="12" t="str">
        <f>VLOOKUP(A:A,'global_freelancer Cleaned data'!A:O,2,FALSE)</f>
        <v>Michael Roberson</v>
      </c>
      <c r="C85" s="12" t="str">
        <f>VLOOKUP(A:A,'global_freelancer Cleaned data'!A84:O333,3,FALSE)</f>
        <v>Male</v>
      </c>
      <c r="D85" s="12">
        <f>VLOOKUP(A:A,'global_freelancer Cleaned data'!A84:O333,4,FALSE)</f>
        <v>35</v>
      </c>
      <c r="E85" s="12" t="str">
        <f>VLOOKUP(A:A,'global_freelancer Cleaned data'!A84:O333,5,FALSE)</f>
        <v>South Korea</v>
      </c>
      <c r="F85" s="12">
        <f>VLOOKUP(A:A,'global_freelancer Cleaned data'!A84:O333,8,FALSE)</f>
        <v>5</v>
      </c>
      <c r="G85" s="12" t="str">
        <f>VLOOKUP(A:A,'global_freelancer Cleaned data'!A84:M333,13,FALSE)</f>
        <v>Urgent</v>
      </c>
      <c r="H85" s="12" t="str">
        <f>VLOOKUP(A:A,'global_freelancer Cleaned data'!A84:N333,14,FALSE)</f>
        <v>Active</v>
      </c>
      <c r="I85" s="12">
        <f>VLOOKUP(A:A,'global_freelancer Cleaned data'!A84:O333,15,FALSE)</f>
        <v>2</v>
      </c>
    </row>
    <row r="86" spans="1:9" x14ac:dyDescent="0.3">
      <c r="A86" s="60" t="s">
        <v>274</v>
      </c>
      <c r="B86" s="12" t="str">
        <f>VLOOKUP(A:A,'global_freelancer Cleaned data'!A:O,2,FALSE)</f>
        <v>Austin Jenkins</v>
      </c>
      <c r="C86" s="12" t="str">
        <f>VLOOKUP(A:A,'global_freelancer Cleaned data'!A85:O334,3,FALSE)</f>
        <v>Male</v>
      </c>
      <c r="D86" s="12">
        <f>VLOOKUP(A:A,'global_freelancer Cleaned data'!A85:O334,4,FALSE)</f>
        <v>59</v>
      </c>
      <c r="E86" s="12" t="str">
        <f>VLOOKUP(A:A,'global_freelancer Cleaned data'!A85:O334,5,FALSE)</f>
        <v>South Korea</v>
      </c>
      <c r="F86" s="12">
        <f>VLOOKUP(A:A,'global_freelancer Cleaned data'!A85:O334,8,FALSE)</f>
        <v>30</v>
      </c>
      <c r="G86" s="12" t="str">
        <f>VLOOKUP(A:A,'global_freelancer Cleaned data'!A85:M334,13,FALSE)</f>
        <v>Pending</v>
      </c>
      <c r="H86" s="12" t="str">
        <f>VLOOKUP(A:A,'global_freelancer Cleaned data'!A85:N334,14,FALSE)</f>
        <v>Active</v>
      </c>
      <c r="I86" s="12">
        <f>VLOOKUP(A:A,'global_freelancer Cleaned data'!A85:O334,15,FALSE)</f>
        <v>13</v>
      </c>
    </row>
    <row r="87" spans="1:9" x14ac:dyDescent="0.3">
      <c r="A87" s="12" t="s">
        <v>276</v>
      </c>
      <c r="B87" s="12" t="str">
        <f>VLOOKUP(A:A,'global_freelancer Cleaned data'!A:O,2,FALSE)</f>
        <v>Brenda Green</v>
      </c>
      <c r="C87" s="12" t="str">
        <f>VLOOKUP(A:A,'global_freelancer Cleaned data'!A86:O335,3,FALSE)</f>
        <v>Female</v>
      </c>
      <c r="D87" s="12">
        <f>VLOOKUP(A:A,'global_freelancer Cleaned data'!A86:O335,4,FALSE)</f>
        <v>21</v>
      </c>
      <c r="E87" s="12" t="str">
        <f>VLOOKUP(A:A,'global_freelancer Cleaned data'!A86:O335,5,FALSE)</f>
        <v>China</v>
      </c>
      <c r="F87" s="12">
        <f>VLOOKUP(A:A,'global_freelancer Cleaned data'!A86:O335,8,FALSE)</f>
        <v>2</v>
      </c>
      <c r="G87" s="12" t="str">
        <f>VLOOKUP(A:A,'global_freelancer Cleaned data'!A86:M335,13,FALSE)</f>
        <v>Pending</v>
      </c>
      <c r="H87" s="12" t="str">
        <f>VLOOKUP(A:A,'global_freelancer Cleaned data'!A86:N335,14,FALSE)</f>
        <v>Inactive</v>
      </c>
      <c r="I87" s="12">
        <f>VLOOKUP(A:A,'global_freelancer Cleaned data'!A86:O335,15,FALSE)</f>
        <v>5</v>
      </c>
    </row>
    <row r="88" spans="1:9" x14ac:dyDescent="0.3">
      <c r="A88" s="60" t="s">
        <v>278</v>
      </c>
      <c r="B88" s="12" t="str">
        <f>VLOOKUP(A:A,'global_freelancer Cleaned data'!A:O,2,FALSE)</f>
        <v>Samuel Pierce</v>
      </c>
      <c r="C88" s="12" t="str">
        <f>VLOOKUP(A:A,'global_freelancer Cleaned data'!A87:O336,3,FALSE)</f>
        <v>Male</v>
      </c>
      <c r="D88" s="12">
        <f>VLOOKUP(A:A,'global_freelancer Cleaned data'!A87:O336,4,FALSE)</f>
        <v>25</v>
      </c>
      <c r="E88" s="12" t="str">
        <f>VLOOKUP(A:A,'global_freelancer Cleaned data'!A87:O336,5,FALSE)</f>
        <v>US</v>
      </c>
      <c r="F88" s="12">
        <f>VLOOKUP(A:A,'global_freelancer Cleaned data'!A87:O336,8,FALSE)</f>
        <v>2</v>
      </c>
      <c r="G88" s="12" t="str">
        <f>VLOOKUP(A:A,'global_freelancer Cleaned data'!A87:M336,13,FALSE)</f>
        <v>Follow-up</v>
      </c>
      <c r="H88" s="12" t="str">
        <f>VLOOKUP(A:A,'global_freelancer Cleaned data'!A87:N336,14,FALSE)</f>
        <v>On Hold</v>
      </c>
      <c r="I88" s="12">
        <f>VLOOKUP(A:A,'global_freelancer Cleaned data'!A87:O336,15,FALSE)</f>
        <v>1</v>
      </c>
    </row>
    <row r="89" spans="1:9" x14ac:dyDescent="0.3">
      <c r="A89" s="12" t="s">
        <v>280</v>
      </c>
      <c r="B89" s="12" t="str">
        <f>VLOOKUP(A:A,'global_freelancer Cleaned data'!A:O,2,FALSE)</f>
        <v>Briana Smith</v>
      </c>
      <c r="C89" s="12" t="str">
        <f>VLOOKUP(A:A,'global_freelancer Cleaned data'!A88:O337,3,FALSE)</f>
        <v>Female</v>
      </c>
      <c r="D89" s="12">
        <f>VLOOKUP(A:A,'global_freelancer Cleaned data'!A88:O337,4,FALSE)</f>
        <v>38</v>
      </c>
      <c r="E89" s="12" t="str">
        <f>VLOOKUP(A:A,'global_freelancer Cleaned data'!A88:O337,5,FALSE)</f>
        <v>Mexico</v>
      </c>
      <c r="F89" s="12">
        <f>VLOOKUP(A:A,'global_freelancer Cleaned data'!A88:O337,8,FALSE)</f>
        <v>19</v>
      </c>
      <c r="G89" s="12" t="str">
        <f>VLOOKUP(A:A,'global_freelancer Cleaned data'!A88:M337,13,FALSE)</f>
        <v>Follow-up</v>
      </c>
      <c r="H89" s="12" t="str">
        <f>VLOOKUP(A:A,'global_freelancer Cleaned data'!A88:N337,14,FALSE)</f>
        <v>On Hold</v>
      </c>
      <c r="I89" s="12">
        <f>VLOOKUP(A:A,'global_freelancer Cleaned data'!A88:O337,15,FALSE)</f>
        <v>20</v>
      </c>
    </row>
    <row r="90" spans="1:9" x14ac:dyDescent="0.3">
      <c r="A90" s="60" t="s">
        <v>282</v>
      </c>
      <c r="B90" s="12" t="str">
        <f>VLOOKUP(A:A,'global_freelancer Cleaned data'!A:O,2,FALSE)</f>
        <v>Ronald Barrett</v>
      </c>
      <c r="C90" s="12" t="str">
        <f>VLOOKUP(A:A,'global_freelancer Cleaned data'!A89:O338,3,FALSE)</f>
        <v>Male</v>
      </c>
      <c r="D90" s="12">
        <f>VLOOKUP(A:A,'global_freelancer Cleaned data'!A89:O338,4,FALSE)</f>
        <v>57</v>
      </c>
      <c r="E90" s="12" t="str">
        <f>VLOOKUP(A:A,'global_freelancer Cleaned data'!A89:O338,5,FALSE)</f>
        <v>Russia</v>
      </c>
      <c r="F90" s="12">
        <f>VLOOKUP(A:A,'global_freelancer Cleaned data'!A89:O338,8,FALSE)</f>
        <v>16</v>
      </c>
      <c r="G90" s="12" t="str">
        <f>VLOOKUP(A:A,'global_freelancer Cleaned data'!A89:M338,13,FALSE)</f>
        <v>Reviewed</v>
      </c>
      <c r="H90" s="12" t="str">
        <f>VLOOKUP(A:A,'global_freelancer Cleaned data'!A89:N338,14,FALSE)</f>
        <v>Active</v>
      </c>
      <c r="I90" s="12">
        <f>VLOOKUP(A:A,'global_freelancer Cleaned data'!A89:O338,15,FALSE)</f>
        <v>18</v>
      </c>
    </row>
    <row r="91" spans="1:9" x14ac:dyDescent="0.3">
      <c r="A91" s="12" t="s">
        <v>284</v>
      </c>
      <c r="B91" s="12" t="str">
        <f>VLOOKUP(A:A,'global_freelancer Cleaned data'!A:O,2,FALSE)</f>
        <v>Matthew Smith</v>
      </c>
      <c r="C91" s="12" t="str">
        <f>VLOOKUP(A:A,'global_freelancer Cleaned data'!A90:O339,3,FALSE)</f>
        <v>Male</v>
      </c>
      <c r="D91" s="12">
        <f>VLOOKUP(A:A,'global_freelancer Cleaned data'!A90:O339,4,FALSE)</f>
        <v>32</v>
      </c>
      <c r="E91" s="12" t="str">
        <f>VLOOKUP(A:A,'global_freelancer Cleaned data'!A90:O339,5,FALSE)</f>
        <v>India</v>
      </c>
      <c r="F91" s="12">
        <f>VLOOKUP(A:A,'global_freelancer Cleaned data'!A90:O339,8,FALSE)</f>
        <v>10</v>
      </c>
      <c r="G91" s="12" t="str">
        <f>VLOOKUP(A:A,'global_freelancer Cleaned data'!A90:M339,13,FALSE)</f>
        <v>Follow-up</v>
      </c>
      <c r="H91" s="12" t="str">
        <f>VLOOKUP(A:A,'global_freelancer Cleaned data'!A90:N339,14,FALSE)</f>
        <v>On Hold</v>
      </c>
      <c r="I91" s="12">
        <f>VLOOKUP(A:A,'global_freelancer Cleaned data'!A90:O339,15,FALSE)</f>
        <v>9</v>
      </c>
    </row>
    <row r="92" spans="1:9" x14ac:dyDescent="0.3">
      <c r="A92" s="60" t="s">
        <v>286</v>
      </c>
      <c r="B92" s="12" t="str">
        <f>VLOOKUP(A:A,'global_freelancer Cleaned data'!A:O,2,FALSE)</f>
        <v>Logan Huang</v>
      </c>
      <c r="C92" s="12" t="str">
        <f>VLOOKUP(A:A,'global_freelancer Cleaned data'!A91:O340,3,FALSE)</f>
        <v>Male</v>
      </c>
      <c r="D92" s="12">
        <f>VLOOKUP(A:A,'global_freelancer Cleaned data'!A91:O340,4,FALSE)</f>
        <v>21</v>
      </c>
      <c r="E92" s="12" t="str">
        <f>VLOOKUP(A:A,'global_freelancer Cleaned data'!A91:O340,5,FALSE)</f>
        <v>Italy</v>
      </c>
      <c r="F92" s="12">
        <f>VLOOKUP(A:A,'global_freelancer Cleaned data'!A91:O340,8,FALSE)</f>
        <v>2</v>
      </c>
      <c r="G92" s="12" t="str">
        <f>VLOOKUP(A:A,'global_freelancer Cleaned data'!A91:M340,13,FALSE)</f>
        <v>Urgent</v>
      </c>
      <c r="H92" s="12" t="str">
        <f>VLOOKUP(A:A,'global_freelancer Cleaned data'!A91:N340,14,FALSE)</f>
        <v>Completed</v>
      </c>
      <c r="I92" s="12">
        <f>VLOOKUP(A:A,'global_freelancer Cleaned data'!A91:O340,15,FALSE)</f>
        <v>4</v>
      </c>
    </row>
    <row r="93" spans="1:9" x14ac:dyDescent="0.3">
      <c r="A93" s="12" t="s">
        <v>288</v>
      </c>
      <c r="B93" s="12" t="str">
        <f>VLOOKUP(A:A,'global_freelancer Cleaned data'!A:O,2,FALSE)</f>
        <v>Miranda Hutchinson</v>
      </c>
      <c r="C93" s="12" t="str">
        <f>VLOOKUP(A:A,'global_freelancer Cleaned data'!A92:O341,3,FALSE)</f>
        <v>Female</v>
      </c>
      <c r="D93" s="12">
        <f>VLOOKUP(A:A,'global_freelancer Cleaned data'!A92:O341,4,FALSE)</f>
        <v>57</v>
      </c>
      <c r="E93" s="12" t="str">
        <f>VLOOKUP(A:A,'global_freelancer Cleaned data'!A92:O341,5,FALSE)</f>
        <v>Canada</v>
      </c>
      <c r="F93" s="12">
        <f>VLOOKUP(A:A,'global_freelancer Cleaned data'!A92:O341,8,FALSE)</f>
        <v>18</v>
      </c>
      <c r="G93" s="12" t="str">
        <f>VLOOKUP(A:A,'global_freelancer Cleaned data'!A92:M341,13,FALSE)</f>
        <v>Urgent</v>
      </c>
      <c r="H93" s="12" t="str">
        <f>VLOOKUP(A:A,'global_freelancer Cleaned data'!A92:N341,14,FALSE)</f>
        <v>Active</v>
      </c>
      <c r="I93" s="12">
        <f>VLOOKUP(A:A,'global_freelancer Cleaned data'!A92:O341,15,FALSE)</f>
        <v>11</v>
      </c>
    </row>
    <row r="94" spans="1:9" x14ac:dyDescent="0.3">
      <c r="A94" s="60" t="s">
        <v>290</v>
      </c>
      <c r="B94" s="12" t="str">
        <f>VLOOKUP(A:A,'global_freelancer Cleaned data'!A:O,2,FALSE)</f>
        <v>Paul Richardson</v>
      </c>
      <c r="C94" s="12" t="str">
        <f>VLOOKUP(A:A,'global_freelancer Cleaned data'!A93:O342,3,FALSE)</f>
        <v>Male</v>
      </c>
      <c r="D94" s="12">
        <f>VLOOKUP(A:A,'global_freelancer Cleaned data'!A93:O342,4,FALSE)</f>
        <v>53</v>
      </c>
      <c r="E94" s="12" t="str">
        <f>VLOOKUP(A:A,'global_freelancer Cleaned data'!A93:O342,5,FALSE)</f>
        <v>China</v>
      </c>
      <c r="F94" s="12">
        <f>VLOOKUP(A:A,'global_freelancer Cleaned data'!A93:O342,8,FALSE)</f>
        <v>21</v>
      </c>
      <c r="G94" s="12" t="str">
        <f>VLOOKUP(A:A,'global_freelancer Cleaned data'!A93:M342,13,FALSE)</f>
        <v>Pending</v>
      </c>
      <c r="H94" s="12" t="str">
        <f>VLOOKUP(A:A,'global_freelancer Cleaned data'!A93:N342,14,FALSE)</f>
        <v>Inactive</v>
      </c>
      <c r="I94" s="12">
        <f>VLOOKUP(A:A,'global_freelancer Cleaned data'!A93:O342,15,FALSE)</f>
        <v>20</v>
      </c>
    </row>
    <row r="95" spans="1:9" x14ac:dyDescent="0.3">
      <c r="A95" s="12" t="s">
        <v>292</v>
      </c>
      <c r="B95" s="12" t="str">
        <f>VLOOKUP(A:A,'global_freelancer Cleaned data'!A:O,2,FALSE)</f>
        <v>Jose Jones</v>
      </c>
      <c r="C95" s="12" t="str">
        <f>VLOOKUP(A:A,'global_freelancer Cleaned data'!A94:O343,3,FALSE)</f>
        <v>Male</v>
      </c>
      <c r="D95" s="12">
        <f>VLOOKUP(A:A,'global_freelancer Cleaned data'!A94:O343,4,FALSE)</f>
        <v>35</v>
      </c>
      <c r="E95" s="12" t="str">
        <f>VLOOKUP(A:A,'global_freelancer Cleaned data'!A94:O343,5,FALSE)</f>
        <v>Russia</v>
      </c>
      <c r="F95" s="12">
        <f>VLOOKUP(A:A,'global_freelancer Cleaned data'!A94:O343,8,FALSE)</f>
        <v>3</v>
      </c>
      <c r="G95" s="12" t="str">
        <f>VLOOKUP(A:A,'global_freelancer Cleaned data'!A94:M343,13,FALSE)</f>
        <v>Urgent</v>
      </c>
      <c r="H95" s="12" t="str">
        <f>VLOOKUP(A:A,'global_freelancer Cleaned data'!A94:N343,14,FALSE)</f>
        <v>Active</v>
      </c>
      <c r="I95" s="12">
        <f>VLOOKUP(A:A,'global_freelancer Cleaned data'!A94:O343,15,FALSE)</f>
        <v>3</v>
      </c>
    </row>
    <row r="96" spans="1:9" x14ac:dyDescent="0.3">
      <c r="A96" s="60" t="s">
        <v>294</v>
      </c>
      <c r="B96" s="12" t="str">
        <f>VLOOKUP(A:A,'global_freelancer Cleaned data'!A:O,2,FALSE)</f>
        <v>Denise Smith</v>
      </c>
      <c r="C96" s="12" t="str">
        <f>VLOOKUP(A:A,'global_freelancer Cleaned data'!A95:O344,3,FALSE)</f>
        <v>Female</v>
      </c>
      <c r="D96" s="12">
        <f>VLOOKUP(A:A,'global_freelancer Cleaned data'!A95:O344,4,FALSE)</f>
        <v>54</v>
      </c>
      <c r="E96" s="12" t="str">
        <f>VLOOKUP(A:A,'global_freelancer Cleaned data'!A95:O344,5,FALSE)</f>
        <v>China</v>
      </c>
      <c r="F96" s="12">
        <f>VLOOKUP(A:A,'global_freelancer Cleaned data'!A95:O344,8,FALSE)</f>
        <v>17</v>
      </c>
      <c r="G96" s="12" t="str">
        <f>VLOOKUP(A:A,'global_freelancer Cleaned data'!A95:M344,13,FALSE)</f>
        <v>Reviewed</v>
      </c>
      <c r="H96" s="12" t="str">
        <f>VLOOKUP(A:A,'global_freelancer Cleaned data'!A95:N344,14,FALSE)</f>
        <v>On Hold</v>
      </c>
      <c r="I96" s="12">
        <f>VLOOKUP(A:A,'global_freelancer Cleaned data'!A95:O344,15,FALSE)</f>
        <v>17</v>
      </c>
    </row>
    <row r="97" spans="1:9" x14ac:dyDescent="0.3">
      <c r="A97" s="12" t="s">
        <v>296</v>
      </c>
      <c r="B97" s="12" t="str">
        <f>VLOOKUP(A:A,'global_freelancer Cleaned data'!A:O,2,FALSE)</f>
        <v>Shelby Mcmahon</v>
      </c>
      <c r="C97" s="12" t="str">
        <f>VLOOKUP(A:A,'global_freelancer Cleaned data'!A96:O345,3,FALSE)</f>
        <v>Female</v>
      </c>
      <c r="D97" s="12">
        <f>VLOOKUP(A:A,'global_freelancer Cleaned data'!A96:O345,4,FALSE)</f>
        <v>36</v>
      </c>
      <c r="E97" s="12" t="str">
        <f>VLOOKUP(A:A,'global_freelancer Cleaned data'!A96:O345,5,FALSE)</f>
        <v>Italy</v>
      </c>
      <c r="F97" s="12">
        <f>VLOOKUP(A:A,'global_freelancer Cleaned data'!A96:O345,8,FALSE)</f>
        <v>0</v>
      </c>
      <c r="G97" s="12" t="str">
        <f>VLOOKUP(A:A,'global_freelancer Cleaned data'!A96:M345,13,FALSE)</f>
        <v>Urgent</v>
      </c>
      <c r="H97" s="12" t="str">
        <f>VLOOKUP(A:A,'global_freelancer Cleaned data'!A96:N345,14,FALSE)</f>
        <v>Inactive</v>
      </c>
      <c r="I97" s="12">
        <f>VLOOKUP(A:A,'global_freelancer Cleaned data'!A96:O345,15,FALSE)</f>
        <v>2</v>
      </c>
    </row>
    <row r="98" spans="1:9" x14ac:dyDescent="0.3">
      <c r="A98" s="60" t="s">
        <v>298</v>
      </c>
      <c r="B98" s="12" t="str">
        <f>VLOOKUP(A:A,'global_freelancer Cleaned data'!A:O,2,FALSE)</f>
        <v>Bethany Wright</v>
      </c>
      <c r="C98" s="12" t="str">
        <f>VLOOKUP(A:A,'global_freelancer Cleaned data'!A97:O346,3,FALSE)</f>
        <v>Female</v>
      </c>
      <c r="D98" s="12">
        <f>VLOOKUP(A:A,'global_freelancer Cleaned data'!A97:O346,4,FALSE)</f>
        <v>49</v>
      </c>
      <c r="E98" s="12" t="str">
        <f>VLOOKUP(A:A,'global_freelancer Cleaned data'!A97:O346,5,FALSE)</f>
        <v>Spain</v>
      </c>
      <c r="F98" s="12">
        <f>VLOOKUP(A:A,'global_freelancer Cleaned data'!A97:O346,8,FALSE)</f>
        <v>25</v>
      </c>
      <c r="G98" s="12" t="str">
        <f>VLOOKUP(A:A,'global_freelancer Cleaned data'!A97:M346,13,FALSE)</f>
        <v>Urgent</v>
      </c>
      <c r="H98" s="12" t="str">
        <f>VLOOKUP(A:A,'global_freelancer Cleaned data'!A97:N346,14,FALSE)</f>
        <v>Active</v>
      </c>
      <c r="I98" s="12">
        <f>VLOOKUP(A:A,'global_freelancer Cleaned data'!A97:O346,15,FALSE)</f>
        <v>14</v>
      </c>
    </row>
    <row r="99" spans="1:9" x14ac:dyDescent="0.3">
      <c r="A99" s="12" t="s">
        <v>300</v>
      </c>
      <c r="B99" s="12" t="str">
        <f>VLOOKUP(A:A,'global_freelancer Cleaned data'!A:O,2,FALSE)</f>
        <v>David Ortiz</v>
      </c>
      <c r="C99" s="12" t="str">
        <f>VLOOKUP(A:A,'global_freelancer Cleaned data'!A98:O347,3,FALSE)</f>
        <v>Male</v>
      </c>
      <c r="D99" s="12">
        <f>VLOOKUP(A:A,'global_freelancer Cleaned data'!A98:O347,4,FALSE)</f>
        <v>37</v>
      </c>
      <c r="E99" s="12" t="str">
        <f>VLOOKUP(A:A,'global_freelancer Cleaned data'!A98:O347,5,FALSE)</f>
        <v>US</v>
      </c>
      <c r="F99" s="12">
        <f>VLOOKUP(A:A,'global_freelancer Cleaned data'!A98:O347,8,FALSE)</f>
        <v>17</v>
      </c>
      <c r="G99" s="12" t="str">
        <f>VLOOKUP(A:A,'global_freelancer Cleaned data'!A98:M347,13,FALSE)</f>
        <v>Reviewed</v>
      </c>
      <c r="H99" s="12" t="str">
        <f>VLOOKUP(A:A,'global_freelancer Cleaned data'!A98:N347,14,FALSE)</f>
        <v>Completed</v>
      </c>
      <c r="I99" s="12">
        <f>VLOOKUP(A:A,'global_freelancer Cleaned data'!A98:O347,15,FALSE)</f>
        <v>20</v>
      </c>
    </row>
    <row r="100" spans="1:9" x14ac:dyDescent="0.3">
      <c r="A100" s="60" t="s">
        <v>302</v>
      </c>
      <c r="B100" s="12" t="str">
        <f>VLOOKUP(A:A,'global_freelancer Cleaned data'!A:O,2,FALSE)</f>
        <v>Andrew Lynch</v>
      </c>
      <c r="C100" s="12" t="str">
        <f>VLOOKUP(A:A,'global_freelancer Cleaned data'!A99:O348,3,FALSE)</f>
        <v>Male</v>
      </c>
      <c r="D100" s="12" t="str">
        <f>VLOOKUP(A:A,'global_freelancer Cleaned data'!A99:O348,4,FALSE)</f>
        <v>Not given</v>
      </c>
      <c r="E100" s="12" t="str">
        <f>VLOOKUP(A:A,'global_freelancer Cleaned data'!A99:O348,5,FALSE)</f>
        <v>US</v>
      </c>
      <c r="F100" s="12">
        <f>VLOOKUP(A:A,'global_freelancer Cleaned data'!A99:O348,8,FALSE)</f>
        <v>5</v>
      </c>
      <c r="G100" s="12" t="str">
        <f>VLOOKUP(A:A,'global_freelancer Cleaned data'!A99:M348,13,FALSE)</f>
        <v>Follow-up</v>
      </c>
      <c r="H100" s="12" t="str">
        <f>VLOOKUP(A:A,'global_freelancer Cleaned data'!A99:N348,14,FALSE)</f>
        <v>Completed</v>
      </c>
      <c r="I100" s="12">
        <f>VLOOKUP(A:A,'global_freelancer Cleaned data'!A99:O348,15,FALSE)</f>
        <v>2</v>
      </c>
    </row>
    <row r="101" spans="1:9" x14ac:dyDescent="0.3">
      <c r="A101" s="12" t="s">
        <v>304</v>
      </c>
      <c r="B101" s="12" t="str">
        <f>VLOOKUP(A:A,'global_freelancer Cleaned data'!A:O,2,FALSE)</f>
        <v>Kristopher Meyers</v>
      </c>
      <c r="C101" s="12" t="str">
        <f>VLOOKUP(A:A,'global_freelancer Cleaned data'!A100:O349,3,FALSE)</f>
        <v>Male</v>
      </c>
      <c r="D101" s="12">
        <f>VLOOKUP(A:A,'global_freelancer Cleaned data'!A100:O349,4,FALSE)</f>
        <v>32</v>
      </c>
      <c r="E101" s="12" t="str">
        <f>VLOOKUP(A:A,'global_freelancer Cleaned data'!A100:O349,5,FALSE)</f>
        <v>Egypt</v>
      </c>
      <c r="F101" s="12">
        <f>VLOOKUP(A:A,'global_freelancer Cleaned data'!A100:O349,8,FALSE)</f>
        <v>10</v>
      </c>
      <c r="G101" s="12" t="str">
        <f>VLOOKUP(A:A,'global_freelancer Cleaned data'!A100:M349,13,FALSE)</f>
        <v>Follow-up</v>
      </c>
      <c r="H101" s="12" t="str">
        <f>VLOOKUP(A:A,'global_freelancer Cleaned data'!A100:N349,14,FALSE)</f>
        <v>Active</v>
      </c>
      <c r="I101" s="12">
        <f>VLOOKUP(A:A,'global_freelancer Cleaned data'!A100:O349,15,FALSE)</f>
        <v>8</v>
      </c>
    </row>
    <row r="102" spans="1:9" x14ac:dyDescent="0.3">
      <c r="A102" s="60" t="s">
        <v>306</v>
      </c>
      <c r="B102" s="12" t="str">
        <f>VLOOKUP(A:A,'global_freelancer Cleaned data'!A:O,2,FALSE)</f>
        <v>Thomas Roth</v>
      </c>
      <c r="C102" s="12" t="str">
        <f>VLOOKUP(A:A,'global_freelancer Cleaned data'!A101:O350,3,FALSE)</f>
        <v>Male</v>
      </c>
      <c r="D102" s="12">
        <f>VLOOKUP(A:A,'global_freelancer Cleaned data'!A101:O350,4,FALSE)</f>
        <v>35</v>
      </c>
      <c r="E102" s="12" t="str">
        <f>VLOOKUP(A:A,'global_freelancer Cleaned data'!A101:O350,5,FALSE)</f>
        <v>India</v>
      </c>
      <c r="F102" s="12">
        <f>VLOOKUP(A:A,'global_freelancer Cleaned data'!A101:O350,8,FALSE)</f>
        <v>0</v>
      </c>
      <c r="G102" s="12" t="str">
        <f>VLOOKUP(A:A,'global_freelancer Cleaned data'!A101:M350,13,FALSE)</f>
        <v>Reviewed</v>
      </c>
      <c r="H102" s="12" t="str">
        <f>VLOOKUP(A:A,'global_freelancer Cleaned data'!A101:N350,14,FALSE)</f>
        <v>Completed</v>
      </c>
      <c r="I102" s="12">
        <f>VLOOKUP(A:A,'global_freelancer Cleaned data'!A101:O350,15,FALSE)</f>
        <v>4</v>
      </c>
    </row>
    <row r="103" spans="1:9" x14ac:dyDescent="0.3">
      <c r="A103" s="12" t="s">
        <v>308</v>
      </c>
      <c r="B103" s="12" t="str">
        <f>VLOOKUP(A:A,'global_freelancer Cleaned data'!A:O,2,FALSE)</f>
        <v>Vicki Brown</v>
      </c>
      <c r="C103" s="12" t="str">
        <f>VLOOKUP(A:A,'global_freelancer Cleaned data'!A102:O351,3,FALSE)</f>
        <v>Female</v>
      </c>
      <c r="D103" s="12">
        <f>VLOOKUP(A:A,'global_freelancer Cleaned data'!A102:O351,4,FALSE)</f>
        <v>51</v>
      </c>
      <c r="E103" s="12" t="str">
        <f>VLOOKUP(A:A,'global_freelancer Cleaned data'!A102:O351,5,FALSE)</f>
        <v>Russia</v>
      </c>
      <c r="F103" s="12">
        <f>VLOOKUP(A:A,'global_freelancer Cleaned data'!A102:O351,8,FALSE)</f>
        <v>2</v>
      </c>
      <c r="G103" s="12" t="str">
        <f>VLOOKUP(A:A,'global_freelancer Cleaned data'!A102:M351,13,FALSE)</f>
        <v>Pending</v>
      </c>
      <c r="H103" s="12" t="str">
        <f>VLOOKUP(A:A,'global_freelancer Cleaned data'!A102:N351,14,FALSE)</f>
        <v>Completed</v>
      </c>
      <c r="I103" s="12">
        <f>VLOOKUP(A:A,'global_freelancer Cleaned data'!A102:O351,15,FALSE)</f>
        <v>5</v>
      </c>
    </row>
    <row r="104" spans="1:9" x14ac:dyDescent="0.3">
      <c r="A104" s="60" t="s">
        <v>310</v>
      </c>
      <c r="B104" s="12" t="str">
        <f>VLOOKUP(A:A,'global_freelancer Cleaned data'!A:O,2,FALSE)</f>
        <v>Stacy Sutton</v>
      </c>
      <c r="C104" s="12" t="str">
        <f>VLOOKUP(A:A,'global_freelancer Cleaned data'!A103:O352,3,FALSE)</f>
        <v>Female</v>
      </c>
      <c r="D104" s="12">
        <f>VLOOKUP(A:A,'global_freelancer Cleaned data'!A103:O352,4,FALSE)</f>
        <v>50</v>
      </c>
      <c r="E104" s="12" t="str">
        <f>VLOOKUP(A:A,'global_freelancer Cleaned data'!A103:O352,5,FALSE)</f>
        <v>Russia</v>
      </c>
      <c r="F104" s="12">
        <f>VLOOKUP(A:A,'global_freelancer Cleaned data'!A103:O352,8,FALSE)</f>
        <v>30</v>
      </c>
      <c r="G104" s="12" t="str">
        <f>VLOOKUP(A:A,'global_freelancer Cleaned data'!A103:M352,13,FALSE)</f>
        <v>Urgent</v>
      </c>
      <c r="H104" s="12" t="str">
        <f>VLOOKUP(A:A,'global_freelancer Cleaned data'!A103:N352,14,FALSE)</f>
        <v>Completed</v>
      </c>
      <c r="I104" s="12">
        <f>VLOOKUP(A:A,'global_freelancer Cleaned data'!A103:O352,15,FALSE)</f>
        <v>13</v>
      </c>
    </row>
    <row r="105" spans="1:9" x14ac:dyDescent="0.3">
      <c r="A105" s="12" t="s">
        <v>312</v>
      </c>
      <c r="B105" s="12" t="str">
        <f>VLOOKUP(A:A,'global_freelancer Cleaned data'!A:O,2,FALSE)</f>
        <v>Kimberly Holland</v>
      </c>
      <c r="C105" s="12" t="str">
        <f>VLOOKUP(A:A,'global_freelancer Cleaned data'!A104:O353,3,FALSE)</f>
        <v>Female</v>
      </c>
      <c r="D105" s="12">
        <f>VLOOKUP(A:A,'global_freelancer Cleaned data'!A104:O353,4,FALSE)</f>
        <v>21</v>
      </c>
      <c r="E105" s="12" t="str">
        <f>VLOOKUP(A:A,'global_freelancer Cleaned data'!A104:O353,5,FALSE)</f>
        <v>Turkey</v>
      </c>
      <c r="F105" s="12">
        <f>VLOOKUP(A:A,'global_freelancer Cleaned data'!A104:O353,8,FALSE)</f>
        <v>2</v>
      </c>
      <c r="G105" s="12" t="str">
        <f>VLOOKUP(A:A,'global_freelancer Cleaned data'!A104:M353,13,FALSE)</f>
        <v>Reviewed</v>
      </c>
      <c r="H105" s="12" t="str">
        <f>VLOOKUP(A:A,'global_freelancer Cleaned data'!A104:N353,14,FALSE)</f>
        <v>Inactive</v>
      </c>
      <c r="I105" s="12">
        <f>VLOOKUP(A:A,'global_freelancer Cleaned data'!A104:O353,15,FALSE)</f>
        <v>2</v>
      </c>
    </row>
    <row r="106" spans="1:9" x14ac:dyDescent="0.3">
      <c r="A106" s="60" t="s">
        <v>314</v>
      </c>
      <c r="B106" s="12" t="str">
        <f>VLOOKUP(A:A,'global_freelancer Cleaned data'!A:O,2,FALSE)</f>
        <v>Travis Richardson</v>
      </c>
      <c r="C106" s="12" t="str">
        <f>VLOOKUP(A:A,'global_freelancer Cleaned data'!A105:O354,3,FALSE)</f>
        <v>Male</v>
      </c>
      <c r="D106" s="12">
        <f>VLOOKUP(A:A,'global_freelancer Cleaned data'!A105:O354,4,FALSE)</f>
        <v>25</v>
      </c>
      <c r="E106" s="12" t="str">
        <f>VLOOKUP(A:A,'global_freelancer Cleaned data'!A105:O354,5,FALSE)</f>
        <v>US</v>
      </c>
      <c r="F106" s="12">
        <f>VLOOKUP(A:A,'global_freelancer Cleaned data'!A105:O354,8,FALSE)</f>
        <v>3</v>
      </c>
      <c r="G106" s="12" t="str">
        <f>VLOOKUP(A:A,'global_freelancer Cleaned data'!A105:M354,13,FALSE)</f>
        <v>Urgent</v>
      </c>
      <c r="H106" s="12" t="str">
        <f>VLOOKUP(A:A,'global_freelancer Cleaned data'!A105:N354,14,FALSE)</f>
        <v>Completed</v>
      </c>
      <c r="I106" s="12">
        <f>VLOOKUP(A:A,'global_freelancer Cleaned data'!A105:O354,15,FALSE)</f>
        <v>2</v>
      </c>
    </row>
    <row r="107" spans="1:9" x14ac:dyDescent="0.3">
      <c r="A107" s="12" t="s">
        <v>316</v>
      </c>
      <c r="B107" s="12" t="str">
        <f>VLOOKUP(A:A,'global_freelancer Cleaned data'!A:O,2,FALSE)</f>
        <v>Jasmin Ho</v>
      </c>
      <c r="C107" s="12" t="str">
        <f>VLOOKUP(A:A,'global_freelancer Cleaned data'!A106:O355,3,FALSE)</f>
        <v>Female</v>
      </c>
      <c r="D107" s="12">
        <f>VLOOKUP(A:A,'global_freelancer Cleaned data'!A106:O355,4,FALSE)</f>
        <v>57</v>
      </c>
      <c r="E107" s="12" t="str">
        <f>VLOOKUP(A:A,'global_freelancer Cleaned data'!A106:O355,5,FALSE)</f>
        <v>France</v>
      </c>
      <c r="F107" s="12">
        <f>VLOOKUP(A:A,'global_freelancer Cleaned data'!A106:O355,8,FALSE)</f>
        <v>21</v>
      </c>
      <c r="G107" s="12" t="str">
        <f>VLOOKUP(A:A,'global_freelancer Cleaned data'!A106:M355,13,FALSE)</f>
        <v>Pending</v>
      </c>
      <c r="H107" s="12" t="str">
        <f>VLOOKUP(A:A,'global_freelancer Cleaned data'!A106:N355,14,FALSE)</f>
        <v>Completed</v>
      </c>
      <c r="I107" s="12">
        <f>VLOOKUP(A:A,'global_freelancer Cleaned data'!A106:O355,15,FALSE)</f>
        <v>13</v>
      </c>
    </row>
    <row r="108" spans="1:9" x14ac:dyDescent="0.3">
      <c r="A108" s="60" t="s">
        <v>318</v>
      </c>
      <c r="B108" s="12" t="str">
        <f>VLOOKUP(A:A,'global_freelancer Cleaned data'!A:O,2,FALSE)</f>
        <v>Mark Paul</v>
      </c>
      <c r="C108" s="12" t="str">
        <f>VLOOKUP(A:A,'global_freelancer Cleaned data'!A107:O356,3,FALSE)</f>
        <v>Male</v>
      </c>
      <c r="D108" s="12">
        <f>VLOOKUP(A:A,'global_freelancer Cleaned data'!A107:O356,4,FALSE)</f>
        <v>58</v>
      </c>
      <c r="E108" s="12" t="str">
        <f>VLOOKUP(A:A,'global_freelancer Cleaned data'!A107:O356,5,FALSE)</f>
        <v>Russia</v>
      </c>
      <c r="F108" s="12">
        <f>VLOOKUP(A:A,'global_freelancer Cleaned data'!A107:O356,8,FALSE)</f>
        <v>3</v>
      </c>
      <c r="G108" s="12" t="str">
        <f>VLOOKUP(A:A,'global_freelancer Cleaned data'!A107:M356,13,FALSE)</f>
        <v>Urgent</v>
      </c>
      <c r="H108" s="12" t="str">
        <f>VLOOKUP(A:A,'global_freelancer Cleaned data'!A107:N356,14,FALSE)</f>
        <v>Completed</v>
      </c>
      <c r="I108" s="12">
        <f>VLOOKUP(A:A,'global_freelancer Cleaned data'!A107:O356,15,FALSE)</f>
        <v>3</v>
      </c>
    </row>
    <row r="109" spans="1:9" x14ac:dyDescent="0.3">
      <c r="A109" s="12" t="s">
        <v>320</v>
      </c>
      <c r="B109" s="12" t="str">
        <f>VLOOKUP(A:A,'global_freelancer Cleaned data'!A:O,2,FALSE)</f>
        <v>Jennifer Lewis</v>
      </c>
      <c r="C109" s="12" t="str">
        <f>VLOOKUP(A:A,'global_freelancer Cleaned data'!A108:O357,3,FALSE)</f>
        <v>Female</v>
      </c>
      <c r="D109" s="12">
        <f>VLOOKUP(A:A,'global_freelancer Cleaned data'!A108:O357,4,FALSE)</f>
        <v>45</v>
      </c>
      <c r="E109" s="12" t="str">
        <f>VLOOKUP(A:A,'global_freelancer Cleaned data'!A108:O357,5,FALSE)</f>
        <v>Indonesia</v>
      </c>
      <c r="F109" s="12">
        <f>VLOOKUP(A:A,'global_freelancer Cleaned data'!A108:O357,8,FALSE)</f>
        <v>19</v>
      </c>
      <c r="G109" s="12" t="str">
        <f>VLOOKUP(A:A,'global_freelancer Cleaned data'!A108:M357,13,FALSE)</f>
        <v>Reviewed</v>
      </c>
      <c r="H109" s="12" t="str">
        <f>VLOOKUP(A:A,'global_freelancer Cleaned data'!A108:N357,14,FALSE)</f>
        <v>Inactive</v>
      </c>
      <c r="I109" s="12">
        <f>VLOOKUP(A:A,'global_freelancer Cleaned data'!A108:O357,15,FALSE)</f>
        <v>12</v>
      </c>
    </row>
    <row r="110" spans="1:9" x14ac:dyDescent="0.3">
      <c r="A110" s="60" t="s">
        <v>322</v>
      </c>
      <c r="B110" s="12" t="str">
        <f>VLOOKUP(A:A,'global_freelancer Cleaned data'!A:O,2,FALSE)</f>
        <v>Elizabeth Lester</v>
      </c>
      <c r="C110" s="12" t="str">
        <f>VLOOKUP(A:A,'global_freelancer Cleaned data'!A109:O358,3,FALSE)</f>
        <v>Female</v>
      </c>
      <c r="D110" s="12">
        <f>VLOOKUP(A:A,'global_freelancer Cleaned data'!A109:O358,4,FALSE)</f>
        <v>23</v>
      </c>
      <c r="E110" s="12" t="str">
        <f>VLOOKUP(A:A,'global_freelancer Cleaned data'!A109:O358,5,FALSE)</f>
        <v>US</v>
      </c>
      <c r="F110" s="12">
        <f>VLOOKUP(A:A,'global_freelancer Cleaned data'!A109:O358,8,FALSE)</f>
        <v>0</v>
      </c>
      <c r="G110" s="12" t="str">
        <f>VLOOKUP(A:A,'global_freelancer Cleaned data'!A109:M358,13,FALSE)</f>
        <v>Urgent</v>
      </c>
      <c r="H110" s="12" t="str">
        <f>VLOOKUP(A:A,'global_freelancer Cleaned data'!A109:N358,14,FALSE)</f>
        <v>Active</v>
      </c>
      <c r="I110" s="12">
        <f>VLOOKUP(A:A,'global_freelancer Cleaned data'!A109:O358,15,FALSE)</f>
        <v>2</v>
      </c>
    </row>
    <row r="111" spans="1:9" x14ac:dyDescent="0.3">
      <c r="A111" s="12" t="s">
        <v>324</v>
      </c>
      <c r="B111" s="12" t="str">
        <f>VLOOKUP(A:A,'global_freelancer Cleaned data'!A:O,2,FALSE)</f>
        <v>Kimberly Griffin</v>
      </c>
      <c r="C111" s="12" t="str">
        <f>VLOOKUP(A:A,'global_freelancer Cleaned data'!A110:O359,3,FALSE)</f>
        <v>Female</v>
      </c>
      <c r="D111" s="12">
        <f>VLOOKUP(A:A,'global_freelancer Cleaned data'!A110:O359,4,FALSE)</f>
        <v>46</v>
      </c>
      <c r="E111" s="12" t="str">
        <f>VLOOKUP(A:A,'global_freelancer Cleaned data'!A110:O359,5,FALSE)</f>
        <v>US</v>
      </c>
      <c r="F111" s="12">
        <f>VLOOKUP(A:A,'global_freelancer Cleaned data'!A110:O359,8,FALSE)</f>
        <v>9</v>
      </c>
      <c r="G111" s="12" t="str">
        <f>VLOOKUP(A:A,'global_freelancer Cleaned data'!A110:M359,13,FALSE)</f>
        <v>Follow-up</v>
      </c>
      <c r="H111" s="12" t="str">
        <f>VLOOKUP(A:A,'global_freelancer Cleaned data'!A110:N359,14,FALSE)</f>
        <v>On Hold</v>
      </c>
      <c r="I111" s="12">
        <f>VLOOKUP(A:A,'global_freelancer Cleaned data'!A110:O359,15,FALSE)</f>
        <v>15</v>
      </c>
    </row>
    <row r="112" spans="1:9" x14ac:dyDescent="0.3">
      <c r="A112" s="60" t="s">
        <v>326</v>
      </c>
      <c r="B112" s="12" t="str">
        <f>VLOOKUP(A:A,'global_freelancer Cleaned data'!A:O,2,FALSE)</f>
        <v>Tyler Warner</v>
      </c>
      <c r="C112" s="12" t="str">
        <f>VLOOKUP(A:A,'global_freelancer Cleaned data'!A111:O360,3,FALSE)</f>
        <v>Male</v>
      </c>
      <c r="D112" s="12">
        <f>VLOOKUP(A:A,'global_freelancer Cleaned data'!A111:O360,4,FALSE)</f>
        <v>27</v>
      </c>
      <c r="E112" s="12" t="str">
        <f>VLOOKUP(A:A,'global_freelancer Cleaned data'!A111:O360,5,FALSE)</f>
        <v>Argentina</v>
      </c>
      <c r="F112" s="12">
        <f>VLOOKUP(A:A,'global_freelancer Cleaned data'!A111:O360,8,FALSE)</f>
        <v>5</v>
      </c>
      <c r="G112" s="12" t="str">
        <f>VLOOKUP(A:A,'global_freelancer Cleaned data'!A111:M360,13,FALSE)</f>
        <v>Pending</v>
      </c>
      <c r="H112" s="12" t="str">
        <f>VLOOKUP(A:A,'global_freelancer Cleaned data'!A111:N360,14,FALSE)</f>
        <v>Completed</v>
      </c>
      <c r="I112" s="12">
        <f>VLOOKUP(A:A,'global_freelancer Cleaned data'!A111:O360,15,FALSE)</f>
        <v>3</v>
      </c>
    </row>
    <row r="113" spans="1:9" x14ac:dyDescent="0.3">
      <c r="A113" s="12" t="s">
        <v>328</v>
      </c>
      <c r="B113" s="12" t="str">
        <f>VLOOKUP(A:A,'global_freelancer Cleaned data'!A:O,2,FALSE)</f>
        <v>Jane Cox</v>
      </c>
      <c r="C113" s="12" t="str">
        <f>VLOOKUP(A:A,'global_freelancer Cleaned data'!A112:O361,3,FALSE)</f>
        <v>Female</v>
      </c>
      <c r="D113" s="12">
        <f>VLOOKUP(A:A,'global_freelancer Cleaned data'!A112:O361,4,FALSE)</f>
        <v>32</v>
      </c>
      <c r="E113" s="12" t="str">
        <f>VLOOKUP(A:A,'global_freelancer Cleaned data'!A112:O361,5,FALSE)</f>
        <v>US</v>
      </c>
      <c r="F113" s="12">
        <f>VLOOKUP(A:A,'global_freelancer Cleaned data'!A112:O361,8,FALSE)</f>
        <v>6</v>
      </c>
      <c r="G113" s="12" t="str">
        <f>VLOOKUP(A:A,'global_freelancer Cleaned data'!A112:M361,13,FALSE)</f>
        <v>Pending</v>
      </c>
      <c r="H113" s="12" t="str">
        <f>VLOOKUP(A:A,'global_freelancer Cleaned data'!A112:N361,14,FALSE)</f>
        <v>Active</v>
      </c>
      <c r="I113" s="12">
        <f>VLOOKUP(A:A,'global_freelancer Cleaned data'!A112:O361,15,FALSE)</f>
        <v>11</v>
      </c>
    </row>
    <row r="114" spans="1:9" x14ac:dyDescent="0.3">
      <c r="A114" s="60" t="s">
        <v>330</v>
      </c>
      <c r="B114" s="12" t="str">
        <f>VLOOKUP(A:A,'global_freelancer Cleaned data'!A:O,2,FALSE)</f>
        <v>Leah Williams</v>
      </c>
      <c r="C114" s="12" t="str">
        <f>VLOOKUP(A:A,'global_freelancer Cleaned data'!A113:O362,3,FALSE)</f>
        <v>Female</v>
      </c>
      <c r="D114" s="12">
        <f>VLOOKUP(A:A,'global_freelancer Cleaned data'!A113:O362,4,FALSE)</f>
        <v>48</v>
      </c>
      <c r="E114" s="12" t="str">
        <f>VLOOKUP(A:A,'global_freelancer Cleaned data'!A113:O362,5,FALSE)</f>
        <v>Argentina</v>
      </c>
      <c r="F114" s="12">
        <f>VLOOKUP(A:A,'global_freelancer Cleaned data'!A113:O362,8,FALSE)</f>
        <v>6</v>
      </c>
      <c r="G114" s="12" t="str">
        <f>VLOOKUP(A:A,'global_freelancer Cleaned data'!A113:M362,13,FALSE)</f>
        <v>Pending</v>
      </c>
      <c r="H114" s="12" t="str">
        <f>VLOOKUP(A:A,'global_freelancer Cleaned data'!A113:N362,14,FALSE)</f>
        <v>Completed</v>
      </c>
      <c r="I114" s="12">
        <f>VLOOKUP(A:A,'global_freelancer Cleaned data'!A113:O362,15,FALSE)</f>
        <v>13</v>
      </c>
    </row>
    <row r="115" spans="1:9" x14ac:dyDescent="0.3">
      <c r="A115" s="12" t="s">
        <v>332</v>
      </c>
      <c r="B115" s="12" t="str">
        <f>VLOOKUP(A:A,'global_freelancer Cleaned data'!A:O,2,FALSE)</f>
        <v>Kevin Wong</v>
      </c>
      <c r="C115" s="12" t="str">
        <f>VLOOKUP(A:A,'global_freelancer Cleaned data'!A114:O363,3,FALSE)</f>
        <v>Male</v>
      </c>
      <c r="D115" s="12">
        <f>VLOOKUP(A:A,'global_freelancer Cleaned data'!A114:O363,4,FALSE)</f>
        <v>30</v>
      </c>
      <c r="E115" s="12" t="str">
        <f>VLOOKUP(A:A,'global_freelancer Cleaned data'!A114:O363,5,FALSE)</f>
        <v>Turkey</v>
      </c>
      <c r="F115" s="12">
        <f>VLOOKUP(A:A,'global_freelancer Cleaned data'!A114:O363,8,FALSE)</f>
        <v>3</v>
      </c>
      <c r="G115" s="12" t="str">
        <f>VLOOKUP(A:A,'global_freelancer Cleaned data'!A114:M363,13,FALSE)</f>
        <v>Reviewed</v>
      </c>
      <c r="H115" s="12" t="str">
        <f>VLOOKUP(A:A,'global_freelancer Cleaned data'!A114:N363,14,FALSE)</f>
        <v>Inactive</v>
      </c>
      <c r="I115" s="12">
        <f>VLOOKUP(A:A,'global_freelancer Cleaned data'!A114:O363,15,FALSE)</f>
        <v>2</v>
      </c>
    </row>
    <row r="116" spans="1:9" x14ac:dyDescent="0.3">
      <c r="A116" s="60" t="s">
        <v>334</v>
      </c>
      <c r="B116" s="12" t="str">
        <f>VLOOKUP(A:A,'global_freelancer Cleaned data'!A:O,2,FALSE)</f>
        <v>Robert Andrews</v>
      </c>
      <c r="C116" s="12" t="str">
        <f>VLOOKUP(A:A,'global_freelancer Cleaned data'!A115:O364,3,FALSE)</f>
        <v>Male</v>
      </c>
      <c r="D116" s="12">
        <f>VLOOKUP(A:A,'global_freelancer Cleaned data'!A115:O364,4,FALSE)</f>
        <v>59</v>
      </c>
      <c r="E116" s="12" t="str">
        <f>VLOOKUP(A:A,'global_freelancer Cleaned data'!A115:O364,5,FALSE)</f>
        <v>Turkey</v>
      </c>
      <c r="F116" s="12">
        <f>VLOOKUP(A:A,'global_freelancer Cleaned data'!A115:O364,8,FALSE)</f>
        <v>13</v>
      </c>
      <c r="G116" s="12" t="str">
        <f>VLOOKUP(A:A,'global_freelancer Cleaned data'!A115:M364,13,FALSE)</f>
        <v>Pending</v>
      </c>
      <c r="H116" s="12" t="str">
        <f>VLOOKUP(A:A,'global_freelancer Cleaned data'!A115:N364,14,FALSE)</f>
        <v>Active</v>
      </c>
      <c r="I116" s="12">
        <f>VLOOKUP(A:A,'global_freelancer Cleaned data'!A115:O364,15,FALSE)</f>
        <v>7</v>
      </c>
    </row>
    <row r="117" spans="1:9" x14ac:dyDescent="0.3">
      <c r="A117" s="12" t="s">
        <v>337</v>
      </c>
      <c r="B117" s="12" t="str">
        <f>VLOOKUP(A:A,'global_freelancer Cleaned data'!A:O,2,FALSE)</f>
        <v>Jessica Torres</v>
      </c>
      <c r="C117" s="12" t="str">
        <f>VLOOKUP(A:A,'global_freelancer Cleaned data'!A116:O365,3,FALSE)</f>
        <v>Female</v>
      </c>
      <c r="D117" s="12">
        <f>VLOOKUP(A:A,'global_freelancer Cleaned data'!A116:O365,4,FALSE)</f>
        <v>32</v>
      </c>
      <c r="E117" s="12" t="str">
        <f>VLOOKUP(A:A,'global_freelancer Cleaned data'!A116:O365,5,FALSE)</f>
        <v>Mexico</v>
      </c>
      <c r="F117" s="12">
        <f>VLOOKUP(A:A,'global_freelancer Cleaned data'!A116:O365,8,FALSE)</f>
        <v>5</v>
      </c>
      <c r="G117" s="12" t="str">
        <f>VLOOKUP(A:A,'global_freelancer Cleaned data'!A116:M365,13,FALSE)</f>
        <v>Follow-up</v>
      </c>
      <c r="H117" s="12" t="str">
        <f>VLOOKUP(A:A,'global_freelancer Cleaned data'!A116:N365,14,FALSE)</f>
        <v>Inactive</v>
      </c>
      <c r="I117" s="12">
        <f>VLOOKUP(A:A,'global_freelancer Cleaned data'!A116:O365,15,FALSE)</f>
        <v>3</v>
      </c>
    </row>
    <row r="118" spans="1:9" x14ac:dyDescent="0.3">
      <c r="A118" s="60" t="s">
        <v>339</v>
      </c>
      <c r="B118" s="12" t="str">
        <f>VLOOKUP(A:A,'global_freelancer Cleaned data'!A:O,2,FALSE)</f>
        <v>Teresa Kim</v>
      </c>
      <c r="C118" s="12" t="str">
        <f>VLOOKUP(A:A,'global_freelancer Cleaned data'!A117:O366,3,FALSE)</f>
        <v>Female</v>
      </c>
      <c r="D118" s="12">
        <f>VLOOKUP(A:A,'global_freelancer Cleaned data'!A117:O366,4,FALSE)</f>
        <v>57</v>
      </c>
      <c r="E118" s="12" t="str">
        <f>VLOOKUP(A:A,'global_freelancer Cleaned data'!A117:O366,5,FALSE)</f>
        <v>Egypt</v>
      </c>
      <c r="F118" s="12">
        <f>VLOOKUP(A:A,'global_freelancer Cleaned data'!A117:O366,8,FALSE)</f>
        <v>4</v>
      </c>
      <c r="G118" s="12" t="str">
        <f>VLOOKUP(A:A,'global_freelancer Cleaned data'!A117:M366,13,FALSE)</f>
        <v>Reviewed</v>
      </c>
      <c r="H118" s="12" t="str">
        <f>VLOOKUP(A:A,'global_freelancer Cleaned data'!A117:N366,14,FALSE)</f>
        <v>Completed</v>
      </c>
      <c r="I118" s="12">
        <f>VLOOKUP(A:A,'global_freelancer Cleaned data'!A117:O366,15,FALSE)</f>
        <v>1</v>
      </c>
    </row>
    <row r="119" spans="1:9" x14ac:dyDescent="0.3">
      <c r="A119" s="12" t="s">
        <v>341</v>
      </c>
      <c r="B119" s="12" t="str">
        <f>VLOOKUP(A:A,'global_freelancer Cleaned data'!A:O,2,FALSE)</f>
        <v>Jon Morgan</v>
      </c>
      <c r="C119" s="12" t="str">
        <f>VLOOKUP(A:A,'global_freelancer Cleaned data'!A118:O367,3,FALSE)</f>
        <v>Male</v>
      </c>
      <c r="D119" s="12">
        <f>VLOOKUP(A:A,'global_freelancer Cleaned data'!A118:O367,4,FALSE)</f>
        <v>27</v>
      </c>
      <c r="E119" s="12" t="str">
        <f>VLOOKUP(A:A,'global_freelancer Cleaned data'!A118:O367,5,FALSE)</f>
        <v>Australia</v>
      </c>
      <c r="F119" s="12">
        <f>VLOOKUP(A:A,'global_freelancer Cleaned data'!A118:O367,8,FALSE)</f>
        <v>7</v>
      </c>
      <c r="G119" s="12" t="str">
        <f>VLOOKUP(A:A,'global_freelancer Cleaned data'!A118:M367,13,FALSE)</f>
        <v>Follow-up</v>
      </c>
      <c r="H119" s="12" t="str">
        <f>VLOOKUP(A:A,'global_freelancer Cleaned data'!A118:N367,14,FALSE)</f>
        <v>Completed</v>
      </c>
      <c r="I119" s="12">
        <f>VLOOKUP(A:A,'global_freelancer Cleaned data'!A118:O367,15,FALSE)</f>
        <v>9</v>
      </c>
    </row>
    <row r="120" spans="1:9" x14ac:dyDescent="0.3">
      <c r="A120" s="60" t="s">
        <v>343</v>
      </c>
      <c r="B120" s="12" t="str">
        <f>VLOOKUP(A:A,'global_freelancer Cleaned data'!A:O,2,FALSE)</f>
        <v>Gloria Chaney</v>
      </c>
      <c r="C120" s="12" t="str">
        <f>VLOOKUP(A:A,'global_freelancer Cleaned data'!A119:O368,3,FALSE)</f>
        <v>Female</v>
      </c>
      <c r="D120" s="12">
        <f>VLOOKUP(A:A,'global_freelancer Cleaned data'!A119:O368,4,FALSE)</f>
        <v>33</v>
      </c>
      <c r="E120" s="12" t="str">
        <f>VLOOKUP(A:A,'global_freelancer Cleaned data'!A119:O368,5,FALSE)</f>
        <v>Not Mentioned</v>
      </c>
      <c r="F120" s="12">
        <f>VLOOKUP(A:A,'global_freelancer Cleaned data'!A119:O368,8,FALSE)</f>
        <v>13</v>
      </c>
      <c r="G120" s="12" t="str">
        <f>VLOOKUP(A:A,'global_freelancer Cleaned data'!A119:M368,13,FALSE)</f>
        <v>Urgent</v>
      </c>
      <c r="H120" s="12" t="str">
        <f>VLOOKUP(A:A,'global_freelancer Cleaned data'!A119:N368,14,FALSE)</f>
        <v>Inactive</v>
      </c>
      <c r="I120" s="12">
        <f>VLOOKUP(A:A,'global_freelancer Cleaned data'!A119:O368,15,FALSE)</f>
        <v>8</v>
      </c>
    </row>
    <row r="121" spans="1:9" x14ac:dyDescent="0.3">
      <c r="A121" s="12" t="s">
        <v>345</v>
      </c>
      <c r="B121" s="12" t="str">
        <f>VLOOKUP(A:A,'global_freelancer Cleaned data'!A:O,2,FALSE)</f>
        <v>Jesse Campbell</v>
      </c>
      <c r="C121" s="12" t="str">
        <f>VLOOKUP(A:A,'global_freelancer Cleaned data'!A120:O369,3,FALSE)</f>
        <v>Male</v>
      </c>
      <c r="D121" s="12">
        <f>VLOOKUP(A:A,'global_freelancer Cleaned data'!A120:O369,4,FALSE)</f>
        <v>29</v>
      </c>
      <c r="E121" s="12" t="str">
        <f>VLOOKUP(A:A,'global_freelancer Cleaned data'!A120:O369,5,FALSE)</f>
        <v>South Korea</v>
      </c>
      <c r="F121" s="12">
        <f>VLOOKUP(A:A,'global_freelancer Cleaned data'!A120:O369,8,FALSE)</f>
        <v>4</v>
      </c>
      <c r="G121" s="12" t="str">
        <f>VLOOKUP(A:A,'global_freelancer Cleaned data'!A120:M369,13,FALSE)</f>
        <v>Urgent</v>
      </c>
      <c r="H121" s="12" t="str">
        <f>VLOOKUP(A:A,'global_freelancer Cleaned data'!A120:N369,14,FALSE)</f>
        <v>On Hold</v>
      </c>
      <c r="I121" s="12">
        <f>VLOOKUP(A:A,'global_freelancer Cleaned data'!A120:O369,15,FALSE)</f>
        <v>5</v>
      </c>
    </row>
    <row r="122" spans="1:9" x14ac:dyDescent="0.3">
      <c r="A122" s="60" t="s">
        <v>347</v>
      </c>
      <c r="B122" s="12" t="str">
        <f>VLOOKUP(A:A,'global_freelancer Cleaned data'!A:O,2,FALSE)</f>
        <v>Allison Tucker MD</v>
      </c>
      <c r="C122" s="12" t="str">
        <f>VLOOKUP(A:A,'global_freelancer Cleaned data'!A121:O370,3,FALSE)</f>
        <v>Female</v>
      </c>
      <c r="D122" s="12">
        <f>VLOOKUP(A:A,'global_freelancer Cleaned data'!A121:O370,4,FALSE)</f>
        <v>36</v>
      </c>
      <c r="E122" s="12" t="str">
        <f>VLOOKUP(A:A,'global_freelancer Cleaned data'!A121:O370,5,FALSE)</f>
        <v>Indonesia</v>
      </c>
      <c r="F122" s="12">
        <f>VLOOKUP(A:A,'global_freelancer Cleaned data'!A121:O370,8,FALSE)</f>
        <v>13</v>
      </c>
      <c r="G122" s="12" t="str">
        <f>VLOOKUP(A:A,'global_freelancer Cleaned data'!A121:M370,13,FALSE)</f>
        <v>Urgent</v>
      </c>
      <c r="H122" s="12" t="str">
        <f>VLOOKUP(A:A,'global_freelancer Cleaned data'!A121:N370,14,FALSE)</f>
        <v>Inactive</v>
      </c>
      <c r="I122" s="12">
        <f>VLOOKUP(A:A,'global_freelancer Cleaned data'!A121:O370,15,FALSE)</f>
        <v>14</v>
      </c>
    </row>
    <row r="123" spans="1:9" x14ac:dyDescent="0.3">
      <c r="A123" s="12" t="s">
        <v>349</v>
      </c>
      <c r="B123" s="12" t="str">
        <f>VLOOKUP(A:A,'global_freelancer Cleaned data'!A:O,2,FALSE)</f>
        <v>Candice Petersen</v>
      </c>
      <c r="C123" s="12" t="str">
        <f>VLOOKUP(A:A,'global_freelancer Cleaned data'!A122:O371,3,FALSE)</f>
        <v>Female</v>
      </c>
      <c r="D123" s="12">
        <f>VLOOKUP(A:A,'global_freelancer Cleaned data'!A122:O371,4,FALSE)</f>
        <v>47</v>
      </c>
      <c r="E123" s="12" t="str">
        <f>VLOOKUP(A:A,'global_freelancer Cleaned data'!A122:O371,5,FALSE)</f>
        <v>Italy</v>
      </c>
      <c r="F123" s="12">
        <f>VLOOKUP(A:A,'global_freelancer Cleaned data'!A122:O371,8,FALSE)</f>
        <v>5</v>
      </c>
      <c r="G123" s="12" t="str">
        <f>VLOOKUP(A:A,'global_freelancer Cleaned data'!A122:M371,13,FALSE)</f>
        <v>Urgent</v>
      </c>
      <c r="H123" s="12" t="str">
        <f>VLOOKUP(A:A,'global_freelancer Cleaned data'!A122:N371,14,FALSE)</f>
        <v>Completed</v>
      </c>
      <c r="I123" s="12">
        <f>VLOOKUP(A:A,'global_freelancer Cleaned data'!A122:O371,15,FALSE)</f>
        <v>3</v>
      </c>
    </row>
    <row r="124" spans="1:9" x14ac:dyDescent="0.3">
      <c r="A124" s="60" t="s">
        <v>351</v>
      </c>
      <c r="B124" s="12" t="str">
        <f>VLOOKUP(A:A,'global_freelancer Cleaned data'!A:O,2,FALSE)</f>
        <v>Christopher Nichols</v>
      </c>
      <c r="C124" s="12" t="str">
        <f>VLOOKUP(A:A,'global_freelancer Cleaned data'!A123:O372,3,FALSE)</f>
        <v>Male</v>
      </c>
      <c r="D124" s="12">
        <f>VLOOKUP(A:A,'global_freelancer Cleaned data'!A123:O372,4,FALSE)</f>
        <v>48</v>
      </c>
      <c r="E124" s="12" t="str">
        <f>VLOOKUP(A:A,'global_freelancer Cleaned data'!A123:O372,5,FALSE)</f>
        <v>Canada</v>
      </c>
      <c r="F124" s="12">
        <f>VLOOKUP(A:A,'global_freelancer Cleaned data'!A123:O372,8,FALSE)</f>
        <v>15</v>
      </c>
      <c r="G124" s="12" t="str">
        <f>VLOOKUP(A:A,'global_freelancer Cleaned data'!A123:M372,13,FALSE)</f>
        <v>Follow-up</v>
      </c>
      <c r="H124" s="12" t="str">
        <f>VLOOKUP(A:A,'global_freelancer Cleaned data'!A123:N372,14,FALSE)</f>
        <v>Inactive</v>
      </c>
      <c r="I124" s="12">
        <f>VLOOKUP(A:A,'global_freelancer Cleaned data'!A123:O372,15,FALSE)</f>
        <v>14</v>
      </c>
    </row>
    <row r="125" spans="1:9" x14ac:dyDescent="0.3">
      <c r="A125" s="12" t="s">
        <v>353</v>
      </c>
      <c r="B125" s="12" t="str">
        <f>VLOOKUP(A:A,'global_freelancer Cleaned data'!A:O,2,FALSE)</f>
        <v>Debra Garcia</v>
      </c>
      <c r="C125" s="12" t="str">
        <f>VLOOKUP(A:A,'global_freelancer Cleaned data'!A124:O373,3,FALSE)</f>
        <v>Female</v>
      </c>
      <c r="D125" s="12">
        <f>VLOOKUP(A:A,'global_freelancer Cleaned data'!A124:O373,4,FALSE)</f>
        <v>27</v>
      </c>
      <c r="E125" s="12" t="str">
        <f>VLOOKUP(A:A,'global_freelancer Cleaned data'!A124:O373,5,FALSE)</f>
        <v>China</v>
      </c>
      <c r="F125" s="12">
        <f>VLOOKUP(A:A,'global_freelancer Cleaned data'!A124:O373,8,FALSE)</f>
        <v>8</v>
      </c>
      <c r="G125" s="12" t="str">
        <f>VLOOKUP(A:A,'global_freelancer Cleaned data'!A124:M373,13,FALSE)</f>
        <v>Reviewed</v>
      </c>
      <c r="H125" s="12" t="str">
        <f>VLOOKUP(A:A,'global_freelancer Cleaned data'!A124:N373,14,FALSE)</f>
        <v>On Hold</v>
      </c>
      <c r="I125" s="12">
        <f>VLOOKUP(A:A,'global_freelancer Cleaned data'!A124:O373,15,FALSE)</f>
        <v>14</v>
      </c>
    </row>
    <row r="126" spans="1:9" x14ac:dyDescent="0.3">
      <c r="A126" s="60" t="s">
        <v>355</v>
      </c>
      <c r="B126" s="12" t="str">
        <f>VLOOKUP(A:A,'global_freelancer Cleaned data'!A:O,2,FALSE)</f>
        <v>Andrew Fuentes</v>
      </c>
      <c r="C126" s="12" t="str">
        <f>VLOOKUP(A:A,'global_freelancer Cleaned data'!A125:O374,3,FALSE)</f>
        <v>Male</v>
      </c>
      <c r="D126" s="12">
        <f>VLOOKUP(A:A,'global_freelancer Cleaned data'!A125:O374,4,FALSE)</f>
        <v>34</v>
      </c>
      <c r="E126" s="12" t="str">
        <f>VLOOKUP(A:A,'global_freelancer Cleaned data'!A125:O374,5,FALSE)</f>
        <v>Australia</v>
      </c>
      <c r="F126" s="12">
        <f>VLOOKUP(A:A,'global_freelancer Cleaned data'!A125:O374,8,FALSE)</f>
        <v>10</v>
      </c>
      <c r="G126" s="12" t="str">
        <f>VLOOKUP(A:A,'global_freelancer Cleaned data'!A125:M374,13,FALSE)</f>
        <v>Reviewed</v>
      </c>
      <c r="H126" s="12" t="str">
        <f>VLOOKUP(A:A,'global_freelancer Cleaned data'!A125:N374,14,FALSE)</f>
        <v>Inactive</v>
      </c>
      <c r="I126" s="12">
        <f>VLOOKUP(A:A,'global_freelancer Cleaned data'!A125:O374,15,FALSE)</f>
        <v>7</v>
      </c>
    </row>
    <row r="127" spans="1:9" x14ac:dyDescent="0.3">
      <c r="A127" s="12" t="s">
        <v>357</v>
      </c>
      <c r="B127" s="12" t="str">
        <f>VLOOKUP(A:A,'global_freelancer Cleaned data'!A:O,2,FALSE)</f>
        <v>Jason Carter</v>
      </c>
      <c r="C127" s="12" t="str">
        <f>VLOOKUP(A:A,'global_freelancer Cleaned data'!A126:O375,3,FALSE)</f>
        <v>Male</v>
      </c>
      <c r="D127" s="12">
        <f>VLOOKUP(A:A,'global_freelancer Cleaned data'!A126:O375,4,FALSE)</f>
        <v>49</v>
      </c>
      <c r="E127" s="12" t="str">
        <f>VLOOKUP(A:A,'global_freelancer Cleaned data'!A126:O375,5,FALSE)</f>
        <v>South Korea</v>
      </c>
      <c r="F127" s="12">
        <f>VLOOKUP(A:A,'global_freelancer Cleaned data'!A126:O375,8,FALSE)</f>
        <v>19</v>
      </c>
      <c r="G127" s="12" t="str">
        <f>VLOOKUP(A:A,'global_freelancer Cleaned data'!A126:M375,13,FALSE)</f>
        <v>Pending</v>
      </c>
      <c r="H127" s="12" t="str">
        <f>VLOOKUP(A:A,'global_freelancer Cleaned data'!A126:N375,14,FALSE)</f>
        <v>On Hold</v>
      </c>
      <c r="I127" s="12">
        <f>VLOOKUP(A:A,'global_freelancer Cleaned data'!A126:O375,15,FALSE)</f>
        <v>11</v>
      </c>
    </row>
    <row r="128" spans="1:9" x14ac:dyDescent="0.3">
      <c r="A128" s="60" t="s">
        <v>359</v>
      </c>
      <c r="B128" s="12" t="str">
        <f>VLOOKUP(A:A,'global_freelancer Cleaned data'!A:O,2,FALSE)</f>
        <v>Austin Romero</v>
      </c>
      <c r="C128" s="12" t="str">
        <f>VLOOKUP(A:A,'global_freelancer Cleaned data'!A127:O376,3,FALSE)</f>
        <v>Male</v>
      </c>
      <c r="D128" s="12">
        <f>VLOOKUP(A:A,'global_freelancer Cleaned data'!A127:O376,4,FALSE)</f>
        <v>30</v>
      </c>
      <c r="E128" s="12" t="str">
        <f>VLOOKUP(A:A,'global_freelancer Cleaned data'!A127:O376,5,FALSE)</f>
        <v>Brazil</v>
      </c>
      <c r="F128" s="12">
        <f>VLOOKUP(A:A,'global_freelancer Cleaned data'!A127:O376,8,FALSE)</f>
        <v>10</v>
      </c>
      <c r="G128" s="12" t="str">
        <f>VLOOKUP(A:A,'global_freelancer Cleaned data'!A127:M376,13,FALSE)</f>
        <v>Follow-up</v>
      </c>
      <c r="H128" s="12" t="str">
        <f>VLOOKUP(A:A,'global_freelancer Cleaned data'!A127:N376,14,FALSE)</f>
        <v>On Hold</v>
      </c>
      <c r="I128" s="12">
        <f>VLOOKUP(A:A,'global_freelancer Cleaned data'!A127:O376,15,FALSE)</f>
        <v>14</v>
      </c>
    </row>
    <row r="129" spans="1:9" x14ac:dyDescent="0.3">
      <c r="A129" s="12" t="s">
        <v>361</v>
      </c>
      <c r="B129" s="12" t="str">
        <f>VLOOKUP(A:A,'global_freelancer Cleaned data'!A:O,2,FALSE)</f>
        <v>Clayton Burns</v>
      </c>
      <c r="C129" s="12" t="str">
        <f>VLOOKUP(A:A,'global_freelancer Cleaned data'!A128:O377,3,FALSE)</f>
        <v>Male</v>
      </c>
      <c r="D129" s="12">
        <f>VLOOKUP(A:A,'global_freelancer Cleaned data'!A128:O377,4,FALSE)</f>
        <v>31</v>
      </c>
      <c r="E129" s="12" t="str">
        <f>VLOOKUP(A:A,'global_freelancer Cleaned data'!A128:O377,5,FALSE)</f>
        <v>Egypt</v>
      </c>
      <c r="F129" s="12">
        <f>VLOOKUP(A:A,'global_freelancer Cleaned data'!A128:O377,8,FALSE)</f>
        <v>8</v>
      </c>
      <c r="G129" s="12" t="str">
        <f>VLOOKUP(A:A,'global_freelancer Cleaned data'!A128:M377,13,FALSE)</f>
        <v>Urgent</v>
      </c>
      <c r="H129" s="12" t="str">
        <f>VLOOKUP(A:A,'global_freelancer Cleaned data'!A128:N377,14,FALSE)</f>
        <v>Inactive</v>
      </c>
      <c r="I129" s="12">
        <f>VLOOKUP(A:A,'global_freelancer Cleaned data'!A128:O377,15,FALSE)</f>
        <v>15</v>
      </c>
    </row>
    <row r="130" spans="1:9" x14ac:dyDescent="0.3">
      <c r="A130" s="60" t="s">
        <v>363</v>
      </c>
      <c r="B130" s="12" t="str">
        <f>VLOOKUP(A:A,'global_freelancer Cleaned data'!A:O,2,FALSE)</f>
        <v>Jonathan Clark</v>
      </c>
      <c r="C130" s="12" t="str">
        <f>VLOOKUP(A:A,'global_freelancer Cleaned data'!A129:O378,3,FALSE)</f>
        <v>Male</v>
      </c>
      <c r="D130" s="12">
        <f>VLOOKUP(A:A,'global_freelancer Cleaned data'!A129:O378,4,FALSE)</f>
        <v>58</v>
      </c>
      <c r="E130" s="12" t="str">
        <f>VLOOKUP(A:A,'global_freelancer Cleaned data'!A129:O378,5,FALSE)</f>
        <v>China</v>
      </c>
      <c r="F130" s="12">
        <f>VLOOKUP(A:A,'global_freelancer Cleaned data'!A129:O378,8,FALSE)</f>
        <v>9</v>
      </c>
      <c r="G130" s="12" t="str">
        <f>VLOOKUP(A:A,'global_freelancer Cleaned data'!A129:M378,13,FALSE)</f>
        <v>Follow-up</v>
      </c>
      <c r="H130" s="12" t="str">
        <f>VLOOKUP(A:A,'global_freelancer Cleaned data'!A129:N378,14,FALSE)</f>
        <v>Inactive</v>
      </c>
      <c r="I130" s="12">
        <f>VLOOKUP(A:A,'global_freelancer Cleaned data'!A129:O378,15,FALSE)</f>
        <v>15</v>
      </c>
    </row>
    <row r="131" spans="1:9" x14ac:dyDescent="0.3">
      <c r="A131" s="12" t="s">
        <v>365</v>
      </c>
      <c r="B131" s="12" t="str">
        <f>VLOOKUP(A:A,'global_freelancer Cleaned data'!A:O,2,FALSE)</f>
        <v>Alexander Griffin</v>
      </c>
      <c r="C131" s="12" t="str">
        <f>VLOOKUP(A:A,'global_freelancer Cleaned data'!A130:O379,3,FALSE)</f>
        <v>Male</v>
      </c>
      <c r="D131" s="12">
        <f>VLOOKUP(A:A,'global_freelancer Cleaned data'!A130:O379,4,FALSE)</f>
        <v>47</v>
      </c>
      <c r="E131" s="12" t="str">
        <f>VLOOKUP(A:A,'global_freelancer Cleaned data'!A130:O379,5,FALSE)</f>
        <v>France</v>
      </c>
      <c r="F131" s="12">
        <f>VLOOKUP(A:A,'global_freelancer Cleaned data'!A130:O379,8,FALSE)</f>
        <v>13</v>
      </c>
      <c r="G131" s="12" t="str">
        <f>VLOOKUP(A:A,'global_freelancer Cleaned data'!A130:M379,13,FALSE)</f>
        <v>Pending</v>
      </c>
      <c r="H131" s="12" t="str">
        <f>VLOOKUP(A:A,'global_freelancer Cleaned data'!A130:N379,14,FALSE)</f>
        <v>Active</v>
      </c>
      <c r="I131" s="12">
        <f>VLOOKUP(A:A,'global_freelancer Cleaned data'!A130:O379,15,FALSE)</f>
        <v>7</v>
      </c>
    </row>
    <row r="132" spans="1:9" x14ac:dyDescent="0.3">
      <c r="A132" s="60" t="s">
        <v>367</v>
      </c>
      <c r="B132" s="12" t="str">
        <f>VLOOKUP(A:A,'global_freelancer Cleaned data'!A:O,2,FALSE)</f>
        <v>Shelly Whitehead</v>
      </c>
      <c r="C132" s="12" t="str">
        <f>VLOOKUP(A:A,'global_freelancer Cleaned data'!A131:O380,3,FALSE)</f>
        <v>Female</v>
      </c>
      <c r="D132" s="12">
        <f>VLOOKUP(A:A,'global_freelancer Cleaned data'!A131:O380,4,FALSE)</f>
        <v>45</v>
      </c>
      <c r="E132" s="12" t="str">
        <f>VLOOKUP(A:A,'global_freelancer Cleaned data'!A131:O380,5,FALSE)</f>
        <v>UK</v>
      </c>
      <c r="F132" s="12">
        <f>VLOOKUP(A:A,'global_freelancer Cleaned data'!A131:O380,8,FALSE)</f>
        <v>14</v>
      </c>
      <c r="G132" s="12" t="str">
        <f>VLOOKUP(A:A,'global_freelancer Cleaned data'!A131:M380,13,FALSE)</f>
        <v>Pending</v>
      </c>
      <c r="H132" s="12" t="str">
        <f>VLOOKUP(A:A,'global_freelancer Cleaned data'!A131:N380,14,FALSE)</f>
        <v>Completed</v>
      </c>
      <c r="I132" s="12">
        <f>VLOOKUP(A:A,'global_freelancer Cleaned data'!A131:O380,15,FALSE)</f>
        <v>12</v>
      </c>
    </row>
    <row r="133" spans="1:9" x14ac:dyDescent="0.3">
      <c r="A133" s="12" t="s">
        <v>369</v>
      </c>
      <c r="B133" s="12" t="str">
        <f>VLOOKUP(A:A,'global_freelancer Cleaned data'!A:O,2,FALSE)</f>
        <v>Kaitlyn Davis</v>
      </c>
      <c r="C133" s="12" t="str">
        <f>VLOOKUP(A:A,'global_freelancer Cleaned data'!A132:O381,3,FALSE)</f>
        <v>Female</v>
      </c>
      <c r="D133" s="12">
        <f>VLOOKUP(A:A,'global_freelancer Cleaned data'!A132:O381,4,FALSE)</f>
        <v>57</v>
      </c>
      <c r="E133" s="12" t="str">
        <f>VLOOKUP(A:A,'global_freelancer Cleaned data'!A132:O381,5,FALSE)</f>
        <v>France</v>
      </c>
      <c r="F133" s="12">
        <f>VLOOKUP(A:A,'global_freelancer Cleaned data'!A132:O381,8,FALSE)</f>
        <v>0</v>
      </c>
      <c r="G133" s="12" t="str">
        <f>VLOOKUP(A:A,'global_freelancer Cleaned data'!A132:M381,13,FALSE)</f>
        <v>Follow-up</v>
      </c>
      <c r="H133" s="12" t="str">
        <f>VLOOKUP(A:A,'global_freelancer Cleaned data'!A132:N381,14,FALSE)</f>
        <v>On Hold</v>
      </c>
      <c r="I133" s="12">
        <f>VLOOKUP(A:A,'global_freelancer Cleaned data'!A132:O381,15,FALSE)</f>
        <v>3</v>
      </c>
    </row>
    <row r="134" spans="1:9" x14ac:dyDescent="0.3">
      <c r="A134" s="60" t="s">
        <v>371</v>
      </c>
      <c r="B134" s="12" t="str">
        <f>VLOOKUP(A:A,'global_freelancer Cleaned data'!A:O,2,FALSE)</f>
        <v>Christopher Jones</v>
      </c>
      <c r="C134" s="12" t="str">
        <f>VLOOKUP(A:A,'global_freelancer Cleaned data'!A133:O382,3,FALSE)</f>
        <v>Male</v>
      </c>
      <c r="D134" s="12">
        <f>VLOOKUP(A:A,'global_freelancer Cleaned data'!A133:O382,4,FALSE)</f>
        <v>50</v>
      </c>
      <c r="E134" s="12" t="str">
        <f>VLOOKUP(A:A,'global_freelancer Cleaned data'!A133:O382,5,FALSE)</f>
        <v>India</v>
      </c>
      <c r="F134" s="12">
        <f>VLOOKUP(A:A,'global_freelancer Cleaned data'!A133:O382,8,FALSE)</f>
        <v>22</v>
      </c>
      <c r="G134" s="12" t="str">
        <f>VLOOKUP(A:A,'global_freelancer Cleaned data'!A133:M382,13,FALSE)</f>
        <v>Follow-up</v>
      </c>
      <c r="H134" s="12" t="str">
        <f>VLOOKUP(A:A,'global_freelancer Cleaned data'!A133:N382,14,FALSE)</f>
        <v>Active</v>
      </c>
      <c r="I134" s="12">
        <f>VLOOKUP(A:A,'global_freelancer Cleaned data'!A133:O382,15,FALSE)</f>
        <v>17</v>
      </c>
    </row>
    <row r="135" spans="1:9" x14ac:dyDescent="0.3">
      <c r="A135" s="12" t="s">
        <v>373</v>
      </c>
      <c r="B135" s="12" t="str">
        <f>VLOOKUP(A:A,'global_freelancer Cleaned data'!A:O,2,FALSE)</f>
        <v>Cindy Jacobs</v>
      </c>
      <c r="C135" s="12" t="str">
        <f>VLOOKUP(A:A,'global_freelancer Cleaned data'!A134:O383,3,FALSE)</f>
        <v>Female</v>
      </c>
      <c r="D135" s="12" t="str">
        <f>VLOOKUP(A:A,'global_freelancer Cleaned data'!A134:O383,4,FALSE)</f>
        <v>Not given</v>
      </c>
      <c r="E135" s="12" t="str">
        <f>VLOOKUP(A:A,'global_freelancer Cleaned data'!A134:O383,5,FALSE)</f>
        <v>Brazil</v>
      </c>
      <c r="F135" s="12">
        <f>VLOOKUP(A:A,'global_freelancer Cleaned data'!A134:O383,8,FALSE)</f>
        <v>4</v>
      </c>
      <c r="G135" s="12" t="str">
        <f>VLOOKUP(A:A,'global_freelancer Cleaned data'!A134:M383,13,FALSE)</f>
        <v>Follow-up</v>
      </c>
      <c r="H135" s="12" t="str">
        <f>VLOOKUP(A:A,'global_freelancer Cleaned data'!A134:N383,14,FALSE)</f>
        <v>Inactive</v>
      </c>
      <c r="I135" s="12">
        <f>VLOOKUP(A:A,'global_freelancer Cleaned data'!A134:O383,15,FALSE)</f>
        <v>2</v>
      </c>
    </row>
    <row r="136" spans="1:9" x14ac:dyDescent="0.3">
      <c r="A136" s="60" t="s">
        <v>375</v>
      </c>
      <c r="B136" s="12" t="str">
        <f>VLOOKUP(A:A,'global_freelancer Cleaned data'!A:O,2,FALSE)</f>
        <v>Penny Day</v>
      </c>
      <c r="C136" s="12" t="str">
        <f>VLOOKUP(A:A,'global_freelancer Cleaned data'!A135:O384,3,FALSE)</f>
        <v>Female</v>
      </c>
      <c r="D136" s="12">
        <f>VLOOKUP(A:A,'global_freelancer Cleaned data'!A135:O384,4,FALSE)</f>
        <v>45</v>
      </c>
      <c r="E136" s="12" t="str">
        <f>VLOOKUP(A:A,'global_freelancer Cleaned data'!A135:O384,5,FALSE)</f>
        <v>Indonesia</v>
      </c>
      <c r="F136" s="12">
        <f>VLOOKUP(A:A,'global_freelancer Cleaned data'!A135:O384,8,FALSE)</f>
        <v>22</v>
      </c>
      <c r="G136" s="12" t="str">
        <f>VLOOKUP(A:A,'global_freelancer Cleaned data'!A135:M384,13,FALSE)</f>
        <v>Reviewed</v>
      </c>
      <c r="H136" s="12" t="str">
        <f>VLOOKUP(A:A,'global_freelancer Cleaned data'!A135:N384,14,FALSE)</f>
        <v>Completed</v>
      </c>
      <c r="I136" s="12">
        <f>VLOOKUP(A:A,'global_freelancer Cleaned data'!A135:O384,15,FALSE)</f>
        <v>16</v>
      </c>
    </row>
    <row r="137" spans="1:9" x14ac:dyDescent="0.3">
      <c r="A137" s="12" t="s">
        <v>377</v>
      </c>
      <c r="B137" s="12" t="str">
        <f>VLOOKUP(A:A,'global_freelancer Cleaned data'!A:O,2,FALSE)</f>
        <v>Thomas Ingram</v>
      </c>
      <c r="C137" s="12" t="str">
        <f>VLOOKUP(A:A,'global_freelancer Cleaned data'!A136:O385,3,FALSE)</f>
        <v>Male</v>
      </c>
      <c r="D137" s="12">
        <f>VLOOKUP(A:A,'global_freelancer Cleaned data'!A136:O385,4,FALSE)</f>
        <v>60</v>
      </c>
      <c r="E137" s="12" t="str">
        <f>VLOOKUP(A:A,'global_freelancer Cleaned data'!A136:O385,5,FALSE)</f>
        <v>South Africa</v>
      </c>
      <c r="F137" s="12">
        <f>VLOOKUP(A:A,'global_freelancer Cleaned data'!A136:O385,8,FALSE)</f>
        <v>39</v>
      </c>
      <c r="G137" s="12" t="str">
        <f>VLOOKUP(A:A,'global_freelancer Cleaned data'!A136:M385,13,FALSE)</f>
        <v>Urgent</v>
      </c>
      <c r="H137" s="12" t="str">
        <f>VLOOKUP(A:A,'global_freelancer Cleaned data'!A136:N385,14,FALSE)</f>
        <v>Active</v>
      </c>
      <c r="I137" s="12">
        <f>VLOOKUP(A:A,'global_freelancer Cleaned data'!A136:O385,15,FALSE)</f>
        <v>10</v>
      </c>
    </row>
    <row r="138" spans="1:9" x14ac:dyDescent="0.3">
      <c r="A138" s="60" t="s">
        <v>379</v>
      </c>
      <c r="B138" s="12" t="str">
        <f>VLOOKUP(A:A,'global_freelancer Cleaned data'!A:O,2,FALSE)</f>
        <v>Donna Hansen</v>
      </c>
      <c r="C138" s="12" t="str">
        <f>VLOOKUP(A:A,'global_freelancer Cleaned data'!A137:O386,3,FALSE)</f>
        <v>Female</v>
      </c>
      <c r="D138" s="12">
        <f>VLOOKUP(A:A,'global_freelancer Cleaned data'!A137:O386,4,FALSE)</f>
        <v>43</v>
      </c>
      <c r="E138" s="12" t="str">
        <f>VLOOKUP(A:A,'global_freelancer Cleaned data'!A137:O386,5,FALSE)</f>
        <v>UK</v>
      </c>
      <c r="F138" s="12">
        <f>VLOOKUP(A:A,'global_freelancer Cleaned data'!A137:O386,8,FALSE)</f>
        <v>5</v>
      </c>
      <c r="G138" s="12" t="str">
        <f>VLOOKUP(A:A,'global_freelancer Cleaned data'!A137:M386,13,FALSE)</f>
        <v>Follow-up</v>
      </c>
      <c r="H138" s="12" t="str">
        <f>VLOOKUP(A:A,'global_freelancer Cleaned data'!A137:N386,14,FALSE)</f>
        <v>On Hold</v>
      </c>
      <c r="I138" s="12">
        <f>VLOOKUP(A:A,'global_freelancer Cleaned data'!A137:O386,15,FALSE)</f>
        <v>1</v>
      </c>
    </row>
    <row r="139" spans="1:9" x14ac:dyDescent="0.3">
      <c r="A139" s="12" t="s">
        <v>381</v>
      </c>
      <c r="B139" s="12" t="str">
        <f>VLOOKUP(A:A,'global_freelancer Cleaned data'!A:O,2,FALSE)</f>
        <v>Donna Bailey</v>
      </c>
      <c r="C139" s="12" t="str">
        <f>VLOOKUP(A:A,'global_freelancer Cleaned data'!A138:O387,3,FALSE)</f>
        <v>Female</v>
      </c>
      <c r="D139" s="12">
        <f>VLOOKUP(A:A,'global_freelancer Cleaned data'!A138:O387,4,FALSE)</f>
        <v>39</v>
      </c>
      <c r="E139" s="12" t="str">
        <f>VLOOKUP(A:A,'global_freelancer Cleaned data'!A138:O387,5,FALSE)</f>
        <v>France</v>
      </c>
      <c r="F139" s="12">
        <f>VLOOKUP(A:A,'global_freelancer Cleaned data'!A138:O387,8,FALSE)</f>
        <v>5</v>
      </c>
      <c r="G139" s="12" t="str">
        <f>VLOOKUP(A:A,'global_freelancer Cleaned data'!A138:M387,13,FALSE)</f>
        <v>Follow-up</v>
      </c>
      <c r="H139" s="12" t="str">
        <f>VLOOKUP(A:A,'global_freelancer Cleaned data'!A138:N387,14,FALSE)</f>
        <v>Active</v>
      </c>
      <c r="I139" s="12">
        <f>VLOOKUP(A:A,'global_freelancer Cleaned data'!A138:O387,15,FALSE)</f>
        <v>4</v>
      </c>
    </row>
    <row r="140" spans="1:9" x14ac:dyDescent="0.3">
      <c r="A140" s="60" t="s">
        <v>383</v>
      </c>
      <c r="B140" s="12" t="str">
        <f>VLOOKUP(A:A,'global_freelancer Cleaned data'!A:O,2,FALSE)</f>
        <v>Joshua Armstrong</v>
      </c>
      <c r="C140" s="12" t="str">
        <f>VLOOKUP(A:A,'global_freelancer Cleaned data'!A139:O388,3,FALSE)</f>
        <v>Male</v>
      </c>
      <c r="D140" s="12">
        <f>VLOOKUP(A:A,'global_freelancer Cleaned data'!A139:O388,4,FALSE)</f>
        <v>26</v>
      </c>
      <c r="E140" s="12" t="str">
        <f>VLOOKUP(A:A,'global_freelancer Cleaned data'!A139:O388,5,FALSE)</f>
        <v>Mexico</v>
      </c>
      <c r="F140" s="12">
        <f>VLOOKUP(A:A,'global_freelancer Cleaned data'!A139:O388,8,FALSE)</f>
        <v>5</v>
      </c>
      <c r="G140" s="12" t="str">
        <f>VLOOKUP(A:A,'global_freelancer Cleaned data'!A139:M388,13,FALSE)</f>
        <v>Follow-up</v>
      </c>
      <c r="H140" s="12" t="str">
        <f>VLOOKUP(A:A,'global_freelancer Cleaned data'!A139:N388,14,FALSE)</f>
        <v>On Hold</v>
      </c>
      <c r="I140" s="12">
        <f>VLOOKUP(A:A,'global_freelancer Cleaned data'!A139:O388,15,FALSE)</f>
        <v>3</v>
      </c>
    </row>
    <row r="141" spans="1:9" x14ac:dyDescent="0.3">
      <c r="A141" s="12" t="s">
        <v>385</v>
      </c>
      <c r="B141" s="12" t="str">
        <f>VLOOKUP(A:A,'global_freelancer Cleaned data'!A:O,2,FALSE)</f>
        <v>Jonathan Garza</v>
      </c>
      <c r="C141" s="12" t="str">
        <f>VLOOKUP(A:A,'global_freelancer Cleaned data'!A140:O389,3,FALSE)</f>
        <v>Male</v>
      </c>
      <c r="D141" s="12">
        <f>VLOOKUP(A:A,'global_freelancer Cleaned data'!A140:O389,4,FALSE)</f>
        <v>31</v>
      </c>
      <c r="E141" s="12" t="str">
        <f>VLOOKUP(A:A,'global_freelancer Cleaned data'!A140:O389,5,FALSE)</f>
        <v>Germany</v>
      </c>
      <c r="F141" s="12">
        <f>VLOOKUP(A:A,'global_freelancer Cleaned data'!A140:O389,8,FALSE)</f>
        <v>11</v>
      </c>
      <c r="G141" s="12" t="str">
        <f>VLOOKUP(A:A,'global_freelancer Cleaned data'!A140:M389,13,FALSE)</f>
        <v>Pending</v>
      </c>
      <c r="H141" s="12" t="str">
        <f>VLOOKUP(A:A,'global_freelancer Cleaned data'!A140:N389,14,FALSE)</f>
        <v>Inactive</v>
      </c>
      <c r="I141" s="12">
        <f>VLOOKUP(A:A,'global_freelancer Cleaned data'!A140:O389,15,FALSE)</f>
        <v>14</v>
      </c>
    </row>
    <row r="142" spans="1:9" x14ac:dyDescent="0.3">
      <c r="A142" s="60" t="s">
        <v>387</v>
      </c>
      <c r="B142" s="12" t="str">
        <f>VLOOKUP(A:A,'global_freelancer Cleaned data'!A:O,2,FALSE)</f>
        <v>Charles Jones</v>
      </c>
      <c r="C142" s="12" t="str">
        <f>VLOOKUP(A:A,'global_freelancer Cleaned data'!A141:O390,3,FALSE)</f>
        <v>Male</v>
      </c>
      <c r="D142" s="12">
        <f>VLOOKUP(A:A,'global_freelancer Cleaned data'!A141:O390,4,FALSE)</f>
        <v>52</v>
      </c>
      <c r="E142" s="12" t="str">
        <f>VLOOKUP(A:A,'global_freelancer Cleaned data'!A141:O390,5,FALSE)</f>
        <v>France</v>
      </c>
      <c r="F142" s="12">
        <f>VLOOKUP(A:A,'global_freelancer Cleaned data'!A141:O390,8,FALSE)</f>
        <v>15</v>
      </c>
      <c r="G142" s="12" t="str">
        <f>VLOOKUP(A:A,'global_freelancer Cleaned data'!A141:M390,13,FALSE)</f>
        <v>Pending</v>
      </c>
      <c r="H142" s="12" t="str">
        <f>VLOOKUP(A:A,'global_freelancer Cleaned data'!A141:N390,14,FALSE)</f>
        <v>Completed</v>
      </c>
      <c r="I142" s="12">
        <f>VLOOKUP(A:A,'global_freelancer Cleaned data'!A141:O390,15,FALSE)</f>
        <v>10</v>
      </c>
    </row>
    <row r="143" spans="1:9" x14ac:dyDescent="0.3">
      <c r="A143" s="12" t="s">
        <v>389</v>
      </c>
      <c r="B143" s="12" t="str">
        <f>VLOOKUP(A:A,'global_freelancer Cleaned data'!A:O,2,FALSE)</f>
        <v>Lindsey Miles</v>
      </c>
      <c r="C143" s="12" t="str">
        <f>VLOOKUP(A:A,'global_freelancer Cleaned data'!A142:O391,3,FALSE)</f>
        <v>Female</v>
      </c>
      <c r="D143" s="12">
        <f>VLOOKUP(A:A,'global_freelancer Cleaned data'!A142:O391,4,FALSE)</f>
        <v>34</v>
      </c>
      <c r="E143" s="12" t="str">
        <f>VLOOKUP(A:A,'global_freelancer Cleaned data'!A142:O391,5,FALSE)</f>
        <v>India</v>
      </c>
      <c r="F143" s="12">
        <f>VLOOKUP(A:A,'global_freelancer Cleaned data'!A142:O391,8,FALSE)</f>
        <v>5</v>
      </c>
      <c r="G143" s="12" t="str">
        <f>VLOOKUP(A:A,'global_freelancer Cleaned data'!A142:M391,13,FALSE)</f>
        <v>Reviewed</v>
      </c>
      <c r="H143" s="12" t="str">
        <f>VLOOKUP(A:A,'global_freelancer Cleaned data'!A142:N391,14,FALSE)</f>
        <v>Completed</v>
      </c>
      <c r="I143" s="12">
        <f>VLOOKUP(A:A,'global_freelancer Cleaned data'!A142:O391,15,FALSE)</f>
        <v>3</v>
      </c>
    </row>
    <row r="144" spans="1:9" x14ac:dyDescent="0.3">
      <c r="A144" s="60" t="s">
        <v>391</v>
      </c>
      <c r="B144" s="12" t="str">
        <f>VLOOKUP(A:A,'global_freelancer Cleaned data'!A:O,2,FALSE)</f>
        <v>Eduardo Reed</v>
      </c>
      <c r="C144" s="12" t="str">
        <f>VLOOKUP(A:A,'global_freelancer Cleaned data'!A143:O392,3,FALSE)</f>
        <v>Male</v>
      </c>
      <c r="D144" s="12">
        <f>VLOOKUP(A:A,'global_freelancer Cleaned data'!A143:O392,4,FALSE)</f>
        <v>45</v>
      </c>
      <c r="E144" s="12" t="str">
        <f>VLOOKUP(A:A,'global_freelancer Cleaned data'!A143:O392,5,FALSE)</f>
        <v>UK</v>
      </c>
      <c r="F144" s="12">
        <f>VLOOKUP(A:A,'global_freelancer Cleaned data'!A143:O392,8,FALSE)</f>
        <v>7</v>
      </c>
      <c r="G144" s="12" t="str">
        <f>VLOOKUP(A:A,'global_freelancer Cleaned data'!A143:M392,13,FALSE)</f>
        <v>Urgent</v>
      </c>
      <c r="H144" s="12" t="str">
        <f>VLOOKUP(A:A,'global_freelancer Cleaned data'!A143:N392,14,FALSE)</f>
        <v>Completed</v>
      </c>
      <c r="I144" s="12">
        <f>VLOOKUP(A:A,'global_freelancer Cleaned data'!A143:O392,15,FALSE)</f>
        <v>7</v>
      </c>
    </row>
    <row r="145" spans="1:9" x14ac:dyDescent="0.3">
      <c r="A145" s="12" t="s">
        <v>393</v>
      </c>
      <c r="B145" s="12" t="str">
        <f>VLOOKUP(A:A,'global_freelancer Cleaned data'!A:O,2,FALSE)</f>
        <v>Lee Fowler</v>
      </c>
      <c r="C145" s="12" t="str">
        <f>VLOOKUP(A:A,'global_freelancer Cleaned data'!A144:O393,3,FALSE)</f>
        <v>Male</v>
      </c>
      <c r="D145" s="12">
        <f>VLOOKUP(A:A,'global_freelancer Cleaned data'!A144:O393,4,FALSE)</f>
        <v>46</v>
      </c>
      <c r="E145" s="12" t="str">
        <f>VLOOKUP(A:A,'global_freelancer Cleaned data'!A144:O393,5,FALSE)</f>
        <v>UK</v>
      </c>
      <c r="F145" s="12">
        <f>VLOOKUP(A:A,'global_freelancer Cleaned data'!A144:O393,8,FALSE)</f>
        <v>9</v>
      </c>
      <c r="G145" s="12" t="str">
        <f>VLOOKUP(A:A,'global_freelancer Cleaned data'!A144:M393,13,FALSE)</f>
        <v>Reviewed</v>
      </c>
      <c r="H145" s="12" t="str">
        <f>VLOOKUP(A:A,'global_freelancer Cleaned data'!A144:N393,14,FALSE)</f>
        <v>Inactive</v>
      </c>
      <c r="I145" s="12">
        <f>VLOOKUP(A:A,'global_freelancer Cleaned data'!A144:O393,15,FALSE)</f>
        <v>14</v>
      </c>
    </row>
    <row r="146" spans="1:9" x14ac:dyDescent="0.3">
      <c r="A146" s="60" t="s">
        <v>395</v>
      </c>
      <c r="B146" s="12" t="str">
        <f>VLOOKUP(A:A,'global_freelancer Cleaned data'!A:O,2,FALSE)</f>
        <v>Steven Jones Jr.</v>
      </c>
      <c r="C146" s="12" t="str">
        <f>VLOOKUP(A:A,'global_freelancer Cleaned data'!A145:O394,3,FALSE)</f>
        <v>Male</v>
      </c>
      <c r="D146" s="12">
        <f>VLOOKUP(A:A,'global_freelancer Cleaned data'!A145:O394,4,FALSE)</f>
        <v>56</v>
      </c>
      <c r="E146" s="12" t="str">
        <f>VLOOKUP(A:A,'global_freelancer Cleaned data'!A145:O394,5,FALSE)</f>
        <v>France</v>
      </c>
      <c r="F146" s="12">
        <f>VLOOKUP(A:A,'global_freelancer Cleaned data'!A145:O394,8,FALSE)</f>
        <v>21</v>
      </c>
      <c r="G146" s="12" t="str">
        <f>VLOOKUP(A:A,'global_freelancer Cleaned data'!A145:M394,13,FALSE)</f>
        <v>Urgent</v>
      </c>
      <c r="H146" s="12" t="str">
        <f>VLOOKUP(A:A,'global_freelancer Cleaned data'!A145:N394,14,FALSE)</f>
        <v>On Hold</v>
      </c>
      <c r="I146" s="12">
        <f>VLOOKUP(A:A,'global_freelancer Cleaned data'!A145:O394,15,FALSE)</f>
        <v>18</v>
      </c>
    </row>
    <row r="147" spans="1:9" x14ac:dyDescent="0.3">
      <c r="A147" s="12" t="s">
        <v>397</v>
      </c>
      <c r="B147" s="12" t="str">
        <f>VLOOKUP(A:A,'global_freelancer Cleaned data'!A:O,2,FALSE)</f>
        <v>Ashley Chen</v>
      </c>
      <c r="C147" s="12" t="str">
        <f>VLOOKUP(A:A,'global_freelancer Cleaned data'!A146:O395,3,FALSE)</f>
        <v>Female</v>
      </c>
      <c r="D147" s="12">
        <f>VLOOKUP(A:A,'global_freelancer Cleaned data'!A146:O395,4,FALSE)</f>
        <v>59</v>
      </c>
      <c r="E147" s="12" t="str">
        <f>VLOOKUP(A:A,'global_freelancer Cleaned data'!A146:O395,5,FALSE)</f>
        <v>Germany</v>
      </c>
      <c r="F147" s="12">
        <f>VLOOKUP(A:A,'global_freelancer Cleaned data'!A146:O395,8,FALSE)</f>
        <v>7</v>
      </c>
      <c r="G147" s="12" t="str">
        <f>VLOOKUP(A:A,'global_freelancer Cleaned data'!A146:M395,13,FALSE)</f>
        <v>Pending</v>
      </c>
      <c r="H147" s="12" t="str">
        <f>VLOOKUP(A:A,'global_freelancer Cleaned data'!A146:N395,14,FALSE)</f>
        <v>Inactive</v>
      </c>
      <c r="I147" s="12">
        <f>VLOOKUP(A:A,'global_freelancer Cleaned data'!A146:O395,15,FALSE)</f>
        <v>9</v>
      </c>
    </row>
    <row r="148" spans="1:9" x14ac:dyDescent="0.3">
      <c r="A148" s="60" t="s">
        <v>399</v>
      </c>
      <c r="B148" s="12" t="str">
        <f>VLOOKUP(A:A,'global_freelancer Cleaned data'!A:O,2,FALSE)</f>
        <v>Erica Davis</v>
      </c>
      <c r="C148" s="12" t="str">
        <f>VLOOKUP(A:A,'global_freelancer Cleaned data'!A147:O396,3,FALSE)</f>
        <v>Female</v>
      </c>
      <c r="D148" s="12">
        <f>VLOOKUP(A:A,'global_freelancer Cleaned data'!A147:O396,4,FALSE)</f>
        <v>54</v>
      </c>
      <c r="E148" s="12" t="str">
        <f>VLOOKUP(A:A,'global_freelancer Cleaned data'!A147:O396,5,FALSE)</f>
        <v>Egypt</v>
      </c>
      <c r="F148" s="12">
        <f>VLOOKUP(A:A,'global_freelancer Cleaned data'!A147:O396,8,FALSE)</f>
        <v>4</v>
      </c>
      <c r="G148" s="12" t="str">
        <f>VLOOKUP(A:A,'global_freelancer Cleaned data'!A147:M396,13,FALSE)</f>
        <v>Pending</v>
      </c>
      <c r="H148" s="12" t="str">
        <f>VLOOKUP(A:A,'global_freelancer Cleaned data'!A147:N396,14,FALSE)</f>
        <v>Completed</v>
      </c>
      <c r="I148" s="12">
        <f>VLOOKUP(A:A,'global_freelancer Cleaned data'!A147:O396,15,FALSE)</f>
        <v>5</v>
      </c>
    </row>
    <row r="149" spans="1:9" x14ac:dyDescent="0.3">
      <c r="A149" s="12" t="s">
        <v>401</v>
      </c>
      <c r="B149" s="12" t="str">
        <f>VLOOKUP(A:A,'global_freelancer Cleaned data'!A:O,2,FALSE)</f>
        <v>Wayne Gonzales</v>
      </c>
      <c r="C149" s="12" t="str">
        <f>VLOOKUP(A:A,'global_freelancer Cleaned data'!A148:O397,3,FALSE)</f>
        <v>Male</v>
      </c>
      <c r="D149" s="12">
        <f>VLOOKUP(A:A,'global_freelancer Cleaned data'!A148:O397,4,FALSE)</f>
        <v>36</v>
      </c>
      <c r="E149" s="12" t="str">
        <f>VLOOKUP(A:A,'global_freelancer Cleaned data'!A148:O397,5,FALSE)</f>
        <v>Germany</v>
      </c>
      <c r="F149" s="12">
        <f>VLOOKUP(A:A,'global_freelancer Cleaned data'!A148:O397,8,FALSE)</f>
        <v>7</v>
      </c>
      <c r="G149" s="12" t="str">
        <f>VLOOKUP(A:A,'global_freelancer Cleaned data'!A148:M397,13,FALSE)</f>
        <v>Pending</v>
      </c>
      <c r="H149" s="12" t="str">
        <f>VLOOKUP(A:A,'global_freelancer Cleaned data'!A148:N397,14,FALSE)</f>
        <v>Inactive</v>
      </c>
      <c r="I149" s="12">
        <f>VLOOKUP(A:A,'global_freelancer Cleaned data'!A148:O397,15,FALSE)</f>
        <v>7</v>
      </c>
    </row>
    <row r="150" spans="1:9" x14ac:dyDescent="0.3">
      <c r="A150" s="60" t="s">
        <v>403</v>
      </c>
      <c r="B150" s="12" t="str">
        <f>VLOOKUP(A:A,'global_freelancer Cleaned data'!A:O,2,FALSE)</f>
        <v>Gary Ballard</v>
      </c>
      <c r="C150" s="12" t="str">
        <f>VLOOKUP(A:A,'global_freelancer Cleaned data'!A149:O398,3,FALSE)</f>
        <v>Male</v>
      </c>
      <c r="D150" s="12">
        <f>VLOOKUP(A:A,'global_freelancer Cleaned data'!A149:O398,4,FALSE)</f>
        <v>25</v>
      </c>
      <c r="E150" s="12" t="str">
        <f>VLOOKUP(A:A,'global_freelancer Cleaned data'!A149:O398,5,FALSE)</f>
        <v>Mexico</v>
      </c>
      <c r="F150" s="12">
        <f>VLOOKUP(A:A,'global_freelancer Cleaned data'!A149:O398,8,FALSE)</f>
        <v>0</v>
      </c>
      <c r="G150" s="12" t="str">
        <f>VLOOKUP(A:A,'global_freelancer Cleaned data'!A149:M398,13,FALSE)</f>
        <v>Reviewed</v>
      </c>
      <c r="H150" s="12" t="str">
        <f>VLOOKUP(A:A,'global_freelancer Cleaned data'!A149:N398,14,FALSE)</f>
        <v>Inactive</v>
      </c>
      <c r="I150" s="12">
        <f>VLOOKUP(A:A,'global_freelancer Cleaned data'!A149:O398,15,FALSE)</f>
        <v>1</v>
      </c>
    </row>
    <row r="151" spans="1:9" x14ac:dyDescent="0.3">
      <c r="A151" s="12" t="s">
        <v>405</v>
      </c>
      <c r="B151" s="12" t="str">
        <f>VLOOKUP(A:A,'global_freelancer Cleaned data'!A:O,2,FALSE)</f>
        <v>Maria Mcguire</v>
      </c>
      <c r="C151" s="12" t="str">
        <f>VLOOKUP(A:A,'global_freelancer Cleaned data'!A150:O399,3,FALSE)</f>
        <v>Female</v>
      </c>
      <c r="D151" s="12">
        <f>VLOOKUP(A:A,'global_freelancer Cleaned data'!A150:O399,4,FALSE)</f>
        <v>37</v>
      </c>
      <c r="E151" s="12" t="str">
        <f>VLOOKUP(A:A,'global_freelancer Cleaned data'!A150:O399,5,FALSE)</f>
        <v>Russia</v>
      </c>
      <c r="F151" s="12">
        <f>VLOOKUP(A:A,'global_freelancer Cleaned data'!A150:O399,8,FALSE)</f>
        <v>15</v>
      </c>
      <c r="G151" s="12" t="str">
        <f>VLOOKUP(A:A,'global_freelancer Cleaned data'!A150:M399,13,FALSE)</f>
        <v>Follow-up</v>
      </c>
      <c r="H151" s="12" t="str">
        <f>VLOOKUP(A:A,'global_freelancer Cleaned data'!A150:N399,14,FALSE)</f>
        <v>Inactive</v>
      </c>
      <c r="I151" s="12">
        <f>VLOOKUP(A:A,'global_freelancer Cleaned data'!A150:O399,15,FALSE)</f>
        <v>6</v>
      </c>
    </row>
    <row r="152" spans="1:9" x14ac:dyDescent="0.3">
      <c r="A152" s="60" t="s">
        <v>407</v>
      </c>
      <c r="B152" s="12" t="str">
        <f>VLOOKUP(A:A,'global_freelancer Cleaned data'!A:O,2,FALSE)</f>
        <v>Matthew Richards</v>
      </c>
      <c r="C152" s="12" t="str">
        <f>VLOOKUP(A:A,'global_freelancer Cleaned data'!A151:O400,3,FALSE)</f>
        <v>Male</v>
      </c>
      <c r="D152" s="12" t="str">
        <f>VLOOKUP(A:A,'global_freelancer Cleaned data'!A151:O400,4,FALSE)</f>
        <v>Not given</v>
      </c>
      <c r="E152" s="12" t="str">
        <f>VLOOKUP(A:A,'global_freelancer Cleaned data'!A151:O400,5,FALSE)</f>
        <v>Turkey</v>
      </c>
      <c r="F152" s="12">
        <f>VLOOKUP(A:A,'global_freelancer Cleaned data'!A151:O400,8,FALSE)</f>
        <v>10</v>
      </c>
      <c r="G152" s="12" t="str">
        <f>VLOOKUP(A:A,'global_freelancer Cleaned data'!A151:M400,13,FALSE)</f>
        <v>Follow-up</v>
      </c>
      <c r="H152" s="12" t="str">
        <f>VLOOKUP(A:A,'global_freelancer Cleaned data'!A151:N400,14,FALSE)</f>
        <v>On Hold</v>
      </c>
      <c r="I152" s="12">
        <f>VLOOKUP(A:A,'global_freelancer Cleaned data'!A151:O400,15,FALSE)</f>
        <v>6</v>
      </c>
    </row>
    <row r="153" spans="1:9" x14ac:dyDescent="0.3">
      <c r="A153" s="12" t="s">
        <v>409</v>
      </c>
      <c r="B153" s="12" t="str">
        <f>VLOOKUP(A:A,'global_freelancer Cleaned data'!A:O,2,FALSE)</f>
        <v>Patrick Malone</v>
      </c>
      <c r="C153" s="12" t="str">
        <f>VLOOKUP(A:A,'global_freelancer Cleaned data'!A152:O401,3,FALSE)</f>
        <v>Male</v>
      </c>
      <c r="D153" s="12">
        <f>VLOOKUP(A:A,'global_freelancer Cleaned data'!A152:O401,4,FALSE)</f>
        <v>29</v>
      </c>
      <c r="E153" s="12" t="str">
        <f>VLOOKUP(A:A,'global_freelancer Cleaned data'!A152:O401,5,FALSE)</f>
        <v>Spain</v>
      </c>
      <c r="F153" s="12">
        <f>VLOOKUP(A:A,'global_freelancer Cleaned data'!A152:O401,8,FALSE)</f>
        <v>11</v>
      </c>
      <c r="G153" s="12" t="str">
        <f>VLOOKUP(A:A,'global_freelancer Cleaned data'!A152:M401,13,FALSE)</f>
        <v>Pending</v>
      </c>
      <c r="H153" s="12" t="str">
        <f>VLOOKUP(A:A,'global_freelancer Cleaned data'!A152:N401,14,FALSE)</f>
        <v>Active</v>
      </c>
      <c r="I153" s="12">
        <f>VLOOKUP(A:A,'global_freelancer Cleaned data'!A152:O401,15,FALSE)</f>
        <v>13</v>
      </c>
    </row>
    <row r="154" spans="1:9" x14ac:dyDescent="0.3">
      <c r="A154" s="60" t="s">
        <v>411</v>
      </c>
      <c r="B154" s="12" t="str">
        <f>VLOOKUP(A:A,'global_freelancer Cleaned data'!A:O,2,FALSE)</f>
        <v>Cindy Martin</v>
      </c>
      <c r="C154" s="12" t="str">
        <f>VLOOKUP(A:A,'global_freelancer Cleaned data'!A153:O402,3,FALSE)</f>
        <v>Female</v>
      </c>
      <c r="D154" s="12">
        <f>VLOOKUP(A:A,'global_freelancer Cleaned data'!A153:O402,4,FALSE)</f>
        <v>55</v>
      </c>
      <c r="E154" s="12" t="str">
        <f>VLOOKUP(A:A,'global_freelancer Cleaned data'!A153:O402,5,FALSE)</f>
        <v>Argentina</v>
      </c>
      <c r="F154" s="12">
        <f>VLOOKUP(A:A,'global_freelancer Cleaned data'!A153:O402,8,FALSE)</f>
        <v>12</v>
      </c>
      <c r="G154" s="12" t="str">
        <f>VLOOKUP(A:A,'global_freelancer Cleaned data'!A153:M402,13,FALSE)</f>
        <v>Follow-up</v>
      </c>
      <c r="H154" s="12" t="str">
        <f>VLOOKUP(A:A,'global_freelancer Cleaned data'!A153:N402,14,FALSE)</f>
        <v>Active</v>
      </c>
      <c r="I154" s="12">
        <f>VLOOKUP(A:A,'global_freelancer Cleaned data'!A153:O402,15,FALSE)</f>
        <v>11</v>
      </c>
    </row>
    <row r="155" spans="1:9" x14ac:dyDescent="0.3">
      <c r="A155" s="12" t="s">
        <v>413</v>
      </c>
      <c r="B155" s="12" t="str">
        <f>VLOOKUP(A:A,'global_freelancer Cleaned data'!A:O,2,FALSE)</f>
        <v>Anne Edwards</v>
      </c>
      <c r="C155" s="12" t="str">
        <f>VLOOKUP(A:A,'global_freelancer Cleaned data'!A154:O403,3,FALSE)</f>
        <v>Female</v>
      </c>
      <c r="D155" s="12">
        <f>VLOOKUP(A:A,'global_freelancer Cleaned data'!A154:O403,4,FALSE)</f>
        <v>38</v>
      </c>
      <c r="E155" s="12" t="str">
        <f>VLOOKUP(A:A,'global_freelancer Cleaned data'!A154:O403,5,FALSE)</f>
        <v>Japan</v>
      </c>
      <c r="F155" s="12">
        <f>VLOOKUP(A:A,'global_freelancer Cleaned data'!A154:O403,8,FALSE)</f>
        <v>20</v>
      </c>
      <c r="G155" s="12" t="str">
        <f>VLOOKUP(A:A,'global_freelancer Cleaned data'!A154:M403,13,FALSE)</f>
        <v>Follow-up</v>
      </c>
      <c r="H155" s="12" t="str">
        <f>VLOOKUP(A:A,'global_freelancer Cleaned data'!A154:N403,14,FALSE)</f>
        <v>Inactive</v>
      </c>
      <c r="I155" s="12">
        <f>VLOOKUP(A:A,'global_freelancer Cleaned data'!A154:O403,15,FALSE)</f>
        <v>19</v>
      </c>
    </row>
    <row r="156" spans="1:9" x14ac:dyDescent="0.3">
      <c r="A156" s="60" t="s">
        <v>415</v>
      </c>
      <c r="B156" s="12" t="str">
        <f>VLOOKUP(A:A,'global_freelancer Cleaned data'!A:O,2,FALSE)</f>
        <v>Mitchell Martin</v>
      </c>
      <c r="C156" s="12" t="str">
        <f>VLOOKUP(A:A,'global_freelancer Cleaned data'!A155:O404,3,FALSE)</f>
        <v>Male</v>
      </c>
      <c r="D156" s="12">
        <f>VLOOKUP(A:A,'global_freelancer Cleaned data'!A155:O404,4,FALSE)</f>
        <v>47</v>
      </c>
      <c r="E156" s="12" t="str">
        <f>VLOOKUP(A:A,'global_freelancer Cleaned data'!A155:O404,5,FALSE)</f>
        <v>South Korea</v>
      </c>
      <c r="F156" s="12">
        <f>VLOOKUP(A:A,'global_freelancer Cleaned data'!A155:O404,8,FALSE)</f>
        <v>29</v>
      </c>
      <c r="G156" s="12" t="str">
        <f>VLOOKUP(A:A,'global_freelancer Cleaned data'!A155:M404,13,FALSE)</f>
        <v>Reviewed</v>
      </c>
      <c r="H156" s="12" t="str">
        <f>VLOOKUP(A:A,'global_freelancer Cleaned data'!A155:N404,14,FALSE)</f>
        <v>Active</v>
      </c>
      <c r="I156" s="12">
        <f>VLOOKUP(A:A,'global_freelancer Cleaned data'!A155:O404,15,FALSE)</f>
        <v>11</v>
      </c>
    </row>
    <row r="157" spans="1:9" x14ac:dyDescent="0.3">
      <c r="A157" s="12" t="s">
        <v>417</v>
      </c>
      <c r="B157" s="12" t="str">
        <f>VLOOKUP(A:A,'global_freelancer Cleaned data'!A:O,2,FALSE)</f>
        <v>Mitchell Patrick</v>
      </c>
      <c r="C157" s="12" t="str">
        <f>VLOOKUP(A:A,'global_freelancer Cleaned data'!A156:O405,3,FALSE)</f>
        <v>Male</v>
      </c>
      <c r="D157" s="12">
        <f>VLOOKUP(A:A,'global_freelancer Cleaned data'!A156:O405,4,FALSE)</f>
        <v>60</v>
      </c>
      <c r="E157" s="12" t="str">
        <f>VLOOKUP(A:A,'global_freelancer Cleaned data'!A156:O405,5,FALSE)</f>
        <v>Brazil</v>
      </c>
      <c r="F157" s="12">
        <f>VLOOKUP(A:A,'global_freelancer Cleaned data'!A156:O405,8,FALSE)</f>
        <v>15</v>
      </c>
      <c r="G157" s="12" t="str">
        <f>VLOOKUP(A:A,'global_freelancer Cleaned data'!A156:M405,13,FALSE)</f>
        <v>Urgent</v>
      </c>
      <c r="H157" s="12" t="str">
        <f>VLOOKUP(A:A,'global_freelancer Cleaned data'!A156:N405,14,FALSE)</f>
        <v>Active</v>
      </c>
      <c r="I157" s="12">
        <f>VLOOKUP(A:A,'global_freelancer Cleaned data'!A156:O405,15,FALSE)</f>
        <v>8</v>
      </c>
    </row>
    <row r="158" spans="1:9" x14ac:dyDescent="0.3">
      <c r="A158" s="60" t="s">
        <v>419</v>
      </c>
      <c r="B158" s="12" t="str">
        <f>VLOOKUP(A:A,'global_freelancer Cleaned data'!A:O,2,FALSE)</f>
        <v>Rebecca Lyons</v>
      </c>
      <c r="C158" s="12" t="str">
        <f>VLOOKUP(A:A,'global_freelancer Cleaned data'!A157:O406,3,FALSE)</f>
        <v>Female</v>
      </c>
      <c r="D158" s="12">
        <f>VLOOKUP(A:A,'global_freelancer Cleaned data'!A157:O406,4,FALSE)</f>
        <v>43</v>
      </c>
      <c r="E158" s="12" t="str">
        <f>VLOOKUP(A:A,'global_freelancer Cleaned data'!A157:O406,5,FALSE)</f>
        <v>Italy</v>
      </c>
      <c r="F158" s="12">
        <f>VLOOKUP(A:A,'global_freelancer Cleaned data'!A157:O406,8,FALSE)</f>
        <v>9</v>
      </c>
      <c r="G158" s="12" t="str">
        <f>VLOOKUP(A:A,'global_freelancer Cleaned data'!A157:M406,13,FALSE)</f>
        <v>Pending</v>
      </c>
      <c r="H158" s="12" t="str">
        <f>VLOOKUP(A:A,'global_freelancer Cleaned data'!A157:N406,14,FALSE)</f>
        <v>Inactive</v>
      </c>
      <c r="I158" s="12">
        <f>VLOOKUP(A:A,'global_freelancer Cleaned data'!A157:O406,15,FALSE)</f>
        <v>12</v>
      </c>
    </row>
    <row r="159" spans="1:9" x14ac:dyDescent="0.3">
      <c r="A159" s="12" t="s">
        <v>421</v>
      </c>
      <c r="B159" s="12" t="str">
        <f>VLOOKUP(A:A,'global_freelancer Cleaned data'!A:O,2,FALSE)</f>
        <v>Christian Lopez</v>
      </c>
      <c r="C159" s="12" t="str">
        <f>VLOOKUP(A:A,'global_freelancer Cleaned data'!A158:O407,3,FALSE)</f>
        <v>Male</v>
      </c>
      <c r="D159" s="12">
        <f>VLOOKUP(A:A,'global_freelancer Cleaned data'!A158:O407,4,FALSE)</f>
        <v>56</v>
      </c>
      <c r="E159" s="12" t="str">
        <f>VLOOKUP(A:A,'global_freelancer Cleaned data'!A158:O407,5,FALSE)</f>
        <v>South Africa</v>
      </c>
      <c r="F159" s="12" t="str">
        <f>VLOOKUP(A:A,'global_freelancer Cleaned data'!A158:O407,8,FALSE)</f>
        <v>Not Mentioned</v>
      </c>
      <c r="G159" s="12" t="str">
        <f>VLOOKUP(A:A,'global_freelancer Cleaned data'!A158:M407,13,FALSE)</f>
        <v>Pending</v>
      </c>
      <c r="H159" s="12" t="str">
        <f>VLOOKUP(A:A,'global_freelancer Cleaned data'!A158:N407,14,FALSE)</f>
        <v>Inactive</v>
      </c>
      <c r="I159" s="12">
        <f>VLOOKUP(A:A,'global_freelancer Cleaned data'!A158:O407,15,FALSE)</f>
        <v>4</v>
      </c>
    </row>
    <row r="160" spans="1:9" x14ac:dyDescent="0.3">
      <c r="A160" s="60" t="s">
        <v>423</v>
      </c>
      <c r="B160" s="12" t="str">
        <f>VLOOKUP(A:A,'global_freelancer Cleaned data'!A:O,2,FALSE)</f>
        <v>Nathan Blair</v>
      </c>
      <c r="C160" s="12" t="str">
        <f>VLOOKUP(A:A,'global_freelancer Cleaned data'!A159:O408,3,FALSE)</f>
        <v>Male</v>
      </c>
      <c r="D160" s="12">
        <f>VLOOKUP(A:A,'global_freelancer Cleaned data'!A159:O408,4,FALSE)</f>
        <v>42</v>
      </c>
      <c r="E160" s="12" t="str">
        <f>VLOOKUP(A:A,'global_freelancer Cleaned data'!A159:O408,5,FALSE)</f>
        <v>Russia</v>
      </c>
      <c r="F160" s="12">
        <f>VLOOKUP(A:A,'global_freelancer Cleaned data'!A159:O408,8,FALSE)</f>
        <v>2</v>
      </c>
      <c r="G160" s="12" t="str">
        <f>VLOOKUP(A:A,'global_freelancer Cleaned data'!A159:M408,13,FALSE)</f>
        <v>Reviewed</v>
      </c>
      <c r="H160" s="12" t="str">
        <f>VLOOKUP(A:A,'global_freelancer Cleaned data'!A159:N408,14,FALSE)</f>
        <v>Completed</v>
      </c>
      <c r="I160" s="12">
        <f>VLOOKUP(A:A,'global_freelancer Cleaned data'!A159:O408,15,FALSE)</f>
        <v>2</v>
      </c>
    </row>
    <row r="161" spans="1:9" x14ac:dyDescent="0.3">
      <c r="A161" s="12" t="s">
        <v>425</v>
      </c>
      <c r="B161" s="12" t="str">
        <f>VLOOKUP(A:A,'global_freelancer Cleaned data'!A:O,2,FALSE)</f>
        <v>Patricia Lopez</v>
      </c>
      <c r="C161" s="12" t="str">
        <f>VLOOKUP(A:A,'global_freelancer Cleaned data'!A160:O409,3,FALSE)</f>
        <v>Female</v>
      </c>
      <c r="D161" s="12">
        <f>VLOOKUP(A:A,'global_freelancer Cleaned data'!A160:O409,4,FALSE)</f>
        <v>20</v>
      </c>
      <c r="E161" s="12" t="str">
        <f>VLOOKUP(A:A,'global_freelancer Cleaned data'!A160:O409,5,FALSE)</f>
        <v>Spain</v>
      </c>
      <c r="F161" s="12">
        <f>VLOOKUP(A:A,'global_freelancer Cleaned data'!A160:O409,8,FALSE)</f>
        <v>0</v>
      </c>
      <c r="G161" s="12" t="str">
        <f>VLOOKUP(A:A,'global_freelancer Cleaned data'!A160:M409,13,FALSE)</f>
        <v>Reviewed</v>
      </c>
      <c r="H161" s="12" t="str">
        <f>VLOOKUP(A:A,'global_freelancer Cleaned data'!A160:N409,14,FALSE)</f>
        <v>Active</v>
      </c>
      <c r="I161" s="12">
        <f>VLOOKUP(A:A,'global_freelancer Cleaned data'!A160:O409,15,FALSE)</f>
        <v>4</v>
      </c>
    </row>
    <row r="162" spans="1:9" x14ac:dyDescent="0.3">
      <c r="A162" s="60" t="s">
        <v>427</v>
      </c>
      <c r="B162" s="12" t="str">
        <f>VLOOKUP(A:A,'global_freelancer Cleaned data'!A:O,2,FALSE)</f>
        <v>Michelle Wu</v>
      </c>
      <c r="C162" s="12" t="str">
        <f>VLOOKUP(A:A,'global_freelancer Cleaned data'!A161:O410,3,FALSE)</f>
        <v>Female</v>
      </c>
      <c r="D162" s="12">
        <f>VLOOKUP(A:A,'global_freelancer Cleaned data'!A161:O410,4,FALSE)</f>
        <v>47</v>
      </c>
      <c r="E162" s="12" t="str">
        <f>VLOOKUP(A:A,'global_freelancer Cleaned data'!A161:O410,5,FALSE)</f>
        <v>Indonesia</v>
      </c>
      <c r="F162" s="12">
        <f>VLOOKUP(A:A,'global_freelancer Cleaned data'!A161:O410,8,FALSE)</f>
        <v>12</v>
      </c>
      <c r="G162" s="12" t="str">
        <f>VLOOKUP(A:A,'global_freelancer Cleaned data'!A161:M410,13,FALSE)</f>
        <v>Follow-up</v>
      </c>
      <c r="H162" s="12" t="str">
        <f>VLOOKUP(A:A,'global_freelancer Cleaned data'!A161:N410,14,FALSE)</f>
        <v>On Hold</v>
      </c>
      <c r="I162" s="12">
        <f>VLOOKUP(A:A,'global_freelancer Cleaned data'!A161:O410,15,FALSE)</f>
        <v>15</v>
      </c>
    </row>
    <row r="163" spans="1:9" x14ac:dyDescent="0.3">
      <c r="A163" s="12" t="s">
        <v>429</v>
      </c>
      <c r="B163" s="12" t="str">
        <f>VLOOKUP(A:A,'global_freelancer Cleaned data'!A:O,2,FALSE)</f>
        <v>Donald Mitchell</v>
      </c>
      <c r="C163" s="12" t="str">
        <f>VLOOKUP(A:A,'global_freelancer Cleaned data'!A162:O411,3,FALSE)</f>
        <v>Male</v>
      </c>
      <c r="D163" s="12" t="str">
        <f>VLOOKUP(A:A,'global_freelancer Cleaned data'!A162:O411,4,FALSE)</f>
        <v>Not given</v>
      </c>
      <c r="E163" s="12" t="str">
        <f>VLOOKUP(A:A,'global_freelancer Cleaned data'!A162:O411,5,FALSE)</f>
        <v>Argentina</v>
      </c>
      <c r="F163" s="12">
        <f>VLOOKUP(A:A,'global_freelancer Cleaned data'!A162:O411,8,FALSE)</f>
        <v>12</v>
      </c>
      <c r="G163" s="12" t="str">
        <f>VLOOKUP(A:A,'global_freelancer Cleaned data'!A162:M411,13,FALSE)</f>
        <v>Pending</v>
      </c>
      <c r="H163" s="12" t="str">
        <f>VLOOKUP(A:A,'global_freelancer Cleaned data'!A162:N411,14,FALSE)</f>
        <v>Inactive</v>
      </c>
      <c r="I163" s="12">
        <f>VLOOKUP(A:A,'global_freelancer Cleaned data'!A162:O411,15,FALSE)</f>
        <v>15</v>
      </c>
    </row>
    <row r="164" spans="1:9" x14ac:dyDescent="0.3">
      <c r="A164" s="60" t="s">
        <v>431</v>
      </c>
      <c r="B164" s="12" t="str">
        <f>VLOOKUP(A:A,'global_freelancer Cleaned data'!A:O,2,FALSE)</f>
        <v>Sean Gordon</v>
      </c>
      <c r="C164" s="12" t="str">
        <f>VLOOKUP(A:A,'global_freelancer Cleaned data'!A163:O412,3,FALSE)</f>
        <v>Male</v>
      </c>
      <c r="D164" s="12">
        <f>VLOOKUP(A:A,'global_freelancer Cleaned data'!A163:O412,4,FALSE)</f>
        <v>56</v>
      </c>
      <c r="E164" s="12" t="str">
        <f>VLOOKUP(A:A,'global_freelancer Cleaned data'!A163:O412,5,FALSE)</f>
        <v>Indonesia</v>
      </c>
      <c r="F164" s="12">
        <f>VLOOKUP(A:A,'global_freelancer Cleaned data'!A163:O412,8,FALSE)</f>
        <v>15</v>
      </c>
      <c r="G164" s="12" t="str">
        <f>VLOOKUP(A:A,'global_freelancer Cleaned data'!A163:M412,13,FALSE)</f>
        <v>Urgent</v>
      </c>
      <c r="H164" s="12" t="str">
        <f>VLOOKUP(A:A,'global_freelancer Cleaned data'!A163:N412,14,FALSE)</f>
        <v>Completed</v>
      </c>
      <c r="I164" s="12">
        <f>VLOOKUP(A:A,'global_freelancer Cleaned data'!A163:O412,15,FALSE)</f>
        <v>9</v>
      </c>
    </row>
    <row r="165" spans="1:9" x14ac:dyDescent="0.3">
      <c r="A165" s="12" t="s">
        <v>433</v>
      </c>
      <c r="B165" s="12" t="str">
        <f>VLOOKUP(A:A,'global_freelancer Cleaned data'!A:O,2,FALSE)</f>
        <v>Gregory Clarke</v>
      </c>
      <c r="C165" s="12" t="str">
        <f>VLOOKUP(A:A,'global_freelancer Cleaned data'!A164:O413,3,FALSE)</f>
        <v>Male</v>
      </c>
      <c r="D165" s="12">
        <f>VLOOKUP(A:A,'global_freelancer Cleaned data'!A164:O413,4,FALSE)</f>
        <v>59</v>
      </c>
      <c r="E165" s="12" t="str">
        <f>VLOOKUP(A:A,'global_freelancer Cleaned data'!A164:O413,5,FALSE)</f>
        <v>UK</v>
      </c>
      <c r="F165" s="12">
        <f>VLOOKUP(A:A,'global_freelancer Cleaned data'!A164:O413,8,FALSE)</f>
        <v>29</v>
      </c>
      <c r="G165" s="12" t="str">
        <f>VLOOKUP(A:A,'global_freelancer Cleaned data'!A164:M413,13,FALSE)</f>
        <v>Reviewed</v>
      </c>
      <c r="H165" s="12" t="str">
        <f>VLOOKUP(A:A,'global_freelancer Cleaned data'!A164:N413,14,FALSE)</f>
        <v>On Hold</v>
      </c>
      <c r="I165" s="12">
        <f>VLOOKUP(A:A,'global_freelancer Cleaned data'!A164:O413,15,FALSE)</f>
        <v>19</v>
      </c>
    </row>
    <row r="166" spans="1:9" x14ac:dyDescent="0.3">
      <c r="A166" s="60" t="s">
        <v>435</v>
      </c>
      <c r="B166" s="12" t="str">
        <f>VLOOKUP(A:A,'global_freelancer Cleaned data'!A:O,2,FALSE)</f>
        <v>Steven Whitney</v>
      </c>
      <c r="C166" s="12" t="str">
        <f>VLOOKUP(A:A,'global_freelancer Cleaned data'!A165:O414,3,FALSE)</f>
        <v>Male</v>
      </c>
      <c r="D166" s="12">
        <f>VLOOKUP(A:A,'global_freelancer Cleaned data'!A165:O414,4,FALSE)</f>
        <v>56</v>
      </c>
      <c r="E166" s="12" t="str">
        <f>VLOOKUP(A:A,'global_freelancer Cleaned data'!A165:O414,5,FALSE)</f>
        <v>Japan</v>
      </c>
      <c r="F166" s="12">
        <f>VLOOKUP(A:A,'global_freelancer Cleaned data'!A165:O414,8,FALSE)</f>
        <v>15</v>
      </c>
      <c r="G166" s="12" t="str">
        <f>VLOOKUP(A:A,'global_freelancer Cleaned data'!A165:M414,13,FALSE)</f>
        <v>Urgent</v>
      </c>
      <c r="H166" s="12" t="str">
        <f>VLOOKUP(A:A,'global_freelancer Cleaned data'!A165:N414,14,FALSE)</f>
        <v>Active</v>
      </c>
      <c r="I166" s="12">
        <f>VLOOKUP(A:A,'global_freelancer Cleaned data'!A165:O414,15,FALSE)</f>
        <v>14</v>
      </c>
    </row>
    <row r="167" spans="1:9" x14ac:dyDescent="0.3">
      <c r="A167" s="12" t="s">
        <v>437</v>
      </c>
      <c r="B167" s="12" t="str">
        <f>VLOOKUP(A:A,'global_freelancer Cleaned data'!A:O,2,FALSE)</f>
        <v>Robin Acosta</v>
      </c>
      <c r="C167" s="12" t="str">
        <f>VLOOKUP(A:A,'global_freelancer Cleaned data'!A166:O415,3,FALSE)</f>
        <v>Female</v>
      </c>
      <c r="D167" s="12">
        <f>VLOOKUP(A:A,'global_freelancer Cleaned data'!A166:O415,4,FALSE)</f>
        <v>31</v>
      </c>
      <c r="E167" s="12" t="str">
        <f>VLOOKUP(A:A,'global_freelancer Cleaned data'!A166:O415,5,FALSE)</f>
        <v>South Africa</v>
      </c>
      <c r="F167" s="12" t="str">
        <f>VLOOKUP(A:A,'global_freelancer Cleaned data'!A166:O415,8,FALSE)</f>
        <v>Not Mentioned</v>
      </c>
      <c r="G167" s="12" t="str">
        <f>VLOOKUP(A:A,'global_freelancer Cleaned data'!A166:M415,13,FALSE)</f>
        <v>Urgent</v>
      </c>
      <c r="H167" s="12" t="str">
        <f>VLOOKUP(A:A,'global_freelancer Cleaned data'!A166:N415,14,FALSE)</f>
        <v>Completed</v>
      </c>
      <c r="I167" s="12">
        <f>VLOOKUP(A:A,'global_freelancer Cleaned data'!A166:O415,15,FALSE)</f>
        <v>1</v>
      </c>
    </row>
    <row r="168" spans="1:9" x14ac:dyDescent="0.3">
      <c r="A168" s="60" t="s">
        <v>439</v>
      </c>
      <c r="B168" s="12" t="str">
        <f>VLOOKUP(A:A,'global_freelancer Cleaned data'!A:O,2,FALSE)</f>
        <v>John Smith</v>
      </c>
      <c r="C168" s="12" t="str">
        <f>VLOOKUP(A:A,'global_freelancer Cleaned data'!A167:O416,3,FALSE)</f>
        <v>Male</v>
      </c>
      <c r="D168" s="12">
        <f>VLOOKUP(A:A,'global_freelancer Cleaned data'!A167:O416,4,FALSE)</f>
        <v>60</v>
      </c>
      <c r="E168" s="12" t="str">
        <f>VLOOKUP(A:A,'global_freelancer Cleaned data'!A167:O416,5,FALSE)</f>
        <v>South Korea</v>
      </c>
      <c r="F168" s="12">
        <f>VLOOKUP(A:A,'global_freelancer Cleaned data'!A167:O416,8,FALSE)</f>
        <v>33</v>
      </c>
      <c r="G168" s="12" t="str">
        <f>VLOOKUP(A:A,'global_freelancer Cleaned data'!A167:M416,13,FALSE)</f>
        <v>Pending</v>
      </c>
      <c r="H168" s="12" t="str">
        <f>VLOOKUP(A:A,'global_freelancer Cleaned data'!A167:N416,14,FALSE)</f>
        <v>Inactive</v>
      </c>
      <c r="I168" s="12">
        <f>VLOOKUP(A:A,'global_freelancer Cleaned data'!A167:O416,15,FALSE)</f>
        <v>13</v>
      </c>
    </row>
    <row r="169" spans="1:9" x14ac:dyDescent="0.3">
      <c r="A169" s="12" t="s">
        <v>441</v>
      </c>
      <c r="B169" s="12" t="str">
        <f>VLOOKUP(A:A,'global_freelancer Cleaned data'!A:O,2,FALSE)</f>
        <v>Susan Baker</v>
      </c>
      <c r="C169" s="12" t="str">
        <f>VLOOKUP(A:A,'global_freelancer Cleaned data'!A168:O417,3,FALSE)</f>
        <v>Female</v>
      </c>
      <c r="D169" s="12">
        <f>VLOOKUP(A:A,'global_freelancer Cleaned data'!A168:O417,4,FALSE)</f>
        <v>31</v>
      </c>
      <c r="E169" s="12" t="str">
        <f>VLOOKUP(A:A,'global_freelancer Cleaned data'!A168:O417,5,FALSE)</f>
        <v>Canada</v>
      </c>
      <c r="F169" s="12">
        <f>VLOOKUP(A:A,'global_freelancer Cleaned data'!A168:O417,8,FALSE)</f>
        <v>10</v>
      </c>
      <c r="G169" s="12" t="str">
        <f>VLOOKUP(A:A,'global_freelancer Cleaned data'!A168:M417,13,FALSE)</f>
        <v>Pending</v>
      </c>
      <c r="H169" s="12" t="str">
        <f>VLOOKUP(A:A,'global_freelancer Cleaned data'!A168:N417,14,FALSE)</f>
        <v>On Hold</v>
      </c>
      <c r="I169" s="12">
        <f>VLOOKUP(A:A,'global_freelancer Cleaned data'!A168:O417,15,FALSE)</f>
        <v>11</v>
      </c>
    </row>
    <row r="170" spans="1:9" x14ac:dyDescent="0.3">
      <c r="A170" s="60" t="s">
        <v>443</v>
      </c>
      <c r="B170" s="12" t="str">
        <f>VLOOKUP(A:A,'global_freelancer Cleaned data'!A:O,2,FALSE)</f>
        <v>Anthony Larsen</v>
      </c>
      <c r="C170" s="12" t="str">
        <f>VLOOKUP(A:A,'global_freelancer Cleaned data'!A169:O418,3,FALSE)</f>
        <v>Male</v>
      </c>
      <c r="D170" s="12">
        <f>VLOOKUP(A:A,'global_freelancer Cleaned data'!A169:O418,4,FALSE)</f>
        <v>60</v>
      </c>
      <c r="E170" s="12" t="str">
        <f>VLOOKUP(A:A,'global_freelancer Cleaned data'!A169:O418,5,FALSE)</f>
        <v>Argentina</v>
      </c>
      <c r="F170" s="12">
        <f>VLOOKUP(A:A,'global_freelancer Cleaned data'!A169:O418,8,FALSE)</f>
        <v>20</v>
      </c>
      <c r="G170" s="12" t="str">
        <f>VLOOKUP(A:A,'global_freelancer Cleaned data'!A169:M418,13,FALSE)</f>
        <v>Reviewed</v>
      </c>
      <c r="H170" s="12" t="str">
        <f>VLOOKUP(A:A,'global_freelancer Cleaned data'!A169:N418,14,FALSE)</f>
        <v>Inactive</v>
      </c>
      <c r="I170" s="12">
        <f>VLOOKUP(A:A,'global_freelancer Cleaned data'!A169:O418,15,FALSE)</f>
        <v>18</v>
      </c>
    </row>
    <row r="171" spans="1:9" x14ac:dyDescent="0.3">
      <c r="A171" s="12" t="s">
        <v>445</v>
      </c>
      <c r="B171" s="12" t="str">
        <f>VLOOKUP(A:A,'global_freelancer Cleaned data'!A:O,2,FALSE)</f>
        <v>Nicholas Carpenter</v>
      </c>
      <c r="C171" s="12" t="str">
        <f>VLOOKUP(A:A,'global_freelancer Cleaned data'!A170:O419,3,FALSE)</f>
        <v>Male</v>
      </c>
      <c r="D171" s="12">
        <f>VLOOKUP(A:A,'global_freelancer Cleaned data'!A170:O419,4,FALSE)</f>
        <v>46</v>
      </c>
      <c r="E171" s="12" t="str">
        <f>VLOOKUP(A:A,'global_freelancer Cleaned data'!A170:O419,5,FALSE)</f>
        <v>France</v>
      </c>
      <c r="F171" s="12">
        <f>VLOOKUP(A:A,'global_freelancer Cleaned data'!A170:O419,8,FALSE)</f>
        <v>23</v>
      </c>
      <c r="G171" s="12" t="str">
        <f>VLOOKUP(A:A,'global_freelancer Cleaned data'!A170:M419,13,FALSE)</f>
        <v>Pending</v>
      </c>
      <c r="H171" s="12" t="str">
        <f>VLOOKUP(A:A,'global_freelancer Cleaned data'!A170:N419,14,FALSE)</f>
        <v>Active</v>
      </c>
      <c r="I171" s="12">
        <f>VLOOKUP(A:A,'global_freelancer Cleaned data'!A170:O419,15,FALSE)</f>
        <v>19</v>
      </c>
    </row>
    <row r="172" spans="1:9" x14ac:dyDescent="0.3">
      <c r="A172" s="60" t="s">
        <v>447</v>
      </c>
      <c r="B172" s="12" t="str">
        <f>VLOOKUP(A:A,'global_freelancer Cleaned data'!A:O,2,FALSE)</f>
        <v>Debra Salazar</v>
      </c>
      <c r="C172" s="12" t="str">
        <f>VLOOKUP(A:A,'global_freelancer Cleaned data'!A171:O420,3,FALSE)</f>
        <v>Female</v>
      </c>
      <c r="D172" s="12" t="str">
        <f>VLOOKUP(A:A,'global_freelancer Cleaned data'!A171:O420,4,FALSE)</f>
        <v>Not given</v>
      </c>
      <c r="E172" s="12" t="str">
        <f>VLOOKUP(A:A,'global_freelancer Cleaned data'!A171:O420,5,FALSE)</f>
        <v>Netherlands</v>
      </c>
      <c r="F172" s="12" t="str">
        <f>VLOOKUP(A:A,'global_freelancer Cleaned data'!A171:O420,8,FALSE)</f>
        <v>Not Mentioned</v>
      </c>
      <c r="G172" s="12" t="str">
        <f>VLOOKUP(A:A,'global_freelancer Cleaned data'!A171:M420,13,FALSE)</f>
        <v>Pending</v>
      </c>
      <c r="H172" s="12" t="str">
        <f>VLOOKUP(A:A,'global_freelancer Cleaned data'!A171:N420,14,FALSE)</f>
        <v>On Hold</v>
      </c>
      <c r="I172" s="12">
        <f>VLOOKUP(A:A,'global_freelancer Cleaned data'!A171:O420,15,FALSE)</f>
        <v>4</v>
      </c>
    </row>
    <row r="173" spans="1:9" x14ac:dyDescent="0.3">
      <c r="A173" s="12" t="s">
        <v>449</v>
      </c>
      <c r="B173" s="12" t="str">
        <f>VLOOKUP(A:A,'global_freelancer Cleaned data'!A:O,2,FALSE)</f>
        <v>William Smith</v>
      </c>
      <c r="C173" s="12" t="str">
        <f>VLOOKUP(A:A,'global_freelancer Cleaned data'!A172:O421,3,FALSE)</f>
        <v>Male</v>
      </c>
      <c r="D173" s="12">
        <f>VLOOKUP(A:A,'global_freelancer Cleaned data'!A172:O421,4,FALSE)</f>
        <v>34</v>
      </c>
      <c r="E173" s="12" t="str">
        <f>VLOOKUP(A:A,'global_freelancer Cleaned data'!A172:O421,5,FALSE)</f>
        <v>Japan</v>
      </c>
      <c r="F173" s="12">
        <f>VLOOKUP(A:A,'global_freelancer Cleaned data'!A172:O421,8,FALSE)</f>
        <v>0</v>
      </c>
      <c r="G173" s="12" t="str">
        <f>VLOOKUP(A:A,'global_freelancer Cleaned data'!A172:M421,13,FALSE)</f>
        <v>Pending</v>
      </c>
      <c r="H173" s="12" t="str">
        <f>VLOOKUP(A:A,'global_freelancer Cleaned data'!A172:N421,14,FALSE)</f>
        <v>Active</v>
      </c>
      <c r="I173" s="12">
        <f>VLOOKUP(A:A,'global_freelancer Cleaned data'!A172:O421,15,FALSE)</f>
        <v>1</v>
      </c>
    </row>
    <row r="174" spans="1:9" x14ac:dyDescent="0.3">
      <c r="A174" s="60" t="s">
        <v>451</v>
      </c>
      <c r="B174" s="12" t="str">
        <f>VLOOKUP(A:A,'global_freelancer Cleaned data'!A:O,2,FALSE)</f>
        <v>Caroline Gross</v>
      </c>
      <c r="C174" s="12" t="str">
        <f>VLOOKUP(A:A,'global_freelancer Cleaned data'!A173:O422,3,FALSE)</f>
        <v>Female</v>
      </c>
      <c r="D174" s="12">
        <f>VLOOKUP(A:A,'global_freelancer Cleaned data'!A173:O422,4,FALSE)</f>
        <v>42</v>
      </c>
      <c r="E174" s="12" t="str">
        <f>VLOOKUP(A:A,'global_freelancer Cleaned data'!A173:O422,5,FALSE)</f>
        <v>Netherlands</v>
      </c>
      <c r="F174" s="12">
        <f>VLOOKUP(A:A,'global_freelancer Cleaned data'!A173:O422,8,FALSE)</f>
        <v>7</v>
      </c>
      <c r="G174" s="12" t="str">
        <f>VLOOKUP(A:A,'global_freelancer Cleaned data'!A173:M422,13,FALSE)</f>
        <v>Urgent</v>
      </c>
      <c r="H174" s="12" t="str">
        <f>VLOOKUP(A:A,'global_freelancer Cleaned data'!A173:N422,14,FALSE)</f>
        <v>Active</v>
      </c>
      <c r="I174" s="12">
        <f>VLOOKUP(A:A,'global_freelancer Cleaned data'!A173:O422,15,FALSE)</f>
        <v>14</v>
      </c>
    </row>
    <row r="175" spans="1:9" x14ac:dyDescent="0.3">
      <c r="A175" s="12" t="s">
        <v>453</v>
      </c>
      <c r="B175" s="12" t="str">
        <f>VLOOKUP(A:A,'global_freelancer Cleaned data'!A:O,2,FALSE)</f>
        <v>Jeremy Sawyer</v>
      </c>
      <c r="C175" s="12" t="str">
        <f>VLOOKUP(A:A,'global_freelancer Cleaned data'!A174:O423,3,FALSE)</f>
        <v>Male</v>
      </c>
      <c r="D175" s="12">
        <f>VLOOKUP(A:A,'global_freelancer Cleaned data'!A174:O423,4,FALSE)</f>
        <v>31</v>
      </c>
      <c r="E175" s="12" t="str">
        <f>VLOOKUP(A:A,'global_freelancer Cleaned data'!A174:O423,5,FALSE)</f>
        <v>UK</v>
      </c>
      <c r="F175" s="12">
        <f>VLOOKUP(A:A,'global_freelancer Cleaned data'!A174:O423,8,FALSE)</f>
        <v>4</v>
      </c>
      <c r="G175" s="12" t="str">
        <f>VLOOKUP(A:A,'global_freelancer Cleaned data'!A174:M423,13,FALSE)</f>
        <v>Reviewed</v>
      </c>
      <c r="H175" s="12" t="str">
        <f>VLOOKUP(A:A,'global_freelancer Cleaned data'!A174:N423,14,FALSE)</f>
        <v>Completed</v>
      </c>
      <c r="I175" s="12">
        <f>VLOOKUP(A:A,'global_freelancer Cleaned data'!A174:O423,15,FALSE)</f>
        <v>4</v>
      </c>
    </row>
    <row r="176" spans="1:9" x14ac:dyDescent="0.3">
      <c r="A176" s="60" t="s">
        <v>455</v>
      </c>
      <c r="B176" s="12" t="str">
        <f>VLOOKUP(A:A,'global_freelancer Cleaned data'!A:O,2,FALSE)</f>
        <v>Eduardo Burns</v>
      </c>
      <c r="C176" s="12" t="str">
        <f>VLOOKUP(A:A,'global_freelancer Cleaned data'!A175:O424,3,FALSE)</f>
        <v>Male</v>
      </c>
      <c r="D176" s="12">
        <f>VLOOKUP(A:A,'global_freelancer Cleaned data'!A175:O424,4,FALSE)</f>
        <v>29</v>
      </c>
      <c r="E176" s="12" t="str">
        <f>VLOOKUP(A:A,'global_freelancer Cleaned data'!A175:O424,5,FALSE)</f>
        <v>Brazil</v>
      </c>
      <c r="F176" s="12">
        <f>VLOOKUP(A:A,'global_freelancer Cleaned data'!A175:O424,8,FALSE)</f>
        <v>9</v>
      </c>
      <c r="G176" s="12" t="str">
        <f>VLOOKUP(A:A,'global_freelancer Cleaned data'!A175:M424,13,FALSE)</f>
        <v>Follow-up</v>
      </c>
      <c r="H176" s="12" t="str">
        <f>VLOOKUP(A:A,'global_freelancer Cleaned data'!A175:N424,14,FALSE)</f>
        <v>Inactive</v>
      </c>
      <c r="I176" s="12">
        <f>VLOOKUP(A:A,'global_freelancer Cleaned data'!A175:O424,15,FALSE)</f>
        <v>11</v>
      </c>
    </row>
    <row r="177" spans="1:9" x14ac:dyDescent="0.3">
      <c r="A177" s="12" t="s">
        <v>457</v>
      </c>
      <c r="B177" s="12" t="str">
        <f>VLOOKUP(A:A,'global_freelancer Cleaned data'!A:O,2,FALSE)</f>
        <v>Amanda Jones</v>
      </c>
      <c r="C177" s="12" t="str">
        <f>VLOOKUP(A:A,'global_freelancer Cleaned data'!A176:O425,3,FALSE)</f>
        <v>Female</v>
      </c>
      <c r="D177" s="12">
        <f>VLOOKUP(A:A,'global_freelancer Cleaned data'!A176:O425,4,FALSE)</f>
        <v>57</v>
      </c>
      <c r="E177" s="12" t="str">
        <f>VLOOKUP(A:A,'global_freelancer Cleaned data'!A176:O425,5,FALSE)</f>
        <v>Australia</v>
      </c>
      <c r="F177" s="12">
        <f>VLOOKUP(A:A,'global_freelancer Cleaned data'!A176:O425,8,FALSE)</f>
        <v>17</v>
      </c>
      <c r="G177" s="12" t="str">
        <f>VLOOKUP(A:A,'global_freelancer Cleaned data'!A176:M425,13,FALSE)</f>
        <v>Urgent</v>
      </c>
      <c r="H177" s="12" t="str">
        <f>VLOOKUP(A:A,'global_freelancer Cleaned data'!A176:N425,14,FALSE)</f>
        <v>On Hold</v>
      </c>
      <c r="I177" s="12">
        <f>VLOOKUP(A:A,'global_freelancer Cleaned data'!A176:O425,15,FALSE)</f>
        <v>10</v>
      </c>
    </row>
    <row r="178" spans="1:9" x14ac:dyDescent="0.3">
      <c r="A178" s="60" t="s">
        <v>459</v>
      </c>
      <c r="B178" s="12" t="str">
        <f>VLOOKUP(A:A,'global_freelancer Cleaned data'!A:O,2,FALSE)</f>
        <v>Frederick Ware</v>
      </c>
      <c r="C178" s="12" t="str">
        <f>VLOOKUP(A:A,'global_freelancer Cleaned data'!A177:O426,3,FALSE)</f>
        <v>Male</v>
      </c>
      <c r="D178" s="12">
        <f>VLOOKUP(A:A,'global_freelancer Cleaned data'!A177:O426,4,FALSE)</f>
        <v>47</v>
      </c>
      <c r="E178" s="12" t="str">
        <f>VLOOKUP(A:A,'global_freelancer Cleaned data'!A177:O426,5,FALSE)</f>
        <v>India</v>
      </c>
      <c r="F178" s="12">
        <f>VLOOKUP(A:A,'global_freelancer Cleaned data'!A177:O426,8,FALSE)</f>
        <v>8</v>
      </c>
      <c r="G178" s="12" t="str">
        <f>VLOOKUP(A:A,'global_freelancer Cleaned data'!A177:M426,13,FALSE)</f>
        <v>Pending</v>
      </c>
      <c r="H178" s="12" t="str">
        <f>VLOOKUP(A:A,'global_freelancer Cleaned data'!A177:N426,14,FALSE)</f>
        <v>Active</v>
      </c>
      <c r="I178" s="12">
        <f>VLOOKUP(A:A,'global_freelancer Cleaned data'!A177:O426,15,FALSE)</f>
        <v>12</v>
      </c>
    </row>
    <row r="179" spans="1:9" x14ac:dyDescent="0.3">
      <c r="A179" s="12" t="s">
        <v>461</v>
      </c>
      <c r="B179" s="12" t="str">
        <f>VLOOKUP(A:A,'global_freelancer Cleaned data'!A:O,2,FALSE)</f>
        <v>Michael Black</v>
      </c>
      <c r="C179" s="12" t="str">
        <f>VLOOKUP(A:A,'global_freelancer Cleaned data'!A178:O427,3,FALSE)</f>
        <v>Male</v>
      </c>
      <c r="D179" s="12">
        <f>VLOOKUP(A:A,'global_freelancer Cleaned data'!A178:O427,4,FALSE)</f>
        <v>47</v>
      </c>
      <c r="E179" s="12" t="str">
        <f>VLOOKUP(A:A,'global_freelancer Cleaned data'!A178:O427,5,FALSE)</f>
        <v>South Africa</v>
      </c>
      <c r="F179" s="12">
        <f>VLOOKUP(A:A,'global_freelancer Cleaned data'!A178:O427,8,FALSE)</f>
        <v>14</v>
      </c>
      <c r="G179" s="12" t="str">
        <f>VLOOKUP(A:A,'global_freelancer Cleaned data'!A178:M427,13,FALSE)</f>
        <v>Urgent</v>
      </c>
      <c r="H179" s="12" t="str">
        <f>VLOOKUP(A:A,'global_freelancer Cleaned data'!A178:N427,14,FALSE)</f>
        <v>Active</v>
      </c>
      <c r="I179" s="12">
        <f>VLOOKUP(A:A,'global_freelancer Cleaned data'!A178:O427,15,FALSE)</f>
        <v>14</v>
      </c>
    </row>
    <row r="180" spans="1:9" x14ac:dyDescent="0.3">
      <c r="A180" s="60" t="s">
        <v>463</v>
      </c>
      <c r="B180" s="12" t="str">
        <f>VLOOKUP(A:A,'global_freelancer Cleaned data'!A:O,2,FALSE)</f>
        <v>Patricia Sanders</v>
      </c>
      <c r="C180" s="12" t="str">
        <f>VLOOKUP(A:A,'global_freelancer Cleaned data'!A179:O428,3,FALSE)</f>
        <v>Female</v>
      </c>
      <c r="D180" s="12">
        <f>VLOOKUP(A:A,'global_freelancer Cleaned data'!A179:O428,4,FALSE)</f>
        <v>45</v>
      </c>
      <c r="E180" s="12" t="str">
        <f>VLOOKUP(A:A,'global_freelancer Cleaned data'!A179:O428,5,FALSE)</f>
        <v>France</v>
      </c>
      <c r="F180" s="12">
        <f>VLOOKUP(A:A,'global_freelancer Cleaned data'!A179:O428,8,FALSE)</f>
        <v>21</v>
      </c>
      <c r="G180" s="12" t="str">
        <f>VLOOKUP(A:A,'global_freelancer Cleaned data'!A179:M428,13,FALSE)</f>
        <v>Pending</v>
      </c>
      <c r="H180" s="12" t="str">
        <f>VLOOKUP(A:A,'global_freelancer Cleaned data'!A179:N428,14,FALSE)</f>
        <v>On Hold</v>
      </c>
      <c r="I180" s="12">
        <f>VLOOKUP(A:A,'global_freelancer Cleaned data'!A179:O428,15,FALSE)</f>
        <v>15</v>
      </c>
    </row>
    <row r="181" spans="1:9" x14ac:dyDescent="0.3">
      <c r="A181" s="12" t="s">
        <v>465</v>
      </c>
      <c r="B181" s="12" t="str">
        <f>VLOOKUP(A:A,'global_freelancer Cleaned data'!A:O,2,FALSE)</f>
        <v>Marc Joseph</v>
      </c>
      <c r="C181" s="12" t="str">
        <f>VLOOKUP(A:A,'global_freelancer Cleaned data'!A180:O429,3,FALSE)</f>
        <v>Male</v>
      </c>
      <c r="D181" s="12">
        <f>VLOOKUP(A:A,'global_freelancer Cleaned data'!A180:O429,4,FALSE)</f>
        <v>24</v>
      </c>
      <c r="E181" s="12" t="str">
        <f>VLOOKUP(A:A,'global_freelancer Cleaned data'!A180:O429,5,FALSE)</f>
        <v>Turkey</v>
      </c>
      <c r="F181" s="12">
        <f>VLOOKUP(A:A,'global_freelancer Cleaned data'!A180:O429,8,FALSE)</f>
        <v>1</v>
      </c>
      <c r="G181" s="12" t="str">
        <f>VLOOKUP(A:A,'global_freelancer Cleaned data'!A180:M429,13,FALSE)</f>
        <v>Pending</v>
      </c>
      <c r="H181" s="12" t="str">
        <f>VLOOKUP(A:A,'global_freelancer Cleaned data'!A180:N429,14,FALSE)</f>
        <v>Active</v>
      </c>
      <c r="I181" s="12">
        <f>VLOOKUP(A:A,'global_freelancer Cleaned data'!A180:O429,15,FALSE)</f>
        <v>3</v>
      </c>
    </row>
    <row r="182" spans="1:9" x14ac:dyDescent="0.3">
      <c r="A182" s="60" t="s">
        <v>467</v>
      </c>
      <c r="B182" s="12" t="str">
        <f>VLOOKUP(A:A,'global_freelancer Cleaned data'!A:O,2,FALSE)</f>
        <v>Vanessa White</v>
      </c>
      <c r="C182" s="12" t="str">
        <f>VLOOKUP(A:A,'global_freelancer Cleaned data'!A181:O430,3,FALSE)</f>
        <v>Female</v>
      </c>
      <c r="D182" s="12">
        <f>VLOOKUP(A:A,'global_freelancer Cleaned data'!A181:O430,4,FALSE)</f>
        <v>31</v>
      </c>
      <c r="E182" s="12" t="str">
        <f>VLOOKUP(A:A,'global_freelancer Cleaned data'!A181:O430,5,FALSE)</f>
        <v>Argentina</v>
      </c>
      <c r="F182" s="12">
        <f>VLOOKUP(A:A,'global_freelancer Cleaned data'!A181:O430,8,FALSE)</f>
        <v>12</v>
      </c>
      <c r="G182" s="12" t="str">
        <f>VLOOKUP(A:A,'global_freelancer Cleaned data'!A181:M430,13,FALSE)</f>
        <v>Urgent</v>
      </c>
      <c r="H182" s="12" t="str">
        <f>VLOOKUP(A:A,'global_freelancer Cleaned data'!A181:N430,14,FALSE)</f>
        <v>Completed</v>
      </c>
      <c r="I182" s="12">
        <f>VLOOKUP(A:A,'global_freelancer Cleaned data'!A181:O430,15,FALSE)</f>
        <v>11</v>
      </c>
    </row>
    <row r="183" spans="1:9" x14ac:dyDescent="0.3">
      <c r="A183" s="12" t="s">
        <v>469</v>
      </c>
      <c r="B183" s="12" t="str">
        <f>VLOOKUP(A:A,'global_freelancer Cleaned data'!A:O,2,FALSE)</f>
        <v>Jennifer Garcia</v>
      </c>
      <c r="C183" s="12" t="str">
        <f>VLOOKUP(A:A,'global_freelancer Cleaned data'!A182:O431,3,FALSE)</f>
        <v>Female</v>
      </c>
      <c r="D183" s="12">
        <f>VLOOKUP(A:A,'global_freelancer Cleaned data'!A182:O431,4,FALSE)</f>
        <v>20</v>
      </c>
      <c r="E183" s="12" t="str">
        <f>VLOOKUP(A:A,'global_freelancer Cleaned data'!A182:O431,5,FALSE)</f>
        <v>Mexico</v>
      </c>
      <c r="F183" s="12">
        <f>VLOOKUP(A:A,'global_freelancer Cleaned data'!A182:O431,8,FALSE)</f>
        <v>2</v>
      </c>
      <c r="G183" s="12" t="str">
        <f>VLOOKUP(A:A,'global_freelancer Cleaned data'!A182:M431,13,FALSE)</f>
        <v>Reviewed</v>
      </c>
      <c r="H183" s="12" t="str">
        <f>VLOOKUP(A:A,'global_freelancer Cleaned data'!A182:N431,14,FALSE)</f>
        <v>Completed</v>
      </c>
      <c r="I183" s="12">
        <f>VLOOKUP(A:A,'global_freelancer Cleaned data'!A182:O431,15,FALSE)</f>
        <v>5</v>
      </c>
    </row>
    <row r="184" spans="1:9" x14ac:dyDescent="0.3">
      <c r="A184" s="60" t="s">
        <v>471</v>
      </c>
      <c r="B184" s="12" t="str">
        <f>VLOOKUP(A:A,'global_freelancer Cleaned data'!A:O,2,FALSE)</f>
        <v>Michael Zavala</v>
      </c>
      <c r="C184" s="12" t="str">
        <f>VLOOKUP(A:A,'global_freelancer Cleaned data'!A183:O432,3,FALSE)</f>
        <v>Male</v>
      </c>
      <c r="D184" s="12">
        <f>VLOOKUP(A:A,'global_freelancer Cleaned data'!A183:O432,4,FALSE)</f>
        <v>38</v>
      </c>
      <c r="E184" s="12" t="str">
        <f>VLOOKUP(A:A,'global_freelancer Cleaned data'!A183:O432,5,FALSE)</f>
        <v>Japan</v>
      </c>
      <c r="F184" s="12">
        <f>VLOOKUP(A:A,'global_freelancer Cleaned data'!A183:O432,8,FALSE)</f>
        <v>3</v>
      </c>
      <c r="G184" s="12" t="str">
        <f>VLOOKUP(A:A,'global_freelancer Cleaned data'!A183:M432,13,FALSE)</f>
        <v>Pending</v>
      </c>
      <c r="H184" s="12" t="str">
        <f>VLOOKUP(A:A,'global_freelancer Cleaned data'!A183:N432,14,FALSE)</f>
        <v>Completed</v>
      </c>
      <c r="I184" s="12">
        <f>VLOOKUP(A:A,'global_freelancer Cleaned data'!A183:O432,15,FALSE)</f>
        <v>3</v>
      </c>
    </row>
    <row r="185" spans="1:9" x14ac:dyDescent="0.3">
      <c r="A185" s="12" t="s">
        <v>473</v>
      </c>
      <c r="B185" s="12" t="str">
        <f>VLOOKUP(A:A,'global_freelancer Cleaned data'!A:O,2,FALSE)</f>
        <v>Kimberly Williams</v>
      </c>
      <c r="C185" s="12" t="str">
        <f>VLOOKUP(A:A,'global_freelancer Cleaned data'!A184:O433,3,FALSE)</f>
        <v>Female</v>
      </c>
      <c r="D185" s="12">
        <f>VLOOKUP(A:A,'global_freelancer Cleaned data'!A184:O433,4,FALSE)</f>
        <v>33</v>
      </c>
      <c r="E185" s="12" t="str">
        <f>VLOOKUP(A:A,'global_freelancer Cleaned data'!A184:O433,5,FALSE)</f>
        <v>Germany</v>
      </c>
      <c r="F185" s="12">
        <f>VLOOKUP(A:A,'global_freelancer Cleaned data'!A184:O433,8,FALSE)</f>
        <v>11</v>
      </c>
      <c r="G185" s="12" t="str">
        <f>VLOOKUP(A:A,'global_freelancer Cleaned data'!A184:M433,13,FALSE)</f>
        <v>Reviewed</v>
      </c>
      <c r="H185" s="12" t="str">
        <f>VLOOKUP(A:A,'global_freelancer Cleaned data'!A184:N433,14,FALSE)</f>
        <v>Completed</v>
      </c>
      <c r="I185" s="12">
        <f>VLOOKUP(A:A,'global_freelancer Cleaned data'!A184:O433,15,FALSE)</f>
        <v>12</v>
      </c>
    </row>
    <row r="186" spans="1:9" x14ac:dyDescent="0.3">
      <c r="A186" s="60" t="s">
        <v>475</v>
      </c>
      <c r="B186" s="12" t="str">
        <f>VLOOKUP(A:A,'global_freelancer Cleaned data'!A:O,2,FALSE)</f>
        <v>Elizabeth Jenkins</v>
      </c>
      <c r="C186" s="12" t="str">
        <f>VLOOKUP(A:A,'global_freelancer Cleaned data'!A185:O434,3,FALSE)</f>
        <v>Female</v>
      </c>
      <c r="D186" s="12">
        <f>VLOOKUP(A:A,'global_freelancer Cleaned data'!A185:O434,4,FALSE)</f>
        <v>31</v>
      </c>
      <c r="E186" s="12" t="str">
        <f>VLOOKUP(A:A,'global_freelancer Cleaned data'!A185:O434,5,FALSE)</f>
        <v>Australia</v>
      </c>
      <c r="F186" s="12">
        <f>VLOOKUP(A:A,'global_freelancer Cleaned data'!A185:O434,8,FALSE)</f>
        <v>4</v>
      </c>
      <c r="G186" s="12" t="str">
        <f>VLOOKUP(A:A,'global_freelancer Cleaned data'!A185:M434,13,FALSE)</f>
        <v>Follow-up</v>
      </c>
      <c r="H186" s="12" t="str">
        <f>VLOOKUP(A:A,'global_freelancer Cleaned data'!A185:N434,14,FALSE)</f>
        <v>Active</v>
      </c>
      <c r="I186" s="12">
        <f>VLOOKUP(A:A,'global_freelancer Cleaned data'!A185:O434,15,FALSE)</f>
        <v>4</v>
      </c>
    </row>
    <row r="187" spans="1:9" x14ac:dyDescent="0.3">
      <c r="A187" s="12" t="s">
        <v>477</v>
      </c>
      <c r="B187" s="12" t="str">
        <f>VLOOKUP(A:A,'global_freelancer Cleaned data'!A:O,2,FALSE)</f>
        <v>Brandon Ford</v>
      </c>
      <c r="C187" s="12" t="str">
        <f>VLOOKUP(A:A,'global_freelancer Cleaned data'!A186:O435,3,FALSE)</f>
        <v>Male</v>
      </c>
      <c r="D187" s="12">
        <f>VLOOKUP(A:A,'global_freelancer Cleaned data'!A186:O435,4,FALSE)</f>
        <v>41</v>
      </c>
      <c r="E187" s="12" t="str">
        <f>VLOOKUP(A:A,'global_freelancer Cleaned data'!A186:O435,5,FALSE)</f>
        <v>Spain</v>
      </c>
      <c r="F187" s="12">
        <f>VLOOKUP(A:A,'global_freelancer Cleaned data'!A186:O435,8,FALSE)</f>
        <v>21</v>
      </c>
      <c r="G187" s="12" t="str">
        <f>VLOOKUP(A:A,'global_freelancer Cleaned data'!A186:M435,13,FALSE)</f>
        <v>Pending</v>
      </c>
      <c r="H187" s="12" t="str">
        <f>VLOOKUP(A:A,'global_freelancer Cleaned data'!A186:N435,14,FALSE)</f>
        <v>On Hold</v>
      </c>
      <c r="I187" s="12">
        <f>VLOOKUP(A:A,'global_freelancer Cleaned data'!A186:O435,15,FALSE)</f>
        <v>20</v>
      </c>
    </row>
    <row r="188" spans="1:9" x14ac:dyDescent="0.3">
      <c r="A188" s="60" t="s">
        <v>479</v>
      </c>
      <c r="B188" s="12" t="str">
        <f>VLOOKUP(A:A,'global_freelancer Cleaned data'!A:O,2,FALSE)</f>
        <v>Justin House</v>
      </c>
      <c r="C188" s="12" t="str">
        <f>VLOOKUP(A:A,'global_freelancer Cleaned data'!A187:O436,3,FALSE)</f>
        <v>Male</v>
      </c>
      <c r="D188" s="12">
        <f>VLOOKUP(A:A,'global_freelancer Cleaned data'!A187:O436,4,FALSE)</f>
        <v>54</v>
      </c>
      <c r="E188" s="12" t="str">
        <f>VLOOKUP(A:A,'global_freelancer Cleaned data'!A187:O436,5,FALSE)</f>
        <v>Turkey</v>
      </c>
      <c r="F188" s="12">
        <f>VLOOKUP(A:A,'global_freelancer Cleaned data'!A187:O436,8,FALSE)</f>
        <v>0</v>
      </c>
      <c r="G188" s="12" t="str">
        <f>VLOOKUP(A:A,'global_freelancer Cleaned data'!A187:M436,13,FALSE)</f>
        <v>Reviewed</v>
      </c>
      <c r="H188" s="12" t="str">
        <f>VLOOKUP(A:A,'global_freelancer Cleaned data'!A187:N436,14,FALSE)</f>
        <v>On Hold</v>
      </c>
      <c r="I188" s="12">
        <f>VLOOKUP(A:A,'global_freelancer Cleaned data'!A187:O436,15,FALSE)</f>
        <v>2</v>
      </c>
    </row>
    <row r="189" spans="1:9" x14ac:dyDescent="0.3">
      <c r="A189" s="12" t="s">
        <v>481</v>
      </c>
      <c r="B189" s="12" t="str">
        <f>VLOOKUP(A:A,'global_freelancer Cleaned data'!A:O,2,FALSE)</f>
        <v>Henry Mullen</v>
      </c>
      <c r="C189" s="12" t="str">
        <f>VLOOKUP(A:A,'global_freelancer Cleaned data'!A188:O437,3,FALSE)</f>
        <v>Male</v>
      </c>
      <c r="D189" s="12">
        <f>VLOOKUP(A:A,'global_freelancer Cleaned data'!A188:O437,4,FALSE)</f>
        <v>50</v>
      </c>
      <c r="E189" s="12" t="str">
        <f>VLOOKUP(A:A,'global_freelancer Cleaned data'!A188:O437,5,FALSE)</f>
        <v>Mexico</v>
      </c>
      <c r="F189" s="12">
        <f>VLOOKUP(A:A,'global_freelancer Cleaned data'!A188:O437,8,FALSE)</f>
        <v>6</v>
      </c>
      <c r="G189" s="12" t="str">
        <f>VLOOKUP(A:A,'global_freelancer Cleaned data'!A188:M437,13,FALSE)</f>
        <v>Reviewed</v>
      </c>
      <c r="H189" s="12" t="str">
        <f>VLOOKUP(A:A,'global_freelancer Cleaned data'!A188:N437,14,FALSE)</f>
        <v>On Hold</v>
      </c>
      <c r="I189" s="12">
        <f>VLOOKUP(A:A,'global_freelancer Cleaned data'!A188:O437,15,FALSE)</f>
        <v>13</v>
      </c>
    </row>
    <row r="190" spans="1:9" x14ac:dyDescent="0.3">
      <c r="A190" s="60" t="s">
        <v>483</v>
      </c>
      <c r="B190" s="12" t="str">
        <f>VLOOKUP(A:A,'global_freelancer Cleaned data'!A:O,2,FALSE)</f>
        <v>Jesse Cochran</v>
      </c>
      <c r="C190" s="12" t="str">
        <f>VLOOKUP(A:A,'global_freelancer Cleaned data'!A189:O438,3,FALSE)</f>
        <v>Male</v>
      </c>
      <c r="D190" s="12">
        <f>VLOOKUP(A:A,'global_freelancer Cleaned data'!A189:O438,4,FALSE)</f>
        <v>48</v>
      </c>
      <c r="E190" s="12" t="str">
        <f>VLOOKUP(A:A,'global_freelancer Cleaned data'!A189:O438,5,FALSE)</f>
        <v>Brazil</v>
      </c>
      <c r="F190" s="12">
        <f>VLOOKUP(A:A,'global_freelancer Cleaned data'!A189:O438,8,FALSE)</f>
        <v>18</v>
      </c>
      <c r="G190" s="12" t="str">
        <f>VLOOKUP(A:A,'global_freelancer Cleaned data'!A189:M438,13,FALSE)</f>
        <v>Follow-up</v>
      </c>
      <c r="H190" s="12" t="str">
        <f>VLOOKUP(A:A,'global_freelancer Cleaned data'!A189:N438,14,FALSE)</f>
        <v>On Hold</v>
      </c>
      <c r="I190" s="12">
        <f>VLOOKUP(A:A,'global_freelancer Cleaned data'!A189:O438,15,FALSE)</f>
        <v>14</v>
      </c>
    </row>
    <row r="191" spans="1:9" x14ac:dyDescent="0.3">
      <c r="A191" s="12" t="s">
        <v>485</v>
      </c>
      <c r="B191" s="12" t="str">
        <f>VLOOKUP(A:A,'global_freelancer Cleaned data'!A:O,2,FALSE)</f>
        <v>Melissa Rich</v>
      </c>
      <c r="C191" s="12" t="str">
        <f>VLOOKUP(A:A,'global_freelancer Cleaned data'!A190:O439,3,FALSE)</f>
        <v>Female</v>
      </c>
      <c r="D191" s="12">
        <f>VLOOKUP(A:A,'global_freelancer Cleaned data'!A190:O439,4,FALSE)</f>
        <v>49</v>
      </c>
      <c r="E191" s="12" t="str">
        <f>VLOOKUP(A:A,'global_freelancer Cleaned data'!A190:O439,5,FALSE)</f>
        <v>Mexico</v>
      </c>
      <c r="F191" s="12" t="str">
        <f>VLOOKUP(A:A,'global_freelancer Cleaned data'!A190:O439,8,FALSE)</f>
        <v>Not Mentioned</v>
      </c>
      <c r="G191" s="12" t="str">
        <f>VLOOKUP(A:A,'global_freelancer Cleaned data'!A190:M439,13,FALSE)</f>
        <v>Reviewed</v>
      </c>
      <c r="H191" s="12" t="str">
        <f>VLOOKUP(A:A,'global_freelancer Cleaned data'!A190:N439,14,FALSE)</f>
        <v>Inactive</v>
      </c>
      <c r="I191" s="12">
        <f>VLOOKUP(A:A,'global_freelancer Cleaned data'!A190:O439,15,FALSE)</f>
        <v>5</v>
      </c>
    </row>
    <row r="192" spans="1:9" x14ac:dyDescent="0.3">
      <c r="A192" s="60" t="s">
        <v>487</v>
      </c>
      <c r="B192" s="12" t="str">
        <f>VLOOKUP(A:A,'global_freelancer Cleaned data'!A:O,2,FALSE)</f>
        <v>Patrick Dunlap</v>
      </c>
      <c r="C192" s="12" t="str">
        <f>VLOOKUP(A:A,'global_freelancer Cleaned data'!A191:O440,3,FALSE)</f>
        <v>Male</v>
      </c>
      <c r="D192" s="12">
        <f>VLOOKUP(A:A,'global_freelancer Cleaned data'!A191:O440,4,FALSE)</f>
        <v>21</v>
      </c>
      <c r="E192" s="12" t="str">
        <f>VLOOKUP(A:A,'global_freelancer Cleaned data'!A191:O440,5,FALSE)</f>
        <v>South Korea</v>
      </c>
      <c r="F192" s="12">
        <f>VLOOKUP(A:A,'global_freelancer Cleaned data'!A191:O440,8,FALSE)</f>
        <v>1</v>
      </c>
      <c r="G192" s="12" t="str">
        <f>VLOOKUP(A:A,'global_freelancer Cleaned data'!A191:M440,13,FALSE)</f>
        <v>Reviewed</v>
      </c>
      <c r="H192" s="12" t="str">
        <f>VLOOKUP(A:A,'global_freelancer Cleaned data'!A191:N440,14,FALSE)</f>
        <v>On Hold</v>
      </c>
      <c r="I192" s="12">
        <f>VLOOKUP(A:A,'global_freelancer Cleaned data'!A191:O440,15,FALSE)</f>
        <v>2</v>
      </c>
    </row>
    <row r="193" spans="1:9" x14ac:dyDescent="0.3">
      <c r="A193" s="12" t="s">
        <v>489</v>
      </c>
      <c r="B193" s="12" t="str">
        <f>VLOOKUP(A:A,'global_freelancer Cleaned data'!A:O,2,FALSE)</f>
        <v>Troy Carson</v>
      </c>
      <c r="C193" s="12" t="str">
        <f>VLOOKUP(A:A,'global_freelancer Cleaned data'!A192:O441,3,FALSE)</f>
        <v>Male</v>
      </c>
      <c r="D193" s="12">
        <f>VLOOKUP(A:A,'global_freelancer Cleaned data'!A192:O441,4,FALSE)</f>
        <v>58</v>
      </c>
      <c r="E193" s="12" t="str">
        <f>VLOOKUP(A:A,'global_freelancer Cleaned data'!A192:O441,5,FALSE)</f>
        <v>Australia</v>
      </c>
      <c r="F193" s="12">
        <f>VLOOKUP(A:A,'global_freelancer Cleaned data'!A192:O441,8,FALSE)</f>
        <v>20</v>
      </c>
      <c r="G193" s="12" t="str">
        <f>VLOOKUP(A:A,'global_freelancer Cleaned data'!A192:M441,13,FALSE)</f>
        <v>Follow-up</v>
      </c>
      <c r="H193" s="12" t="str">
        <f>VLOOKUP(A:A,'global_freelancer Cleaned data'!A192:N441,14,FALSE)</f>
        <v>Inactive</v>
      </c>
      <c r="I193" s="12">
        <f>VLOOKUP(A:A,'global_freelancer Cleaned data'!A192:O441,15,FALSE)</f>
        <v>13</v>
      </c>
    </row>
    <row r="194" spans="1:9" x14ac:dyDescent="0.3">
      <c r="A194" s="60" t="s">
        <v>491</v>
      </c>
      <c r="B194" s="12" t="str">
        <f>VLOOKUP(A:A,'global_freelancer Cleaned data'!A:O,2,FALSE)</f>
        <v>Matthew Smith</v>
      </c>
      <c r="C194" s="12" t="str">
        <f>VLOOKUP(A:A,'global_freelancer Cleaned data'!A193:O442,3,FALSE)</f>
        <v>Male</v>
      </c>
      <c r="D194" s="12">
        <f>VLOOKUP(A:A,'global_freelancer Cleaned data'!A193:O442,4,FALSE)</f>
        <v>41</v>
      </c>
      <c r="E194" s="12" t="str">
        <f>VLOOKUP(A:A,'global_freelancer Cleaned data'!A193:O442,5,FALSE)</f>
        <v>Italy</v>
      </c>
      <c r="F194" s="12" t="str">
        <f>VLOOKUP(A:A,'global_freelancer Cleaned data'!A193:O442,8,FALSE)</f>
        <v>Not Mentioned</v>
      </c>
      <c r="G194" s="12" t="str">
        <f>VLOOKUP(A:A,'global_freelancer Cleaned data'!A193:M442,13,FALSE)</f>
        <v>Pending</v>
      </c>
      <c r="H194" s="12" t="str">
        <f>VLOOKUP(A:A,'global_freelancer Cleaned data'!A193:N442,14,FALSE)</f>
        <v>Inactive</v>
      </c>
      <c r="I194" s="12">
        <f>VLOOKUP(A:A,'global_freelancer Cleaned data'!A193:O442,15,FALSE)</f>
        <v>2</v>
      </c>
    </row>
    <row r="195" spans="1:9" x14ac:dyDescent="0.3">
      <c r="A195" s="12" t="s">
        <v>492</v>
      </c>
      <c r="B195" s="12" t="str">
        <f>VLOOKUP(A:A,'global_freelancer Cleaned data'!A:O,2,FALSE)</f>
        <v>Jennifer Cherry</v>
      </c>
      <c r="C195" s="12" t="str">
        <f>VLOOKUP(A:A,'global_freelancer Cleaned data'!A194:O443,3,FALSE)</f>
        <v>Female</v>
      </c>
      <c r="D195" s="12">
        <f>VLOOKUP(A:A,'global_freelancer Cleaned data'!A194:O443,4,FALSE)</f>
        <v>58</v>
      </c>
      <c r="E195" s="12" t="str">
        <f>VLOOKUP(A:A,'global_freelancer Cleaned data'!A194:O443,5,FALSE)</f>
        <v>Russia</v>
      </c>
      <c r="F195" s="12">
        <f>VLOOKUP(A:A,'global_freelancer Cleaned data'!A194:O443,8,FALSE)</f>
        <v>25</v>
      </c>
      <c r="G195" s="12" t="str">
        <f>VLOOKUP(A:A,'global_freelancer Cleaned data'!A194:M443,13,FALSE)</f>
        <v>Reviewed</v>
      </c>
      <c r="H195" s="12" t="str">
        <f>VLOOKUP(A:A,'global_freelancer Cleaned data'!A194:N443,14,FALSE)</f>
        <v>Completed</v>
      </c>
      <c r="I195" s="12">
        <f>VLOOKUP(A:A,'global_freelancer Cleaned data'!A194:O443,15,FALSE)</f>
        <v>11</v>
      </c>
    </row>
    <row r="196" spans="1:9" x14ac:dyDescent="0.3">
      <c r="A196" s="60" t="s">
        <v>494</v>
      </c>
      <c r="B196" s="12" t="str">
        <f>VLOOKUP(A:A,'global_freelancer Cleaned data'!A:O,2,FALSE)</f>
        <v>Brandi Tucker</v>
      </c>
      <c r="C196" s="12" t="str">
        <f>VLOOKUP(A:A,'global_freelancer Cleaned data'!A195:O444,3,FALSE)</f>
        <v>Female</v>
      </c>
      <c r="D196" s="12">
        <f>VLOOKUP(A:A,'global_freelancer Cleaned data'!A195:O444,4,FALSE)</f>
        <v>50</v>
      </c>
      <c r="E196" s="12" t="str">
        <f>VLOOKUP(A:A,'global_freelancer Cleaned data'!A195:O444,5,FALSE)</f>
        <v>South Africa</v>
      </c>
      <c r="F196" s="12">
        <f>VLOOKUP(A:A,'global_freelancer Cleaned data'!A195:O444,8,FALSE)</f>
        <v>20</v>
      </c>
      <c r="G196" s="12" t="str">
        <f>VLOOKUP(A:A,'global_freelancer Cleaned data'!A195:M444,13,FALSE)</f>
        <v>Reviewed</v>
      </c>
      <c r="H196" s="12" t="str">
        <f>VLOOKUP(A:A,'global_freelancer Cleaned data'!A195:N444,14,FALSE)</f>
        <v>Inactive</v>
      </c>
      <c r="I196" s="12">
        <f>VLOOKUP(A:A,'global_freelancer Cleaned data'!A195:O444,15,FALSE)</f>
        <v>17</v>
      </c>
    </row>
    <row r="197" spans="1:9" x14ac:dyDescent="0.3">
      <c r="A197" s="12" t="s">
        <v>496</v>
      </c>
      <c r="B197" s="12" t="str">
        <f>VLOOKUP(A:A,'global_freelancer Cleaned data'!A:O,2,FALSE)</f>
        <v>Zachary Burke</v>
      </c>
      <c r="C197" s="12" t="str">
        <f>VLOOKUP(A:A,'global_freelancer Cleaned data'!A196:O445,3,FALSE)</f>
        <v>Male</v>
      </c>
      <c r="D197" s="12">
        <f>VLOOKUP(A:A,'global_freelancer Cleaned data'!A196:O445,4,FALSE)</f>
        <v>52</v>
      </c>
      <c r="E197" s="12" t="str">
        <f>VLOOKUP(A:A,'global_freelancer Cleaned data'!A196:O445,5,FALSE)</f>
        <v>Indonesia</v>
      </c>
      <c r="F197" s="12">
        <f>VLOOKUP(A:A,'global_freelancer Cleaned data'!A196:O445,8,FALSE)</f>
        <v>33</v>
      </c>
      <c r="G197" s="12" t="str">
        <f>VLOOKUP(A:A,'global_freelancer Cleaned data'!A196:M445,13,FALSE)</f>
        <v>Reviewed</v>
      </c>
      <c r="H197" s="12" t="str">
        <f>VLOOKUP(A:A,'global_freelancer Cleaned data'!A196:N445,14,FALSE)</f>
        <v>Active</v>
      </c>
      <c r="I197" s="12">
        <f>VLOOKUP(A:A,'global_freelancer Cleaned data'!A196:O445,15,FALSE)</f>
        <v>14</v>
      </c>
    </row>
    <row r="198" spans="1:9" x14ac:dyDescent="0.3">
      <c r="A198" s="60" t="s">
        <v>498</v>
      </c>
      <c r="B198" s="12" t="str">
        <f>VLOOKUP(A:A,'global_freelancer Cleaned data'!A:O,2,FALSE)</f>
        <v>Thomas Jones</v>
      </c>
      <c r="C198" s="12" t="str">
        <f>VLOOKUP(A:A,'global_freelancer Cleaned data'!A197:O446,3,FALSE)</f>
        <v>Male</v>
      </c>
      <c r="D198" s="12">
        <f>VLOOKUP(A:A,'global_freelancer Cleaned data'!A197:O446,4,FALSE)</f>
        <v>34</v>
      </c>
      <c r="E198" s="12" t="str">
        <f>VLOOKUP(A:A,'global_freelancer Cleaned data'!A197:O446,5,FALSE)</f>
        <v>Netherlands</v>
      </c>
      <c r="F198" s="12">
        <f>VLOOKUP(A:A,'global_freelancer Cleaned data'!A197:O446,8,FALSE)</f>
        <v>6</v>
      </c>
      <c r="G198" s="12" t="str">
        <f>VLOOKUP(A:A,'global_freelancer Cleaned data'!A197:M446,13,FALSE)</f>
        <v>Urgent</v>
      </c>
      <c r="H198" s="12" t="str">
        <f>VLOOKUP(A:A,'global_freelancer Cleaned data'!A197:N446,14,FALSE)</f>
        <v>Inactive</v>
      </c>
      <c r="I198" s="12">
        <f>VLOOKUP(A:A,'global_freelancer Cleaned data'!A197:O446,15,FALSE)</f>
        <v>13</v>
      </c>
    </row>
    <row r="199" spans="1:9" x14ac:dyDescent="0.3">
      <c r="A199" s="12" t="s">
        <v>500</v>
      </c>
      <c r="B199" s="12" t="str">
        <f>VLOOKUP(A:A,'global_freelancer Cleaned data'!A:O,2,FALSE)</f>
        <v>Brian Dunn</v>
      </c>
      <c r="C199" s="12" t="str">
        <f>VLOOKUP(A:A,'global_freelancer Cleaned data'!A198:O447,3,FALSE)</f>
        <v>Male</v>
      </c>
      <c r="D199" s="12">
        <f>VLOOKUP(A:A,'global_freelancer Cleaned data'!A198:O447,4,FALSE)</f>
        <v>32</v>
      </c>
      <c r="E199" s="12" t="str">
        <f>VLOOKUP(A:A,'global_freelancer Cleaned data'!A198:O447,5,FALSE)</f>
        <v>France</v>
      </c>
      <c r="F199" s="12">
        <f>VLOOKUP(A:A,'global_freelancer Cleaned data'!A198:O447,8,FALSE)</f>
        <v>11</v>
      </c>
      <c r="G199" s="12" t="str">
        <f>VLOOKUP(A:A,'global_freelancer Cleaned data'!A198:M447,13,FALSE)</f>
        <v>Follow-up</v>
      </c>
      <c r="H199" s="12" t="str">
        <f>VLOOKUP(A:A,'global_freelancer Cleaned data'!A198:N447,14,FALSE)</f>
        <v>Completed</v>
      </c>
      <c r="I199" s="12">
        <f>VLOOKUP(A:A,'global_freelancer Cleaned data'!A198:O447,15,FALSE)</f>
        <v>9</v>
      </c>
    </row>
    <row r="200" spans="1:9" x14ac:dyDescent="0.3">
      <c r="A200" s="60" t="s">
        <v>502</v>
      </c>
      <c r="B200" s="12" t="str">
        <f>VLOOKUP(A:A,'global_freelancer Cleaned data'!A:O,2,FALSE)</f>
        <v>Shirley Strickland</v>
      </c>
      <c r="C200" s="12" t="str">
        <f>VLOOKUP(A:A,'global_freelancer Cleaned data'!A199:O448,3,FALSE)</f>
        <v>Female</v>
      </c>
      <c r="D200" s="12">
        <f>VLOOKUP(A:A,'global_freelancer Cleaned data'!A199:O448,4,FALSE)</f>
        <v>50</v>
      </c>
      <c r="E200" s="12" t="str">
        <f>VLOOKUP(A:A,'global_freelancer Cleaned data'!A199:O448,5,FALSE)</f>
        <v>India</v>
      </c>
      <c r="F200" s="12">
        <f>VLOOKUP(A:A,'global_freelancer Cleaned data'!A199:O448,8,FALSE)</f>
        <v>28</v>
      </c>
      <c r="G200" s="12" t="str">
        <f>VLOOKUP(A:A,'global_freelancer Cleaned data'!A199:M448,13,FALSE)</f>
        <v>Urgent</v>
      </c>
      <c r="H200" s="12" t="str">
        <f>VLOOKUP(A:A,'global_freelancer Cleaned data'!A199:N448,14,FALSE)</f>
        <v>Inactive</v>
      </c>
      <c r="I200" s="12">
        <f>VLOOKUP(A:A,'global_freelancer Cleaned data'!A199:O448,15,FALSE)</f>
        <v>12</v>
      </c>
    </row>
    <row r="201" spans="1:9" x14ac:dyDescent="0.3">
      <c r="A201" s="12" t="s">
        <v>504</v>
      </c>
      <c r="B201" s="12" t="str">
        <f>VLOOKUP(A:A,'global_freelancer Cleaned data'!A:O,2,FALSE)</f>
        <v>Nicole Meyers</v>
      </c>
      <c r="C201" s="12" t="str">
        <f>VLOOKUP(A:A,'global_freelancer Cleaned data'!A200:O449,3,FALSE)</f>
        <v>Female</v>
      </c>
      <c r="D201" s="12">
        <f>VLOOKUP(A:A,'global_freelancer Cleaned data'!A200:O449,4,FALSE)</f>
        <v>39</v>
      </c>
      <c r="E201" s="12" t="str">
        <f>VLOOKUP(A:A,'global_freelancer Cleaned data'!A200:O449,5,FALSE)</f>
        <v>Argentina</v>
      </c>
      <c r="F201" s="12">
        <f>VLOOKUP(A:A,'global_freelancer Cleaned data'!A200:O449,8,FALSE)</f>
        <v>11</v>
      </c>
      <c r="G201" s="12" t="str">
        <f>VLOOKUP(A:A,'global_freelancer Cleaned data'!A200:M449,13,FALSE)</f>
        <v>Follow-up</v>
      </c>
      <c r="H201" s="12" t="str">
        <f>VLOOKUP(A:A,'global_freelancer Cleaned data'!A200:N449,14,FALSE)</f>
        <v>Active</v>
      </c>
      <c r="I201" s="12">
        <f>VLOOKUP(A:A,'global_freelancer Cleaned data'!A200:O449,15,FALSE)</f>
        <v>12</v>
      </c>
    </row>
    <row r="202" spans="1:9" x14ac:dyDescent="0.3">
      <c r="A202" s="60" t="s">
        <v>506</v>
      </c>
      <c r="B202" s="12" t="str">
        <f>VLOOKUP(A:A,'global_freelancer Cleaned data'!A:O,2,FALSE)</f>
        <v>Jill Stephens</v>
      </c>
      <c r="C202" s="12" t="str">
        <f>VLOOKUP(A:A,'global_freelancer Cleaned data'!A201:O450,3,FALSE)</f>
        <v>Female</v>
      </c>
      <c r="D202" s="12">
        <f>VLOOKUP(A:A,'global_freelancer Cleaned data'!A201:O450,4,FALSE)</f>
        <v>25</v>
      </c>
      <c r="E202" s="12" t="str">
        <f>VLOOKUP(A:A,'global_freelancer Cleaned data'!A201:O450,5,FALSE)</f>
        <v>Spain</v>
      </c>
      <c r="F202" s="12">
        <f>VLOOKUP(A:A,'global_freelancer Cleaned data'!A201:O450,8,FALSE)</f>
        <v>2</v>
      </c>
      <c r="G202" s="12" t="str">
        <f>VLOOKUP(A:A,'global_freelancer Cleaned data'!A201:M450,13,FALSE)</f>
        <v>Pending</v>
      </c>
      <c r="H202" s="12" t="str">
        <f>VLOOKUP(A:A,'global_freelancer Cleaned data'!A201:N450,14,FALSE)</f>
        <v>Active</v>
      </c>
      <c r="I202" s="12">
        <f>VLOOKUP(A:A,'global_freelancer Cleaned data'!A201:O450,15,FALSE)</f>
        <v>1</v>
      </c>
    </row>
    <row r="203" spans="1:9" x14ac:dyDescent="0.3">
      <c r="A203" s="12" t="s">
        <v>508</v>
      </c>
      <c r="B203" s="12" t="str">
        <f>VLOOKUP(A:A,'global_freelancer Cleaned data'!A:O,2,FALSE)</f>
        <v>Heidi Miranda</v>
      </c>
      <c r="C203" s="12" t="str">
        <f>VLOOKUP(A:A,'global_freelancer Cleaned data'!A202:O451,3,FALSE)</f>
        <v>Female</v>
      </c>
      <c r="D203" s="12">
        <f>VLOOKUP(A:A,'global_freelancer Cleaned data'!A202:O451,4,FALSE)</f>
        <v>55</v>
      </c>
      <c r="E203" s="12" t="str">
        <f>VLOOKUP(A:A,'global_freelancer Cleaned data'!A202:O451,5,FALSE)</f>
        <v>China</v>
      </c>
      <c r="F203" s="12">
        <f>VLOOKUP(A:A,'global_freelancer Cleaned data'!A202:O451,8,FALSE)</f>
        <v>7</v>
      </c>
      <c r="G203" s="12" t="str">
        <f>VLOOKUP(A:A,'global_freelancer Cleaned data'!A202:M451,13,FALSE)</f>
        <v>Pending</v>
      </c>
      <c r="H203" s="12" t="str">
        <f>VLOOKUP(A:A,'global_freelancer Cleaned data'!A202:N451,14,FALSE)</f>
        <v>Active</v>
      </c>
      <c r="I203" s="12">
        <f>VLOOKUP(A:A,'global_freelancer Cleaned data'!A202:O451,15,FALSE)</f>
        <v>14</v>
      </c>
    </row>
    <row r="204" spans="1:9" x14ac:dyDescent="0.3">
      <c r="A204" s="60" t="s">
        <v>510</v>
      </c>
      <c r="B204" s="12" t="str">
        <f>VLOOKUP(A:A,'global_freelancer Cleaned data'!A:O,2,FALSE)</f>
        <v>Jesus Martinez</v>
      </c>
      <c r="C204" s="12" t="str">
        <f>VLOOKUP(A:A,'global_freelancer Cleaned data'!A203:O452,3,FALSE)</f>
        <v>Male</v>
      </c>
      <c r="D204" s="12">
        <f>VLOOKUP(A:A,'global_freelancer Cleaned data'!A203:O452,4,FALSE)</f>
        <v>42</v>
      </c>
      <c r="E204" s="12" t="str">
        <f>VLOOKUP(A:A,'global_freelancer Cleaned data'!A203:O452,5,FALSE)</f>
        <v>Italy</v>
      </c>
      <c r="F204" s="12">
        <f>VLOOKUP(A:A,'global_freelancer Cleaned data'!A203:O452,8,FALSE)</f>
        <v>10</v>
      </c>
      <c r="G204" s="12" t="str">
        <f>VLOOKUP(A:A,'global_freelancer Cleaned data'!A203:M452,13,FALSE)</f>
        <v>Reviewed</v>
      </c>
      <c r="H204" s="12" t="str">
        <f>VLOOKUP(A:A,'global_freelancer Cleaned data'!A203:N452,14,FALSE)</f>
        <v>Completed</v>
      </c>
      <c r="I204" s="12">
        <f>VLOOKUP(A:A,'global_freelancer Cleaned data'!A203:O452,15,FALSE)</f>
        <v>15</v>
      </c>
    </row>
    <row r="205" spans="1:9" x14ac:dyDescent="0.3">
      <c r="A205" s="12" t="s">
        <v>512</v>
      </c>
      <c r="B205" s="12" t="str">
        <f>VLOOKUP(A:A,'global_freelancer Cleaned data'!A:O,2,FALSE)</f>
        <v>Adam Payne</v>
      </c>
      <c r="C205" s="12" t="str">
        <f>VLOOKUP(A:A,'global_freelancer Cleaned data'!A204:O453,3,FALSE)</f>
        <v>Male</v>
      </c>
      <c r="D205" s="12">
        <f>VLOOKUP(A:A,'global_freelancer Cleaned data'!A204:O453,4,FALSE)</f>
        <v>43</v>
      </c>
      <c r="E205" s="12" t="str">
        <f>VLOOKUP(A:A,'global_freelancer Cleaned data'!A204:O453,5,FALSE)</f>
        <v>Russia</v>
      </c>
      <c r="F205" s="12">
        <f>VLOOKUP(A:A,'global_freelancer Cleaned data'!A204:O453,8,FALSE)</f>
        <v>6</v>
      </c>
      <c r="G205" s="12" t="str">
        <f>VLOOKUP(A:A,'global_freelancer Cleaned data'!A204:M453,13,FALSE)</f>
        <v>Follow-up</v>
      </c>
      <c r="H205" s="12" t="str">
        <f>VLOOKUP(A:A,'global_freelancer Cleaned data'!A204:N453,14,FALSE)</f>
        <v>Completed</v>
      </c>
      <c r="I205" s="12">
        <f>VLOOKUP(A:A,'global_freelancer Cleaned data'!A204:O453,15,FALSE)</f>
        <v>6</v>
      </c>
    </row>
    <row r="206" spans="1:9" x14ac:dyDescent="0.3">
      <c r="A206" s="60" t="s">
        <v>514</v>
      </c>
      <c r="B206" s="12" t="str">
        <f>VLOOKUP(A:A,'global_freelancer Cleaned data'!A:O,2,FALSE)</f>
        <v>Walter Williams</v>
      </c>
      <c r="C206" s="12" t="str">
        <f>VLOOKUP(A:A,'global_freelancer Cleaned data'!A205:O454,3,FALSE)</f>
        <v>Male</v>
      </c>
      <c r="D206" s="12">
        <f>VLOOKUP(A:A,'global_freelancer Cleaned data'!A205:O454,4,FALSE)</f>
        <v>54</v>
      </c>
      <c r="E206" s="12" t="str">
        <f>VLOOKUP(A:A,'global_freelancer Cleaned data'!A205:O454,5,FALSE)</f>
        <v>Italy</v>
      </c>
      <c r="F206" s="12">
        <f>VLOOKUP(A:A,'global_freelancer Cleaned data'!A205:O454,8,FALSE)</f>
        <v>29</v>
      </c>
      <c r="G206" s="12" t="str">
        <f>VLOOKUP(A:A,'global_freelancer Cleaned data'!A205:M454,13,FALSE)</f>
        <v>Pending</v>
      </c>
      <c r="H206" s="12" t="str">
        <f>VLOOKUP(A:A,'global_freelancer Cleaned data'!A205:N454,14,FALSE)</f>
        <v>On Hold</v>
      </c>
      <c r="I206" s="12">
        <f>VLOOKUP(A:A,'global_freelancer Cleaned data'!A205:O454,15,FALSE)</f>
        <v>19</v>
      </c>
    </row>
    <row r="207" spans="1:9" x14ac:dyDescent="0.3">
      <c r="A207" s="12" t="s">
        <v>516</v>
      </c>
      <c r="B207" s="12" t="str">
        <f>VLOOKUP(A:A,'global_freelancer Cleaned data'!A:O,2,FALSE)</f>
        <v>Shannon Farmer</v>
      </c>
      <c r="C207" s="12" t="str">
        <f>VLOOKUP(A:A,'global_freelancer Cleaned data'!A206:O455,3,FALSE)</f>
        <v>Female</v>
      </c>
      <c r="D207" s="12">
        <f>VLOOKUP(A:A,'global_freelancer Cleaned data'!A206:O455,4,FALSE)</f>
        <v>21</v>
      </c>
      <c r="E207" s="12" t="str">
        <f>VLOOKUP(A:A,'global_freelancer Cleaned data'!A206:O455,5,FALSE)</f>
        <v>Egypt</v>
      </c>
      <c r="F207" s="12">
        <f>VLOOKUP(A:A,'global_freelancer Cleaned data'!A206:O455,8,FALSE)</f>
        <v>0</v>
      </c>
      <c r="G207" s="12" t="str">
        <f>VLOOKUP(A:A,'global_freelancer Cleaned data'!A206:M455,13,FALSE)</f>
        <v>Follow-up</v>
      </c>
      <c r="H207" s="12" t="str">
        <f>VLOOKUP(A:A,'global_freelancer Cleaned data'!A206:N455,14,FALSE)</f>
        <v>Completed</v>
      </c>
      <c r="I207" s="12">
        <f>VLOOKUP(A:A,'global_freelancer Cleaned data'!A206:O455,15,FALSE)</f>
        <v>4</v>
      </c>
    </row>
    <row r="208" spans="1:9" x14ac:dyDescent="0.3">
      <c r="A208" s="60" t="s">
        <v>518</v>
      </c>
      <c r="B208" s="12" t="str">
        <f>VLOOKUP(A:A,'global_freelancer Cleaned data'!A:O,2,FALSE)</f>
        <v>Peter Reyes</v>
      </c>
      <c r="C208" s="12" t="str">
        <f>VLOOKUP(A:A,'global_freelancer Cleaned data'!A207:O456,3,FALSE)</f>
        <v>Male</v>
      </c>
      <c r="D208" s="12">
        <f>VLOOKUP(A:A,'global_freelancer Cleaned data'!A207:O456,4,FALSE)</f>
        <v>46</v>
      </c>
      <c r="E208" s="12" t="str">
        <f>VLOOKUP(A:A,'global_freelancer Cleaned data'!A207:O456,5,FALSE)</f>
        <v>Canada</v>
      </c>
      <c r="F208" s="12">
        <f>VLOOKUP(A:A,'global_freelancer Cleaned data'!A207:O456,8,FALSE)</f>
        <v>5</v>
      </c>
      <c r="G208" s="12" t="str">
        <f>VLOOKUP(A:A,'global_freelancer Cleaned data'!A207:M456,13,FALSE)</f>
        <v>Pending</v>
      </c>
      <c r="H208" s="12" t="str">
        <f>VLOOKUP(A:A,'global_freelancer Cleaned data'!A207:N456,14,FALSE)</f>
        <v>Active</v>
      </c>
      <c r="I208" s="12">
        <f>VLOOKUP(A:A,'global_freelancer Cleaned data'!A207:O456,15,FALSE)</f>
        <v>1</v>
      </c>
    </row>
    <row r="209" spans="1:9" x14ac:dyDescent="0.3">
      <c r="A209" s="12" t="s">
        <v>520</v>
      </c>
      <c r="B209" s="12" t="str">
        <f>VLOOKUP(A:A,'global_freelancer Cleaned data'!A:O,2,FALSE)</f>
        <v>Kristen Knight</v>
      </c>
      <c r="C209" s="12" t="str">
        <f>VLOOKUP(A:A,'global_freelancer Cleaned data'!A208:O457,3,FALSE)</f>
        <v>Female</v>
      </c>
      <c r="D209" s="12">
        <f>VLOOKUP(A:A,'global_freelancer Cleaned data'!A208:O457,4,FALSE)</f>
        <v>30</v>
      </c>
      <c r="E209" s="12" t="str">
        <f>VLOOKUP(A:A,'global_freelancer Cleaned data'!A208:O457,5,FALSE)</f>
        <v>Spain</v>
      </c>
      <c r="F209" s="12">
        <f>VLOOKUP(A:A,'global_freelancer Cleaned data'!A208:O457,8,FALSE)</f>
        <v>11</v>
      </c>
      <c r="G209" s="12" t="str">
        <f>VLOOKUP(A:A,'global_freelancer Cleaned data'!A208:M457,13,FALSE)</f>
        <v>Urgent</v>
      </c>
      <c r="H209" s="12" t="str">
        <f>VLOOKUP(A:A,'global_freelancer Cleaned data'!A208:N457,14,FALSE)</f>
        <v>Active</v>
      </c>
      <c r="I209" s="12">
        <f>VLOOKUP(A:A,'global_freelancer Cleaned data'!A208:O457,15,FALSE)</f>
        <v>11</v>
      </c>
    </row>
    <row r="210" spans="1:9" x14ac:dyDescent="0.3">
      <c r="A210" s="60" t="s">
        <v>522</v>
      </c>
      <c r="B210" s="12" t="str">
        <f>VLOOKUP(A:A,'global_freelancer Cleaned data'!A:O,2,FALSE)</f>
        <v>William Moore Jr.</v>
      </c>
      <c r="C210" s="12" t="str">
        <f>VLOOKUP(A:A,'global_freelancer Cleaned data'!A209:O458,3,FALSE)</f>
        <v>Male</v>
      </c>
      <c r="D210" s="12">
        <f>VLOOKUP(A:A,'global_freelancer Cleaned data'!A209:O458,4,FALSE)</f>
        <v>36</v>
      </c>
      <c r="E210" s="12" t="str">
        <f>VLOOKUP(A:A,'global_freelancer Cleaned data'!A209:O458,5,FALSE)</f>
        <v>China</v>
      </c>
      <c r="F210" s="12">
        <f>VLOOKUP(A:A,'global_freelancer Cleaned data'!A209:O458,8,FALSE)</f>
        <v>11</v>
      </c>
      <c r="G210" s="12" t="str">
        <f>VLOOKUP(A:A,'global_freelancer Cleaned data'!A209:M458,13,FALSE)</f>
        <v>Pending</v>
      </c>
      <c r="H210" s="12" t="str">
        <f>VLOOKUP(A:A,'global_freelancer Cleaned data'!A209:N458,14,FALSE)</f>
        <v>Completed</v>
      </c>
      <c r="I210" s="12">
        <f>VLOOKUP(A:A,'global_freelancer Cleaned data'!A209:O458,15,FALSE)</f>
        <v>10</v>
      </c>
    </row>
    <row r="211" spans="1:9" x14ac:dyDescent="0.3">
      <c r="A211" s="12" t="s">
        <v>524</v>
      </c>
      <c r="B211" s="12" t="str">
        <f>VLOOKUP(A:A,'global_freelancer Cleaned data'!A:O,2,FALSE)</f>
        <v>Jennifer Rowe</v>
      </c>
      <c r="C211" s="12" t="str">
        <f>VLOOKUP(A:A,'global_freelancer Cleaned data'!A210:O459,3,FALSE)</f>
        <v>Female</v>
      </c>
      <c r="D211" s="12">
        <f>VLOOKUP(A:A,'global_freelancer Cleaned data'!A210:O459,4,FALSE)</f>
        <v>47</v>
      </c>
      <c r="E211" s="12" t="str">
        <f>VLOOKUP(A:A,'global_freelancer Cleaned data'!A210:O459,5,FALSE)</f>
        <v>Germany</v>
      </c>
      <c r="F211" s="12">
        <f>VLOOKUP(A:A,'global_freelancer Cleaned data'!A210:O459,8,FALSE)</f>
        <v>15</v>
      </c>
      <c r="G211" s="12" t="str">
        <f>VLOOKUP(A:A,'global_freelancer Cleaned data'!A210:M459,13,FALSE)</f>
        <v>Urgent</v>
      </c>
      <c r="H211" s="12" t="str">
        <f>VLOOKUP(A:A,'global_freelancer Cleaned data'!A210:N459,14,FALSE)</f>
        <v>Inactive</v>
      </c>
      <c r="I211" s="12">
        <f>VLOOKUP(A:A,'global_freelancer Cleaned data'!A210:O459,15,FALSE)</f>
        <v>8</v>
      </c>
    </row>
    <row r="212" spans="1:9" x14ac:dyDescent="0.3">
      <c r="A212" s="60" t="s">
        <v>526</v>
      </c>
      <c r="B212" s="12" t="str">
        <f>VLOOKUP(A:A,'global_freelancer Cleaned data'!A:O,2,FALSE)</f>
        <v>Mikayla Henry</v>
      </c>
      <c r="C212" s="12" t="str">
        <f>VLOOKUP(A:A,'global_freelancer Cleaned data'!A211:O460,3,FALSE)</f>
        <v>Female</v>
      </c>
      <c r="D212" s="12">
        <f>VLOOKUP(A:A,'global_freelancer Cleaned data'!A211:O460,4,FALSE)</f>
        <v>43</v>
      </c>
      <c r="E212" s="12" t="str">
        <f>VLOOKUP(A:A,'global_freelancer Cleaned data'!A211:O460,5,FALSE)</f>
        <v>Canada</v>
      </c>
      <c r="F212" s="12">
        <f>VLOOKUP(A:A,'global_freelancer Cleaned data'!A211:O460,8,FALSE)</f>
        <v>1</v>
      </c>
      <c r="G212" s="12" t="str">
        <f>VLOOKUP(A:A,'global_freelancer Cleaned data'!A211:M460,13,FALSE)</f>
        <v>Pending</v>
      </c>
      <c r="H212" s="12" t="str">
        <f>VLOOKUP(A:A,'global_freelancer Cleaned data'!A211:N460,14,FALSE)</f>
        <v>Completed</v>
      </c>
      <c r="I212" s="12">
        <f>VLOOKUP(A:A,'global_freelancer Cleaned data'!A211:O460,15,FALSE)</f>
        <v>4</v>
      </c>
    </row>
    <row r="213" spans="1:9" x14ac:dyDescent="0.3">
      <c r="A213" s="12" t="s">
        <v>528</v>
      </c>
      <c r="B213" s="12" t="str">
        <f>VLOOKUP(A:A,'global_freelancer Cleaned data'!A:O,2,FALSE)</f>
        <v>Jacob Kerr</v>
      </c>
      <c r="C213" s="12" t="str">
        <f>VLOOKUP(A:A,'global_freelancer Cleaned data'!A212:O461,3,FALSE)</f>
        <v>Male</v>
      </c>
      <c r="D213" s="12">
        <f>VLOOKUP(A:A,'global_freelancer Cleaned data'!A212:O461,4,FALSE)</f>
        <v>57</v>
      </c>
      <c r="E213" s="12" t="str">
        <f>VLOOKUP(A:A,'global_freelancer Cleaned data'!A212:O461,5,FALSE)</f>
        <v>South Korea</v>
      </c>
      <c r="F213" s="12">
        <f>VLOOKUP(A:A,'global_freelancer Cleaned data'!A212:O461,8,FALSE)</f>
        <v>8</v>
      </c>
      <c r="G213" s="12" t="str">
        <f>VLOOKUP(A:A,'global_freelancer Cleaned data'!A212:M461,13,FALSE)</f>
        <v>Reviewed</v>
      </c>
      <c r="H213" s="12" t="str">
        <f>VLOOKUP(A:A,'global_freelancer Cleaned data'!A212:N461,14,FALSE)</f>
        <v>Completed</v>
      </c>
      <c r="I213" s="12">
        <f>VLOOKUP(A:A,'global_freelancer Cleaned data'!A212:O461,15,FALSE)</f>
        <v>8</v>
      </c>
    </row>
    <row r="214" spans="1:9" x14ac:dyDescent="0.3">
      <c r="A214" s="60" t="s">
        <v>530</v>
      </c>
      <c r="B214" s="12" t="str">
        <f>VLOOKUP(A:A,'global_freelancer Cleaned data'!A:O,2,FALSE)</f>
        <v>Ryan Johnson</v>
      </c>
      <c r="C214" s="12" t="str">
        <f>VLOOKUP(A:A,'global_freelancer Cleaned data'!A213:O462,3,FALSE)</f>
        <v>Male</v>
      </c>
      <c r="D214" s="12">
        <f>VLOOKUP(A:A,'global_freelancer Cleaned data'!A213:O462,4,FALSE)</f>
        <v>52</v>
      </c>
      <c r="E214" s="12" t="str">
        <f>VLOOKUP(A:A,'global_freelancer Cleaned data'!A213:O462,5,FALSE)</f>
        <v>Italy</v>
      </c>
      <c r="F214" s="12">
        <f>VLOOKUP(A:A,'global_freelancer Cleaned data'!A213:O462,8,FALSE)</f>
        <v>30</v>
      </c>
      <c r="G214" s="12" t="str">
        <f>VLOOKUP(A:A,'global_freelancer Cleaned data'!A213:M462,13,FALSE)</f>
        <v>Urgent</v>
      </c>
      <c r="H214" s="12" t="str">
        <f>VLOOKUP(A:A,'global_freelancer Cleaned data'!A213:N462,14,FALSE)</f>
        <v>Active</v>
      </c>
      <c r="I214" s="12">
        <f>VLOOKUP(A:A,'global_freelancer Cleaned data'!A213:O462,15,FALSE)</f>
        <v>12</v>
      </c>
    </row>
    <row r="215" spans="1:9" x14ac:dyDescent="0.3">
      <c r="A215" s="12" t="s">
        <v>532</v>
      </c>
      <c r="B215" s="12" t="str">
        <f>VLOOKUP(A:A,'global_freelancer Cleaned data'!A:O,2,FALSE)</f>
        <v>Michael Ruiz</v>
      </c>
      <c r="C215" s="12" t="str">
        <f>VLOOKUP(A:A,'global_freelancer Cleaned data'!A214:O463,3,FALSE)</f>
        <v>Male</v>
      </c>
      <c r="D215" s="12" t="str">
        <f>VLOOKUP(A:A,'global_freelancer Cleaned data'!A214:O463,4,FALSE)</f>
        <v>Not given</v>
      </c>
      <c r="E215" s="12" t="str">
        <f>VLOOKUP(A:A,'global_freelancer Cleaned data'!A214:O463,5,FALSE)</f>
        <v>Germany</v>
      </c>
      <c r="F215" s="12">
        <f>VLOOKUP(A:A,'global_freelancer Cleaned data'!A214:O463,8,FALSE)</f>
        <v>8</v>
      </c>
      <c r="G215" s="12" t="str">
        <f>VLOOKUP(A:A,'global_freelancer Cleaned data'!A214:M463,13,FALSE)</f>
        <v>Pending</v>
      </c>
      <c r="H215" s="12" t="str">
        <f>VLOOKUP(A:A,'global_freelancer Cleaned data'!A214:N463,14,FALSE)</f>
        <v>On Hold</v>
      </c>
      <c r="I215" s="12">
        <f>VLOOKUP(A:A,'global_freelancer Cleaned data'!A214:O463,15,FALSE)</f>
        <v>14</v>
      </c>
    </row>
    <row r="216" spans="1:9" x14ac:dyDescent="0.3">
      <c r="A216" s="60" t="s">
        <v>534</v>
      </c>
      <c r="B216" s="12" t="str">
        <f>VLOOKUP(A:A,'global_freelancer Cleaned data'!A:O,2,FALSE)</f>
        <v>Monica Roberts</v>
      </c>
      <c r="C216" s="12" t="str">
        <f>VLOOKUP(A:A,'global_freelancer Cleaned data'!A215:O464,3,FALSE)</f>
        <v>Female</v>
      </c>
      <c r="D216" s="12">
        <f>VLOOKUP(A:A,'global_freelancer Cleaned data'!A215:O464,4,FALSE)</f>
        <v>22</v>
      </c>
      <c r="E216" s="12" t="str">
        <f>VLOOKUP(A:A,'global_freelancer Cleaned data'!A215:O464,5,FALSE)</f>
        <v>Indonesia</v>
      </c>
      <c r="F216" s="12">
        <f>VLOOKUP(A:A,'global_freelancer Cleaned data'!A215:O464,8,FALSE)</f>
        <v>0</v>
      </c>
      <c r="G216" s="12" t="str">
        <f>VLOOKUP(A:A,'global_freelancer Cleaned data'!A215:M464,13,FALSE)</f>
        <v>Reviewed</v>
      </c>
      <c r="H216" s="12" t="str">
        <f>VLOOKUP(A:A,'global_freelancer Cleaned data'!A215:N464,14,FALSE)</f>
        <v>Active</v>
      </c>
      <c r="I216" s="12">
        <f>VLOOKUP(A:A,'global_freelancer Cleaned data'!A215:O464,15,FALSE)</f>
        <v>1</v>
      </c>
    </row>
    <row r="217" spans="1:9" x14ac:dyDescent="0.3">
      <c r="A217" s="12" t="s">
        <v>536</v>
      </c>
      <c r="B217" s="12" t="str">
        <f>VLOOKUP(A:A,'global_freelancer Cleaned data'!A:O,2,FALSE)</f>
        <v>Danny Brown</v>
      </c>
      <c r="C217" s="12" t="str">
        <f>VLOOKUP(A:A,'global_freelancer Cleaned data'!A216:O465,3,FALSE)</f>
        <v>Male</v>
      </c>
      <c r="D217" s="12" t="str">
        <f>VLOOKUP(A:A,'global_freelancer Cleaned data'!A216:O465,4,FALSE)</f>
        <v>Not given</v>
      </c>
      <c r="E217" s="12" t="str">
        <f>VLOOKUP(A:A,'global_freelancer Cleaned data'!A216:O465,5,FALSE)</f>
        <v>India</v>
      </c>
      <c r="F217" s="12">
        <f>VLOOKUP(A:A,'global_freelancer Cleaned data'!A216:O465,8,FALSE)</f>
        <v>12</v>
      </c>
      <c r="G217" s="12" t="str">
        <f>VLOOKUP(A:A,'global_freelancer Cleaned data'!A216:M465,13,FALSE)</f>
        <v>Urgent</v>
      </c>
      <c r="H217" s="12" t="str">
        <f>VLOOKUP(A:A,'global_freelancer Cleaned data'!A216:N465,14,FALSE)</f>
        <v>On Hold</v>
      </c>
      <c r="I217" s="12">
        <f>VLOOKUP(A:A,'global_freelancer Cleaned data'!A216:O465,15,FALSE)</f>
        <v>8</v>
      </c>
    </row>
    <row r="218" spans="1:9" x14ac:dyDescent="0.3">
      <c r="A218" s="60" t="s">
        <v>538</v>
      </c>
      <c r="B218" s="12" t="str">
        <f>VLOOKUP(A:A,'global_freelancer Cleaned data'!A:O,2,FALSE)</f>
        <v>Karen Larsen</v>
      </c>
      <c r="C218" s="12" t="str">
        <f>VLOOKUP(A:A,'global_freelancer Cleaned data'!A217:O466,3,FALSE)</f>
        <v>Female</v>
      </c>
      <c r="D218" s="12">
        <f>VLOOKUP(A:A,'global_freelancer Cleaned data'!A217:O466,4,FALSE)</f>
        <v>58</v>
      </c>
      <c r="E218" s="12" t="str">
        <f>VLOOKUP(A:A,'global_freelancer Cleaned data'!A217:O466,5,FALSE)</f>
        <v>Spain</v>
      </c>
      <c r="F218" s="12">
        <f>VLOOKUP(A:A,'global_freelancer Cleaned data'!A217:O466,8,FALSE)</f>
        <v>4</v>
      </c>
      <c r="G218" s="12" t="str">
        <f>VLOOKUP(A:A,'global_freelancer Cleaned data'!A217:M466,13,FALSE)</f>
        <v>Reviewed</v>
      </c>
      <c r="H218" s="12" t="str">
        <f>VLOOKUP(A:A,'global_freelancer Cleaned data'!A217:N466,14,FALSE)</f>
        <v>Active</v>
      </c>
      <c r="I218" s="12">
        <f>VLOOKUP(A:A,'global_freelancer Cleaned data'!A217:O466,15,FALSE)</f>
        <v>2</v>
      </c>
    </row>
    <row r="219" spans="1:9" x14ac:dyDescent="0.3">
      <c r="A219" s="12" t="s">
        <v>540</v>
      </c>
      <c r="B219" s="12" t="str">
        <f>VLOOKUP(A:A,'global_freelancer Cleaned data'!A:O,2,FALSE)</f>
        <v>Robert Evans</v>
      </c>
      <c r="C219" s="12" t="str">
        <f>VLOOKUP(A:A,'global_freelancer Cleaned data'!A218:O467,3,FALSE)</f>
        <v>Male</v>
      </c>
      <c r="D219" s="12">
        <f>VLOOKUP(A:A,'global_freelancer Cleaned data'!A218:O467,4,FALSE)</f>
        <v>39</v>
      </c>
      <c r="E219" s="12" t="str">
        <f>VLOOKUP(A:A,'global_freelancer Cleaned data'!A218:O467,5,FALSE)</f>
        <v>South Korea</v>
      </c>
      <c r="F219" s="12">
        <f>VLOOKUP(A:A,'global_freelancer Cleaned data'!A218:O467,8,FALSE)</f>
        <v>14</v>
      </c>
      <c r="G219" s="12" t="str">
        <f>VLOOKUP(A:A,'global_freelancer Cleaned data'!A218:M467,13,FALSE)</f>
        <v>Follow-up</v>
      </c>
      <c r="H219" s="12" t="str">
        <f>VLOOKUP(A:A,'global_freelancer Cleaned data'!A218:N467,14,FALSE)</f>
        <v>Completed</v>
      </c>
      <c r="I219" s="12">
        <f>VLOOKUP(A:A,'global_freelancer Cleaned data'!A218:O467,15,FALSE)</f>
        <v>7</v>
      </c>
    </row>
    <row r="220" spans="1:9" x14ac:dyDescent="0.3">
      <c r="A220" s="60" t="s">
        <v>542</v>
      </c>
      <c r="B220" s="12" t="str">
        <f>VLOOKUP(A:A,'global_freelancer Cleaned data'!A:O,2,FALSE)</f>
        <v>Sean Poole</v>
      </c>
      <c r="C220" s="12" t="str">
        <f>VLOOKUP(A:A,'global_freelancer Cleaned data'!A219:O468,3,FALSE)</f>
        <v>Male</v>
      </c>
      <c r="D220" s="12">
        <f>VLOOKUP(A:A,'global_freelancer Cleaned data'!A219:O468,4,FALSE)</f>
        <v>32</v>
      </c>
      <c r="E220" s="12" t="str">
        <f>VLOOKUP(A:A,'global_freelancer Cleaned data'!A219:O468,5,FALSE)</f>
        <v>Indonesia</v>
      </c>
      <c r="F220" s="12">
        <f>VLOOKUP(A:A,'global_freelancer Cleaned data'!A219:O468,8,FALSE)</f>
        <v>14</v>
      </c>
      <c r="G220" s="12" t="str">
        <f>VLOOKUP(A:A,'global_freelancer Cleaned data'!A219:M468,13,FALSE)</f>
        <v>Follow-up</v>
      </c>
      <c r="H220" s="12" t="str">
        <f>VLOOKUP(A:A,'global_freelancer Cleaned data'!A219:N468,14,FALSE)</f>
        <v>Active</v>
      </c>
      <c r="I220" s="12">
        <f>VLOOKUP(A:A,'global_freelancer Cleaned data'!A219:O468,15,FALSE)</f>
        <v>14</v>
      </c>
    </row>
    <row r="221" spans="1:9" x14ac:dyDescent="0.3">
      <c r="A221" s="12" t="s">
        <v>544</v>
      </c>
      <c r="B221" s="12" t="str">
        <f>VLOOKUP(A:A,'global_freelancer Cleaned data'!A:O,2,FALSE)</f>
        <v>Richard Quinn</v>
      </c>
      <c r="C221" s="12" t="str">
        <f>VLOOKUP(A:A,'global_freelancer Cleaned data'!A220:O469,3,FALSE)</f>
        <v>Male</v>
      </c>
      <c r="D221" s="12">
        <f>VLOOKUP(A:A,'global_freelancer Cleaned data'!A220:O469,4,FALSE)</f>
        <v>37</v>
      </c>
      <c r="E221" s="12" t="str">
        <f>VLOOKUP(A:A,'global_freelancer Cleaned data'!A220:O469,5,FALSE)</f>
        <v>Canada</v>
      </c>
      <c r="F221" s="12">
        <f>VLOOKUP(A:A,'global_freelancer Cleaned data'!A220:O469,8,FALSE)</f>
        <v>2</v>
      </c>
      <c r="G221" s="12" t="str">
        <f>VLOOKUP(A:A,'global_freelancer Cleaned data'!A220:M469,13,FALSE)</f>
        <v>Urgent</v>
      </c>
      <c r="H221" s="12" t="str">
        <f>VLOOKUP(A:A,'global_freelancer Cleaned data'!A220:N469,14,FALSE)</f>
        <v>Active</v>
      </c>
      <c r="I221" s="12">
        <f>VLOOKUP(A:A,'global_freelancer Cleaned data'!A220:O469,15,FALSE)</f>
        <v>4</v>
      </c>
    </row>
    <row r="222" spans="1:9" x14ac:dyDescent="0.3">
      <c r="A222" s="60" t="s">
        <v>546</v>
      </c>
      <c r="B222" s="12" t="str">
        <f>VLOOKUP(A:A,'global_freelancer Cleaned data'!A:O,2,FALSE)</f>
        <v>Jennifer Gonzalez</v>
      </c>
      <c r="C222" s="12" t="str">
        <f>VLOOKUP(A:A,'global_freelancer Cleaned data'!A221:O470,3,FALSE)</f>
        <v>Female</v>
      </c>
      <c r="D222" s="12">
        <f>VLOOKUP(A:A,'global_freelancer Cleaned data'!A221:O470,4,FALSE)</f>
        <v>21</v>
      </c>
      <c r="E222" s="12" t="str">
        <f>VLOOKUP(A:A,'global_freelancer Cleaned data'!A221:O470,5,FALSE)</f>
        <v>China</v>
      </c>
      <c r="F222" s="12">
        <f>VLOOKUP(A:A,'global_freelancer Cleaned data'!A221:O470,8,FALSE)</f>
        <v>2</v>
      </c>
      <c r="G222" s="12" t="str">
        <f>VLOOKUP(A:A,'global_freelancer Cleaned data'!A221:M470,13,FALSE)</f>
        <v>Pending</v>
      </c>
      <c r="H222" s="12" t="str">
        <f>VLOOKUP(A:A,'global_freelancer Cleaned data'!A221:N470,14,FALSE)</f>
        <v>Active</v>
      </c>
      <c r="I222" s="12">
        <f>VLOOKUP(A:A,'global_freelancer Cleaned data'!A221:O470,15,FALSE)</f>
        <v>3</v>
      </c>
    </row>
    <row r="223" spans="1:9" x14ac:dyDescent="0.3">
      <c r="A223" s="12" t="s">
        <v>548</v>
      </c>
      <c r="B223" s="12" t="str">
        <f>VLOOKUP(A:A,'global_freelancer Cleaned data'!A:O,2,FALSE)</f>
        <v>James Skinner</v>
      </c>
      <c r="C223" s="12" t="str">
        <f>VLOOKUP(A:A,'global_freelancer Cleaned data'!A222:O471,3,FALSE)</f>
        <v>Male</v>
      </c>
      <c r="D223" s="12">
        <f>VLOOKUP(A:A,'global_freelancer Cleaned data'!A222:O471,4,FALSE)</f>
        <v>41</v>
      </c>
      <c r="E223" s="12" t="str">
        <f>VLOOKUP(A:A,'global_freelancer Cleaned data'!A222:O471,5,FALSE)</f>
        <v>South Korea</v>
      </c>
      <c r="F223" s="12">
        <f>VLOOKUP(A:A,'global_freelancer Cleaned data'!A222:O471,8,FALSE)</f>
        <v>4</v>
      </c>
      <c r="G223" s="12" t="str">
        <f>VLOOKUP(A:A,'global_freelancer Cleaned data'!A222:M471,13,FALSE)</f>
        <v>Urgent</v>
      </c>
      <c r="H223" s="12" t="str">
        <f>VLOOKUP(A:A,'global_freelancer Cleaned data'!A222:N471,14,FALSE)</f>
        <v>Completed</v>
      </c>
      <c r="I223" s="12">
        <f>VLOOKUP(A:A,'global_freelancer Cleaned data'!A222:O471,15,FALSE)</f>
        <v>4</v>
      </c>
    </row>
    <row r="224" spans="1:9" x14ac:dyDescent="0.3">
      <c r="A224" s="60" t="s">
        <v>550</v>
      </c>
      <c r="B224" s="12" t="str">
        <f>VLOOKUP(A:A,'global_freelancer Cleaned data'!A:O,2,FALSE)</f>
        <v>Michelle Hill</v>
      </c>
      <c r="C224" s="12" t="str">
        <f>VLOOKUP(A:A,'global_freelancer Cleaned data'!A223:O472,3,FALSE)</f>
        <v>Female</v>
      </c>
      <c r="D224" s="12">
        <f>VLOOKUP(A:A,'global_freelancer Cleaned data'!A223:O472,4,FALSE)</f>
        <v>21</v>
      </c>
      <c r="E224" s="12" t="str">
        <f>VLOOKUP(A:A,'global_freelancer Cleaned data'!A223:O472,5,FALSE)</f>
        <v>Canada</v>
      </c>
      <c r="F224" s="12">
        <f>VLOOKUP(A:A,'global_freelancer Cleaned data'!A223:O472,8,FALSE)</f>
        <v>0</v>
      </c>
      <c r="G224" s="12" t="str">
        <f>VLOOKUP(A:A,'global_freelancer Cleaned data'!A223:M472,13,FALSE)</f>
        <v>Reviewed</v>
      </c>
      <c r="H224" s="12" t="str">
        <f>VLOOKUP(A:A,'global_freelancer Cleaned data'!A223:N472,14,FALSE)</f>
        <v>Completed</v>
      </c>
      <c r="I224" s="12">
        <f>VLOOKUP(A:A,'global_freelancer Cleaned data'!A223:O472,15,FALSE)</f>
        <v>5</v>
      </c>
    </row>
    <row r="225" spans="1:9" x14ac:dyDescent="0.3">
      <c r="A225" s="12" t="s">
        <v>552</v>
      </c>
      <c r="B225" s="12" t="str">
        <f>VLOOKUP(A:A,'global_freelancer Cleaned data'!A:O,2,FALSE)</f>
        <v>Jacqueline Williams</v>
      </c>
      <c r="C225" s="12" t="str">
        <f>VLOOKUP(A:A,'global_freelancer Cleaned data'!A224:O473,3,FALSE)</f>
        <v>Female</v>
      </c>
      <c r="D225" s="12">
        <f>VLOOKUP(A:A,'global_freelancer Cleaned data'!A224:O473,4,FALSE)</f>
        <v>58</v>
      </c>
      <c r="E225" s="12" t="str">
        <f>VLOOKUP(A:A,'global_freelancer Cleaned data'!A224:O473,5,FALSE)</f>
        <v>China</v>
      </c>
      <c r="F225" s="12">
        <f>VLOOKUP(A:A,'global_freelancer Cleaned data'!A224:O473,8,FALSE)</f>
        <v>9</v>
      </c>
      <c r="G225" s="12" t="str">
        <f>VLOOKUP(A:A,'global_freelancer Cleaned data'!A224:M473,13,FALSE)</f>
        <v>Pending</v>
      </c>
      <c r="H225" s="12" t="str">
        <f>VLOOKUP(A:A,'global_freelancer Cleaned data'!A224:N473,14,FALSE)</f>
        <v>Completed</v>
      </c>
      <c r="I225" s="12">
        <f>VLOOKUP(A:A,'global_freelancer Cleaned data'!A224:O473,15,FALSE)</f>
        <v>15</v>
      </c>
    </row>
    <row r="226" spans="1:9" x14ac:dyDescent="0.3">
      <c r="A226" s="60" t="s">
        <v>554</v>
      </c>
      <c r="B226" s="12" t="str">
        <f>VLOOKUP(A:A,'global_freelancer Cleaned data'!A:O,2,FALSE)</f>
        <v>Darrell Johnson</v>
      </c>
      <c r="C226" s="12" t="str">
        <f>VLOOKUP(A:A,'global_freelancer Cleaned data'!A225:O474,3,FALSE)</f>
        <v>Male</v>
      </c>
      <c r="D226" s="12">
        <f>VLOOKUP(A:A,'global_freelancer Cleaned data'!A225:O474,4,FALSE)</f>
        <v>60</v>
      </c>
      <c r="E226" s="12" t="str">
        <f>VLOOKUP(A:A,'global_freelancer Cleaned data'!A225:O474,5,FALSE)</f>
        <v>Canada</v>
      </c>
      <c r="F226" s="12">
        <f>VLOOKUP(A:A,'global_freelancer Cleaned data'!A225:O474,8,FALSE)</f>
        <v>3</v>
      </c>
      <c r="G226" s="12" t="str">
        <f>VLOOKUP(A:A,'global_freelancer Cleaned data'!A225:M474,13,FALSE)</f>
        <v>Follow-up</v>
      </c>
      <c r="H226" s="12" t="str">
        <f>VLOOKUP(A:A,'global_freelancer Cleaned data'!A225:N474,14,FALSE)</f>
        <v>Completed</v>
      </c>
      <c r="I226" s="12">
        <f>VLOOKUP(A:A,'global_freelancer Cleaned data'!A225:O474,15,FALSE)</f>
        <v>1</v>
      </c>
    </row>
    <row r="227" spans="1:9" x14ac:dyDescent="0.3">
      <c r="A227" s="12" t="s">
        <v>556</v>
      </c>
      <c r="B227" s="12" t="str">
        <f>VLOOKUP(A:A,'global_freelancer Cleaned data'!A:O,2,FALSE)</f>
        <v>Ryan Crawford</v>
      </c>
      <c r="C227" s="12" t="str">
        <f>VLOOKUP(A:A,'global_freelancer Cleaned data'!A226:O475,3,FALSE)</f>
        <v>Male</v>
      </c>
      <c r="D227" s="12">
        <f>VLOOKUP(A:A,'global_freelancer Cleaned data'!A226:O475,4,FALSE)</f>
        <v>27</v>
      </c>
      <c r="E227" s="12" t="str">
        <f>VLOOKUP(A:A,'global_freelancer Cleaned data'!A226:O475,5,FALSE)</f>
        <v>South Africa</v>
      </c>
      <c r="F227" s="12">
        <f>VLOOKUP(A:A,'global_freelancer Cleaned data'!A226:O475,8,FALSE)</f>
        <v>2</v>
      </c>
      <c r="G227" s="12" t="str">
        <f>VLOOKUP(A:A,'global_freelancer Cleaned data'!A226:M475,13,FALSE)</f>
        <v>Pending</v>
      </c>
      <c r="H227" s="12" t="str">
        <f>VLOOKUP(A:A,'global_freelancer Cleaned data'!A226:N475,14,FALSE)</f>
        <v>On Hold</v>
      </c>
      <c r="I227" s="12">
        <f>VLOOKUP(A:A,'global_freelancer Cleaned data'!A226:O475,15,FALSE)</f>
        <v>1</v>
      </c>
    </row>
    <row r="228" spans="1:9" x14ac:dyDescent="0.3">
      <c r="A228" s="60" t="s">
        <v>558</v>
      </c>
      <c r="B228" s="12" t="str">
        <f>VLOOKUP(A:A,'global_freelancer Cleaned data'!A:O,2,FALSE)</f>
        <v>Chelsea Barber</v>
      </c>
      <c r="C228" s="12" t="str">
        <f>VLOOKUP(A:A,'global_freelancer Cleaned data'!A227:O476,3,FALSE)</f>
        <v>Female</v>
      </c>
      <c r="D228" s="12">
        <f>VLOOKUP(A:A,'global_freelancer Cleaned data'!A227:O476,4,FALSE)</f>
        <v>29</v>
      </c>
      <c r="E228" s="12" t="str">
        <f>VLOOKUP(A:A,'global_freelancer Cleaned data'!A227:O476,5,FALSE)</f>
        <v>Germany</v>
      </c>
      <c r="F228" s="12">
        <f>VLOOKUP(A:A,'global_freelancer Cleaned data'!A227:O476,8,FALSE)</f>
        <v>10</v>
      </c>
      <c r="G228" s="12" t="str">
        <f>VLOOKUP(A:A,'global_freelancer Cleaned data'!A227:M476,13,FALSE)</f>
        <v>Follow-up</v>
      </c>
      <c r="H228" s="12" t="str">
        <f>VLOOKUP(A:A,'global_freelancer Cleaned data'!A227:N476,14,FALSE)</f>
        <v>On Hold</v>
      </c>
      <c r="I228" s="12">
        <f>VLOOKUP(A:A,'global_freelancer Cleaned data'!A227:O476,15,FALSE)</f>
        <v>7</v>
      </c>
    </row>
    <row r="229" spans="1:9" x14ac:dyDescent="0.3">
      <c r="A229" s="12" t="s">
        <v>560</v>
      </c>
      <c r="B229" s="12" t="str">
        <f>VLOOKUP(A:A,'global_freelancer Cleaned data'!A:O,2,FALSE)</f>
        <v>Elaine Martinez</v>
      </c>
      <c r="C229" s="12" t="str">
        <f>VLOOKUP(A:A,'global_freelancer Cleaned data'!A228:O477,3,FALSE)</f>
        <v>Female</v>
      </c>
      <c r="D229" s="12">
        <f>VLOOKUP(A:A,'global_freelancer Cleaned data'!A228:O477,4,FALSE)</f>
        <v>54</v>
      </c>
      <c r="E229" s="12" t="str">
        <f>VLOOKUP(A:A,'global_freelancer Cleaned data'!A228:O477,5,FALSE)</f>
        <v>Canada</v>
      </c>
      <c r="F229" s="12">
        <f>VLOOKUP(A:A,'global_freelancer Cleaned data'!A228:O477,8,FALSE)</f>
        <v>33</v>
      </c>
      <c r="G229" s="12" t="str">
        <f>VLOOKUP(A:A,'global_freelancer Cleaned data'!A228:M477,13,FALSE)</f>
        <v>Pending</v>
      </c>
      <c r="H229" s="12" t="str">
        <f>VLOOKUP(A:A,'global_freelancer Cleaned data'!A228:N477,14,FALSE)</f>
        <v>Inactive</v>
      </c>
      <c r="I229" s="12">
        <f>VLOOKUP(A:A,'global_freelancer Cleaned data'!A228:O477,15,FALSE)</f>
        <v>18</v>
      </c>
    </row>
    <row r="230" spans="1:9" x14ac:dyDescent="0.3">
      <c r="A230" s="60" t="s">
        <v>562</v>
      </c>
      <c r="B230" s="12" t="str">
        <f>VLOOKUP(A:A,'global_freelancer Cleaned data'!A:O,2,FALSE)</f>
        <v>Joseph Kent</v>
      </c>
      <c r="C230" s="12" t="str">
        <f>VLOOKUP(A:A,'global_freelancer Cleaned data'!A229:O478,3,FALSE)</f>
        <v>Male</v>
      </c>
      <c r="D230" s="12">
        <f>VLOOKUP(A:A,'global_freelancer Cleaned data'!A229:O478,4,FALSE)</f>
        <v>52</v>
      </c>
      <c r="E230" s="12" t="str">
        <f>VLOOKUP(A:A,'global_freelancer Cleaned data'!A229:O478,5,FALSE)</f>
        <v>Mexico</v>
      </c>
      <c r="F230" s="12">
        <f>VLOOKUP(A:A,'global_freelancer Cleaned data'!A229:O478,8,FALSE)</f>
        <v>12</v>
      </c>
      <c r="G230" s="12" t="str">
        <f>VLOOKUP(A:A,'global_freelancer Cleaned data'!A229:M478,13,FALSE)</f>
        <v>Pending</v>
      </c>
      <c r="H230" s="12" t="str">
        <f>VLOOKUP(A:A,'global_freelancer Cleaned data'!A229:N478,14,FALSE)</f>
        <v>Completed</v>
      </c>
      <c r="I230" s="12">
        <f>VLOOKUP(A:A,'global_freelancer Cleaned data'!A229:O478,15,FALSE)</f>
        <v>14</v>
      </c>
    </row>
    <row r="231" spans="1:9" x14ac:dyDescent="0.3">
      <c r="A231" s="12" t="s">
        <v>564</v>
      </c>
      <c r="B231" s="12" t="str">
        <f>VLOOKUP(A:A,'global_freelancer Cleaned data'!A:O,2,FALSE)</f>
        <v>Megan Welch</v>
      </c>
      <c r="C231" s="12" t="str">
        <f>VLOOKUP(A:A,'global_freelancer Cleaned data'!A230:O479,3,FALSE)</f>
        <v>Female</v>
      </c>
      <c r="D231" s="12">
        <f>VLOOKUP(A:A,'global_freelancer Cleaned data'!A230:O479,4,FALSE)</f>
        <v>55</v>
      </c>
      <c r="E231" s="12" t="str">
        <f>VLOOKUP(A:A,'global_freelancer Cleaned data'!A230:O479,5,FALSE)</f>
        <v>Indonesia</v>
      </c>
      <c r="F231" s="12">
        <f>VLOOKUP(A:A,'global_freelancer Cleaned data'!A230:O479,8,FALSE)</f>
        <v>18</v>
      </c>
      <c r="G231" s="12" t="str">
        <f>VLOOKUP(A:A,'global_freelancer Cleaned data'!A230:M479,13,FALSE)</f>
        <v>Pending</v>
      </c>
      <c r="H231" s="12" t="str">
        <f>VLOOKUP(A:A,'global_freelancer Cleaned data'!A230:N479,14,FALSE)</f>
        <v>On Hold</v>
      </c>
      <c r="I231" s="12">
        <f>VLOOKUP(A:A,'global_freelancer Cleaned data'!A230:O479,15,FALSE)</f>
        <v>12</v>
      </c>
    </row>
    <row r="232" spans="1:9" x14ac:dyDescent="0.3">
      <c r="A232" s="60" t="s">
        <v>566</v>
      </c>
      <c r="B232" s="12" t="str">
        <f>VLOOKUP(A:A,'global_freelancer Cleaned data'!A:O,2,FALSE)</f>
        <v>Stephen Ramirez</v>
      </c>
      <c r="C232" s="12" t="str">
        <f>VLOOKUP(A:A,'global_freelancer Cleaned data'!A231:O480,3,FALSE)</f>
        <v>Male</v>
      </c>
      <c r="D232" s="12">
        <f>VLOOKUP(A:A,'global_freelancer Cleaned data'!A231:O480,4,FALSE)</f>
        <v>37</v>
      </c>
      <c r="E232" s="12" t="str">
        <f>VLOOKUP(A:A,'global_freelancer Cleaned data'!A231:O480,5,FALSE)</f>
        <v>Brazil</v>
      </c>
      <c r="F232" s="12">
        <f>VLOOKUP(A:A,'global_freelancer Cleaned data'!A231:O480,8,FALSE)</f>
        <v>4</v>
      </c>
      <c r="G232" s="12" t="str">
        <f>VLOOKUP(A:A,'global_freelancer Cleaned data'!A231:M480,13,FALSE)</f>
        <v>Reviewed</v>
      </c>
      <c r="H232" s="12" t="str">
        <f>VLOOKUP(A:A,'global_freelancer Cleaned data'!A231:N480,14,FALSE)</f>
        <v>Active</v>
      </c>
      <c r="I232" s="12">
        <f>VLOOKUP(A:A,'global_freelancer Cleaned data'!A231:O480,15,FALSE)</f>
        <v>3</v>
      </c>
    </row>
    <row r="233" spans="1:9" x14ac:dyDescent="0.3">
      <c r="A233" s="12" t="s">
        <v>568</v>
      </c>
      <c r="B233" s="12" t="str">
        <f>VLOOKUP(A:A,'global_freelancer Cleaned data'!A:O,2,FALSE)</f>
        <v>Chloe Gray</v>
      </c>
      <c r="C233" s="12" t="str">
        <f>VLOOKUP(A:A,'global_freelancer Cleaned data'!A232:O481,3,FALSE)</f>
        <v>Female</v>
      </c>
      <c r="D233" s="12">
        <f>VLOOKUP(A:A,'global_freelancer Cleaned data'!A232:O481,4,FALSE)</f>
        <v>34</v>
      </c>
      <c r="E233" s="12" t="str">
        <f>VLOOKUP(A:A,'global_freelancer Cleaned data'!A232:O481,5,FALSE)</f>
        <v>Egypt</v>
      </c>
      <c r="F233" s="12">
        <f>VLOOKUP(A:A,'global_freelancer Cleaned data'!A232:O481,8,FALSE)</f>
        <v>11</v>
      </c>
      <c r="G233" s="12" t="str">
        <f>VLOOKUP(A:A,'global_freelancer Cleaned data'!A232:M481,13,FALSE)</f>
        <v>Reviewed</v>
      </c>
      <c r="H233" s="12" t="str">
        <f>VLOOKUP(A:A,'global_freelancer Cleaned data'!A232:N481,14,FALSE)</f>
        <v>Completed</v>
      </c>
      <c r="I233" s="12">
        <f>VLOOKUP(A:A,'global_freelancer Cleaned data'!A232:O481,15,FALSE)</f>
        <v>13</v>
      </c>
    </row>
    <row r="234" spans="1:9" x14ac:dyDescent="0.3">
      <c r="A234" s="60" t="s">
        <v>570</v>
      </c>
      <c r="B234" s="12" t="str">
        <f>VLOOKUP(A:A,'global_freelancer Cleaned data'!A:O,2,FALSE)</f>
        <v>Michael Williams Jr.</v>
      </c>
      <c r="C234" s="12" t="str">
        <f>VLOOKUP(A:A,'global_freelancer Cleaned data'!A233:O482,3,FALSE)</f>
        <v>Male</v>
      </c>
      <c r="D234" s="12">
        <f>VLOOKUP(A:A,'global_freelancer Cleaned data'!A233:O482,4,FALSE)</f>
        <v>20</v>
      </c>
      <c r="E234" s="12" t="str">
        <f>VLOOKUP(A:A,'global_freelancer Cleaned data'!A233:O482,5,FALSE)</f>
        <v>France</v>
      </c>
      <c r="F234" s="12">
        <f>VLOOKUP(A:A,'global_freelancer Cleaned data'!A233:O482,8,FALSE)</f>
        <v>1</v>
      </c>
      <c r="G234" s="12" t="str">
        <f>VLOOKUP(A:A,'global_freelancer Cleaned data'!A233:M482,13,FALSE)</f>
        <v>Urgent</v>
      </c>
      <c r="H234" s="12" t="str">
        <f>VLOOKUP(A:A,'global_freelancer Cleaned data'!A233:N482,14,FALSE)</f>
        <v>Inactive</v>
      </c>
      <c r="I234" s="12">
        <f>VLOOKUP(A:A,'global_freelancer Cleaned data'!A233:O482,15,FALSE)</f>
        <v>4</v>
      </c>
    </row>
    <row r="235" spans="1:9" x14ac:dyDescent="0.3">
      <c r="A235" s="12" t="s">
        <v>572</v>
      </c>
      <c r="B235" s="12" t="str">
        <f>VLOOKUP(A:A,'global_freelancer Cleaned data'!A:O,2,FALSE)</f>
        <v>Matthew Martin</v>
      </c>
      <c r="C235" s="12" t="str">
        <f>VLOOKUP(A:A,'global_freelancer Cleaned data'!A234:O483,3,FALSE)</f>
        <v>Male</v>
      </c>
      <c r="D235" s="12">
        <f>VLOOKUP(A:A,'global_freelancer Cleaned data'!A234:O483,4,FALSE)</f>
        <v>22</v>
      </c>
      <c r="E235" s="12" t="str">
        <f>VLOOKUP(A:A,'global_freelancer Cleaned data'!A234:O483,5,FALSE)</f>
        <v>Mexico</v>
      </c>
      <c r="F235" s="12">
        <f>VLOOKUP(A:A,'global_freelancer Cleaned data'!A234:O483,8,FALSE)</f>
        <v>2</v>
      </c>
      <c r="G235" s="12" t="str">
        <f>VLOOKUP(A:A,'global_freelancer Cleaned data'!A234:M483,13,FALSE)</f>
        <v>Urgent</v>
      </c>
      <c r="H235" s="12" t="str">
        <f>VLOOKUP(A:A,'global_freelancer Cleaned data'!A234:N483,14,FALSE)</f>
        <v>Inactive</v>
      </c>
      <c r="I235" s="12">
        <f>VLOOKUP(A:A,'global_freelancer Cleaned data'!A234:O483,15,FALSE)</f>
        <v>5</v>
      </c>
    </row>
    <row r="236" spans="1:9" x14ac:dyDescent="0.3">
      <c r="A236" s="60" t="s">
        <v>574</v>
      </c>
      <c r="B236" s="12" t="str">
        <f>VLOOKUP(A:A,'global_freelancer Cleaned data'!A:O,2,FALSE)</f>
        <v>Julia Murphy</v>
      </c>
      <c r="C236" s="12" t="str">
        <f>VLOOKUP(A:A,'global_freelancer Cleaned data'!A235:O484,3,FALSE)</f>
        <v>Female</v>
      </c>
      <c r="D236" s="12">
        <f>VLOOKUP(A:A,'global_freelancer Cleaned data'!A235:O484,4,FALSE)</f>
        <v>23</v>
      </c>
      <c r="E236" s="12" t="str">
        <f>VLOOKUP(A:A,'global_freelancer Cleaned data'!A235:O484,5,FALSE)</f>
        <v>South Korea</v>
      </c>
      <c r="F236" s="12">
        <f>VLOOKUP(A:A,'global_freelancer Cleaned data'!A235:O484,8,FALSE)</f>
        <v>2</v>
      </c>
      <c r="G236" s="12" t="str">
        <f>VLOOKUP(A:A,'global_freelancer Cleaned data'!A235:M484,13,FALSE)</f>
        <v>Follow-up</v>
      </c>
      <c r="H236" s="12" t="str">
        <f>VLOOKUP(A:A,'global_freelancer Cleaned data'!A235:N484,14,FALSE)</f>
        <v>Inactive</v>
      </c>
      <c r="I236" s="12">
        <f>VLOOKUP(A:A,'global_freelancer Cleaned data'!A235:O484,15,FALSE)</f>
        <v>2</v>
      </c>
    </row>
    <row r="237" spans="1:9" x14ac:dyDescent="0.3">
      <c r="A237" s="12" t="s">
        <v>576</v>
      </c>
      <c r="B237" s="12" t="str">
        <f>VLOOKUP(A:A,'global_freelancer Cleaned data'!A:O,2,FALSE)</f>
        <v>Anna Evans</v>
      </c>
      <c r="C237" s="12" t="str">
        <f>VLOOKUP(A:A,'global_freelancer Cleaned data'!A236:O485,3,FALSE)</f>
        <v>Female</v>
      </c>
      <c r="D237" s="12">
        <f>VLOOKUP(A:A,'global_freelancer Cleaned data'!A236:O485,4,FALSE)</f>
        <v>53</v>
      </c>
      <c r="E237" s="12" t="str">
        <f>VLOOKUP(A:A,'global_freelancer Cleaned data'!A236:O485,5,FALSE)</f>
        <v>South Korea</v>
      </c>
      <c r="F237" s="12">
        <f>VLOOKUP(A:A,'global_freelancer Cleaned data'!A236:O485,8,FALSE)</f>
        <v>34</v>
      </c>
      <c r="G237" s="12" t="str">
        <f>VLOOKUP(A:A,'global_freelancer Cleaned data'!A236:M485,13,FALSE)</f>
        <v>Reviewed</v>
      </c>
      <c r="H237" s="12" t="str">
        <f>VLOOKUP(A:A,'global_freelancer Cleaned data'!A236:N485,14,FALSE)</f>
        <v>Active</v>
      </c>
      <c r="I237" s="12">
        <f>VLOOKUP(A:A,'global_freelancer Cleaned data'!A236:O485,15,FALSE)</f>
        <v>14</v>
      </c>
    </row>
    <row r="238" spans="1:9" x14ac:dyDescent="0.3">
      <c r="A238" s="60" t="s">
        <v>578</v>
      </c>
      <c r="B238" s="12" t="str">
        <f>VLOOKUP(A:A,'global_freelancer Cleaned data'!A:O,2,FALSE)</f>
        <v>Brenda Fleming</v>
      </c>
      <c r="C238" s="12" t="str">
        <f>VLOOKUP(A:A,'global_freelancer Cleaned data'!A237:O486,3,FALSE)</f>
        <v>Female</v>
      </c>
      <c r="D238" s="12">
        <f>VLOOKUP(A:A,'global_freelancer Cleaned data'!A237:O486,4,FALSE)</f>
        <v>56</v>
      </c>
      <c r="E238" s="12" t="str">
        <f>VLOOKUP(A:A,'global_freelancer Cleaned data'!A237:O486,5,FALSE)</f>
        <v>South Korea</v>
      </c>
      <c r="F238" s="12">
        <f>VLOOKUP(A:A,'global_freelancer Cleaned data'!A237:O486,8,FALSE)</f>
        <v>27</v>
      </c>
      <c r="G238" s="12" t="str">
        <f>VLOOKUP(A:A,'global_freelancer Cleaned data'!A237:M486,13,FALSE)</f>
        <v>Follow-up</v>
      </c>
      <c r="H238" s="12" t="str">
        <f>VLOOKUP(A:A,'global_freelancer Cleaned data'!A237:N486,14,FALSE)</f>
        <v>On Hold</v>
      </c>
      <c r="I238" s="12">
        <f>VLOOKUP(A:A,'global_freelancer Cleaned data'!A237:O486,15,FALSE)</f>
        <v>19</v>
      </c>
    </row>
    <row r="239" spans="1:9" x14ac:dyDescent="0.3">
      <c r="A239" s="12" t="s">
        <v>580</v>
      </c>
      <c r="B239" s="12" t="str">
        <f>VLOOKUP(A:A,'global_freelancer Cleaned data'!A:O,2,FALSE)</f>
        <v>Daniel Harrington</v>
      </c>
      <c r="C239" s="12" t="str">
        <f>VLOOKUP(A:A,'global_freelancer Cleaned data'!A238:O487,3,FALSE)</f>
        <v>Male</v>
      </c>
      <c r="D239" s="12">
        <f>VLOOKUP(A:A,'global_freelancer Cleaned data'!A238:O487,4,FALSE)</f>
        <v>27</v>
      </c>
      <c r="E239" s="12" t="str">
        <f>VLOOKUP(A:A,'global_freelancer Cleaned data'!A238:O487,5,FALSE)</f>
        <v>Canada</v>
      </c>
      <c r="F239" s="12">
        <f>VLOOKUP(A:A,'global_freelancer Cleaned data'!A238:O487,8,FALSE)</f>
        <v>4</v>
      </c>
      <c r="G239" s="12" t="str">
        <f>VLOOKUP(A:A,'global_freelancer Cleaned data'!A238:M487,13,FALSE)</f>
        <v>Urgent</v>
      </c>
      <c r="H239" s="12" t="str">
        <f>VLOOKUP(A:A,'global_freelancer Cleaned data'!A238:N487,14,FALSE)</f>
        <v>Active</v>
      </c>
      <c r="I239" s="12">
        <f>VLOOKUP(A:A,'global_freelancer Cleaned data'!A238:O487,15,FALSE)</f>
        <v>5</v>
      </c>
    </row>
    <row r="240" spans="1:9" x14ac:dyDescent="0.3">
      <c r="A240" s="60" t="s">
        <v>582</v>
      </c>
      <c r="B240" s="12" t="str">
        <f>VLOOKUP(A:A,'global_freelancer Cleaned data'!A:O,2,FALSE)</f>
        <v>Daniel Barnett</v>
      </c>
      <c r="C240" s="12" t="str">
        <f>VLOOKUP(A:A,'global_freelancer Cleaned data'!A239:O488,3,FALSE)</f>
        <v>Male</v>
      </c>
      <c r="D240" s="12">
        <f>VLOOKUP(A:A,'global_freelancer Cleaned data'!A239:O488,4,FALSE)</f>
        <v>34</v>
      </c>
      <c r="E240" s="12" t="str">
        <f>VLOOKUP(A:A,'global_freelancer Cleaned data'!A239:O488,5,FALSE)</f>
        <v>Italy</v>
      </c>
      <c r="F240" s="12">
        <f>VLOOKUP(A:A,'global_freelancer Cleaned data'!A239:O488,8,FALSE)</f>
        <v>11</v>
      </c>
      <c r="G240" s="12" t="str">
        <f>VLOOKUP(A:A,'global_freelancer Cleaned data'!A239:M488,13,FALSE)</f>
        <v>Follow-up</v>
      </c>
      <c r="H240" s="12" t="str">
        <f>VLOOKUP(A:A,'global_freelancer Cleaned data'!A239:N488,14,FALSE)</f>
        <v>Completed</v>
      </c>
      <c r="I240" s="12">
        <f>VLOOKUP(A:A,'global_freelancer Cleaned data'!A239:O488,15,FALSE)</f>
        <v>13</v>
      </c>
    </row>
    <row r="241" spans="1:9" x14ac:dyDescent="0.3">
      <c r="A241" s="12" t="s">
        <v>584</v>
      </c>
      <c r="B241" s="12" t="str">
        <f>VLOOKUP(A:A,'global_freelancer Cleaned data'!A:O,2,FALSE)</f>
        <v>Mark Cummings</v>
      </c>
      <c r="C241" s="12" t="str">
        <f>VLOOKUP(A:A,'global_freelancer Cleaned data'!A240:O489,3,FALSE)</f>
        <v>Male</v>
      </c>
      <c r="D241" s="12">
        <f>VLOOKUP(A:A,'global_freelancer Cleaned data'!A240:O489,4,FALSE)</f>
        <v>29</v>
      </c>
      <c r="E241" s="12" t="str">
        <f>VLOOKUP(A:A,'global_freelancer Cleaned data'!A240:O489,5,FALSE)</f>
        <v>US</v>
      </c>
      <c r="F241" s="12">
        <f>VLOOKUP(A:A,'global_freelancer Cleaned data'!A240:O489,8,FALSE)</f>
        <v>4</v>
      </c>
      <c r="G241" s="12" t="str">
        <f>VLOOKUP(A:A,'global_freelancer Cleaned data'!A240:M489,13,FALSE)</f>
        <v>Urgent</v>
      </c>
      <c r="H241" s="12" t="str">
        <f>VLOOKUP(A:A,'global_freelancer Cleaned data'!A240:N489,14,FALSE)</f>
        <v>Inactive</v>
      </c>
      <c r="I241" s="12">
        <f>VLOOKUP(A:A,'global_freelancer Cleaned data'!A240:O489,15,FALSE)</f>
        <v>3</v>
      </c>
    </row>
    <row r="242" spans="1:9" x14ac:dyDescent="0.3">
      <c r="A242" s="60" t="s">
        <v>586</v>
      </c>
      <c r="B242" s="12" t="str">
        <f>VLOOKUP(A:A,'global_freelancer Cleaned data'!A:O,2,FALSE)</f>
        <v>Christopher Guerra</v>
      </c>
      <c r="C242" s="12" t="str">
        <f>VLOOKUP(A:A,'global_freelancer Cleaned data'!A241:O490,3,FALSE)</f>
        <v>Male</v>
      </c>
      <c r="D242" s="12">
        <f>VLOOKUP(A:A,'global_freelancer Cleaned data'!A241:O490,4,FALSE)</f>
        <v>34</v>
      </c>
      <c r="E242" s="12" t="str">
        <f>VLOOKUP(A:A,'global_freelancer Cleaned data'!A241:O490,5,FALSE)</f>
        <v>India</v>
      </c>
      <c r="F242" s="12">
        <f>VLOOKUP(A:A,'global_freelancer Cleaned data'!A241:O490,8,FALSE)</f>
        <v>11</v>
      </c>
      <c r="G242" s="12" t="str">
        <f>VLOOKUP(A:A,'global_freelancer Cleaned data'!A241:M490,13,FALSE)</f>
        <v>Reviewed</v>
      </c>
      <c r="H242" s="12" t="str">
        <f>VLOOKUP(A:A,'global_freelancer Cleaned data'!A241:N490,14,FALSE)</f>
        <v>Active</v>
      </c>
      <c r="I242" s="12">
        <f>VLOOKUP(A:A,'global_freelancer Cleaned data'!A241:O490,15,FALSE)</f>
        <v>11</v>
      </c>
    </row>
    <row r="243" spans="1:9" x14ac:dyDescent="0.3">
      <c r="A243" s="12" t="s">
        <v>588</v>
      </c>
      <c r="B243" s="12" t="str">
        <f>VLOOKUP(A:A,'global_freelancer Cleaned data'!A:O,2,FALSE)</f>
        <v>Sarah Ho</v>
      </c>
      <c r="C243" s="12" t="str">
        <f>VLOOKUP(A:A,'global_freelancer Cleaned data'!A242:O491,3,FALSE)</f>
        <v>Female</v>
      </c>
      <c r="D243" s="12">
        <f>VLOOKUP(A:A,'global_freelancer Cleaned data'!A242:O491,4,FALSE)</f>
        <v>32</v>
      </c>
      <c r="E243" s="12" t="str">
        <f>VLOOKUP(A:A,'global_freelancer Cleaned data'!A242:O491,5,FALSE)</f>
        <v>Mexico</v>
      </c>
      <c r="F243" s="12">
        <f>VLOOKUP(A:A,'global_freelancer Cleaned data'!A242:O491,8,FALSE)</f>
        <v>1</v>
      </c>
      <c r="G243" s="12" t="str">
        <f>VLOOKUP(A:A,'global_freelancer Cleaned data'!A242:M491,13,FALSE)</f>
        <v>Pending</v>
      </c>
      <c r="H243" s="12" t="str">
        <f>VLOOKUP(A:A,'global_freelancer Cleaned data'!A242:N491,14,FALSE)</f>
        <v>Active</v>
      </c>
      <c r="I243" s="12">
        <f>VLOOKUP(A:A,'global_freelancer Cleaned data'!A242:O491,15,FALSE)</f>
        <v>5</v>
      </c>
    </row>
    <row r="244" spans="1:9" x14ac:dyDescent="0.3">
      <c r="A244" s="60" t="s">
        <v>590</v>
      </c>
      <c r="B244" s="12" t="str">
        <f>VLOOKUP(A:A,'global_freelancer Cleaned data'!A:O,2,FALSE)</f>
        <v>Veronica Thomas</v>
      </c>
      <c r="C244" s="12" t="str">
        <f>VLOOKUP(A:A,'global_freelancer Cleaned data'!A243:O492,3,FALSE)</f>
        <v>Female</v>
      </c>
      <c r="D244" s="12">
        <f>VLOOKUP(A:A,'global_freelancer Cleaned data'!A243:O492,4,FALSE)</f>
        <v>21</v>
      </c>
      <c r="E244" s="12" t="str">
        <f>VLOOKUP(A:A,'global_freelancer Cleaned data'!A243:O492,5,FALSE)</f>
        <v>South Africa</v>
      </c>
      <c r="F244" s="12">
        <f>VLOOKUP(A:A,'global_freelancer Cleaned data'!A243:O492,8,FALSE)</f>
        <v>2</v>
      </c>
      <c r="G244" s="12" t="str">
        <f>VLOOKUP(A:A,'global_freelancer Cleaned data'!A243:M492,13,FALSE)</f>
        <v>Reviewed</v>
      </c>
      <c r="H244" s="12" t="str">
        <f>VLOOKUP(A:A,'global_freelancer Cleaned data'!A243:N492,14,FALSE)</f>
        <v>On Hold</v>
      </c>
      <c r="I244" s="12">
        <f>VLOOKUP(A:A,'global_freelancer Cleaned data'!A243:O492,15,FALSE)</f>
        <v>4</v>
      </c>
    </row>
    <row r="245" spans="1:9" x14ac:dyDescent="0.3">
      <c r="A245" s="12" t="s">
        <v>592</v>
      </c>
      <c r="B245" s="12" t="str">
        <f>VLOOKUP(A:A,'global_freelancer Cleaned data'!A:O,2,FALSE)</f>
        <v>Mitchell Watson</v>
      </c>
      <c r="C245" s="12" t="str">
        <f>VLOOKUP(A:A,'global_freelancer Cleaned data'!A244:O493,3,FALSE)</f>
        <v>Male</v>
      </c>
      <c r="D245" s="12">
        <f>VLOOKUP(A:A,'global_freelancer Cleaned data'!A244:O493,4,FALSE)</f>
        <v>20</v>
      </c>
      <c r="E245" s="12" t="str">
        <f>VLOOKUP(A:A,'global_freelancer Cleaned data'!A244:O493,5,FALSE)</f>
        <v>Mexico</v>
      </c>
      <c r="F245" s="12">
        <f>VLOOKUP(A:A,'global_freelancer Cleaned data'!A244:O493,8,FALSE)</f>
        <v>2</v>
      </c>
      <c r="G245" s="12" t="str">
        <f>VLOOKUP(A:A,'global_freelancer Cleaned data'!A244:M493,13,FALSE)</f>
        <v>Follow-up</v>
      </c>
      <c r="H245" s="12" t="str">
        <f>VLOOKUP(A:A,'global_freelancer Cleaned data'!A244:N493,14,FALSE)</f>
        <v>On Hold</v>
      </c>
      <c r="I245" s="12">
        <f>VLOOKUP(A:A,'global_freelancer Cleaned data'!A244:O493,15,FALSE)</f>
        <v>3</v>
      </c>
    </row>
    <row r="246" spans="1:9" x14ac:dyDescent="0.3">
      <c r="A246" s="60" t="s">
        <v>594</v>
      </c>
      <c r="B246" s="12" t="str">
        <f>VLOOKUP(A:A,'global_freelancer Cleaned data'!A:O,2,FALSE)</f>
        <v>Monica Murphy</v>
      </c>
      <c r="C246" s="12" t="str">
        <f>VLOOKUP(A:A,'global_freelancer Cleaned data'!A245:O494,3,FALSE)</f>
        <v>Female</v>
      </c>
      <c r="D246" s="12">
        <f>VLOOKUP(A:A,'global_freelancer Cleaned data'!A245:O494,4,FALSE)</f>
        <v>35</v>
      </c>
      <c r="E246" s="12" t="str">
        <f>VLOOKUP(A:A,'global_freelancer Cleaned data'!A245:O494,5,FALSE)</f>
        <v>US</v>
      </c>
      <c r="F246" s="12">
        <f>VLOOKUP(A:A,'global_freelancer Cleaned data'!A245:O494,8,FALSE)</f>
        <v>10</v>
      </c>
      <c r="G246" s="12" t="str">
        <f>VLOOKUP(A:A,'global_freelancer Cleaned data'!A245:M494,13,FALSE)</f>
        <v>Follow-up</v>
      </c>
      <c r="H246" s="12" t="str">
        <f>VLOOKUP(A:A,'global_freelancer Cleaned data'!A245:N494,14,FALSE)</f>
        <v>Inactive</v>
      </c>
      <c r="I246" s="12">
        <f>VLOOKUP(A:A,'global_freelancer Cleaned data'!A245:O494,15,FALSE)</f>
        <v>8</v>
      </c>
    </row>
    <row r="247" spans="1:9" x14ac:dyDescent="0.3">
      <c r="A247" s="12" t="s">
        <v>596</v>
      </c>
      <c r="B247" s="12" t="str">
        <f>VLOOKUP(A:A,'global_freelancer Cleaned data'!A:O,2,FALSE)</f>
        <v>Kristen Williams</v>
      </c>
      <c r="C247" s="12" t="str">
        <f>VLOOKUP(A:A,'global_freelancer Cleaned data'!A246:O495,3,FALSE)</f>
        <v>Female</v>
      </c>
      <c r="D247" s="12">
        <f>VLOOKUP(A:A,'global_freelancer Cleaned data'!A246:O495,4,FALSE)</f>
        <v>47</v>
      </c>
      <c r="E247" s="12" t="str">
        <f>VLOOKUP(A:A,'global_freelancer Cleaned data'!A246:O495,5,FALSE)</f>
        <v>US</v>
      </c>
      <c r="F247" s="12">
        <f>VLOOKUP(A:A,'global_freelancer Cleaned data'!A246:O495,8,FALSE)</f>
        <v>18</v>
      </c>
      <c r="G247" s="12" t="str">
        <f>VLOOKUP(A:A,'global_freelancer Cleaned data'!A246:M495,13,FALSE)</f>
        <v>Reviewed</v>
      </c>
      <c r="H247" s="12" t="str">
        <f>VLOOKUP(A:A,'global_freelancer Cleaned data'!A246:N495,14,FALSE)</f>
        <v>Active</v>
      </c>
      <c r="I247" s="12">
        <f>VLOOKUP(A:A,'global_freelancer Cleaned data'!A246:O495,15,FALSE)</f>
        <v>11</v>
      </c>
    </row>
    <row r="248" spans="1:9" x14ac:dyDescent="0.3">
      <c r="A248" s="60" t="s">
        <v>598</v>
      </c>
      <c r="B248" s="12" t="str">
        <f>VLOOKUP(A:A,'global_freelancer Cleaned data'!A:O,2,FALSE)</f>
        <v>Nicole Wright</v>
      </c>
      <c r="C248" s="12" t="str">
        <f>VLOOKUP(A:A,'global_freelancer Cleaned data'!A247:O496,3,FALSE)</f>
        <v>Female</v>
      </c>
      <c r="D248" s="12">
        <f>VLOOKUP(A:A,'global_freelancer Cleaned data'!A247:O496,4,FALSE)</f>
        <v>41</v>
      </c>
      <c r="E248" s="12" t="str">
        <f>VLOOKUP(A:A,'global_freelancer Cleaned data'!A247:O496,5,FALSE)</f>
        <v>Turkey</v>
      </c>
      <c r="F248" s="12">
        <f>VLOOKUP(A:A,'global_freelancer Cleaned data'!A247:O496,8,FALSE)</f>
        <v>4</v>
      </c>
      <c r="G248" s="12" t="str">
        <f>VLOOKUP(A:A,'global_freelancer Cleaned data'!A247:M496,13,FALSE)</f>
        <v>Reviewed</v>
      </c>
      <c r="H248" s="12" t="str">
        <f>VLOOKUP(A:A,'global_freelancer Cleaned data'!A247:N496,14,FALSE)</f>
        <v>Active</v>
      </c>
      <c r="I248" s="12">
        <f>VLOOKUP(A:A,'global_freelancer Cleaned data'!A247:O496,15,FALSE)</f>
        <v>2</v>
      </c>
    </row>
    <row r="249" spans="1:9" x14ac:dyDescent="0.3">
      <c r="A249" s="12" t="s">
        <v>600</v>
      </c>
      <c r="B249" s="12" t="str">
        <f>VLOOKUP(A:A,'global_freelancer Cleaned data'!A:O,2,FALSE)</f>
        <v>Andrew Ruiz</v>
      </c>
      <c r="C249" s="12" t="str">
        <f>VLOOKUP(A:A,'global_freelancer Cleaned data'!A248:O497,3,FALSE)</f>
        <v>Male</v>
      </c>
      <c r="D249" s="12">
        <f>VLOOKUP(A:A,'global_freelancer Cleaned data'!A248:O497,4,FALSE)</f>
        <v>58</v>
      </c>
      <c r="E249" s="12" t="str">
        <f>VLOOKUP(A:A,'global_freelancer Cleaned data'!A248:O497,5,FALSE)</f>
        <v>Argentina</v>
      </c>
      <c r="F249" s="12">
        <f>VLOOKUP(A:A,'global_freelancer Cleaned data'!A248:O497,8,FALSE)</f>
        <v>23</v>
      </c>
      <c r="G249" s="12" t="str">
        <f>VLOOKUP(A:A,'global_freelancer Cleaned data'!A248:M497,13,FALSE)</f>
        <v>Urgent</v>
      </c>
      <c r="H249" s="12" t="str">
        <f>VLOOKUP(A:A,'global_freelancer Cleaned data'!A248:N497,14,FALSE)</f>
        <v>On Hold</v>
      </c>
      <c r="I249" s="12">
        <f>VLOOKUP(A:A,'global_freelancer Cleaned data'!A248:O497,15,FALSE)</f>
        <v>19</v>
      </c>
    </row>
    <row r="250" spans="1:9" x14ac:dyDescent="0.3">
      <c r="A250" s="60" t="s">
        <v>602</v>
      </c>
      <c r="B250" s="12" t="str">
        <f>VLOOKUP(A:A,'global_freelancer Cleaned data'!A:O,2,FALSE)</f>
        <v>Zachary Jackson</v>
      </c>
      <c r="C250" s="12" t="str">
        <f>VLOOKUP(A:A,'global_freelancer Cleaned data'!A249:O498,3,FALSE)</f>
        <v>Male</v>
      </c>
      <c r="D250" s="12">
        <f>VLOOKUP(A:A,'global_freelancer Cleaned data'!A249:O498,4,FALSE)</f>
        <v>34</v>
      </c>
      <c r="E250" s="12" t="str">
        <f>VLOOKUP(A:A,'global_freelancer Cleaned data'!A249:O498,5,FALSE)</f>
        <v>China</v>
      </c>
      <c r="F250" s="12">
        <f>VLOOKUP(A:A,'global_freelancer Cleaned data'!A249:O498,8,FALSE)</f>
        <v>6</v>
      </c>
      <c r="G250" s="12" t="str">
        <f>VLOOKUP(A:A,'global_freelancer Cleaned data'!A249:M498,13,FALSE)</f>
        <v>Follow-up</v>
      </c>
      <c r="H250" s="12" t="str">
        <f>VLOOKUP(A:A,'global_freelancer Cleaned data'!A249:N498,14,FALSE)</f>
        <v>Active</v>
      </c>
      <c r="I250" s="12">
        <f>VLOOKUP(A:A,'global_freelancer Cleaned data'!A249:O498,15,FALSE)</f>
        <v>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041EE-F28D-46F3-9B64-6A920A7A11E7}">
  <dimension ref="A1:H18"/>
  <sheetViews>
    <sheetView showGridLines="0" workbookViewId="0">
      <selection activeCell="I18" sqref="I18"/>
    </sheetView>
  </sheetViews>
  <sheetFormatPr defaultRowHeight="14.4" x14ac:dyDescent="0.3"/>
  <cols>
    <col min="1" max="1" width="15" bestFit="1" customWidth="1"/>
    <col min="2" max="2" width="7.5546875" bestFit="1" customWidth="1"/>
    <col min="3" max="3" width="4.33203125" bestFit="1" customWidth="1"/>
    <col min="4" max="4" width="21.44140625" bestFit="1" customWidth="1"/>
    <col min="5" max="5" width="20" bestFit="1" customWidth="1"/>
    <col min="7" max="7" width="20" bestFit="1" customWidth="1"/>
    <col min="8" max="8" width="12" bestFit="1" customWidth="1"/>
  </cols>
  <sheetData>
    <row r="1" spans="1:8" x14ac:dyDescent="0.3">
      <c r="A1" s="39" t="s">
        <v>2105</v>
      </c>
      <c r="B1" s="39" t="s">
        <v>2106</v>
      </c>
      <c r="C1" s="57" t="s">
        <v>2107</v>
      </c>
      <c r="D1" s="57" t="s">
        <v>2110</v>
      </c>
      <c r="E1" s="57" t="s">
        <v>2111</v>
      </c>
    </row>
    <row r="2" spans="1:8" x14ac:dyDescent="0.3">
      <c r="A2" s="43" t="s">
        <v>17</v>
      </c>
      <c r="B2" s="43" t="s">
        <v>97</v>
      </c>
      <c r="C2" s="58">
        <v>52</v>
      </c>
      <c r="D2" s="58" t="s">
        <v>21</v>
      </c>
      <c r="E2" s="58">
        <v>11</v>
      </c>
    </row>
    <row r="3" spans="1:8" x14ac:dyDescent="0.3">
      <c r="A3" s="13" t="s">
        <v>27</v>
      </c>
      <c r="B3" s="13" t="s">
        <v>97</v>
      </c>
      <c r="C3" s="51">
        <v>52</v>
      </c>
      <c r="D3" s="51" t="s">
        <v>31</v>
      </c>
      <c r="E3" s="51">
        <v>34</v>
      </c>
    </row>
    <row r="4" spans="1:8" x14ac:dyDescent="0.3">
      <c r="A4" s="43" t="s">
        <v>36</v>
      </c>
      <c r="B4" s="43" t="s">
        <v>118</v>
      </c>
      <c r="C4" s="58">
        <v>53</v>
      </c>
      <c r="D4" s="58" t="s">
        <v>39</v>
      </c>
      <c r="E4" s="58">
        <v>31</v>
      </c>
    </row>
    <row r="5" spans="1:8" x14ac:dyDescent="0.3">
      <c r="A5" s="13" t="s">
        <v>44</v>
      </c>
      <c r="B5" s="13" t="s">
        <v>97</v>
      </c>
      <c r="C5" s="51">
        <v>38</v>
      </c>
      <c r="D5" s="51" t="s">
        <v>46</v>
      </c>
      <c r="E5" s="51">
        <v>4</v>
      </c>
      <c r="G5" s="39" t="s">
        <v>2105</v>
      </c>
      <c r="H5" s="43" t="s">
        <v>84</v>
      </c>
    </row>
    <row r="6" spans="1:8" x14ac:dyDescent="0.3">
      <c r="A6" s="43" t="s">
        <v>49</v>
      </c>
      <c r="B6" s="43" t="s">
        <v>97</v>
      </c>
      <c r="C6" s="58">
        <v>53</v>
      </c>
      <c r="D6" s="58" t="s">
        <v>2120</v>
      </c>
      <c r="E6" s="58">
        <v>27</v>
      </c>
      <c r="G6" s="57" t="s">
        <v>2111</v>
      </c>
      <c r="H6" s="13">
        <f>INDEX(E2:E18,MATCH(H5,A2:A18,0))</f>
        <v>17</v>
      </c>
    </row>
    <row r="7" spans="1:8" x14ac:dyDescent="0.3">
      <c r="A7" s="13" t="s">
        <v>54</v>
      </c>
      <c r="B7" s="13" t="s">
        <v>97</v>
      </c>
      <c r="C7" s="51">
        <v>59</v>
      </c>
      <c r="D7" s="51" t="s">
        <v>57</v>
      </c>
      <c r="E7" s="51">
        <v>14</v>
      </c>
    </row>
    <row r="8" spans="1:8" x14ac:dyDescent="0.3">
      <c r="A8" s="43" t="s">
        <v>62</v>
      </c>
      <c r="B8" s="43" t="s">
        <v>118</v>
      </c>
      <c r="C8" s="58">
        <v>52</v>
      </c>
      <c r="D8" s="58" t="s">
        <v>66</v>
      </c>
      <c r="E8" s="58">
        <v>10</v>
      </c>
    </row>
    <row r="9" spans="1:8" x14ac:dyDescent="0.3">
      <c r="A9" s="13" t="s">
        <v>69</v>
      </c>
      <c r="B9" s="13" t="s">
        <v>118</v>
      </c>
      <c r="C9" s="51">
        <v>43</v>
      </c>
      <c r="D9" s="51" t="s">
        <v>21</v>
      </c>
      <c r="E9" s="51">
        <v>14</v>
      </c>
    </row>
    <row r="10" spans="1:8" x14ac:dyDescent="0.3">
      <c r="A10" s="43" t="s">
        <v>72</v>
      </c>
      <c r="B10" s="43" t="s">
        <v>118</v>
      </c>
      <c r="C10" s="58">
        <v>26</v>
      </c>
      <c r="D10" s="58" t="s">
        <v>21</v>
      </c>
      <c r="E10" s="58">
        <v>4</v>
      </c>
    </row>
    <row r="11" spans="1:8" x14ac:dyDescent="0.3">
      <c r="A11" s="13" t="s">
        <v>77</v>
      </c>
      <c r="B11" s="13" t="s">
        <v>118</v>
      </c>
      <c r="C11" s="51">
        <v>52</v>
      </c>
      <c r="D11" s="51" t="s">
        <v>57</v>
      </c>
      <c r="E11" s="51">
        <v>22</v>
      </c>
    </row>
    <row r="12" spans="1:8" x14ac:dyDescent="0.3">
      <c r="A12" s="43" t="s">
        <v>84</v>
      </c>
      <c r="B12" s="43" t="s">
        <v>118</v>
      </c>
      <c r="C12" s="58">
        <v>40</v>
      </c>
      <c r="D12" s="58" t="s">
        <v>66</v>
      </c>
      <c r="E12" s="58">
        <v>17</v>
      </c>
    </row>
    <row r="13" spans="1:8" x14ac:dyDescent="0.3">
      <c r="A13" s="13" t="s">
        <v>90</v>
      </c>
      <c r="B13" s="13" t="s">
        <v>97</v>
      </c>
      <c r="C13" s="51">
        <v>55</v>
      </c>
      <c r="D13" s="51" t="s">
        <v>93</v>
      </c>
      <c r="E13" s="51">
        <v>15</v>
      </c>
    </row>
    <row r="14" spans="1:8" x14ac:dyDescent="0.3">
      <c r="A14" s="43" t="s">
        <v>96</v>
      </c>
      <c r="B14" s="43" t="s">
        <v>97</v>
      </c>
      <c r="C14" s="58">
        <v>57</v>
      </c>
      <c r="D14" s="58" t="s">
        <v>98</v>
      </c>
      <c r="E14" s="58">
        <v>18</v>
      </c>
    </row>
    <row r="15" spans="1:8" x14ac:dyDescent="0.3">
      <c r="A15" s="13" t="s">
        <v>100</v>
      </c>
      <c r="B15" s="13" t="s">
        <v>118</v>
      </c>
      <c r="C15" s="51">
        <v>38</v>
      </c>
      <c r="D15" s="51" t="s">
        <v>39</v>
      </c>
      <c r="E15" s="51">
        <v>20</v>
      </c>
    </row>
    <row r="16" spans="1:8" x14ac:dyDescent="0.3">
      <c r="A16" s="43" t="s">
        <v>102</v>
      </c>
      <c r="B16" s="43" t="s">
        <v>118</v>
      </c>
      <c r="C16" s="58">
        <v>50</v>
      </c>
      <c r="D16" s="58" t="s">
        <v>66</v>
      </c>
      <c r="E16" s="58">
        <v>22</v>
      </c>
    </row>
    <row r="17" spans="1:5" x14ac:dyDescent="0.3">
      <c r="A17" s="13" t="s">
        <v>105</v>
      </c>
      <c r="B17" s="13" t="s">
        <v>118</v>
      </c>
      <c r="C17" s="51">
        <v>42</v>
      </c>
      <c r="D17" s="51" t="s">
        <v>2120</v>
      </c>
      <c r="E17" s="51">
        <v>0</v>
      </c>
    </row>
    <row r="18" spans="1:5" x14ac:dyDescent="0.3">
      <c r="A18" s="43" t="s">
        <v>109</v>
      </c>
      <c r="B18" s="43" t="s">
        <v>97</v>
      </c>
      <c r="C18" s="58">
        <v>39</v>
      </c>
      <c r="D18" s="58" t="s">
        <v>110</v>
      </c>
      <c r="E18" s="58">
        <v>13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323B1-ACBB-4FDA-8D97-271796CBD818}">
  <dimension ref="A2:R45"/>
  <sheetViews>
    <sheetView zoomScale="86" workbookViewId="0">
      <selection activeCell="R23" sqref="R23"/>
    </sheetView>
  </sheetViews>
  <sheetFormatPr defaultColWidth="9.5546875" defaultRowHeight="14.4" x14ac:dyDescent="0.3"/>
  <cols>
    <col min="1" max="1" width="14.33203125" bestFit="1" customWidth="1"/>
    <col min="2" max="2" width="16.21875" bestFit="1" customWidth="1"/>
    <col min="3" max="3" width="7.109375" bestFit="1" customWidth="1"/>
    <col min="4" max="4" width="11.33203125" bestFit="1" customWidth="1"/>
    <col min="5" max="5" width="6.77734375" bestFit="1" customWidth="1"/>
    <col min="6" max="6" width="26.21875" bestFit="1" customWidth="1"/>
    <col min="7" max="7" width="16.21875" bestFit="1" customWidth="1"/>
    <col min="8" max="8" width="23.21875" bestFit="1" customWidth="1"/>
    <col min="9" max="9" width="12.88671875" bestFit="1" customWidth="1"/>
    <col min="10" max="10" width="12.6640625" bestFit="1" customWidth="1"/>
    <col min="11" max="11" width="7.5546875" bestFit="1" customWidth="1"/>
    <col min="12" max="12" width="14.21875" bestFit="1" customWidth="1"/>
    <col min="13" max="13" width="16.77734375" bestFit="1" customWidth="1"/>
    <col min="14" max="14" width="12" bestFit="1" customWidth="1"/>
    <col min="15" max="15" width="14.6640625" bestFit="1" customWidth="1"/>
    <col min="16" max="16" width="12.33203125" bestFit="1" customWidth="1"/>
    <col min="17" max="17" width="17.6640625" bestFit="1" customWidth="1"/>
    <col min="18" max="18" width="11.33203125" bestFit="1" customWidth="1"/>
    <col min="19" max="19" width="8" bestFit="1" customWidth="1"/>
    <col min="20" max="20" width="10.33203125" bestFit="1" customWidth="1"/>
    <col min="21" max="21" width="16.21875" bestFit="1" customWidth="1"/>
    <col min="22" max="22" width="8" bestFit="1" customWidth="1"/>
    <col min="23" max="23" width="10.33203125" bestFit="1" customWidth="1"/>
    <col min="24" max="24" width="16.21875" bestFit="1" customWidth="1"/>
    <col min="25" max="25" width="8" bestFit="1" customWidth="1"/>
    <col min="26" max="26" width="10.33203125" bestFit="1" customWidth="1"/>
    <col min="27" max="27" width="16.21875" bestFit="1" customWidth="1"/>
    <col min="28" max="28" width="8" bestFit="1" customWidth="1"/>
    <col min="29" max="29" width="10.33203125" bestFit="1" customWidth="1"/>
    <col min="30" max="30" width="16.21875" bestFit="1" customWidth="1"/>
    <col min="31" max="31" width="8" bestFit="1" customWidth="1"/>
    <col min="32" max="32" width="10.33203125" bestFit="1" customWidth="1"/>
    <col min="33" max="33" width="16.21875" bestFit="1" customWidth="1"/>
    <col min="34" max="34" width="8" bestFit="1" customWidth="1"/>
    <col min="35" max="35" width="10.33203125" bestFit="1" customWidth="1"/>
    <col min="36" max="36" width="16.21875" bestFit="1" customWidth="1"/>
    <col min="37" max="37" width="8" bestFit="1" customWidth="1"/>
    <col min="38" max="38" width="10.33203125" bestFit="1" customWidth="1"/>
    <col min="39" max="39" width="16.21875" bestFit="1" customWidth="1"/>
    <col min="40" max="40" width="8" bestFit="1" customWidth="1"/>
    <col min="41" max="41" width="10.33203125" bestFit="1" customWidth="1"/>
    <col min="42" max="42" width="16.21875" bestFit="1" customWidth="1"/>
    <col min="43" max="43" width="8" bestFit="1" customWidth="1"/>
    <col min="44" max="44" width="10.33203125" bestFit="1" customWidth="1"/>
    <col min="45" max="45" width="16.21875" bestFit="1" customWidth="1"/>
    <col min="46" max="46" width="8" bestFit="1" customWidth="1"/>
    <col min="47" max="47" width="10.33203125" bestFit="1" customWidth="1"/>
    <col min="48" max="48" width="16.21875" bestFit="1" customWidth="1"/>
    <col min="49" max="49" width="8" bestFit="1" customWidth="1"/>
    <col min="50" max="50" width="10.33203125" bestFit="1" customWidth="1"/>
    <col min="51" max="51" width="16.21875" bestFit="1" customWidth="1"/>
    <col min="52" max="52" width="8" bestFit="1" customWidth="1"/>
    <col min="53" max="53" width="10.33203125" bestFit="1" customWidth="1"/>
    <col min="54" max="54" width="16.21875" bestFit="1" customWidth="1"/>
    <col min="55" max="55" width="8" bestFit="1" customWidth="1"/>
    <col min="56" max="56" width="10.33203125" bestFit="1" customWidth="1"/>
    <col min="57" max="57" width="16.21875" bestFit="1" customWidth="1"/>
    <col min="58" max="58" width="8" bestFit="1" customWidth="1"/>
    <col min="59" max="59" width="10.33203125" bestFit="1" customWidth="1"/>
    <col min="60" max="60" width="16.21875" bestFit="1" customWidth="1"/>
    <col min="61" max="61" width="8" bestFit="1" customWidth="1"/>
    <col min="62" max="62" width="10.33203125" bestFit="1" customWidth="1"/>
    <col min="63" max="63" width="16.21875" bestFit="1" customWidth="1"/>
    <col min="64" max="64" width="8" bestFit="1" customWidth="1"/>
    <col min="65" max="65" width="10.33203125" bestFit="1" customWidth="1"/>
    <col min="66" max="66" width="16.21875" bestFit="1" customWidth="1"/>
    <col min="67" max="67" width="8" bestFit="1" customWidth="1"/>
    <col min="68" max="68" width="10.33203125" bestFit="1" customWidth="1"/>
    <col min="69" max="69" width="16.21875" bestFit="1" customWidth="1"/>
    <col min="70" max="70" width="8" bestFit="1" customWidth="1"/>
    <col min="71" max="71" width="10.33203125" bestFit="1" customWidth="1"/>
    <col min="72" max="72" width="16.21875" bestFit="1" customWidth="1"/>
    <col min="73" max="73" width="8" bestFit="1" customWidth="1"/>
    <col min="74" max="74" width="10.33203125" bestFit="1" customWidth="1"/>
    <col min="75" max="75" width="16.21875" bestFit="1" customWidth="1"/>
    <col min="76" max="76" width="8" bestFit="1" customWidth="1"/>
    <col min="77" max="77" width="10.33203125" bestFit="1" customWidth="1"/>
    <col min="78" max="78" width="16.21875" bestFit="1" customWidth="1"/>
    <col min="79" max="79" width="8" bestFit="1" customWidth="1"/>
    <col min="80" max="80" width="10.33203125" bestFit="1" customWidth="1"/>
    <col min="81" max="81" width="16.21875" bestFit="1" customWidth="1"/>
    <col min="82" max="82" width="8" bestFit="1" customWidth="1"/>
    <col min="83" max="83" width="10.33203125" bestFit="1" customWidth="1"/>
    <col min="84" max="84" width="16.21875" bestFit="1" customWidth="1"/>
    <col min="85" max="85" width="8" bestFit="1" customWidth="1"/>
    <col min="86" max="86" width="10.33203125" bestFit="1" customWidth="1"/>
    <col min="87" max="87" width="16.21875" bestFit="1" customWidth="1"/>
    <col min="88" max="88" width="8" bestFit="1" customWidth="1"/>
    <col min="89" max="89" width="10.33203125" bestFit="1" customWidth="1"/>
    <col min="90" max="90" width="16.21875" bestFit="1" customWidth="1"/>
    <col min="91" max="91" width="8" bestFit="1" customWidth="1"/>
    <col min="92" max="92" width="10.33203125" bestFit="1" customWidth="1"/>
    <col min="93" max="93" width="16.21875" bestFit="1" customWidth="1"/>
    <col min="94" max="94" width="8" bestFit="1" customWidth="1"/>
    <col min="95" max="95" width="10.33203125" bestFit="1" customWidth="1"/>
    <col min="96" max="96" width="16.21875" bestFit="1" customWidth="1"/>
    <col min="97" max="97" width="8" bestFit="1" customWidth="1"/>
    <col min="98" max="98" width="10.33203125" bestFit="1" customWidth="1"/>
    <col min="99" max="99" width="16.21875" bestFit="1" customWidth="1"/>
    <col min="100" max="100" width="8" bestFit="1" customWidth="1"/>
    <col min="101" max="101" width="10.33203125" bestFit="1" customWidth="1"/>
    <col min="102" max="102" width="16.21875" bestFit="1" customWidth="1"/>
    <col min="103" max="103" width="8" bestFit="1" customWidth="1"/>
    <col min="104" max="104" width="10.33203125" bestFit="1" customWidth="1"/>
    <col min="105" max="105" width="16.21875" bestFit="1" customWidth="1"/>
    <col min="106" max="106" width="8" bestFit="1" customWidth="1"/>
    <col min="107" max="107" width="10.33203125" bestFit="1" customWidth="1"/>
    <col min="108" max="108" width="16.21875" bestFit="1" customWidth="1"/>
    <col min="109" max="109" width="8" bestFit="1" customWidth="1"/>
    <col min="110" max="110" width="10.33203125" bestFit="1" customWidth="1"/>
    <col min="111" max="111" width="16.21875" bestFit="1" customWidth="1"/>
    <col min="112" max="112" width="8" bestFit="1" customWidth="1"/>
    <col min="113" max="113" width="10.33203125" bestFit="1" customWidth="1"/>
    <col min="114" max="114" width="16.21875" bestFit="1" customWidth="1"/>
    <col min="115" max="115" width="8" bestFit="1" customWidth="1"/>
    <col min="116" max="116" width="10.33203125" bestFit="1" customWidth="1"/>
    <col min="117" max="117" width="16.21875" bestFit="1" customWidth="1"/>
    <col min="118" max="118" width="8" bestFit="1" customWidth="1"/>
    <col min="119" max="119" width="10.33203125" bestFit="1" customWidth="1"/>
    <col min="120" max="120" width="16.21875" bestFit="1" customWidth="1"/>
    <col min="121" max="121" width="8" bestFit="1" customWidth="1"/>
    <col min="122" max="122" width="10.33203125" bestFit="1" customWidth="1"/>
    <col min="123" max="123" width="16.21875" bestFit="1" customWidth="1"/>
    <col min="124" max="124" width="8" bestFit="1" customWidth="1"/>
    <col min="125" max="125" width="10.33203125" bestFit="1" customWidth="1"/>
    <col min="126" max="126" width="16.21875" bestFit="1" customWidth="1"/>
    <col min="127" max="127" width="8" bestFit="1" customWidth="1"/>
    <col min="128" max="128" width="11.109375" bestFit="1" customWidth="1"/>
    <col min="129" max="129" width="16.21875" bestFit="1" customWidth="1"/>
    <col min="130" max="130" width="14.6640625" bestFit="1" customWidth="1"/>
    <col min="131" max="131" width="11.33203125" bestFit="1" customWidth="1"/>
    <col min="132" max="139" width="3" bestFit="1" customWidth="1"/>
    <col min="140" max="140" width="17.109375" bestFit="1" customWidth="1"/>
    <col min="141" max="141" width="16.21875" bestFit="1" customWidth="1"/>
    <col min="142" max="142" width="2" bestFit="1" customWidth="1"/>
    <col min="143" max="143" width="19.88671875" bestFit="1" customWidth="1"/>
    <col min="144" max="144" width="14.21875" bestFit="1" customWidth="1"/>
    <col min="145" max="159" width="3" bestFit="1" customWidth="1"/>
    <col min="160" max="160" width="17.6640625" bestFit="1" customWidth="1"/>
    <col min="161" max="161" width="19.21875" bestFit="1" customWidth="1"/>
    <col min="162" max="178" width="3" bestFit="1" customWidth="1"/>
    <col min="179" max="179" width="22.88671875" bestFit="1" customWidth="1"/>
    <col min="180" max="180" width="11.33203125" bestFit="1" customWidth="1"/>
  </cols>
  <sheetData>
    <row r="2" spans="1:18" x14ac:dyDescent="0.3">
      <c r="A2" s="61" t="s">
        <v>2105</v>
      </c>
      <c r="B2" t="s">
        <v>2189</v>
      </c>
    </row>
    <row r="4" spans="1:18" x14ac:dyDescent="0.3">
      <c r="A4" s="61" t="s">
        <v>2193</v>
      </c>
      <c r="B4" s="61" t="s">
        <v>2192</v>
      </c>
      <c r="F4" s="61" t="s">
        <v>2198</v>
      </c>
      <c r="G4" s="61" t="s">
        <v>2192</v>
      </c>
    </row>
    <row r="5" spans="1:18" x14ac:dyDescent="0.3">
      <c r="A5" s="61" t="s">
        <v>2190</v>
      </c>
      <c r="B5" t="s">
        <v>118</v>
      </c>
      <c r="C5" t="s">
        <v>97</v>
      </c>
      <c r="D5" t="s">
        <v>2191</v>
      </c>
      <c r="F5" s="61" t="s">
        <v>2190</v>
      </c>
      <c r="G5" t="s">
        <v>57</v>
      </c>
      <c r="H5" t="s">
        <v>21</v>
      </c>
      <c r="I5" t="s">
        <v>98</v>
      </c>
      <c r="J5" t="s">
        <v>66</v>
      </c>
      <c r="K5" t="s">
        <v>110</v>
      </c>
      <c r="L5" t="s">
        <v>39</v>
      </c>
      <c r="M5" t="s">
        <v>135</v>
      </c>
      <c r="N5" t="s">
        <v>31</v>
      </c>
      <c r="O5" t="s">
        <v>2120</v>
      </c>
      <c r="P5" t="s">
        <v>93</v>
      </c>
      <c r="Q5" t="s">
        <v>46</v>
      </c>
      <c r="R5" t="s">
        <v>2191</v>
      </c>
    </row>
    <row r="6" spans="1:18" x14ac:dyDescent="0.3">
      <c r="A6" s="2" t="s">
        <v>91</v>
      </c>
      <c r="B6">
        <v>22</v>
      </c>
      <c r="C6">
        <v>24</v>
      </c>
      <c r="D6">
        <v>46</v>
      </c>
      <c r="F6" s="2" t="s">
        <v>91</v>
      </c>
      <c r="G6">
        <v>18</v>
      </c>
      <c r="H6">
        <v>17</v>
      </c>
      <c r="I6">
        <v>20</v>
      </c>
      <c r="J6">
        <v>23</v>
      </c>
      <c r="L6">
        <v>63</v>
      </c>
      <c r="M6">
        <v>48</v>
      </c>
      <c r="N6">
        <v>94</v>
      </c>
      <c r="P6">
        <v>46</v>
      </c>
      <c r="Q6">
        <v>51</v>
      </c>
      <c r="R6">
        <v>380</v>
      </c>
    </row>
    <row r="7" spans="1:18" x14ac:dyDescent="0.3">
      <c r="A7" s="2" t="s">
        <v>29</v>
      </c>
      <c r="B7">
        <v>27</v>
      </c>
      <c r="C7">
        <v>24</v>
      </c>
      <c r="D7">
        <v>51</v>
      </c>
      <c r="F7" s="2" t="s">
        <v>29</v>
      </c>
      <c r="G7">
        <v>30</v>
      </c>
      <c r="H7">
        <v>83</v>
      </c>
      <c r="I7">
        <v>53</v>
      </c>
      <c r="J7">
        <v>16</v>
      </c>
      <c r="K7">
        <v>32</v>
      </c>
      <c r="L7">
        <v>114</v>
      </c>
      <c r="M7">
        <v>33</v>
      </c>
      <c r="N7">
        <v>48</v>
      </c>
      <c r="P7">
        <v>20</v>
      </c>
      <c r="Q7">
        <v>143</v>
      </c>
      <c r="R7">
        <v>572</v>
      </c>
    </row>
    <row r="8" spans="1:18" x14ac:dyDescent="0.3">
      <c r="A8" s="2" t="s">
        <v>128</v>
      </c>
      <c r="B8">
        <v>14</v>
      </c>
      <c r="C8">
        <v>17</v>
      </c>
      <c r="D8">
        <v>31</v>
      </c>
      <c r="F8" s="2" t="s">
        <v>128</v>
      </c>
      <c r="G8">
        <v>26</v>
      </c>
      <c r="H8">
        <v>33</v>
      </c>
      <c r="I8">
        <v>36</v>
      </c>
      <c r="J8">
        <v>16</v>
      </c>
      <c r="K8">
        <v>20</v>
      </c>
      <c r="L8">
        <v>33</v>
      </c>
      <c r="M8">
        <v>75</v>
      </c>
      <c r="N8">
        <v>54</v>
      </c>
      <c r="P8">
        <v>30</v>
      </c>
      <c r="Q8">
        <v>29</v>
      </c>
      <c r="R8">
        <v>352</v>
      </c>
    </row>
    <row r="9" spans="1:18" x14ac:dyDescent="0.3">
      <c r="A9" s="2" t="s">
        <v>149</v>
      </c>
      <c r="B9">
        <v>27</v>
      </c>
      <c r="C9">
        <v>38</v>
      </c>
      <c r="D9">
        <v>65</v>
      </c>
      <c r="F9" s="2" t="s">
        <v>149</v>
      </c>
      <c r="G9">
        <v>43</v>
      </c>
      <c r="H9">
        <v>79</v>
      </c>
      <c r="I9">
        <v>190</v>
      </c>
      <c r="J9">
        <v>46</v>
      </c>
      <c r="K9">
        <v>38</v>
      </c>
      <c r="L9">
        <v>76</v>
      </c>
      <c r="M9">
        <v>52</v>
      </c>
      <c r="N9">
        <v>31</v>
      </c>
      <c r="P9">
        <v>61</v>
      </c>
      <c r="Q9">
        <v>97</v>
      </c>
      <c r="R9">
        <v>713</v>
      </c>
    </row>
    <row r="10" spans="1:18" x14ac:dyDescent="0.3">
      <c r="A10" s="2" t="s">
        <v>197</v>
      </c>
      <c r="B10">
        <v>21</v>
      </c>
      <c r="C10">
        <v>28</v>
      </c>
      <c r="D10">
        <v>49</v>
      </c>
      <c r="F10" s="2" t="s">
        <v>197</v>
      </c>
      <c r="G10">
        <v>35</v>
      </c>
      <c r="H10">
        <v>42</v>
      </c>
      <c r="I10">
        <v>27</v>
      </c>
      <c r="J10">
        <v>19</v>
      </c>
      <c r="K10">
        <v>92</v>
      </c>
      <c r="L10">
        <v>9</v>
      </c>
      <c r="M10">
        <v>77</v>
      </c>
      <c r="N10">
        <v>29</v>
      </c>
      <c r="P10">
        <v>128</v>
      </c>
      <c r="R10">
        <v>458</v>
      </c>
    </row>
    <row r="11" spans="1:18" x14ac:dyDescent="0.3">
      <c r="A11" s="2" t="s">
        <v>160</v>
      </c>
      <c r="B11">
        <v>23</v>
      </c>
      <c r="C11">
        <v>19</v>
      </c>
      <c r="D11">
        <v>42</v>
      </c>
      <c r="F11" s="2" t="s">
        <v>160</v>
      </c>
      <c r="G11">
        <v>14</v>
      </c>
      <c r="H11">
        <v>64</v>
      </c>
      <c r="I11">
        <v>10</v>
      </c>
      <c r="J11">
        <v>22</v>
      </c>
      <c r="K11">
        <v>71</v>
      </c>
      <c r="L11">
        <v>79</v>
      </c>
      <c r="M11">
        <v>22</v>
      </c>
      <c r="N11">
        <v>43</v>
      </c>
      <c r="P11">
        <v>16</v>
      </c>
      <c r="Q11">
        <v>53</v>
      </c>
      <c r="R11">
        <v>394</v>
      </c>
    </row>
    <row r="12" spans="1:18" x14ac:dyDescent="0.3">
      <c r="A12" s="2" t="s">
        <v>156</v>
      </c>
      <c r="B12">
        <v>25</v>
      </c>
      <c r="C12">
        <v>19</v>
      </c>
      <c r="D12">
        <v>44</v>
      </c>
      <c r="F12" s="2" t="s">
        <v>156</v>
      </c>
      <c r="G12">
        <v>41</v>
      </c>
      <c r="H12">
        <v>11</v>
      </c>
      <c r="I12">
        <v>95</v>
      </c>
      <c r="J12">
        <v>37</v>
      </c>
      <c r="K12">
        <v>52</v>
      </c>
      <c r="L12">
        <v>42</v>
      </c>
      <c r="M12">
        <v>45</v>
      </c>
      <c r="N12">
        <v>38</v>
      </c>
      <c r="P12">
        <v>86</v>
      </c>
      <c r="Q12">
        <v>39</v>
      </c>
      <c r="R12">
        <v>486</v>
      </c>
    </row>
    <row r="13" spans="1:18" x14ac:dyDescent="0.3">
      <c r="A13" s="2" t="s">
        <v>38</v>
      </c>
      <c r="B13">
        <v>28</v>
      </c>
      <c r="C13">
        <v>24</v>
      </c>
      <c r="D13">
        <v>52</v>
      </c>
      <c r="F13" s="2" t="s">
        <v>38</v>
      </c>
      <c r="G13">
        <v>39</v>
      </c>
      <c r="H13">
        <v>37</v>
      </c>
      <c r="I13">
        <v>14</v>
      </c>
      <c r="J13">
        <v>60</v>
      </c>
      <c r="K13">
        <v>70</v>
      </c>
      <c r="L13">
        <v>62</v>
      </c>
      <c r="M13">
        <v>47</v>
      </c>
      <c r="N13">
        <v>83</v>
      </c>
      <c r="O13">
        <v>27</v>
      </c>
      <c r="P13">
        <v>79</v>
      </c>
      <c r="Q13">
        <v>35</v>
      </c>
      <c r="R13">
        <v>553</v>
      </c>
    </row>
    <row r="14" spans="1:18" x14ac:dyDescent="0.3">
      <c r="A14" s="2" t="s">
        <v>114</v>
      </c>
      <c r="B14">
        <v>28</v>
      </c>
      <c r="C14">
        <v>17</v>
      </c>
      <c r="D14">
        <v>45</v>
      </c>
      <c r="F14" s="2" t="s">
        <v>114</v>
      </c>
      <c r="G14">
        <v>64</v>
      </c>
      <c r="H14">
        <v>52</v>
      </c>
      <c r="I14">
        <v>53</v>
      </c>
      <c r="J14">
        <v>26</v>
      </c>
      <c r="K14">
        <v>8</v>
      </c>
      <c r="L14">
        <v>29</v>
      </c>
      <c r="M14">
        <v>48</v>
      </c>
      <c r="N14">
        <v>97</v>
      </c>
      <c r="P14">
        <v>14</v>
      </c>
      <c r="Q14">
        <v>23</v>
      </c>
      <c r="R14">
        <v>414</v>
      </c>
    </row>
    <row r="15" spans="1:18" x14ac:dyDescent="0.3">
      <c r="A15" s="2" t="s">
        <v>64</v>
      </c>
      <c r="B15">
        <v>21</v>
      </c>
      <c r="C15">
        <v>24</v>
      </c>
      <c r="D15">
        <v>45</v>
      </c>
      <c r="F15" s="2" t="s">
        <v>64</v>
      </c>
      <c r="G15">
        <v>125</v>
      </c>
      <c r="H15">
        <v>53</v>
      </c>
      <c r="I15">
        <v>16</v>
      </c>
      <c r="J15">
        <v>71</v>
      </c>
      <c r="K15">
        <v>15</v>
      </c>
      <c r="L15">
        <v>52</v>
      </c>
      <c r="M15">
        <v>34</v>
      </c>
      <c r="N15">
        <v>79</v>
      </c>
      <c r="P15">
        <v>56</v>
      </c>
      <c r="Q15">
        <v>64</v>
      </c>
      <c r="R15">
        <v>565</v>
      </c>
    </row>
    <row r="16" spans="1:18" x14ac:dyDescent="0.3">
      <c r="A16" s="2" t="s">
        <v>19</v>
      </c>
      <c r="B16">
        <v>21</v>
      </c>
      <c r="C16">
        <v>20</v>
      </c>
      <c r="D16">
        <v>41</v>
      </c>
      <c r="F16" s="2" t="s">
        <v>19</v>
      </c>
      <c r="G16">
        <v>4</v>
      </c>
      <c r="H16">
        <v>35</v>
      </c>
      <c r="I16">
        <v>21</v>
      </c>
      <c r="J16">
        <v>58</v>
      </c>
      <c r="K16">
        <v>83</v>
      </c>
      <c r="L16">
        <v>14</v>
      </c>
      <c r="M16">
        <v>49</v>
      </c>
      <c r="N16">
        <v>76</v>
      </c>
      <c r="P16">
        <v>28</v>
      </c>
      <c r="Q16">
        <v>71</v>
      </c>
      <c r="R16">
        <v>439</v>
      </c>
    </row>
    <row r="17" spans="1:18" x14ac:dyDescent="0.3">
      <c r="A17" s="2" t="s">
        <v>106</v>
      </c>
      <c r="B17">
        <v>20</v>
      </c>
      <c r="C17">
        <v>17</v>
      </c>
      <c r="D17">
        <v>37</v>
      </c>
      <c r="F17" s="2" t="s">
        <v>106</v>
      </c>
      <c r="G17">
        <v>59</v>
      </c>
      <c r="H17">
        <v>13</v>
      </c>
      <c r="I17">
        <v>15</v>
      </c>
      <c r="J17">
        <v>83</v>
      </c>
      <c r="K17">
        <v>34</v>
      </c>
      <c r="L17">
        <v>37</v>
      </c>
      <c r="M17">
        <v>12</v>
      </c>
      <c r="N17">
        <v>16</v>
      </c>
      <c r="O17">
        <v>0</v>
      </c>
      <c r="P17">
        <v>0</v>
      </c>
      <c r="Q17">
        <v>64</v>
      </c>
      <c r="R17">
        <v>333</v>
      </c>
    </row>
    <row r="18" spans="1:18" x14ac:dyDescent="0.3">
      <c r="A18" s="2" t="s">
        <v>201</v>
      </c>
      <c r="B18">
        <v>25</v>
      </c>
      <c r="C18">
        <v>25</v>
      </c>
      <c r="D18">
        <v>50</v>
      </c>
      <c r="F18" s="2" t="s">
        <v>201</v>
      </c>
      <c r="G18">
        <v>50</v>
      </c>
      <c r="H18">
        <v>43</v>
      </c>
      <c r="I18">
        <v>19</v>
      </c>
      <c r="J18">
        <v>23</v>
      </c>
      <c r="K18">
        <v>69</v>
      </c>
      <c r="L18">
        <v>79</v>
      </c>
      <c r="M18">
        <v>58</v>
      </c>
      <c r="N18">
        <v>57</v>
      </c>
      <c r="P18">
        <v>96</v>
      </c>
      <c r="Q18">
        <v>72</v>
      </c>
      <c r="R18">
        <v>566</v>
      </c>
    </row>
    <row r="19" spans="1:18" x14ac:dyDescent="0.3">
      <c r="A19" s="2" t="s">
        <v>55</v>
      </c>
      <c r="B19">
        <v>22</v>
      </c>
      <c r="C19">
        <v>28</v>
      </c>
      <c r="D19">
        <v>50</v>
      </c>
      <c r="F19" s="2" t="s">
        <v>55</v>
      </c>
      <c r="G19">
        <v>77</v>
      </c>
      <c r="H19">
        <v>39</v>
      </c>
      <c r="I19">
        <v>43</v>
      </c>
      <c r="J19">
        <v>59</v>
      </c>
      <c r="K19">
        <v>56</v>
      </c>
      <c r="L19">
        <v>27</v>
      </c>
      <c r="M19">
        <v>96</v>
      </c>
      <c r="N19">
        <v>63</v>
      </c>
      <c r="P19">
        <v>14</v>
      </c>
      <c r="Q19">
        <v>72</v>
      </c>
      <c r="R19">
        <v>546</v>
      </c>
    </row>
    <row r="20" spans="1:18" x14ac:dyDescent="0.3">
      <c r="A20" s="2" t="s">
        <v>2120</v>
      </c>
      <c r="B20">
        <v>3</v>
      </c>
      <c r="C20">
        <v>1</v>
      </c>
      <c r="D20">
        <v>4</v>
      </c>
      <c r="F20" s="2" t="s">
        <v>2120</v>
      </c>
      <c r="L20">
        <v>20</v>
      </c>
      <c r="M20">
        <v>27</v>
      </c>
      <c r="P20">
        <v>1</v>
      </c>
      <c r="R20">
        <v>48</v>
      </c>
    </row>
    <row r="21" spans="1:18" x14ac:dyDescent="0.3">
      <c r="A21" s="2" t="s">
        <v>145</v>
      </c>
      <c r="B21">
        <v>20</v>
      </c>
      <c r="C21">
        <v>27</v>
      </c>
      <c r="D21">
        <v>47</v>
      </c>
      <c r="F21" s="2" t="s">
        <v>145</v>
      </c>
      <c r="G21">
        <v>45</v>
      </c>
      <c r="H21">
        <v>84</v>
      </c>
      <c r="I21">
        <v>22</v>
      </c>
      <c r="J21">
        <v>70</v>
      </c>
      <c r="K21">
        <v>76</v>
      </c>
      <c r="L21">
        <v>65</v>
      </c>
      <c r="M21">
        <v>42</v>
      </c>
      <c r="N21">
        <v>49</v>
      </c>
      <c r="P21">
        <v>36</v>
      </c>
      <c r="Q21">
        <v>42</v>
      </c>
      <c r="R21">
        <v>531</v>
      </c>
    </row>
    <row r="22" spans="1:18" x14ac:dyDescent="0.3">
      <c r="A22" s="2" t="s">
        <v>175</v>
      </c>
      <c r="B22">
        <v>20</v>
      </c>
      <c r="C22">
        <v>24</v>
      </c>
      <c r="D22">
        <v>44</v>
      </c>
      <c r="F22" s="2" t="s">
        <v>175</v>
      </c>
      <c r="G22">
        <v>25</v>
      </c>
      <c r="I22">
        <v>83</v>
      </c>
      <c r="J22">
        <v>35</v>
      </c>
      <c r="K22">
        <v>44</v>
      </c>
      <c r="L22">
        <v>55</v>
      </c>
      <c r="M22">
        <v>72</v>
      </c>
      <c r="N22">
        <v>84</v>
      </c>
      <c r="P22">
        <v>58</v>
      </c>
      <c r="Q22">
        <v>29</v>
      </c>
      <c r="R22">
        <v>485</v>
      </c>
    </row>
    <row r="23" spans="1:18" x14ac:dyDescent="0.3">
      <c r="A23" s="2" t="s">
        <v>133</v>
      </c>
      <c r="B23">
        <v>39</v>
      </c>
      <c r="C23">
        <v>29</v>
      </c>
      <c r="D23">
        <v>68</v>
      </c>
      <c r="F23" s="2" t="s">
        <v>133</v>
      </c>
      <c r="G23">
        <v>52</v>
      </c>
      <c r="H23">
        <v>54</v>
      </c>
      <c r="I23">
        <v>76</v>
      </c>
      <c r="J23">
        <v>39</v>
      </c>
      <c r="K23">
        <v>43</v>
      </c>
      <c r="L23">
        <v>78</v>
      </c>
      <c r="M23">
        <v>90</v>
      </c>
      <c r="N23">
        <v>70</v>
      </c>
      <c r="O23">
        <v>28</v>
      </c>
      <c r="P23">
        <v>112</v>
      </c>
      <c r="Q23">
        <v>120</v>
      </c>
      <c r="R23">
        <v>762</v>
      </c>
    </row>
    <row r="24" spans="1:18" x14ac:dyDescent="0.3">
      <c r="A24" s="2" t="s">
        <v>212</v>
      </c>
      <c r="B24">
        <v>26</v>
      </c>
      <c r="C24">
        <v>19</v>
      </c>
      <c r="D24">
        <v>45</v>
      </c>
      <c r="F24" s="2" t="s">
        <v>212</v>
      </c>
      <c r="G24">
        <v>31</v>
      </c>
      <c r="H24">
        <v>110</v>
      </c>
      <c r="I24">
        <v>116</v>
      </c>
      <c r="J24">
        <v>51</v>
      </c>
      <c r="K24">
        <v>56</v>
      </c>
      <c r="L24">
        <v>28</v>
      </c>
      <c r="M24">
        <v>48</v>
      </c>
      <c r="N24">
        <v>33</v>
      </c>
      <c r="P24">
        <v>3</v>
      </c>
      <c r="Q24">
        <v>32</v>
      </c>
      <c r="R24">
        <v>508</v>
      </c>
    </row>
    <row r="25" spans="1:18" x14ac:dyDescent="0.3">
      <c r="A25" s="2" t="s">
        <v>79</v>
      </c>
      <c r="B25">
        <v>24</v>
      </c>
      <c r="C25">
        <v>21</v>
      </c>
      <c r="D25">
        <v>45</v>
      </c>
      <c r="F25" s="2" t="s">
        <v>79</v>
      </c>
      <c r="G25">
        <v>38</v>
      </c>
      <c r="H25">
        <v>30</v>
      </c>
      <c r="I25">
        <v>13</v>
      </c>
      <c r="J25">
        <v>36</v>
      </c>
      <c r="K25">
        <v>54</v>
      </c>
      <c r="L25">
        <v>83</v>
      </c>
      <c r="M25">
        <v>1</v>
      </c>
      <c r="N25">
        <v>41</v>
      </c>
      <c r="P25">
        <v>26</v>
      </c>
      <c r="Q25">
        <v>128</v>
      </c>
      <c r="R25">
        <v>450</v>
      </c>
    </row>
    <row r="26" spans="1:18" x14ac:dyDescent="0.3">
      <c r="A26" s="2" t="s">
        <v>85</v>
      </c>
      <c r="B26">
        <v>27</v>
      </c>
      <c r="C26">
        <v>23</v>
      </c>
      <c r="D26">
        <v>50</v>
      </c>
      <c r="F26" s="2" t="s">
        <v>85</v>
      </c>
      <c r="G26">
        <v>73</v>
      </c>
      <c r="H26">
        <v>17</v>
      </c>
      <c r="I26">
        <v>99</v>
      </c>
      <c r="J26">
        <v>97</v>
      </c>
      <c r="K26">
        <v>173</v>
      </c>
      <c r="L26">
        <v>1</v>
      </c>
      <c r="M26">
        <v>30</v>
      </c>
      <c r="N26">
        <v>48</v>
      </c>
      <c r="P26">
        <v>70</v>
      </c>
      <c r="Q26">
        <v>7</v>
      </c>
      <c r="R26">
        <v>615</v>
      </c>
    </row>
    <row r="27" spans="1:18" x14ac:dyDescent="0.3">
      <c r="A27" s="2" t="s">
        <v>73</v>
      </c>
      <c r="B27">
        <v>27</v>
      </c>
      <c r="C27">
        <v>22</v>
      </c>
      <c r="D27">
        <v>49</v>
      </c>
      <c r="F27" s="2" t="s">
        <v>73</v>
      </c>
      <c r="G27">
        <v>48</v>
      </c>
      <c r="H27">
        <v>70</v>
      </c>
      <c r="I27">
        <v>44</v>
      </c>
      <c r="K27">
        <v>52</v>
      </c>
      <c r="L27">
        <v>69</v>
      </c>
      <c r="M27">
        <v>45</v>
      </c>
      <c r="N27">
        <v>67</v>
      </c>
      <c r="P27">
        <v>150</v>
      </c>
      <c r="Q27">
        <v>47</v>
      </c>
      <c r="R27">
        <v>592</v>
      </c>
    </row>
    <row r="28" spans="1:18" x14ac:dyDescent="0.3">
      <c r="A28" s="2" t="s">
        <v>2191</v>
      </c>
      <c r="B28">
        <v>510</v>
      </c>
      <c r="C28">
        <v>490</v>
      </c>
      <c r="D28">
        <v>1000</v>
      </c>
      <c r="F28" s="2" t="s">
        <v>2191</v>
      </c>
      <c r="G28">
        <v>937</v>
      </c>
      <c r="H28">
        <v>966</v>
      </c>
      <c r="I28">
        <v>1065</v>
      </c>
      <c r="J28">
        <v>887</v>
      </c>
      <c r="K28">
        <v>1138</v>
      </c>
      <c r="L28">
        <v>1115</v>
      </c>
      <c r="M28">
        <v>1051</v>
      </c>
      <c r="N28">
        <v>1200</v>
      </c>
      <c r="O28">
        <v>55</v>
      </c>
      <c r="P28">
        <v>1130</v>
      </c>
      <c r="Q28">
        <v>1218</v>
      </c>
      <c r="R28">
        <v>10762</v>
      </c>
    </row>
    <row r="30" spans="1:18" x14ac:dyDescent="0.3">
      <c r="A30" s="61" t="s">
        <v>2108</v>
      </c>
      <c r="B30" t="s">
        <v>2189</v>
      </c>
      <c r="H30" s="61" t="s">
        <v>2108</v>
      </c>
      <c r="I30" t="s">
        <v>2189</v>
      </c>
    </row>
    <row r="32" spans="1:18" x14ac:dyDescent="0.3">
      <c r="A32" s="61" t="s">
        <v>2194</v>
      </c>
      <c r="B32" s="61" t="s">
        <v>2192</v>
      </c>
      <c r="H32" s="61" t="s">
        <v>2195</v>
      </c>
      <c r="I32" s="61" t="s">
        <v>2192</v>
      </c>
    </row>
    <row r="33" spans="1:11" x14ac:dyDescent="0.3">
      <c r="A33" s="61" t="s">
        <v>2190</v>
      </c>
      <c r="B33" t="s">
        <v>88</v>
      </c>
      <c r="C33" t="s">
        <v>82</v>
      </c>
      <c r="D33" t="s">
        <v>24</v>
      </c>
      <c r="E33" t="s">
        <v>60</v>
      </c>
      <c r="F33" t="s">
        <v>2191</v>
      </c>
      <c r="H33" s="61" t="s">
        <v>2190</v>
      </c>
      <c r="I33" t="s">
        <v>2196</v>
      </c>
      <c r="J33" t="s">
        <v>2197</v>
      </c>
      <c r="K33" t="s">
        <v>2191</v>
      </c>
    </row>
    <row r="34" spans="1:11" x14ac:dyDescent="0.3">
      <c r="A34" s="2" t="s">
        <v>57</v>
      </c>
      <c r="B34">
        <v>25</v>
      </c>
      <c r="C34">
        <v>30</v>
      </c>
      <c r="D34">
        <v>17</v>
      </c>
      <c r="E34">
        <v>28</v>
      </c>
      <c r="F34">
        <v>100</v>
      </c>
      <c r="H34" s="2" t="s">
        <v>118</v>
      </c>
      <c r="I34">
        <v>209</v>
      </c>
      <c r="J34">
        <v>301</v>
      </c>
      <c r="K34">
        <v>510</v>
      </c>
    </row>
    <row r="35" spans="1:11" x14ac:dyDescent="0.3">
      <c r="A35" s="2" t="s">
        <v>21</v>
      </c>
      <c r="B35">
        <v>29</v>
      </c>
      <c r="C35">
        <v>23</v>
      </c>
      <c r="D35">
        <v>23</v>
      </c>
      <c r="E35">
        <v>30</v>
      </c>
      <c r="F35">
        <v>105</v>
      </c>
      <c r="H35" s="2" t="s">
        <v>97</v>
      </c>
      <c r="I35">
        <v>182</v>
      </c>
      <c r="J35">
        <v>308</v>
      </c>
      <c r="K35">
        <v>490</v>
      </c>
    </row>
    <row r="36" spans="1:11" x14ac:dyDescent="0.3">
      <c r="A36" s="2" t="s">
        <v>98</v>
      </c>
      <c r="B36">
        <v>18</v>
      </c>
      <c r="C36">
        <v>16</v>
      </c>
      <c r="D36">
        <v>25</v>
      </c>
      <c r="E36">
        <v>27</v>
      </c>
      <c r="F36">
        <v>86</v>
      </c>
      <c r="H36" s="2" t="s">
        <v>2191</v>
      </c>
      <c r="I36">
        <v>391</v>
      </c>
      <c r="J36">
        <v>609</v>
      </c>
      <c r="K36">
        <v>1000</v>
      </c>
    </row>
    <row r="37" spans="1:11" x14ac:dyDescent="0.3">
      <c r="A37" s="2" t="s">
        <v>66</v>
      </c>
      <c r="B37">
        <v>29</v>
      </c>
      <c r="C37">
        <v>24</v>
      </c>
      <c r="D37">
        <v>21</v>
      </c>
      <c r="E37">
        <v>21</v>
      </c>
      <c r="F37">
        <v>95</v>
      </c>
    </row>
    <row r="38" spans="1:11" x14ac:dyDescent="0.3">
      <c r="A38" s="2" t="s">
        <v>110</v>
      </c>
      <c r="B38">
        <v>25</v>
      </c>
      <c r="C38">
        <v>26</v>
      </c>
      <c r="D38">
        <v>20</v>
      </c>
      <c r="E38">
        <v>41</v>
      </c>
      <c r="F38">
        <v>112</v>
      </c>
    </row>
    <row r="39" spans="1:11" x14ac:dyDescent="0.3">
      <c r="A39" s="2" t="s">
        <v>39</v>
      </c>
      <c r="B39">
        <v>26</v>
      </c>
      <c r="C39">
        <v>23</v>
      </c>
      <c r="D39">
        <v>22</v>
      </c>
      <c r="E39">
        <v>22</v>
      </c>
      <c r="F39">
        <v>93</v>
      </c>
    </row>
    <row r="40" spans="1:11" x14ac:dyDescent="0.3">
      <c r="A40" s="2" t="s">
        <v>135</v>
      </c>
      <c r="B40">
        <v>26</v>
      </c>
      <c r="C40">
        <v>26</v>
      </c>
      <c r="D40">
        <v>18</v>
      </c>
      <c r="E40">
        <v>23</v>
      </c>
      <c r="F40">
        <v>93</v>
      </c>
    </row>
    <row r="41" spans="1:11" x14ac:dyDescent="0.3">
      <c r="A41" s="2" t="s">
        <v>31</v>
      </c>
      <c r="B41">
        <v>26</v>
      </c>
      <c r="C41">
        <v>24</v>
      </c>
      <c r="D41">
        <v>35</v>
      </c>
      <c r="E41">
        <v>17</v>
      </c>
      <c r="F41">
        <v>102</v>
      </c>
    </row>
    <row r="42" spans="1:11" x14ac:dyDescent="0.3">
      <c r="A42" s="2" t="s">
        <v>2120</v>
      </c>
      <c r="D42">
        <v>1</v>
      </c>
      <c r="E42">
        <v>2</v>
      </c>
      <c r="F42">
        <v>3</v>
      </c>
    </row>
    <row r="43" spans="1:11" x14ac:dyDescent="0.3">
      <c r="A43" s="2" t="s">
        <v>93</v>
      </c>
      <c r="B43">
        <v>26</v>
      </c>
      <c r="C43">
        <v>31</v>
      </c>
      <c r="D43">
        <v>31</v>
      </c>
      <c r="E43">
        <v>21</v>
      </c>
      <c r="F43">
        <v>109</v>
      </c>
    </row>
    <row r="44" spans="1:11" x14ac:dyDescent="0.3">
      <c r="A44" s="2" t="s">
        <v>46</v>
      </c>
      <c r="B44">
        <v>25</v>
      </c>
      <c r="C44">
        <v>24</v>
      </c>
      <c r="D44">
        <v>19</v>
      </c>
      <c r="E44">
        <v>34</v>
      </c>
      <c r="F44">
        <v>102</v>
      </c>
    </row>
    <row r="45" spans="1:11" x14ac:dyDescent="0.3">
      <c r="A45" s="2" t="s">
        <v>2191</v>
      </c>
      <c r="B45">
        <v>255</v>
      </c>
      <c r="C45">
        <v>247</v>
      </c>
      <c r="D45">
        <v>232</v>
      </c>
      <c r="E45">
        <v>266</v>
      </c>
      <c r="F45">
        <v>1000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6A6F6-EC13-4D5C-85C7-429B68860F1B}">
  <dimension ref="A1"/>
  <sheetViews>
    <sheetView showGridLines="0" workbookViewId="0">
      <selection activeCell="M6" sqref="M6"/>
    </sheetView>
  </sheetViews>
  <sheetFormatPr defaultRowHeight="14.4" x14ac:dyDescent="0.3"/>
  <cols>
    <col min="1" max="16384" width="8.88671875" style="6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6C2EC03C-0175-4A5A-AAAA-E274AE9D5AAA}">
  <ds:schemaRefs>
    <ds:schemaRef ds:uri="http://schemas.microsoft.com/DataMashup"/>
  </ds:schemaRefs>
</ds:datastoreItem>
</file>

<file path=customXml/itemProps2.xml><?xml version="1.0" encoding="utf-8"?>
<ds:datastoreItem xmlns:ds="http://schemas.openxmlformats.org/officeDocument/2006/customXml" ds:itemID="{E201ED9C-D9BD-4016-8FA6-D44613E2468B}">
  <ds:schemaRefs/>
</ds:datastoreItem>
</file>

<file path=customXml/itemProps3.xml><?xml version="1.0" encoding="utf-8"?>
<ds:datastoreItem xmlns:ds="http://schemas.openxmlformats.org/officeDocument/2006/customXml" ds:itemID="{3A8E9107-94A3-49EE-8609-7BB95454DE0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global_freelancer_raw data</vt:lpstr>
      <vt:lpstr>global_freelancer Cleaned data</vt:lpstr>
      <vt:lpstr>Day 1 - Observation</vt:lpstr>
      <vt:lpstr>Day 2-Data Entry &amp; Formatting</vt:lpstr>
      <vt:lpstr>Day 3 – Basic Excel Formulas (P</vt:lpstr>
      <vt:lpstr>Day 4 – Basic Excel Formulas (P</vt:lpstr>
      <vt:lpstr>Day 5 – Text Functions</vt:lpstr>
      <vt:lpstr>Day 6 – Data Validation &amp; Clean</vt:lpstr>
      <vt:lpstr>Day 7 –Power Query cleaned data</vt:lpstr>
      <vt:lpstr>Day 8–Handling Inconsistent Dat</vt:lpstr>
      <vt:lpstr>Day 9 – Conditional Formatting </vt:lpstr>
      <vt:lpstr>Day 10 – Descriptive Statistics</vt:lpstr>
      <vt:lpstr>Day 11 – Filtering, Sorting &amp; E</vt:lpstr>
      <vt:lpstr>Day 12 – Date &amp; Time Functions</vt:lpstr>
      <vt:lpstr>Day 13 – Lookup Function</vt:lpstr>
      <vt:lpstr>Day 14 - INDEX(), MATCH()</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Karthick Madhu</dc:creator>
  <cp:lastModifiedBy>Karthick Madhu</cp:lastModifiedBy>
  <dcterms:created xsi:type="dcterms:W3CDTF">2026-05-04T17:11:56Z</dcterms:created>
  <dcterms:modified xsi:type="dcterms:W3CDTF">2026-05-10T10:34:01Z</dcterms:modified>
</cp:coreProperties>
</file>